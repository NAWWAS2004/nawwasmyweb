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DB9839A-13A7-41AD-8B3F-0493D9708AA9}" xr6:coauthVersionLast="47" xr6:coauthVersionMax="47" xr10:uidLastSave="{00000000-0000-0000-0000-000000000000}"/>
  <bookViews>
    <workbookView xWindow="-108" yWindow="-108" windowWidth="23256" windowHeight="13896" firstSheet="11" activeTab="17" xr2:uid="{DC3EBB85-64FC-4DFB-B4D7-56C25D4CC391}"/>
  </bookViews>
  <sheets>
    <sheet name="Province" sheetId="2" r:id="rId1"/>
    <sheet name="Sheet1" sheetId="9" r:id="rId2"/>
    <sheet name="ประชากรไทย" sheetId="3" r:id="rId3"/>
    <sheet name="Sheet5" sheetId="15" r:id="rId4"/>
    <sheet name="pivotpop" sheetId="19" r:id="rId5"/>
    <sheet name="ตารางประชากร " sheetId="14" r:id="rId6"/>
    <sheet name="pivot" sheetId="16" r:id="rId7"/>
    <sheet name="Dashboard" sheetId="18" r:id="rId8"/>
    <sheet name="population_2568" sheetId="12" r:id="rId9"/>
    <sheet name="Sheet3" sheetId="13" r:id="rId10"/>
    <sheet name="population2568" sheetId="11" r:id="rId11"/>
    <sheet name="ENSO_data" sheetId="1" r:id="rId12"/>
    <sheet name="Temperature_graph" sheetId="4" r:id="rId13"/>
    <sheet name="Score" sheetId="5" r:id="rId14"/>
    <sheet name="Count" sheetId="6" r:id="rId15"/>
    <sheet name="DDD2DMS" sheetId="7" r:id="rId16"/>
    <sheet name="DMD2DDD" sheetId="8" r:id="rId17"/>
    <sheet name="DDDtoDMS" sheetId="10" r:id="rId18"/>
  </sheets>
  <externalReferences>
    <externalReference r:id="rId19"/>
    <externalReference r:id="rId20"/>
  </externalReferences>
  <definedNames>
    <definedName name="_xlnm._FilterDatabase" localSheetId="9" hidden="1">Sheet3!$B$1:$B$78</definedName>
    <definedName name="_xlnm._FilterDatabase" localSheetId="5" hidden="1">'ตารางประชากร '!$E$1:$E$2531</definedName>
    <definedName name="_xlnm._FilterDatabase" localSheetId="2" hidden="1">ประชากรไทย!$D$1:$D$2531</definedName>
    <definedName name="ExternalData_1" localSheetId="0" hidden="1">Province!$A$1:$E$78</definedName>
    <definedName name="ข้อมูลภายนอก_1" localSheetId="8" hidden="1">population_2568!$A$1:$F$80</definedName>
    <definedName name="ตัวแบ่งส่วนข้อมูล_ชื่อจังหวัด">#N/A</definedName>
    <definedName name="ตัวแบ่งส่วนข้อมูล_ภูมิภาค">#N/A</definedName>
  </definedNames>
  <calcPr calcId="191029"/>
  <pivotCaches>
    <pivotCache cacheId="0" r:id="rId21"/>
    <pivotCache cacheId="1" r:id="rId22"/>
  </pivotCaches>
  <extLst>
    <ext xmlns:x14="http://schemas.microsoft.com/office/spreadsheetml/2009/9/main" uri="{BBE1A952-AA13-448e-AADC-164F8A28A991}">
      <x14:slicerCaches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2529" i="14" l="1"/>
  <c r="K2528" i="14"/>
  <c r="K2527" i="14"/>
  <c r="K2526" i="14"/>
  <c r="K2525" i="14"/>
  <c r="K2524" i="14"/>
  <c r="K2523" i="14"/>
  <c r="K2522" i="14"/>
  <c r="K2521" i="14"/>
  <c r="K2520" i="14"/>
  <c r="K2519" i="14"/>
  <c r="K2518" i="14"/>
  <c r="K2517" i="14"/>
  <c r="K2516" i="14"/>
  <c r="K2515" i="14"/>
  <c r="K2514" i="14"/>
  <c r="K2513" i="14"/>
  <c r="K2512" i="14"/>
  <c r="K2511" i="14"/>
  <c r="K2510" i="14"/>
  <c r="K2509" i="14"/>
  <c r="K2508" i="14"/>
  <c r="K2507" i="14"/>
  <c r="K2506" i="14"/>
  <c r="K2505" i="14"/>
  <c r="K2504" i="14"/>
  <c r="K2503" i="14"/>
  <c r="K2501" i="14"/>
  <c r="K2500" i="14"/>
  <c r="K2499" i="14"/>
  <c r="K2498" i="14"/>
  <c r="K2497" i="14"/>
  <c r="K2496" i="14"/>
  <c r="K2495" i="14"/>
  <c r="K2494" i="14"/>
  <c r="K2493" i="14"/>
  <c r="K2492" i="14"/>
  <c r="K2491" i="14"/>
  <c r="K2490" i="14"/>
  <c r="K2489" i="14"/>
  <c r="K2488" i="14"/>
  <c r="K2487" i="14"/>
  <c r="K2486" i="14"/>
  <c r="K2485" i="14"/>
  <c r="K2484" i="14"/>
  <c r="K2482" i="14"/>
  <c r="K2481" i="14"/>
  <c r="K2480" i="14"/>
  <c r="K2479" i="14"/>
  <c r="K2478" i="14"/>
  <c r="K2477" i="14"/>
  <c r="K2476" i="14"/>
  <c r="K2475" i="14"/>
  <c r="K2474" i="14"/>
  <c r="K2473" i="14"/>
  <c r="K2472" i="14"/>
  <c r="K2471" i="14"/>
  <c r="K2470" i="14"/>
  <c r="K2469" i="14"/>
  <c r="K2468" i="14"/>
  <c r="K2467" i="14"/>
  <c r="K2466" i="14"/>
  <c r="K2465" i="14"/>
  <c r="K2464" i="14"/>
  <c r="K2463" i="14"/>
  <c r="K2462" i="14"/>
  <c r="K2461" i="14"/>
  <c r="K2460" i="14"/>
  <c r="K2459" i="14"/>
  <c r="K2457" i="14"/>
  <c r="K2456" i="14"/>
  <c r="K2455" i="14"/>
  <c r="K2454" i="14"/>
  <c r="K2453" i="14"/>
  <c r="K2452" i="14"/>
  <c r="K2451" i="14"/>
  <c r="K2450" i="14"/>
  <c r="K2449" i="14"/>
  <c r="K2448" i="14"/>
  <c r="K2447" i="14"/>
  <c r="K2446" i="14"/>
  <c r="K2445" i="14"/>
  <c r="K2444" i="14"/>
  <c r="K2443" i="14"/>
  <c r="K2442" i="14"/>
  <c r="K2441" i="14"/>
  <c r="K2440" i="14"/>
  <c r="K2439" i="14"/>
  <c r="K2438" i="14"/>
  <c r="K2437" i="14"/>
  <c r="K2436" i="14"/>
  <c r="K2435" i="14"/>
  <c r="K2434" i="14"/>
  <c r="K2433" i="14"/>
  <c r="K2432" i="14"/>
  <c r="K2431" i="14"/>
  <c r="K2430" i="14"/>
  <c r="K2429" i="14"/>
  <c r="K2427" i="14"/>
  <c r="K2426" i="14"/>
  <c r="K2425" i="14"/>
  <c r="K2424" i="14"/>
  <c r="K2423" i="14"/>
  <c r="K2422" i="14"/>
  <c r="K2421" i="14"/>
  <c r="K2420" i="14"/>
  <c r="K2419" i="14"/>
  <c r="K2418" i="14"/>
  <c r="K2417" i="14"/>
  <c r="K2416" i="14"/>
  <c r="K2415" i="14"/>
  <c r="K2414" i="14"/>
  <c r="K2413" i="14"/>
  <c r="K2412" i="14"/>
  <c r="K2411" i="14"/>
  <c r="K2410" i="14"/>
  <c r="K2409" i="14"/>
  <c r="K2408" i="14"/>
  <c r="K2407" i="14"/>
  <c r="K2406" i="14"/>
  <c r="K2405" i="14"/>
  <c r="K2404" i="14"/>
  <c r="K2402" i="14"/>
  <c r="K2401" i="14"/>
  <c r="K2400" i="14"/>
  <c r="K2399" i="14"/>
  <c r="K2398" i="14"/>
  <c r="K2397" i="14"/>
  <c r="K2396" i="14"/>
  <c r="K2395" i="14"/>
  <c r="K2394" i="14"/>
  <c r="K2393" i="14"/>
  <c r="K2392" i="14"/>
  <c r="K2391" i="14"/>
  <c r="K2390" i="14"/>
  <c r="K2389" i="14"/>
  <c r="K2387" i="14"/>
  <c r="K2386" i="14"/>
  <c r="K2385" i="14"/>
  <c r="K2384" i="14"/>
  <c r="K2383" i="14"/>
  <c r="K2382" i="14"/>
  <c r="K2381" i="14"/>
  <c r="K2380" i="14"/>
  <c r="K2379" i="14"/>
  <c r="K2378" i="14"/>
  <c r="K2377" i="14"/>
  <c r="K2376" i="14"/>
  <c r="K2375" i="14"/>
  <c r="K2374" i="14"/>
  <c r="K2373" i="14"/>
  <c r="K2372" i="14"/>
  <c r="K2371" i="14"/>
  <c r="K2370" i="14"/>
  <c r="K2369" i="14"/>
  <c r="K2368" i="14"/>
  <c r="K2367" i="14"/>
  <c r="K2366" i="14"/>
  <c r="K2365" i="14"/>
  <c r="K2364" i="14"/>
  <c r="K2363" i="14"/>
  <c r="K2362" i="14"/>
  <c r="K2361" i="14"/>
  <c r="K2360" i="14"/>
  <c r="K2359" i="14"/>
  <c r="K2358" i="14"/>
  <c r="K2357" i="14"/>
  <c r="K2356" i="14"/>
  <c r="K2355" i="14"/>
  <c r="K2354" i="14"/>
  <c r="K2353" i="14"/>
  <c r="K2352" i="14"/>
  <c r="K2351" i="14"/>
  <c r="K2350" i="14"/>
  <c r="K2349" i="14"/>
  <c r="K2348" i="14"/>
  <c r="K2347" i="14"/>
  <c r="K2346" i="14"/>
  <c r="K2345" i="14"/>
  <c r="K2344" i="14"/>
  <c r="K2343" i="14"/>
  <c r="K2342" i="14"/>
  <c r="K2341" i="14"/>
  <c r="K2340" i="14"/>
  <c r="K2339" i="14"/>
  <c r="K2338" i="14"/>
  <c r="K2336" i="14"/>
  <c r="K2335" i="14"/>
  <c r="K2334" i="14"/>
  <c r="K2333" i="14"/>
  <c r="K2332" i="14"/>
  <c r="K2331" i="14"/>
  <c r="K2330" i="14"/>
  <c r="K2329" i="14"/>
  <c r="K2328" i="14"/>
  <c r="K2327" i="14"/>
  <c r="K2326" i="14"/>
  <c r="K2325" i="14"/>
  <c r="K2324" i="14"/>
  <c r="K2323" i="14"/>
  <c r="K2322" i="14"/>
  <c r="K2321" i="14"/>
  <c r="K2320" i="14"/>
  <c r="K2319" i="14"/>
  <c r="K2318" i="14"/>
  <c r="K2317" i="14"/>
  <c r="K2316" i="14"/>
  <c r="K2315" i="14"/>
  <c r="K2314" i="14"/>
  <c r="K2312" i="14"/>
  <c r="K2311" i="14"/>
  <c r="K2310" i="14"/>
  <c r="K2309" i="14"/>
  <c r="K2308" i="14"/>
  <c r="K2307" i="14"/>
  <c r="K2306" i="14"/>
  <c r="K2305" i="14"/>
  <c r="K2304" i="14"/>
  <c r="K2303" i="14"/>
  <c r="K2302" i="14"/>
  <c r="K2300" i="14"/>
  <c r="K2299" i="14"/>
  <c r="K2298" i="14"/>
  <c r="K2297" i="14"/>
  <c r="K2296" i="14"/>
  <c r="K2295" i="14"/>
  <c r="K2294" i="14"/>
  <c r="K2293" i="14"/>
  <c r="K2292" i="14"/>
  <c r="K2291" i="14"/>
  <c r="K2290" i="14"/>
  <c r="K2289" i="14"/>
  <c r="K2288" i="14"/>
  <c r="K2287" i="14"/>
  <c r="K2286" i="14"/>
  <c r="K2285" i="14"/>
  <c r="K2284" i="14"/>
  <c r="K2283" i="14"/>
  <c r="K2282" i="14"/>
  <c r="K2281" i="14"/>
  <c r="K2280" i="14"/>
  <c r="K2279" i="14"/>
  <c r="K2278" i="14"/>
  <c r="K2277" i="14"/>
  <c r="K2276" i="14"/>
  <c r="K2275" i="14"/>
  <c r="K2274" i="14"/>
  <c r="K2273" i="14"/>
  <c r="K2272" i="14"/>
  <c r="K2271" i="14"/>
  <c r="K2270" i="14"/>
  <c r="K2269" i="14"/>
  <c r="K2268" i="14"/>
  <c r="K2267" i="14"/>
  <c r="K2266" i="14"/>
  <c r="K2265" i="14"/>
  <c r="K2264" i="14"/>
  <c r="K2263" i="14"/>
  <c r="K2262" i="14"/>
  <c r="K2261" i="14"/>
  <c r="K2260" i="14"/>
  <c r="K2259" i="14"/>
  <c r="K2258" i="14"/>
  <c r="K2257" i="14"/>
  <c r="K2256" i="14"/>
  <c r="K2255" i="14"/>
  <c r="K2254" i="14"/>
  <c r="K2252" i="14"/>
  <c r="K2251" i="14"/>
  <c r="K2250" i="14"/>
  <c r="K2249" i="14"/>
  <c r="K2248" i="14"/>
  <c r="K2247" i="14"/>
  <c r="K2246" i="14"/>
  <c r="K2245" i="14"/>
  <c r="K2244" i="14"/>
  <c r="K2243" i="14"/>
  <c r="K2242" i="14"/>
  <c r="K2241" i="14"/>
  <c r="K2239" i="14"/>
  <c r="K2238" i="14"/>
  <c r="K2237" i="14"/>
  <c r="K2236" i="14"/>
  <c r="K2235" i="14"/>
  <c r="K2234" i="14"/>
  <c r="K2233" i="14"/>
  <c r="K2232" i="14"/>
  <c r="K2231" i="14"/>
  <c r="K2230" i="14"/>
  <c r="K2229" i="14"/>
  <c r="K2228" i="14"/>
  <c r="K2227" i="14"/>
  <c r="K2226" i="14"/>
  <c r="K2225" i="14"/>
  <c r="K2224" i="14"/>
  <c r="K2222" i="14"/>
  <c r="K2221" i="14"/>
  <c r="K2220" i="14"/>
  <c r="K2219" i="14"/>
  <c r="K2218" i="14"/>
  <c r="K2217" i="14"/>
  <c r="K2216" i="14"/>
  <c r="K2215" i="14"/>
  <c r="K2214" i="14"/>
  <c r="K2213" i="14"/>
  <c r="K2212" i="14"/>
  <c r="K2211" i="14"/>
  <c r="K2210" i="14"/>
  <c r="K2209" i="14"/>
  <c r="K2208" i="14"/>
  <c r="K2207" i="14"/>
  <c r="K2206" i="14"/>
  <c r="K2205" i="14"/>
  <c r="K2204" i="14"/>
  <c r="K2202" i="14"/>
  <c r="K2201" i="14"/>
  <c r="K2200" i="14"/>
  <c r="K2199" i="14"/>
  <c r="K2198" i="14"/>
  <c r="K2197" i="14"/>
  <c r="K2196" i="14"/>
  <c r="K2195" i="14"/>
  <c r="K2194" i="14"/>
  <c r="K2193" i="14"/>
  <c r="K2192" i="14"/>
  <c r="K2191" i="14"/>
  <c r="K2190" i="14"/>
  <c r="K2189" i="14"/>
  <c r="K2188" i="14"/>
  <c r="K2187" i="14"/>
  <c r="K2186" i="14"/>
  <c r="K2185" i="14"/>
  <c r="K2184" i="14"/>
  <c r="K2183" i="14"/>
  <c r="K2182" i="14"/>
  <c r="K2181" i="14"/>
  <c r="K2180" i="14"/>
  <c r="K2179" i="14"/>
  <c r="K2178" i="14"/>
  <c r="K2177" i="14"/>
  <c r="K2176" i="14"/>
  <c r="K2175" i="14"/>
  <c r="K2174" i="14"/>
  <c r="K2173" i="14"/>
  <c r="K2172" i="14"/>
  <c r="K2171" i="14"/>
  <c r="K2170" i="14"/>
  <c r="K2169" i="14"/>
  <c r="K2168" i="14"/>
  <c r="K2167" i="14"/>
  <c r="K2166" i="14"/>
  <c r="K2165" i="14"/>
  <c r="K2164" i="14"/>
  <c r="K2163" i="14"/>
  <c r="K2162" i="14"/>
  <c r="K2161" i="14"/>
  <c r="K2160" i="14"/>
  <c r="K2159" i="14"/>
  <c r="K2158" i="14"/>
  <c r="K2157" i="14"/>
  <c r="K2156" i="14"/>
  <c r="K2155" i="14"/>
  <c r="K2154" i="14"/>
  <c r="K2153" i="14"/>
  <c r="K2152" i="14"/>
  <c r="K2151" i="14"/>
  <c r="K2150" i="14"/>
  <c r="K2148" i="14"/>
  <c r="K2147" i="14"/>
  <c r="K2146" i="14"/>
  <c r="K2145" i="14"/>
  <c r="K2144" i="14"/>
  <c r="K2143" i="14"/>
  <c r="K2142" i="14"/>
  <c r="K2141" i="14"/>
  <c r="K2140" i="14"/>
  <c r="K2139" i="14"/>
  <c r="K2138" i="14"/>
  <c r="K2137" i="14"/>
  <c r="K2136" i="14"/>
  <c r="K2135" i="14"/>
  <c r="K2134" i="14"/>
  <c r="K2133" i="14"/>
  <c r="K2132" i="14"/>
  <c r="K2131" i="14"/>
  <c r="K2130" i="14"/>
  <c r="K2129" i="14"/>
  <c r="K2128" i="14"/>
  <c r="K2127" i="14"/>
  <c r="K2126" i="14"/>
  <c r="K2125" i="14"/>
  <c r="K2123" i="14"/>
  <c r="K2122" i="14"/>
  <c r="K2121" i="14"/>
  <c r="K2120" i="14"/>
  <c r="K2119" i="14"/>
  <c r="K2118" i="14"/>
  <c r="K2117" i="14"/>
  <c r="K2116" i="14"/>
  <c r="K2115" i="14"/>
  <c r="K2114" i="14"/>
  <c r="K2113" i="14"/>
  <c r="K2112" i="14"/>
  <c r="K2111" i="14"/>
  <c r="K2110" i="14"/>
  <c r="K2109" i="14"/>
  <c r="K2108" i="14"/>
  <c r="K2107" i="14"/>
  <c r="K2106" i="14"/>
  <c r="K2105" i="14"/>
  <c r="K2104" i="14"/>
  <c r="K2102" i="14"/>
  <c r="K2101" i="14"/>
  <c r="K2100" i="14"/>
  <c r="K2099" i="14"/>
  <c r="K2098" i="14"/>
  <c r="K2097" i="14"/>
  <c r="K2096" i="14"/>
  <c r="K2095" i="14"/>
  <c r="K2093" i="14"/>
  <c r="K2092" i="14"/>
  <c r="K2091" i="14"/>
  <c r="K2090" i="14"/>
  <c r="K2089" i="14"/>
  <c r="K2088" i="14"/>
  <c r="K2087" i="14"/>
  <c r="K2086" i="14"/>
  <c r="K2085" i="14"/>
  <c r="K2084" i="14"/>
  <c r="K2083" i="14"/>
  <c r="K2082" i="14"/>
  <c r="K2080" i="14"/>
  <c r="K2079" i="14"/>
  <c r="K2078" i="14"/>
  <c r="K2077" i="14"/>
  <c r="K2076" i="14"/>
  <c r="K2075" i="14"/>
  <c r="K2074" i="14"/>
  <c r="K2073" i="14"/>
  <c r="K2072" i="14"/>
  <c r="K2071" i="14"/>
  <c r="K2070" i="14"/>
  <c r="K2069" i="14"/>
  <c r="K2068" i="14"/>
  <c r="K2067" i="14"/>
  <c r="K2066" i="14"/>
  <c r="K2065" i="14"/>
  <c r="K2064" i="14"/>
  <c r="K2063" i="14"/>
  <c r="K2062" i="14"/>
  <c r="K2061" i="14"/>
  <c r="K2060" i="14"/>
  <c r="K2059" i="14"/>
  <c r="K2058" i="14"/>
  <c r="K2057" i="14"/>
  <c r="K2056" i="14"/>
  <c r="K2055" i="14"/>
  <c r="K2054" i="14"/>
  <c r="K2052" i="14"/>
  <c r="K2051" i="14"/>
  <c r="K2050" i="14"/>
  <c r="K2049" i="14"/>
  <c r="K2048" i="14"/>
  <c r="K2047" i="14"/>
  <c r="K2046" i="14"/>
  <c r="K2045" i="14"/>
  <c r="K2044" i="14"/>
  <c r="K2043" i="14"/>
  <c r="K2042" i="14"/>
  <c r="K2041" i="14"/>
  <c r="K2040" i="14"/>
  <c r="K2039" i="14"/>
  <c r="K2038" i="14"/>
  <c r="K2037" i="14"/>
  <c r="K2036" i="14"/>
  <c r="K2035" i="14"/>
  <c r="K2034" i="14"/>
  <c r="K2033" i="14"/>
  <c r="K2032" i="14"/>
  <c r="K2031" i="14"/>
  <c r="K2030" i="14"/>
  <c r="K2029" i="14"/>
  <c r="K2028" i="14"/>
  <c r="K2027" i="14"/>
  <c r="K2026" i="14"/>
  <c r="K2025" i="14"/>
  <c r="K2024" i="14"/>
  <c r="K2023" i="14"/>
  <c r="K2022" i="14"/>
  <c r="K2021" i="14"/>
  <c r="K2020" i="14"/>
  <c r="K2019" i="14"/>
  <c r="K2018" i="14"/>
  <c r="K2017" i="14"/>
  <c r="K2016" i="14"/>
  <c r="K2015" i="14"/>
  <c r="K2014" i="14"/>
  <c r="K2013" i="14"/>
  <c r="K2012" i="14"/>
  <c r="K2011" i="14"/>
  <c r="K2010" i="14"/>
  <c r="K2009" i="14"/>
  <c r="K2008" i="14"/>
  <c r="K2006" i="14"/>
  <c r="K2005" i="14"/>
  <c r="K2004" i="14"/>
  <c r="K2003" i="14"/>
  <c r="K2002" i="14"/>
  <c r="K2001" i="14"/>
  <c r="K2000" i="14"/>
  <c r="K1999" i="14"/>
  <c r="K1998" i="14"/>
  <c r="K1997" i="14"/>
  <c r="K1996" i="14"/>
  <c r="K1995" i="14"/>
  <c r="K1994" i="14"/>
  <c r="K1993" i="14"/>
  <c r="K1992" i="14"/>
  <c r="K1991" i="14"/>
  <c r="K1990" i="14"/>
  <c r="K1989" i="14"/>
  <c r="K1988" i="14"/>
  <c r="K1987" i="14"/>
  <c r="K1986" i="14"/>
  <c r="K1985" i="14"/>
  <c r="K1984" i="14"/>
  <c r="K1983" i="14"/>
  <c r="K1982" i="14"/>
  <c r="K1981" i="14"/>
  <c r="K1980" i="14"/>
  <c r="K1979" i="14"/>
  <c r="K1978" i="14"/>
  <c r="K1977" i="14"/>
  <c r="K1976" i="14"/>
  <c r="K1975" i="14"/>
  <c r="K1974" i="14"/>
  <c r="K1973" i="14"/>
  <c r="K1972" i="14"/>
  <c r="K1971" i="14"/>
  <c r="K1970" i="14"/>
  <c r="K1969" i="14"/>
  <c r="K1968" i="14"/>
  <c r="K1967" i="14"/>
  <c r="K1966" i="14"/>
  <c r="K1965" i="14"/>
  <c r="K1964" i="14"/>
  <c r="K1963" i="14"/>
  <c r="K1962" i="14"/>
  <c r="K1961" i="14"/>
  <c r="K1959" i="14"/>
  <c r="K1958" i="14"/>
  <c r="K1957" i="14"/>
  <c r="K1956" i="14"/>
  <c r="K1955" i="14"/>
  <c r="K1954" i="14"/>
  <c r="K1953" i="14"/>
  <c r="K1952" i="14"/>
  <c r="K1951" i="14"/>
  <c r="K1950" i="14"/>
  <c r="K1949" i="14"/>
  <c r="K1948" i="14"/>
  <c r="K1947" i="14"/>
  <c r="K1946" i="14"/>
  <c r="K1945" i="14"/>
  <c r="K1944" i="14"/>
  <c r="K1943" i="14"/>
  <c r="K1942" i="14"/>
  <c r="K1941" i="14"/>
  <c r="K1940" i="14"/>
  <c r="K1939" i="14"/>
  <c r="K1938" i="14"/>
  <c r="K1937" i="14"/>
  <c r="K1936" i="14"/>
  <c r="K1935" i="14"/>
  <c r="K1934" i="14"/>
  <c r="K1933" i="14"/>
  <c r="K1932" i="14"/>
  <c r="K1931" i="14"/>
  <c r="K1930" i="14"/>
  <c r="K1929" i="14"/>
  <c r="K1928" i="14"/>
  <c r="K1927" i="14"/>
  <c r="K1926" i="14"/>
  <c r="K1925" i="14"/>
  <c r="K1924" i="14"/>
  <c r="K1923" i="14"/>
  <c r="K1922" i="14"/>
  <c r="K1921" i="14"/>
  <c r="K1920" i="14"/>
  <c r="K1918" i="14"/>
  <c r="K1917" i="14"/>
  <c r="K1916" i="14"/>
  <c r="K1915" i="14"/>
  <c r="K1914" i="14"/>
  <c r="K1913" i="14"/>
  <c r="K1912" i="14"/>
  <c r="K1911" i="14"/>
  <c r="K1910" i="14"/>
  <c r="K1909" i="14"/>
  <c r="K1908" i="14"/>
  <c r="K1907" i="14"/>
  <c r="K1906" i="14"/>
  <c r="K1905" i="14"/>
  <c r="K1904" i="14"/>
  <c r="K1903" i="14"/>
  <c r="K1902" i="14"/>
  <c r="K1901" i="14"/>
  <c r="K1900" i="14"/>
  <c r="K1899" i="14"/>
  <c r="K1898" i="14"/>
  <c r="K1897" i="14"/>
  <c r="K1896" i="14"/>
  <c r="K1895" i="14"/>
  <c r="K1894" i="14"/>
  <c r="K1893" i="14"/>
  <c r="K1892" i="14"/>
  <c r="K1891" i="14"/>
  <c r="K1890" i="14"/>
  <c r="K1889" i="14"/>
  <c r="K1888" i="14"/>
  <c r="K1887" i="14"/>
  <c r="K1886" i="14"/>
  <c r="K1884" i="14"/>
  <c r="K1883" i="14"/>
  <c r="K1882" i="14"/>
  <c r="K1881" i="14"/>
  <c r="K1880" i="14"/>
  <c r="K1879" i="14"/>
  <c r="K1878" i="14"/>
  <c r="K1877" i="14"/>
  <c r="K1876" i="14"/>
  <c r="K1875" i="14"/>
  <c r="K1874" i="14"/>
  <c r="K1873" i="14"/>
  <c r="K1872" i="14"/>
  <c r="K1871" i="14"/>
  <c r="K1870" i="14"/>
  <c r="K1869" i="14"/>
  <c r="K1868" i="14"/>
  <c r="K1867" i="14"/>
  <c r="K1866" i="14"/>
  <c r="K1865" i="14"/>
  <c r="K1864" i="14"/>
  <c r="K1863" i="14"/>
  <c r="K1862" i="14"/>
  <c r="K1861" i="14"/>
  <c r="K1860" i="14"/>
  <c r="K1859" i="14"/>
  <c r="K1858" i="14"/>
  <c r="K1857" i="14"/>
  <c r="K1856" i="14"/>
  <c r="K1855" i="14"/>
  <c r="K1854" i="14"/>
  <c r="K1853" i="14"/>
  <c r="K1852" i="14"/>
  <c r="K1851" i="14"/>
  <c r="K1850" i="14"/>
  <c r="K1849" i="14"/>
  <c r="K1847" i="14"/>
  <c r="K1846" i="14"/>
  <c r="K1845" i="14"/>
  <c r="K1844" i="14"/>
  <c r="K1843" i="14"/>
  <c r="K1842" i="14"/>
  <c r="K1841" i="14"/>
  <c r="K1840" i="14"/>
  <c r="K1839" i="14"/>
  <c r="K1838" i="14"/>
  <c r="K1837" i="14"/>
  <c r="K1836" i="14"/>
  <c r="K1835" i="14"/>
  <c r="K1834" i="14"/>
  <c r="K1833" i="14"/>
  <c r="K1832" i="14"/>
  <c r="K1831" i="14"/>
  <c r="K1830" i="14"/>
  <c r="K1829" i="14"/>
  <c r="K1828" i="14"/>
  <c r="K1827" i="14"/>
  <c r="K1826" i="14"/>
  <c r="K1825" i="14"/>
  <c r="K1824" i="14"/>
  <c r="K1823" i="14"/>
  <c r="K1822" i="14"/>
  <c r="K1821" i="14"/>
  <c r="K1820" i="14"/>
  <c r="K1819" i="14"/>
  <c r="K1817" i="14"/>
  <c r="K1816" i="14"/>
  <c r="K1815" i="14"/>
  <c r="K1814" i="14"/>
  <c r="K1813" i="14"/>
  <c r="K1812" i="14"/>
  <c r="K1811" i="14"/>
  <c r="K1810" i="14"/>
  <c r="K1809" i="14"/>
  <c r="K1808" i="14"/>
  <c r="K1807" i="14"/>
  <c r="K1806" i="14"/>
  <c r="K1805" i="14"/>
  <c r="K1804" i="14"/>
  <c r="K1803" i="14"/>
  <c r="K1802" i="14"/>
  <c r="K1801" i="14"/>
  <c r="K1800" i="14"/>
  <c r="K1799" i="14"/>
  <c r="K1798" i="14"/>
  <c r="K1797" i="14"/>
  <c r="K1796" i="14"/>
  <c r="K1795" i="14"/>
  <c r="K1794" i="14"/>
  <c r="K1793" i="14"/>
  <c r="K1791" i="14"/>
  <c r="K1790" i="14"/>
  <c r="K1789" i="14"/>
  <c r="K1788" i="14"/>
  <c r="K1787" i="14"/>
  <c r="K1786" i="14"/>
  <c r="K1785" i="14"/>
  <c r="K1784" i="14"/>
  <c r="K1783" i="14"/>
  <c r="K1782" i="14"/>
  <c r="K1781" i="14"/>
  <c r="K1780" i="14"/>
  <c r="K1779" i="14"/>
  <c r="K1778" i="14"/>
  <c r="K1777" i="14"/>
  <c r="K1776" i="14"/>
  <c r="K1775" i="14"/>
  <c r="K1774" i="14"/>
  <c r="K1773" i="14"/>
  <c r="K1772" i="14"/>
  <c r="K1771" i="14"/>
  <c r="K1770" i="14"/>
  <c r="K1769" i="14"/>
  <c r="K1767" i="14"/>
  <c r="K1766" i="14"/>
  <c r="K1765" i="14"/>
  <c r="K1764" i="14"/>
  <c r="K1763" i="14"/>
  <c r="K1762" i="14"/>
  <c r="K1761" i="14"/>
  <c r="K1760" i="14"/>
  <c r="K1759" i="14"/>
  <c r="K1758" i="14"/>
  <c r="K1757" i="14"/>
  <c r="K1756" i="14"/>
  <c r="K1755" i="14"/>
  <c r="K1754" i="14"/>
  <c r="K1753" i="14"/>
  <c r="K1752" i="14"/>
  <c r="K1751" i="14"/>
  <c r="K1750" i="14"/>
  <c r="K1749" i="14"/>
  <c r="K1748" i="14"/>
  <c r="K1747" i="14"/>
  <c r="K1746" i="14"/>
  <c r="K1745" i="14"/>
  <c r="K1744" i="14"/>
  <c r="K1743" i="14"/>
  <c r="K1742" i="14"/>
  <c r="K1741" i="14"/>
  <c r="K1740" i="14"/>
  <c r="K1739" i="14"/>
  <c r="K1738" i="14"/>
  <c r="K1737" i="14"/>
  <c r="K1736" i="14"/>
  <c r="K1735" i="14"/>
  <c r="K1733" i="14"/>
  <c r="K1732" i="14"/>
  <c r="K1731" i="14"/>
  <c r="K1730" i="14"/>
  <c r="K1729" i="14"/>
  <c r="K1728" i="14"/>
  <c r="K1727" i="14"/>
  <c r="K1726" i="14"/>
  <c r="K1725" i="14"/>
  <c r="K1724" i="14"/>
  <c r="K1723" i="14"/>
  <c r="K1722" i="14"/>
  <c r="K1721" i="14"/>
  <c r="K1720" i="14"/>
  <c r="K1719" i="14"/>
  <c r="K1718" i="14"/>
  <c r="K1717" i="14"/>
  <c r="K1716" i="14"/>
  <c r="K1715" i="14"/>
  <c r="K1713" i="14"/>
  <c r="K1712" i="14"/>
  <c r="K1711" i="14"/>
  <c r="K1710" i="14"/>
  <c r="K1709" i="14"/>
  <c r="K1708" i="14"/>
  <c r="K1707" i="14"/>
  <c r="K1706" i="14"/>
  <c r="K1705" i="14"/>
  <c r="K1704" i="14"/>
  <c r="K1703" i="14"/>
  <c r="K1702" i="14"/>
  <c r="K1701" i="14"/>
  <c r="K1700" i="14"/>
  <c r="K1699" i="14"/>
  <c r="K1698" i="14"/>
  <c r="K1697" i="14"/>
  <c r="K1696" i="14"/>
  <c r="K1695" i="14"/>
  <c r="K1694" i="14"/>
  <c r="K1693" i="14"/>
  <c r="K1692" i="14"/>
  <c r="K1691" i="14"/>
  <c r="K1690" i="14"/>
  <c r="K1689" i="14"/>
  <c r="K1688" i="14"/>
  <c r="K1687" i="14"/>
  <c r="K1686" i="14"/>
  <c r="K1685" i="14"/>
  <c r="K1684" i="14"/>
  <c r="K1683" i="14"/>
  <c r="K1682" i="14"/>
  <c r="K1681" i="14"/>
  <c r="K1679" i="14"/>
  <c r="K1678" i="14"/>
  <c r="K1677" i="14"/>
  <c r="K1676" i="14"/>
  <c r="K1675" i="14"/>
  <c r="K1674" i="14"/>
  <c r="K1673" i="14"/>
  <c r="K1672" i="14"/>
  <c r="K1671" i="14"/>
  <c r="K1670" i="14"/>
  <c r="K1669" i="14"/>
  <c r="K1668" i="14"/>
  <c r="K1666" i="14"/>
  <c r="K1665" i="14"/>
  <c r="K1664" i="14"/>
  <c r="K1663" i="14"/>
  <c r="K1662" i="14"/>
  <c r="K1661" i="14"/>
  <c r="K1660" i="14"/>
  <c r="K1659" i="14"/>
  <c r="K1658" i="14"/>
  <c r="K1657" i="14"/>
  <c r="K1656" i="14"/>
  <c r="K1655" i="14"/>
  <c r="K1654" i="14"/>
  <c r="K1653" i="14"/>
  <c r="K1652" i="14"/>
  <c r="K1651" i="14"/>
  <c r="K1650" i="14"/>
  <c r="K1649" i="14"/>
  <c r="K1648" i="14"/>
  <c r="K1647" i="14"/>
  <c r="K1646" i="14"/>
  <c r="K1645" i="14"/>
  <c r="K1644" i="14"/>
  <c r="K1643" i="14"/>
  <c r="K1642" i="14"/>
  <c r="K1641" i="14"/>
  <c r="K1640" i="14"/>
  <c r="K1639" i="14"/>
  <c r="K1638" i="14"/>
  <c r="K1637" i="14"/>
  <c r="K1636" i="14"/>
  <c r="K1635" i="14"/>
  <c r="K1634" i="14"/>
  <c r="K1633" i="14"/>
  <c r="K1632" i="14"/>
  <c r="K1631" i="14"/>
  <c r="K1630" i="14"/>
  <c r="K1629" i="14"/>
  <c r="K1628" i="14"/>
  <c r="K1627" i="14"/>
  <c r="K1626" i="14"/>
  <c r="K1625" i="14"/>
  <c r="K1624" i="14"/>
  <c r="K1623" i="14"/>
  <c r="K1622" i="14"/>
  <c r="K1621" i="14"/>
  <c r="K1620" i="14"/>
  <c r="K1619" i="14"/>
  <c r="K1618" i="14"/>
  <c r="K1617" i="14"/>
  <c r="K1616" i="14"/>
  <c r="K1615" i="14"/>
  <c r="K1614" i="14"/>
  <c r="K1613" i="14"/>
  <c r="K1611" i="14"/>
  <c r="K1610" i="14"/>
  <c r="K1609" i="14"/>
  <c r="K1608" i="14"/>
  <c r="K1607" i="14"/>
  <c r="K1606" i="14"/>
  <c r="K1605" i="14"/>
  <c r="K1604" i="14"/>
  <c r="K1603" i="14"/>
  <c r="K1602" i="14"/>
  <c r="K1601" i="14"/>
  <c r="K1600" i="14"/>
  <c r="K1599" i="14"/>
  <c r="K1598" i="14"/>
  <c r="K1597" i="14"/>
  <c r="K1596" i="14"/>
  <c r="K1595" i="14"/>
  <c r="K1594" i="14"/>
  <c r="K1593" i="14"/>
  <c r="K1592" i="14"/>
  <c r="K1591" i="14"/>
  <c r="K1590" i="14"/>
  <c r="K1589" i="14"/>
  <c r="K1588" i="14"/>
  <c r="K1587" i="14"/>
  <c r="K1586" i="14"/>
  <c r="K1585" i="14"/>
  <c r="K1584" i="14"/>
  <c r="K1583" i="14"/>
  <c r="K1582" i="14"/>
  <c r="K1581" i="14"/>
  <c r="K1580" i="14"/>
  <c r="K1578" i="14"/>
  <c r="K1577" i="14"/>
  <c r="K1576" i="14"/>
  <c r="K1575" i="14"/>
  <c r="K1574" i="14"/>
  <c r="K1573" i="14"/>
  <c r="K1572" i="14"/>
  <c r="K1571" i="14"/>
  <c r="K1570" i="14"/>
  <c r="K1569" i="14"/>
  <c r="K1568" i="14"/>
  <c r="K1567" i="14"/>
  <c r="K1566" i="14"/>
  <c r="K1565" i="14"/>
  <c r="K1564" i="14"/>
  <c r="K1563" i="14"/>
  <c r="K1562" i="14"/>
  <c r="K1561" i="14"/>
  <c r="K1560" i="14"/>
  <c r="K1559" i="14"/>
  <c r="K1558" i="14"/>
  <c r="K1557" i="14"/>
  <c r="K1555" i="14"/>
  <c r="K1554" i="14"/>
  <c r="K1553" i="14"/>
  <c r="K1552" i="14"/>
  <c r="K1551" i="14"/>
  <c r="K1550" i="14"/>
  <c r="K1549" i="14"/>
  <c r="K1548" i="14"/>
  <c r="K1547" i="14"/>
  <c r="K1546" i="14"/>
  <c r="K1545" i="14"/>
  <c r="K1544" i="14"/>
  <c r="K1543" i="14"/>
  <c r="K1542" i="14"/>
  <c r="K1541" i="14"/>
  <c r="K1540" i="14"/>
  <c r="K1539" i="14"/>
  <c r="K1538" i="14"/>
  <c r="K1537" i="14"/>
  <c r="K1536" i="14"/>
  <c r="K1535" i="14"/>
  <c r="K1534" i="14"/>
  <c r="K1533" i="14"/>
  <c r="K1532" i="14"/>
  <c r="K1531" i="14"/>
  <c r="K1530" i="14"/>
  <c r="K1528" i="14"/>
  <c r="K1527" i="14"/>
  <c r="K1526" i="14"/>
  <c r="K1525" i="14"/>
  <c r="K1524" i="14"/>
  <c r="K1523" i="14"/>
  <c r="K1522" i="14"/>
  <c r="K1521" i="14"/>
  <c r="K1520" i="14"/>
  <c r="K1519" i="14"/>
  <c r="K1518" i="14"/>
  <c r="K1517" i="14"/>
  <c r="K1516" i="14"/>
  <c r="K1515" i="14"/>
  <c r="K1514" i="14"/>
  <c r="K1513" i="14"/>
  <c r="K1512" i="14"/>
  <c r="K1511" i="14"/>
  <c r="K1510" i="14"/>
  <c r="K1509" i="14"/>
  <c r="K1508" i="14"/>
  <c r="K1507" i="14"/>
  <c r="K1506" i="14"/>
  <c r="K1505" i="14"/>
  <c r="K1504" i="14"/>
  <c r="K1503" i="14"/>
  <c r="K1502" i="14"/>
  <c r="K1501" i="14"/>
  <c r="K1500" i="14"/>
  <c r="K1499" i="14"/>
  <c r="K1498" i="14"/>
  <c r="K1497" i="14"/>
  <c r="K1495" i="14"/>
  <c r="K1494" i="14"/>
  <c r="K1493" i="14"/>
  <c r="K1492" i="14"/>
  <c r="K1491" i="14"/>
  <c r="K1490" i="14"/>
  <c r="K1489" i="14"/>
  <c r="K1488" i="14"/>
  <c r="K1487" i="14"/>
  <c r="K1486" i="14"/>
  <c r="K1485" i="14"/>
  <c r="K1484" i="14"/>
  <c r="K1483" i="14"/>
  <c r="K1482" i="14"/>
  <c r="K1481" i="14"/>
  <c r="K1480" i="14"/>
  <c r="K1479" i="14"/>
  <c r="K1478" i="14"/>
  <c r="K1477" i="14"/>
  <c r="K1476" i="14"/>
  <c r="K1475" i="14"/>
  <c r="K1474" i="14"/>
  <c r="K1473" i="14"/>
  <c r="K1472" i="14"/>
  <c r="K1471" i="14"/>
  <c r="K1470" i="14"/>
  <c r="K1469" i="14"/>
  <c r="K1468" i="14"/>
  <c r="K1467" i="14"/>
  <c r="K1466" i="14"/>
  <c r="K1465" i="14"/>
  <c r="K1464" i="14"/>
  <c r="K1463" i="14"/>
  <c r="K1462" i="14"/>
  <c r="K1461" i="14"/>
  <c r="K1460" i="14"/>
  <c r="K1458" i="14"/>
  <c r="K1457" i="14"/>
  <c r="K1456" i="14"/>
  <c r="K1455" i="14"/>
  <c r="K1454" i="14"/>
  <c r="K1453" i="14"/>
  <c r="K1452" i="14"/>
  <c r="K1451" i="14"/>
  <c r="K1450" i="14"/>
  <c r="K1449" i="14"/>
  <c r="K1448" i="14"/>
  <c r="K1447" i="14"/>
  <c r="K1446" i="14"/>
  <c r="K1445" i="14"/>
  <c r="K1444" i="14"/>
  <c r="K1443" i="14"/>
  <c r="K1442" i="14"/>
  <c r="K1441" i="14"/>
  <c r="K1440" i="14"/>
  <c r="K1439" i="14"/>
  <c r="K1438" i="14"/>
  <c r="K1437" i="14"/>
  <c r="K1436" i="14"/>
  <c r="K1435" i="14"/>
  <c r="K1434" i="14"/>
  <c r="K1433" i="14"/>
  <c r="K1432" i="14"/>
  <c r="K1431" i="14"/>
  <c r="K1430" i="14"/>
  <c r="K1429" i="14"/>
  <c r="K1428" i="14"/>
  <c r="K1426" i="14"/>
  <c r="K1425" i="14"/>
  <c r="K1424" i="14"/>
  <c r="K1423" i="14"/>
  <c r="K1422" i="14"/>
  <c r="K1421" i="14"/>
  <c r="K1420" i="14"/>
  <c r="K1419" i="14"/>
  <c r="K1418" i="14"/>
  <c r="K1417" i="14"/>
  <c r="K1416" i="14"/>
  <c r="K1415" i="14"/>
  <c r="K1414" i="14"/>
  <c r="K1413" i="14"/>
  <c r="K1412" i="14"/>
  <c r="K1411" i="14"/>
  <c r="K1410" i="14"/>
  <c r="K1409" i="14"/>
  <c r="K1408" i="14"/>
  <c r="K1407" i="14"/>
  <c r="K1406" i="14"/>
  <c r="K1405" i="14"/>
  <c r="K1404" i="14"/>
  <c r="K1403" i="14"/>
  <c r="K1402" i="14"/>
  <c r="K1401" i="14"/>
  <c r="K1400" i="14"/>
  <c r="K1399" i="14"/>
  <c r="K1398" i="14"/>
  <c r="K1397" i="14"/>
  <c r="K1396" i="14"/>
  <c r="K1395" i="14"/>
  <c r="K1394" i="14"/>
  <c r="K1393" i="14"/>
  <c r="K1392" i="14"/>
  <c r="K1391" i="14"/>
  <c r="K1390" i="14"/>
  <c r="K1389" i="14"/>
  <c r="K1388" i="14"/>
  <c r="K1387" i="14"/>
  <c r="K1386" i="14"/>
  <c r="K1385" i="14"/>
  <c r="K1384" i="14"/>
  <c r="K1383" i="14"/>
  <c r="K1382" i="14"/>
  <c r="K1381" i="14"/>
  <c r="K1380" i="14"/>
  <c r="K1379" i="14"/>
  <c r="K1378" i="14"/>
  <c r="K1377" i="14"/>
  <c r="K1376" i="14"/>
  <c r="K1375" i="14"/>
  <c r="K1374" i="14"/>
  <c r="K1373" i="14"/>
  <c r="K1372" i="14"/>
  <c r="K1371" i="14"/>
  <c r="K1370" i="14"/>
  <c r="K1369" i="14"/>
  <c r="K1368" i="14"/>
  <c r="K1367" i="14"/>
  <c r="K1366" i="14"/>
  <c r="K1365" i="14"/>
  <c r="K1364" i="14"/>
  <c r="K1363" i="14"/>
  <c r="K1362" i="14"/>
  <c r="K1361" i="14"/>
  <c r="K1360" i="14"/>
  <c r="K1359" i="14"/>
  <c r="K1358" i="14"/>
  <c r="K1357" i="14"/>
  <c r="K1356" i="14"/>
  <c r="K1355" i="14"/>
  <c r="K1354" i="14"/>
  <c r="K1353" i="14"/>
  <c r="K1352" i="14"/>
  <c r="K1351" i="14"/>
  <c r="K1350" i="14"/>
  <c r="K1349" i="14"/>
  <c r="K1348" i="14"/>
  <c r="K1346" i="14"/>
  <c r="K1345" i="14"/>
  <c r="K1344" i="14"/>
  <c r="K1343" i="14"/>
  <c r="K1342" i="14"/>
  <c r="K1341" i="14"/>
  <c r="K1340" i="14"/>
  <c r="K1339" i="14"/>
  <c r="K1338" i="14"/>
  <c r="K1337" i="14"/>
  <c r="K1336" i="14"/>
  <c r="K1335" i="14"/>
  <c r="K1334" i="14"/>
  <c r="K1333" i="14"/>
  <c r="K1332" i="14"/>
  <c r="K1330" i="14"/>
  <c r="K1329" i="14"/>
  <c r="K1328" i="14"/>
  <c r="K1327" i="14"/>
  <c r="K1326" i="14"/>
  <c r="K1325" i="14"/>
  <c r="K1324" i="14"/>
  <c r="K1323" i="14"/>
  <c r="K1322" i="14"/>
  <c r="K1321" i="14"/>
  <c r="K1320" i="14"/>
  <c r="K1319" i="14"/>
  <c r="K1318" i="14"/>
  <c r="K1317" i="14"/>
  <c r="K1316" i="14"/>
  <c r="K1315" i="14"/>
  <c r="K1314" i="14"/>
  <c r="K1313" i="14"/>
  <c r="K1312" i="14"/>
  <c r="K1311" i="14"/>
  <c r="K1310" i="14"/>
  <c r="K1309" i="14"/>
  <c r="K1307" i="14"/>
  <c r="K1306" i="14"/>
  <c r="K1305" i="14"/>
  <c r="K1304" i="14"/>
  <c r="K1303" i="14"/>
  <c r="K1302" i="14"/>
  <c r="K1301" i="14"/>
  <c r="K1300" i="14"/>
  <c r="K1299" i="14"/>
  <c r="K1298" i="14"/>
  <c r="K1297" i="14"/>
  <c r="K1296" i="14"/>
  <c r="K1295" i="14"/>
  <c r="K1294" i="14"/>
  <c r="K1293" i="14"/>
  <c r="K1292" i="14"/>
  <c r="K1291" i="14"/>
  <c r="K1290" i="14"/>
  <c r="K1289" i="14"/>
  <c r="K1288" i="14"/>
  <c r="K1287" i="14"/>
  <c r="K1286" i="14"/>
  <c r="K1285" i="14"/>
  <c r="K1284" i="14"/>
  <c r="K1283" i="14"/>
  <c r="K1282" i="14"/>
  <c r="K1281" i="14"/>
  <c r="K1280" i="14"/>
  <c r="K1279" i="14"/>
  <c r="K1278" i="14"/>
  <c r="K1277" i="14"/>
  <c r="K1276" i="14"/>
  <c r="K1275" i="14"/>
  <c r="K1274" i="14"/>
  <c r="K1273" i="14"/>
  <c r="K1272" i="14"/>
  <c r="K1271" i="14"/>
  <c r="K1270" i="14"/>
  <c r="K1269" i="14"/>
  <c r="K1267" i="14"/>
  <c r="K1266" i="14"/>
  <c r="K1265" i="14"/>
  <c r="K1264" i="14"/>
  <c r="K1263" i="14"/>
  <c r="K1262" i="14"/>
  <c r="K1261" i="14"/>
  <c r="K1260" i="14"/>
  <c r="K1259" i="14"/>
  <c r="K1258" i="14"/>
  <c r="K1257" i="14"/>
  <c r="K1256" i="14"/>
  <c r="K1255" i="14"/>
  <c r="K1254" i="14"/>
  <c r="K1253" i="14"/>
  <c r="K1252" i="14"/>
  <c r="K1251" i="14"/>
  <c r="K1250" i="14"/>
  <c r="K1249" i="14"/>
  <c r="K1248" i="14"/>
  <c r="K1247" i="14"/>
  <c r="K1246" i="14"/>
  <c r="K1245" i="14"/>
  <c r="K1244" i="14"/>
  <c r="K1243" i="14"/>
  <c r="K1242" i="14"/>
  <c r="K1241" i="14"/>
  <c r="K1240" i="14"/>
  <c r="K1239" i="14"/>
  <c r="K1238" i="14"/>
  <c r="K1237" i="14"/>
  <c r="K1236" i="14"/>
  <c r="K1235" i="14"/>
  <c r="K1234" i="14"/>
  <c r="K1233" i="14"/>
  <c r="K1232" i="14"/>
  <c r="K1231" i="14"/>
  <c r="K1230" i="14"/>
  <c r="K1229" i="14"/>
  <c r="K1228" i="14"/>
  <c r="K1227" i="14"/>
  <c r="K1226" i="14"/>
  <c r="K1225" i="14"/>
  <c r="K1224" i="14"/>
  <c r="K1223" i="14"/>
  <c r="K1222" i="14"/>
  <c r="K1221" i="14"/>
  <c r="K1220" i="14"/>
  <c r="K1219" i="14"/>
  <c r="K1218" i="14"/>
  <c r="K1217" i="14"/>
  <c r="K1216" i="14"/>
  <c r="K1214" i="14"/>
  <c r="K1213" i="14"/>
  <c r="K1212" i="14"/>
  <c r="K1211" i="14"/>
  <c r="K1210" i="14"/>
  <c r="K1209" i="14"/>
  <c r="K1208" i="14"/>
  <c r="K1207" i="14"/>
  <c r="K1206" i="14"/>
  <c r="K1205" i="14"/>
  <c r="K1204" i="14"/>
  <c r="K1203" i="14"/>
  <c r="K1202" i="14"/>
  <c r="K1201" i="14"/>
  <c r="K1200" i="14"/>
  <c r="K1199" i="14"/>
  <c r="K1198" i="14"/>
  <c r="K1197" i="14"/>
  <c r="K1196" i="14"/>
  <c r="K1195" i="14"/>
  <c r="K1194" i="14"/>
  <c r="K1193" i="14"/>
  <c r="K1192" i="14"/>
  <c r="K1191" i="14"/>
  <c r="K1190" i="14"/>
  <c r="K1189" i="14"/>
  <c r="K1188" i="14"/>
  <c r="K1187" i="14"/>
  <c r="K1186" i="14"/>
  <c r="K1185" i="14"/>
  <c r="K1184" i="14"/>
  <c r="K1183" i="14"/>
  <c r="K1182" i="14"/>
  <c r="K1181" i="14"/>
  <c r="K1180" i="14"/>
  <c r="K1179" i="14"/>
  <c r="K1178" i="14"/>
  <c r="K1177" i="14"/>
  <c r="K1176" i="14"/>
  <c r="K1175" i="14"/>
  <c r="K1174" i="14"/>
  <c r="K1173" i="14"/>
  <c r="K1172" i="14"/>
  <c r="K1171" i="14"/>
  <c r="K1170" i="14"/>
  <c r="K1169" i="14"/>
  <c r="K1168" i="14"/>
  <c r="K1167" i="14"/>
  <c r="K1166" i="14"/>
  <c r="K1165" i="14"/>
  <c r="K1164" i="14"/>
  <c r="K1163" i="14"/>
  <c r="K1161" i="14"/>
  <c r="K1160" i="14"/>
  <c r="K1159" i="14"/>
  <c r="K1158" i="14"/>
  <c r="K1157" i="14"/>
  <c r="K1156" i="14"/>
  <c r="K1155" i="14"/>
  <c r="K1154" i="14"/>
  <c r="K1153" i="14"/>
  <c r="K1152" i="14"/>
  <c r="K1151" i="14"/>
  <c r="K1150" i="14"/>
  <c r="K1149" i="14"/>
  <c r="K1148" i="14"/>
  <c r="K1147" i="14"/>
  <c r="K1146" i="14"/>
  <c r="K1145" i="14"/>
  <c r="K1144" i="14"/>
  <c r="K1143" i="14"/>
  <c r="K1142" i="14"/>
  <c r="K1141" i="14"/>
  <c r="K1140" i="14"/>
  <c r="K1139" i="14"/>
  <c r="K1138" i="14"/>
  <c r="K1137" i="14"/>
  <c r="K1136" i="14"/>
  <c r="K1134" i="14"/>
  <c r="K1133" i="14"/>
  <c r="K1132" i="14"/>
  <c r="K1131" i="14"/>
  <c r="K1130" i="14"/>
  <c r="K1129" i="14"/>
  <c r="K1128" i="14"/>
  <c r="K1127" i="14"/>
  <c r="K1126" i="14"/>
  <c r="K1125" i="14"/>
  <c r="K1124" i="14"/>
  <c r="K1123" i="14"/>
  <c r="K1122" i="14"/>
  <c r="K1121" i="14"/>
  <c r="K1120" i="14"/>
  <c r="K1119" i="14"/>
  <c r="K1118" i="14"/>
  <c r="K1117" i="14"/>
  <c r="K1116" i="14"/>
  <c r="K1115" i="14"/>
  <c r="K1113" i="14"/>
  <c r="K1112" i="14"/>
  <c r="K1111" i="14"/>
  <c r="K1110" i="14"/>
  <c r="K1109" i="14"/>
  <c r="K1108" i="14"/>
  <c r="K1107" i="14"/>
  <c r="K1106" i="14"/>
  <c r="K1105" i="14"/>
  <c r="K1104" i="14"/>
  <c r="K1103" i="14"/>
  <c r="K1102" i="14"/>
  <c r="K1101" i="14"/>
  <c r="K1100" i="14"/>
  <c r="K1099" i="14"/>
  <c r="K1098" i="14"/>
  <c r="K1097" i="14"/>
  <c r="K1096" i="14"/>
  <c r="K1095" i="14"/>
  <c r="K1094" i="14"/>
  <c r="K1093" i="14"/>
  <c r="K1092" i="14"/>
  <c r="K1091" i="14"/>
  <c r="K1090" i="14"/>
  <c r="K1089" i="14"/>
  <c r="K1088" i="14"/>
  <c r="K1087" i="14"/>
  <c r="K1086" i="14"/>
  <c r="K1085" i="14"/>
  <c r="K1084" i="14"/>
  <c r="K1083" i="14"/>
  <c r="K1082" i="14"/>
  <c r="K1081" i="14"/>
  <c r="K1080" i="14"/>
  <c r="K1079" i="14"/>
  <c r="K1077" i="14"/>
  <c r="K1076" i="14"/>
  <c r="K1075" i="14"/>
  <c r="K1074" i="14"/>
  <c r="K1073" i="14"/>
  <c r="K1072" i="14"/>
  <c r="K1071" i="14"/>
  <c r="K1070" i="14"/>
  <c r="K1069" i="14"/>
  <c r="K1068" i="14"/>
  <c r="K1067" i="14"/>
  <c r="K1066" i="14"/>
  <c r="K1065" i="14"/>
  <c r="K1064" i="14"/>
  <c r="K1063" i="14"/>
  <c r="K1062" i="14"/>
  <c r="K1061" i="14"/>
  <c r="K1060" i="14"/>
  <c r="K1059" i="14"/>
  <c r="K1058" i="14"/>
  <c r="K1057" i="14"/>
  <c r="K1056" i="14"/>
  <c r="K1055" i="14"/>
  <c r="K1054" i="14"/>
  <c r="K1053" i="14"/>
  <c r="K1052" i="14"/>
  <c r="K1051" i="14"/>
  <c r="K1050" i="14"/>
  <c r="K1049" i="14"/>
  <c r="K1048" i="14"/>
  <c r="K1047" i="14"/>
  <c r="K1046" i="14"/>
  <c r="K1045" i="14"/>
  <c r="K1044" i="14"/>
  <c r="K1043" i="14"/>
  <c r="K1042" i="14"/>
  <c r="K1041" i="14"/>
  <c r="K1040" i="14"/>
  <c r="K1039" i="14"/>
  <c r="K1038" i="14"/>
  <c r="K1037" i="14"/>
  <c r="K1036" i="14"/>
  <c r="K1035" i="14"/>
  <c r="K1034" i="14"/>
  <c r="K1033" i="14"/>
  <c r="K1032" i="14"/>
  <c r="K1031" i="14"/>
  <c r="K1030" i="14"/>
  <c r="K1029" i="14"/>
  <c r="K1028" i="14"/>
  <c r="K1027" i="14"/>
  <c r="K1026" i="14"/>
  <c r="K1025" i="14"/>
  <c r="K1024" i="14"/>
  <c r="K1023" i="14"/>
  <c r="K1022" i="14"/>
  <c r="K1021" i="14"/>
  <c r="K1020" i="14"/>
  <c r="K1019" i="14"/>
  <c r="K1018" i="14"/>
  <c r="K1017" i="14"/>
  <c r="K1016" i="14"/>
  <c r="K1014" i="14"/>
  <c r="K1013" i="14"/>
  <c r="K1012" i="14"/>
  <c r="K1011" i="14"/>
  <c r="K1010" i="14"/>
  <c r="K1009" i="14"/>
  <c r="K1008" i="14"/>
  <c r="K1007" i="14"/>
  <c r="K1006" i="14"/>
  <c r="K1005" i="14"/>
  <c r="K1004" i="14"/>
  <c r="K1003" i="14"/>
  <c r="K1002" i="14"/>
  <c r="K1001" i="14"/>
  <c r="K1000" i="14"/>
  <c r="K999" i="14"/>
  <c r="K998" i="14"/>
  <c r="K997" i="14"/>
  <c r="K996" i="14"/>
  <c r="K995" i="14"/>
  <c r="K994" i="14"/>
  <c r="K993" i="14"/>
  <c r="K992" i="14"/>
  <c r="K991" i="14"/>
  <c r="K990" i="14"/>
  <c r="K989" i="14"/>
  <c r="K988" i="14"/>
  <c r="K987" i="14"/>
  <c r="K986" i="14"/>
  <c r="K985" i="14"/>
  <c r="K984" i="14"/>
  <c r="K983" i="14"/>
  <c r="K982" i="14"/>
  <c r="K981" i="14"/>
  <c r="K980" i="14"/>
  <c r="K979" i="14"/>
  <c r="K978" i="14"/>
  <c r="K977" i="14"/>
  <c r="K976" i="14"/>
  <c r="K975" i="14"/>
  <c r="K974" i="14"/>
  <c r="K973" i="14"/>
  <c r="K972" i="14"/>
  <c r="K971" i="14"/>
  <c r="K970" i="14"/>
  <c r="K969" i="14"/>
  <c r="K968" i="14"/>
  <c r="K967" i="14"/>
  <c r="K966" i="14"/>
  <c r="K965" i="14"/>
  <c r="K964" i="14"/>
  <c r="K963" i="14"/>
  <c r="K962" i="14"/>
  <c r="K961" i="14"/>
  <c r="K960" i="14"/>
  <c r="K959" i="14"/>
  <c r="K958" i="14"/>
  <c r="K957" i="14"/>
  <c r="K956" i="14"/>
  <c r="K955" i="14"/>
  <c r="K954" i="14"/>
  <c r="K953" i="14"/>
  <c r="K952" i="14"/>
  <c r="K951" i="14"/>
  <c r="K950" i="14"/>
  <c r="K949" i="14"/>
  <c r="K948" i="14"/>
  <c r="K947" i="14"/>
  <c r="K946" i="14"/>
  <c r="K945" i="14"/>
  <c r="K943" i="14"/>
  <c r="K942" i="14"/>
  <c r="K941" i="14"/>
  <c r="K940" i="14"/>
  <c r="K939" i="14"/>
  <c r="K938" i="14"/>
  <c r="K937" i="14"/>
  <c r="K936" i="14"/>
  <c r="K935" i="14"/>
  <c r="K934" i="14"/>
  <c r="K933" i="14"/>
  <c r="K932" i="14"/>
  <c r="K931" i="14"/>
  <c r="K930" i="14"/>
  <c r="K929" i="14"/>
  <c r="K928" i="14"/>
  <c r="K927" i="14"/>
  <c r="K926" i="14"/>
  <c r="K925" i="14"/>
  <c r="K924" i="14"/>
  <c r="K922" i="14"/>
  <c r="K921" i="14"/>
  <c r="K920" i="14"/>
  <c r="K919" i="14"/>
  <c r="K918" i="14"/>
  <c r="K917" i="14"/>
  <c r="K916" i="14"/>
  <c r="K915" i="14"/>
  <c r="K914" i="14"/>
  <c r="K913" i="14"/>
  <c r="K912" i="14"/>
  <c r="K911" i="14"/>
  <c r="K910" i="14"/>
  <c r="K909" i="14"/>
  <c r="K908" i="14"/>
  <c r="K907" i="14"/>
  <c r="K906" i="14"/>
  <c r="K905" i="14"/>
  <c r="K904" i="14"/>
  <c r="K902" i="14"/>
  <c r="K901" i="14"/>
  <c r="K900" i="14"/>
  <c r="K899" i="14"/>
  <c r="K898" i="14"/>
  <c r="K897" i="14"/>
  <c r="K896" i="14"/>
  <c r="K895" i="14"/>
  <c r="K894" i="14"/>
  <c r="K893" i="14"/>
  <c r="K892" i="14"/>
  <c r="K891" i="14"/>
  <c r="K890" i="14"/>
  <c r="K889" i="14"/>
  <c r="K888" i="14"/>
  <c r="K887" i="14"/>
  <c r="K886" i="14"/>
  <c r="K884" i="14"/>
  <c r="K883" i="14"/>
  <c r="K882" i="14"/>
  <c r="K881" i="14"/>
  <c r="K880" i="14"/>
  <c r="K879" i="14"/>
  <c r="K878" i="14"/>
  <c r="K877" i="14"/>
  <c r="K876" i="14"/>
  <c r="K875" i="14"/>
  <c r="K874" i="14"/>
  <c r="K873" i="14"/>
  <c r="K872" i="14"/>
  <c r="K871" i="14"/>
  <c r="K870" i="14"/>
  <c r="K869" i="14"/>
  <c r="K868" i="14"/>
  <c r="K867" i="14"/>
  <c r="K866" i="14"/>
  <c r="K865" i="14"/>
  <c r="K864" i="14"/>
  <c r="K863" i="14"/>
  <c r="K862" i="14"/>
  <c r="K861" i="14"/>
  <c r="K860" i="14"/>
  <c r="K859" i="14"/>
  <c r="K858" i="14"/>
  <c r="K857" i="14"/>
  <c r="K856" i="14"/>
  <c r="K855" i="14"/>
  <c r="K854" i="14"/>
  <c r="K853" i="14"/>
  <c r="K852" i="14"/>
  <c r="K851" i="14"/>
  <c r="K850" i="14"/>
  <c r="K849" i="14"/>
  <c r="K848" i="14"/>
  <c r="K847" i="14"/>
  <c r="K845" i="14"/>
  <c r="K844" i="14"/>
  <c r="K843" i="14"/>
  <c r="K842" i="14"/>
  <c r="K841" i="14"/>
  <c r="K840" i="14"/>
  <c r="K839" i="14"/>
  <c r="K838" i="14"/>
  <c r="K837" i="14"/>
  <c r="K836" i="14"/>
  <c r="K835" i="14"/>
  <c r="K834" i="14"/>
  <c r="K833" i="14"/>
  <c r="K832" i="14"/>
  <c r="K831" i="14"/>
  <c r="K830" i="14"/>
  <c r="K829" i="14"/>
  <c r="K828" i="14"/>
  <c r="K826" i="14"/>
  <c r="K825" i="14"/>
  <c r="K824" i="14"/>
  <c r="K823" i="14"/>
  <c r="K822" i="14"/>
  <c r="K821" i="14"/>
  <c r="K820" i="14"/>
  <c r="K819" i="14"/>
  <c r="K818" i="14"/>
  <c r="K817" i="14"/>
  <c r="K816" i="14"/>
  <c r="K815" i="14"/>
  <c r="K814" i="14"/>
  <c r="K813" i="14"/>
  <c r="K812" i="14"/>
  <c r="K811" i="14"/>
  <c r="K810" i="14"/>
  <c r="K809" i="14"/>
  <c r="K808" i="14"/>
  <c r="K807" i="14"/>
  <c r="K806" i="14"/>
  <c r="K805" i="14"/>
  <c r="K804" i="14"/>
  <c r="K803" i="14"/>
  <c r="K802" i="14"/>
  <c r="K801" i="14"/>
  <c r="K800" i="14"/>
  <c r="K799" i="14"/>
  <c r="K798" i="14"/>
  <c r="K797" i="14"/>
  <c r="K796" i="14"/>
  <c r="K795" i="14"/>
  <c r="K794" i="14"/>
  <c r="K793" i="14"/>
  <c r="K792" i="14"/>
  <c r="K791" i="14"/>
  <c r="K790" i="14"/>
  <c r="K789" i="14"/>
  <c r="K788" i="14"/>
  <c r="K787" i="14"/>
  <c r="K786" i="14"/>
  <c r="K785" i="14"/>
  <c r="K784" i="14"/>
  <c r="K783" i="14"/>
  <c r="K782" i="14"/>
  <c r="K781" i="14"/>
  <c r="K780" i="14"/>
  <c r="K779" i="14"/>
  <c r="K778" i="14"/>
  <c r="K777" i="14"/>
  <c r="K776" i="14"/>
  <c r="K775" i="14"/>
  <c r="K774" i="14"/>
  <c r="K773" i="14"/>
  <c r="K772" i="14"/>
  <c r="K771" i="14"/>
  <c r="K770" i="14"/>
  <c r="K769" i="14"/>
  <c r="K768" i="14"/>
  <c r="K767" i="14"/>
  <c r="K766" i="14"/>
  <c r="K765" i="14"/>
  <c r="K763" i="14"/>
  <c r="K762" i="14"/>
  <c r="K761" i="14"/>
  <c r="K760" i="14"/>
  <c r="K759" i="14"/>
  <c r="K758" i="14"/>
  <c r="K757" i="14"/>
  <c r="K756" i="14"/>
  <c r="K755" i="14"/>
  <c r="K754" i="14"/>
  <c r="K753" i="14"/>
  <c r="K752" i="14"/>
  <c r="K751" i="14"/>
  <c r="K750" i="14"/>
  <c r="K749" i="14"/>
  <c r="K748" i="14"/>
  <c r="K747" i="14"/>
  <c r="K746" i="14"/>
  <c r="K745" i="14"/>
  <c r="K744" i="14"/>
  <c r="K743" i="14"/>
  <c r="K742" i="14"/>
  <c r="K741" i="14"/>
  <c r="K740" i="14"/>
  <c r="K739" i="14"/>
  <c r="K738" i="14"/>
  <c r="K737" i="14"/>
  <c r="K736" i="14"/>
  <c r="K735" i="14"/>
  <c r="K734" i="14"/>
  <c r="K733" i="14"/>
  <c r="K732" i="14"/>
  <c r="K731" i="14"/>
  <c r="K730" i="14"/>
  <c r="K729" i="14"/>
  <c r="K728" i="14"/>
  <c r="K727" i="14"/>
  <c r="K726" i="14"/>
  <c r="K725" i="14"/>
  <c r="K724" i="14"/>
  <c r="K723" i="14"/>
  <c r="K721" i="14"/>
  <c r="K720" i="14"/>
  <c r="K719" i="14"/>
  <c r="K718" i="14"/>
  <c r="K717" i="14"/>
  <c r="K716" i="14"/>
  <c r="K715" i="14"/>
  <c r="K714" i="14"/>
  <c r="K713" i="14"/>
  <c r="K712" i="14"/>
  <c r="K711" i="14"/>
  <c r="K710" i="14"/>
  <c r="K709" i="14"/>
  <c r="K708" i="14"/>
  <c r="K707" i="14"/>
  <c r="K706" i="14"/>
  <c r="K705" i="14"/>
  <c r="K704" i="14"/>
  <c r="K703" i="14"/>
  <c r="K702" i="14"/>
  <c r="K701" i="14"/>
  <c r="K700" i="14"/>
  <c r="K699" i="14"/>
  <c r="K698" i="14"/>
  <c r="K697" i="14"/>
  <c r="K696" i="14"/>
  <c r="K695" i="14"/>
  <c r="K694" i="14"/>
  <c r="K693" i="14"/>
  <c r="K692" i="14"/>
  <c r="K691" i="14"/>
  <c r="K689" i="14"/>
  <c r="K688" i="14"/>
  <c r="K687" i="14"/>
  <c r="K686" i="14"/>
  <c r="K685" i="14"/>
  <c r="K684" i="14"/>
  <c r="K683" i="14"/>
  <c r="K682" i="14"/>
  <c r="K681" i="14"/>
  <c r="K680" i="14"/>
  <c r="K679" i="14"/>
  <c r="K678" i="14"/>
  <c r="K677" i="14"/>
  <c r="K676" i="14"/>
  <c r="K675" i="14"/>
  <c r="K674" i="14"/>
  <c r="K673" i="14"/>
  <c r="K672" i="14"/>
  <c r="K671" i="14"/>
  <c r="K670" i="14"/>
  <c r="K669" i="14"/>
  <c r="K668" i="14"/>
  <c r="K667" i="14"/>
  <c r="K666" i="14"/>
  <c r="K665" i="14"/>
  <c r="K664" i="14"/>
  <c r="K663" i="14"/>
  <c r="K662" i="14"/>
  <c r="K661" i="14"/>
  <c r="K660" i="14"/>
  <c r="K659" i="14"/>
  <c r="K658" i="14"/>
  <c r="K657" i="14"/>
  <c r="K656" i="14"/>
  <c r="K655" i="14"/>
  <c r="K654" i="14"/>
  <c r="K653" i="14"/>
  <c r="K652" i="14"/>
  <c r="K651" i="14"/>
  <c r="K650" i="14"/>
  <c r="K649" i="14"/>
  <c r="K648" i="14"/>
  <c r="K647" i="14"/>
  <c r="K646" i="14"/>
  <c r="K645" i="14"/>
  <c r="K644" i="14"/>
  <c r="K643" i="14"/>
  <c r="K642" i="14"/>
  <c r="K641" i="14"/>
  <c r="K640" i="14"/>
  <c r="K639" i="14"/>
  <c r="K638" i="14"/>
  <c r="K637" i="14"/>
  <c r="K636" i="14"/>
  <c r="K635" i="14"/>
  <c r="K634" i="14"/>
  <c r="K633" i="14"/>
  <c r="K632" i="14"/>
  <c r="K631" i="14"/>
  <c r="K629" i="14"/>
  <c r="K628" i="14"/>
  <c r="K627" i="14"/>
  <c r="K626" i="14"/>
  <c r="K625" i="14"/>
  <c r="K624" i="14"/>
  <c r="K623" i="14"/>
  <c r="K622" i="14"/>
  <c r="K621" i="14"/>
  <c r="K620" i="14"/>
  <c r="K619" i="14"/>
  <c r="K618" i="14"/>
  <c r="K617" i="14"/>
  <c r="K616" i="14"/>
  <c r="K615" i="14"/>
  <c r="K614" i="14"/>
  <c r="K613" i="14"/>
  <c r="K612" i="14"/>
  <c r="K611" i="14"/>
  <c r="K610" i="14"/>
  <c r="K609" i="14"/>
  <c r="K608" i="14"/>
  <c r="K607" i="14"/>
  <c r="K606" i="14"/>
  <c r="K605" i="14"/>
  <c r="K604" i="14"/>
  <c r="K603" i="14"/>
  <c r="K602" i="14"/>
  <c r="K601" i="14"/>
  <c r="K600" i="14"/>
  <c r="K599" i="14"/>
  <c r="K598" i="14"/>
  <c r="K597" i="14"/>
  <c r="K596" i="14"/>
  <c r="K595" i="14"/>
  <c r="K594" i="14"/>
  <c r="K593" i="14"/>
  <c r="K592" i="14"/>
  <c r="K591" i="14"/>
  <c r="K590" i="14"/>
  <c r="K589" i="14"/>
  <c r="K588" i="14"/>
  <c r="K587" i="14"/>
  <c r="K586" i="14"/>
  <c r="K585" i="14"/>
  <c r="K584" i="14"/>
  <c r="K583" i="14"/>
  <c r="K582" i="14"/>
  <c r="K581" i="14"/>
  <c r="K580" i="14"/>
  <c r="K579" i="14"/>
  <c r="K578" i="14"/>
  <c r="K577" i="14"/>
  <c r="K576" i="14"/>
  <c r="K575" i="14"/>
  <c r="K574" i="14"/>
  <c r="K573" i="14"/>
  <c r="K572" i="14"/>
  <c r="K571" i="14"/>
  <c r="K570" i="14"/>
  <c r="K569" i="14"/>
  <c r="K568" i="14"/>
  <c r="K567" i="14"/>
  <c r="K566" i="14"/>
  <c r="K565" i="14"/>
  <c r="K564" i="14"/>
  <c r="K563" i="14"/>
  <c r="K562" i="14"/>
  <c r="K561" i="14"/>
  <c r="K560" i="14"/>
  <c r="K559" i="14"/>
  <c r="K558" i="14"/>
  <c r="K557" i="14"/>
  <c r="K556" i="14"/>
  <c r="K555" i="14"/>
  <c r="K554" i="14"/>
  <c r="K553" i="14"/>
  <c r="K552" i="14"/>
  <c r="K551" i="14"/>
  <c r="K550" i="14"/>
  <c r="K549" i="14"/>
  <c r="K548" i="14"/>
  <c r="K547" i="14"/>
  <c r="K546" i="14"/>
  <c r="K545" i="14"/>
  <c r="K544" i="14"/>
  <c r="K543" i="14"/>
  <c r="K542" i="14"/>
  <c r="K541" i="14"/>
  <c r="K540" i="14"/>
  <c r="K539" i="14"/>
  <c r="K538" i="14"/>
  <c r="K537" i="14"/>
  <c r="K536" i="14"/>
  <c r="K535" i="14"/>
  <c r="K534" i="14"/>
  <c r="K532" i="14"/>
  <c r="K531" i="14"/>
  <c r="K530" i="14"/>
  <c r="K529" i="14"/>
  <c r="K528" i="14"/>
  <c r="K527" i="14"/>
  <c r="K526" i="14"/>
  <c r="K525" i="14"/>
  <c r="K524" i="14"/>
  <c r="K523" i="14"/>
  <c r="K522" i="14"/>
  <c r="K521" i="14"/>
  <c r="K520" i="14"/>
  <c r="K519" i="14"/>
  <c r="K518" i="14"/>
  <c r="K517" i="14"/>
  <c r="K516" i="14"/>
  <c r="K515" i="14"/>
  <c r="K513" i="14"/>
  <c r="K512" i="14"/>
  <c r="K511" i="14"/>
  <c r="K510" i="14"/>
  <c r="K509" i="14"/>
  <c r="K508" i="14"/>
  <c r="K507" i="14"/>
  <c r="K506" i="14"/>
  <c r="K505" i="14"/>
  <c r="K503" i="14"/>
  <c r="K502" i="14"/>
  <c r="K501" i="14"/>
  <c r="K500" i="14"/>
  <c r="K499" i="14"/>
  <c r="K498" i="14"/>
  <c r="K497" i="14"/>
  <c r="K496" i="14"/>
  <c r="K495" i="14"/>
  <c r="K494" i="14"/>
  <c r="K493" i="14"/>
  <c r="K492" i="14"/>
  <c r="K491" i="14"/>
  <c r="K490" i="14"/>
  <c r="K489" i="14"/>
  <c r="K488" i="14"/>
  <c r="K487" i="14"/>
  <c r="K486" i="14"/>
  <c r="K485" i="14"/>
  <c r="K483" i="14"/>
  <c r="K482" i="14"/>
  <c r="K481" i="14"/>
  <c r="K480" i="14"/>
  <c r="K479" i="14"/>
  <c r="K478" i="14"/>
  <c r="K477" i="14"/>
  <c r="K476" i="14"/>
  <c r="K475" i="14"/>
  <c r="K474" i="14"/>
  <c r="K473" i="14"/>
  <c r="K472" i="14"/>
  <c r="K471" i="14"/>
  <c r="K470" i="14"/>
  <c r="K469" i="14"/>
  <c r="K468" i="14"/>
  <c r="K467" i="14"/>
  <c r="K466" i="14"/>
  <c r="K465" i="14"/>
  <c r="K464" i="14"/>
  <c r="K463" i="14"/>
  <c r="K462" i="14"/>
  <c r="K461" i="14"/>
  <c r="K460" i="14"/>
  <c r="K459" i="14"/>
  <c r="K458" i="14"/>
  <c r="K457" i="14"/>
  <c r="K456" i="14"/>
  <c r="K455" i="14"/>
  <c r="K454" i="14"/>
  <c r="K453" i="14"/>
  <c r="K452" i="14"/>
  <c r="K451" i="14"/>
  <c r="K450" i="14"/>
  <c r="K449" i="14"/>
  <c r="K448" i="14"/>
  <c r="K447" i="14"/>
  <c r="K445" i="14"/>
  <c r="K444" i="14"/>
  <c r="K443" i="14"/>
  <c r="K442" i="14"/>
  <c r="K441" i="14"/>
  <c r="K440" i="14"/>
  <c r="K439" i="14"/>
  <c r="K438" i="14"/>
  <c r="K437" i="14"/>
  <c r="K436" i="14"/>
  <c r="K435" i="14"/>
  <c r="K434" i="14"/>
  <c r="K433" i="14"/>
  <c r="K432" i="14"/>
  <c r="K431" i="14"/>
  <c r="K430" i="14"/>
  <c r="K429" i="14"/>
  <c r="K428" i="14"/>
  <c r="K426" i="14"/>
  <c r="K425" i="14"/>
  <c r="K424" i="14"/>
  <c r="K423" i="14"/>
  <c r="K422" i="14"/>
  <c r="K421" i="14"/>
  <c r="K420" i="14"/>
  <c r="K419" i="14"/>
  <c r="K418" i="14"/>
  <c r="K417" i="14"/>
  <c r="K416" i="14"/>
  <c r="K415" i="14"/>
  <c r="K414" i="14"/>
  <c r="K413" i="14"/>
  <c r="K412" i="14"/>
  <c r="K411" i="14"/>
  <c r="K410" i="14"/>
  <c r="K409" i="14"/>
  <c r="K408" i="14"/>
  <c r="K407" i="14"/>
  <c r="K406" i="14"/>
  <c r="K405" i="14"/>
  <c r="K404" i="14"/>
  <c r="K403" i="14"/>
  <c r="K402" i="14"/>
  <c r="K401" i="14"/>
  <c r="K400" i="14"/>
  <c r="K399" i="14"/>
  <c r="K398" i="14"/>
  <c r="K397" i="14"/>
  <c r="K396" i="14"/>
  <c r="K395" i="14"/>
  <c r="K394" i="14"/>
  <c r="K393" i="14"/>
  <c r="K392" i="14"/>
  <c r="K391" i="14"/>
  <c r="K390" i="14"/>
  <c r="K389" i="14"/>
  <c r="K387" i="14"/>
  <c r="K386" i="14"/>
  <c r="K385" i="14"/>
  <c r="K384" i="14"/>
  <c r="K383" i="14"/>
  <c r="K382" i="14"/>
  <c r="K381" i="14"/>
  <c r="K380" i="14"/>
  <c r="K379" i="14"/>
  <c r="K378" i="14"/>
  <c r="K377" i="14"/>
  <c r="K376" i="14"/>
  <c r="K375" i="14"/>
  <c r="K374" i="14"/>
  <c r="K373" i="14"/>
  <c r="K372" i="14"/>
  <c r="K371" i="14"/>
  <c r="K370" i="14"/>
  <c r="K369" i="14"/>
  <c r="K368" i="14"/>
  <c r="K367" i="14"/>
  <c r="K366" i="14"/>
  <c r="K365" i="14"/>
  <c r="K364" i="14"/>
  <c r="K363" i="14"/>
  <c r="K362" i="14"/>
  <c r="K361" i="14"/>
  <c r="K360" i="14"/>
  <c r="K359" i="14"/>
  <c r="K358" i="14"/>
  <c r="K357" i="14"/>
  <c r="K355" i="14"/>
  <c r="K354" i="14"/>
  <c r="K353" i="14"/>
  <c r="K352" i="14"/>
  <c r="K351" i="14"/>
  <c r="K350" i="14"/>
  <c r="K349" i="14"/>
  <c r="K348" i="14"/>
  <c r="K347" i="14"/>
  <c r="K346" i="14"/>
  <c r="K345" i="14"/>
  <c r="K344" i="14"/>
  <c r="K343" i="14"/>
  <c r="K342" i="14"/>
  <c r="K341" i="14"/>
  <c r="K340" i="14"/>
  <c r="K339" i="14"/>
  <c r="K338" i="14"/>
  <c r="K337" i="14"/>
  <c r="K336" i="14"/>
  <c r="K335" i="14"/>
  <c r="K334" i="14"/>
  <c r="K333" i="14"/>
  <c r="K332" i="14"/>
  <c r="K331" i="14"/>
  <c r="K330" i="14"/>
  <c r="K329" i="14"/>
  <c r="K328" i="14"/>
  <c r="K327" i="14"/>
  <c r="K326" i="14"/>
  <c r="K325" i="14"/>
  <c r="K324" i="14"/>
  <c r="K323" i="14"/>
  <c r="K322" i="14"/>
  <c r="K321" i="14"/>
  <c r="K320" i="14"/>
  <c r="K319" i="14"/>
  <c r="K318" i="14"/>
  <c r="K317" i="14"/>
  <c r="K316" i="14"/>
  <c r="K315" i="14"/>
  <c r="K314" i="14"/>
  <c r="K313" i="14"/>
  <c r="K312" i="14"/>
  <c r="K311" i="14"/>
  <c r="K310" i="14"/>
  <c r="K309" i="14"/>
  <c r="K308" i="14"/>
  <c r="K307" i="14"/>
  <c r="K305" i="14"/>
  <c r="K304" i="14"/>
  <c r="K303" i="14"/>
  <c r="K302" i="14"/>
  <c r="K301" i="14"/>
  <c r="K300" i="14"/>
  <c r="K299" i="14"/>
  <c r="K298" i="14"/>
  <c r="K297" i="14"/>
  <c r="K296" i="14"/>
  <c r="K295" i="14"/>
  <c r="K294" i="14"/>
  <c r="K293" i="14"/>
  <c r="K292" i="14"/>
  <c r="K291" i="14"/>
  <c r="K290" i="14"/>
  <c r="K289" i="14"/>
  <c r="K288" i="14"/>
  <c r="K287" i="14"/>
  <c r="K286" i="14"/>
  <c r="K285" i="14"/>
  <c r="K284" i="14"/>
  <c r="K283" i="14"/>
  <c r="K282" i="14"/>
  <c r="K281" i="14"/>
  <c r="K280" i="14"/>
  <c r="K279" i="14"/>
  <c r="K278" i="14"/>
  <c r="K277" i="14"/>
  <c r="K276" i="14"/>
  <c r="K275" i="14"/>
  <c r="K274" i="14"/>
  <c r="K273" i="14"/>
  <c r="K272" i="14"/>
  <c r="K271" i="14"/>
  <c r="K270" i="14"/>
  <c r="K269" i="14"/>
  <c r="K268" i="14"/>
  <c r="K267" i="14"/>
  <c r="K265" i="14"/>
  <c r="K264" i="14"/>
  <c r="K263" i="14"/>
  <c r="K262" i="14"/>
  <c r="K261" i="14"/>
  <c r="K260" i="14"/>
  <c r="K259" i="14"/>
  <c r="K258" i="14"/>
  <c r="K257" i="14"/>
  <c r="K256" i="14"/>
  <c r="K255" i="14"/>
  <c r="K254" i="14"/>
  <c r="K253" i="14"/>
  <c r="K252" i="14"/>
  <c r="K251" i="14"/>
  <c r="K250" i="14"/>
  <c r="K249" i="14"/>
  <c r="K248" i="14"/>
  <c r="K247" i="14"/>
  <c r="K246" i="14"/>
  <c r="K245" i="14"/>
  <c r="K244" i="14"/>
  <c r="K243" i="14"/>
  <c r="K242" i="14"/>
  <c r="K241" i="14"/>
  <c r="K240" i="14"/>
  <c r="K238" i="14"/>
  <c r="K237" i="14"/>
  <c r="K236" i="14"/>
  <c r="K235" i="14"/>
  <c r="K234" i="14"/>
  <c r="K233" i="14"/>
  <c r="K232" i="14"/>
  <c r="K231" i="14"/>
  <c r="K230" i="14"/>
  <c r="K229" i="14"/>
  <c r="K228" i="14"/>
  <c r="K227" i="14"/>
  <c r="K226" i="14"/>
  <c r="K224" i="14"/>
  <c r="K223" i="14"/>
  <c r="K222" i="14"/>
  <c r="K221" i="14"/>
  <c r="K220" i="14"/>
  <c r="K219" i="14"/>
  <c r="K218" i="14"/>
  <c r="K217" i="14"/>
  <c r="K216" i="14"/>
  <c r="K215" i="14"/>
  <c r="K214" i="14"/>
  <c r="K213" i="14"/>
  <c r="K212" i="14"/>
  <c r="K211" i="14"/>
  <c r="K210" i="14"/>
  <c r="K209" i="14"/>
  <c r="K208" i="14"/>
  <c r="K207" i="14"/>
  <c r="K206" i="14"/>
  <c r="K205" i="14"/>
  <c r="K204" i="14"/>
  <c r="K203" i="14"/>
  <c r="K202" i="14"/>
  <c r="K201" i="14"/>
  <c r="K200" i="14"/>
  <c r="K199" i="14"/>
  <c r="K198" i="14"/>
  <c r="K197" i="14"/>
  <c r="K196" i="14"/>
  <c r="K194" i="14"/>
  <c r="K193" i="14"/>
  <c r="K192" i="14"/>
  <c r="K191" i="14"/>
  <c r="K190" i="14"/>
  <c r="K189" i="14"/>
  <c r="K188" i="14"/>
  <c r="K187" i="14"/>
  <c r="K186" i="14"/>
  <c r="K185" i="14"/>
  <c r="K184" i="14"/>
  <c r="K183" i="14"/>
  <c r="K182" i="14"/>
  <c r="K181" i="14"/>
  <c r="K180" i="14"/>
  <c r="K179" i="14"/>
  <c r="K178" i="14"/>
  <c r="K176" i="14"/>
  <c r="K175" i="14"/>
  <c r="K174" i="14"/>
  <c r="K173" i="14"/>
  <c r="K172" i="14"/>
  <c r="K171" i="14"/>
  <c r="K170" i="14"/>
  <c r="K169" i="14"/>
  <c r="K168" i="14"/>
  <c r="K167" i="14"/>
  <c r="K166" i="14"/>
  <c r="K165" i="14"/>
  <c r="K164" i="14"/>
  <c r="K163" i="14"/>
  <c r="K162" i="14"/>
  <c r="K161" i="14"/>
  <c r="K160" i="14"/>
  <c r="K159" i="14"/>
  <c r="K158" i="14"/>
  <c r="K157" i="14"/>
  <c r="K156" i="14"/>
  <c r="K155" i="14"/>
  <c r="K154" i="14"/>
  <c r="K153" i="14"/>
  <c r="K152" i="14"/>
  <c r="K151" i="14"/>
  <c r="K150" i="14"/>
  <c r="K149" i="14"/>
  <c r="K148" i="14"/>
  <c r="K147" i="14"/>
  <c r="K146" i="14"/>
  <c r="K145" i="14"/>
  <c r="K144" i="14"/>
  <c r="K143" i="14"/>
  <c r="K142" i="14"/>
  <c r="K141" i="14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J2529" i="14"/>
  <c r="J2528" i="14"/>
  <c r="J2527" i="14"/>
  <c r="J2526" i="14"/>
  <c r="J2525" i="14"/>
  <c r="J2524" i="14"/>
  <c r="J2523" i="14"/>
  <c r="J2522" i="14"/>
  <c r="J2521" i="14"/>
  <c r="J2520" i="14"/>
  <c r="J2519" i="14"/>
  <c r="J2518" i="14"/>
  <c r="J2517" i="14"/>
  <c r="J2516" i="14"/>
  <c r="J2515" i="14"/>
  <c r="J2514" i="14"/>
  <c r="J2513" i="14"/>
  <c r="J2512" i="14"/>
  <c r="J2511" i="14"/>
  <c r="J2510" i="14"/>
  <c r="J2509" i="14"/>
  <c r="J2508" i="14"/>
  <c r="J2507" i="14"/>
  <c r="J2506" i="14"/>
  <c r="J2505" i="14"/>
  <c r="J2504" i="14"/>
  <c r="J2503" i="14"/>
  <c r="J2501" i="14"/>
  <c r="J2500" i="14"/>
  <c r="J2499" i="14"/>
  <c r="J2498" i="14"/>
  <c r="J2497" i="14"/>
  <c r="J2496" i="14"/>
  <c r="J2495" i="14"/>
  <c r="J2494" i="14"/>
  <c r="J2493" i="14"/>
  <c r="J2492" i="14"/>
  <c r="J2491" i="14"/>
  <c r="J2490" i="14"/>
  <c r="J2489" i="14"/>
  <c r="J2488" i="14"/>
  <c r="J2487" i="14"/>
  <c r="J2486" i="14"/>
  <c r="J2485" i="14"/>
  <c r="J2484" i="14"/>
  <c r="J2482" i="14"/>
  <c r="J2481" i="14"/>
  <c r="J2480" i="14"/>
  <c r="J2479" i="14"/>
  <c r="J2478" i="14"/>
  <c r="J2477" i="14"/>
  <c r="J2476" i="14"/>
  <c r="J2475" i="14"/>
  <c r="J2474" i="14"/>
  <c r="J2473" i="14"/>
  <c r="J2472" i="14"/>
  <c r="J2471" i="14"/>
  <c r="J2470" i="14"/>
  <c r="J2469" i="14"/>
  <c r="J2468" i="14"/>
  <c r="J2467" i="14"/>
  <c r="J2466" i="14"/>
  <c r="J2465" i="14"/>
  <c r="J2464" i="14"/>
  <c r="J2463" i="14"/>
  <c r="J2462" i="14"/>
  <c r="J2461" i="14"/>
  <c r="J2460" i="14"/>
  <c r="J2459" i="14"/>
  <c r="J2457" i="14"/>
  <c r="J2456" i="14"/>
  <c r="J2455" i="14"/>
  <c r="J2454" i="14"/>
  <c r="J2453" i="14"/>
  <c r="J2452" i="14"/>
  <c r="J2451" i="14"/>
  <c r="J2450" i="14"/>
  <c r="J2449" i="14"/>
  <c r="J2448" i="14"/>
  <c r="J2447" i="14"/>
  <c r="J2446" i="14"/>
  <c r="J2445" i="14"/>
  <c r="J2444" i="14"/>
  <c r="J2443" i="14"/>
  <c r="J2442" i="14"/>
  <c r="J2441" i="14"/>
  <c r="J2440" i="14"/>
  <c r="J2439" i="14"/>
  <c r="J2438" i="14"/>
  <c r="J2437" i="14"/>
  <c r="J2436" i="14"/>
  <c r="J2435" i="14"/>
  <c r="J2434" i="14"/>
  <c r="J2433" i="14"/>
  <c r="J2432" i="14"/>
  <c r="J2431" i="14"/>
  <c r="J2430" i="14"/>
  <c r="J2429" i="14"/>
  <c r="J2427" i="14"/>
  <c r="J2426" i="14"/>
  <c r="J2425" i="14"/>
  <c r="J2424" i="14"/>
  <c r="J2423" i="14"/>
  <c r="J2422" i="14"/>
  <c r="J2421" i="14"/>
  <c r="J2420" i="14"/>
  <c r="J2419" i="14"/>
  <c r="J2418" i="14"/>
  <c r="J2417" i="14"/>
  <c r="J2416" i="14"/>
  <c r="J2415" i="14"/>
  <c r="J2414" i="14"/>
  <c r="J2413" i="14"/>
  <c r="J2412" i="14"/>
  <c r="J2411" i="14"/>
  <c r="J2410" i="14"/>
  <c r="J2409" i="14"/>
  <c r="J2408" i="14"/>
  <c r="J2407" i="14"/>
  <c r="J2406" i="14"/>
  <c r="J2405" i="14"/>
  <c r="J2404" i="14"/>
  <c r="J2402" i="14"/>
  <c r="J2401" i="14"/>
  <c r="J2400" i="14"/>
  <c r="J2399" i="14"/>
  <c r="J2398" i="14"/>
  <c r="J2397" i="14"/>
  <c r="J2396" i="14"/>
  <c r="J2395" i="14"/>
  <c r="J2394" i="14"/>
  <c r="J2393" i="14"/>
  <c r="J2392" i="14"/>
  <c r="J2391" i="14"/>
  <c r="J2390" i="14"/>
  <c r="J2389" i="14"/>
  <c r="J2387" i="14"/>
  <c r="J2386" i="14"/>
  <c r="J2385" i="14"/>
  <c r="J2384" i="14"/>
  <c r="J2383" i="14"/>
  <c r="J2382" i="14"/>
  <c r="J2381" i="14"/>
  <c r="J2380" i="14"/>
  <c r="J2379" i="14"/>
  <c r="J2378" i="14"/>
  <c r="J2377" i="14"/>
  <c r="J2376" i="14"/>
  <c r="J2375" i="14"/>
  <c r="J2374" i="14"/>
  <c r="J2373" i="14"/>
  <c r="J2372" i="14"/>
  <c r="J2371" i="14"/>
  <c r="J2370" i="14"/>
  <c r="J2369" i="14"/>
  <c r="J2368" i="14"/>
  <c r="J2367" i="14"/>
  <c r="J2366" i="14"/>
  <c r="J2365" i="14"/>
  <c r="J2364" i="14"/>
  <c r="J2363" i="14"/>
  <c r="J2362" i="14"/>
  <c r="J2361" i="14"/>
  <c r="J2360" i="14"/>
  <c r="J2359" i="14"/>
  <c r="J2358" i="14"/>
  <c r="J2357" i="14"/>
  <c r="J2356" i="14"/>
  <c r="J2355" i="14"/>
  <c r="J2354" i="14"/>
  <c r="J2353" i="14"/>
  <c r="J2352" i="14"/>
  <c r="J2351" i="14"/>
  <c r="J2350" i="14"/>
  <c r="J2349" i="14"/>
  <c r="J2348" i="14"/>
  <c r="J2347" i="14"/>
  <c r="J2346" i="14"/>
  <c r="J2345" i="14"/>
  <c r="J2344" i="14"/>
  <c r="J2343" i="14"/>
  <c r="J2342" i="14"/>
  <c r="J2341" i="14"/>
  <c r="J2340" i="14"/>
  <c r="J2339" i="14"/>
  <c r="J2338" i="14"/>
  <c r="J2336" i="14"/>
  <c r="J2335" i="14"/>
  <c r="J2334" i="14"/>
  <c r="J2333" i="14"/>
  <c r="J2332" i="14"/>
  <c r="J2331" i="14"/>
  <c r="J2330" i="14"/>
  <c r="J2329" i="14"/>
  <c r="J2328" i="14"/>
  <c r="J2327" i="14"/>
  <c r="J2326" i="14"/>
  <c r="J2325" i="14"/>
  <c r="J2324" i="14"/>
  <c r="J2323" i="14"/>
  <c r="J2322" i="14"/>
  <c r="J2321" i="14"/>
  <c r="J2320" i="14"/>
  <c r="J2319" i="14"/>
  <c r="J2318" i="14"/>
  <c r="J2317" i="14"/>
  <c r="J2316" i="14"/>
  <c r="J2315" i="14"/>
  <c r="J2314" i="14"/>
  <c r="J2312" i="14"/>
  <c r="J2311" i="14"/>
  <c r="J2310" i="14"/>
  <c r="J2309" i="14"/>
  <c r="J2308" i="14"/>
  <c r="J2307" i="14"/>
  <c r="J2306" i="14"/>
  <c r="J2305" i="14"/>
  <c r="J2304" i="14"/>
  <c r="J2303" i="14"/>
  <c r="J2302" i="14"/>
  <c r="J2300" i="14"/>
  <c r="J2299" i="14"/>
  <c r="J2298" i="14"/>
  <c r="J2297" i="14"/>
  <c r="J2296" i="14"/>
  <c r="J2295" i="14"/>
  <c r="J2294" i="14"/>
  <c r="J2293" i="14"/>
  <c r="J2292" i="14"/>
  <c r="J2291" i="14"/>
  <c r="J2290" i="14"/>
  <c r="J2289" i="14"/>
  <c r="J2288" i="14"/>
  <c r="J2287" i="14"/>
  <c r="J2286" i="14"/>
  <c r="J2285" i="14"/>
  <c r="J2284" i="14"/>
  <c r="J2283" i="14"/>
  <c r="J2282" i="14"/>
  <c r="J2281" i="14"/>
  <c r="J2280" i="14"/>
  <c r="J2279" i="14"/>
  <c r="J2278" i="14"/>
  <c r="J2277" i="14"/>
  <c r="J2276" i="14"/>
  <c r="J2275" i="14"/>
  <c r="J2274" i="14"/>
  <c r="J2273" i="14"/>
  <c r="J2272" i="14"/>
  <c r="J2271" i="14"/>
  <c r="J2270" i="14"/>
  <c r="J2269" i="14"/>
  <c r="J2268" i="14"/>
  <c r="J2267" i="14"/>
  <c r="J2266" i="14"/>
  <c r="J2265" i="14"/>
  <c r="J2264" i="14"/>
  <c r="J2263" i="14"/>
  <c r="J2262" i="14"/>
  <c r="J2261" i="14"/>
  <c r="J2260" i="14"/>
  <c r="J2259" i="14"/>
  <c r="J2258" i="14"/>
  <c r="J2257" i="14"/>
  <c r="J2256" i="14"/>
  <c r="J2255" i="14"/>
  <c r="J2254" i="14"/>
  <c r="J2252" i="14"/>
  <c r="J2251" i="14"/>
  <c r="J2250" i="14"/>
  <c r="J2249" i="14"/>
  <c r="J2248" i="14"/>
  <c r="J2247" i="14"/>
  <c r="J2246" i="14"/>
  <c r="J2245" i="14"/>
  <c r="J2244" i="14"/>
  <c r="J2243" i="14"/>
  <c r="J2242" i="14"/>
  <c r="J2241" i="14"/>
  <c r="J2239" i="14"/>
  <c r="J2238" i="14"/>
  <c r="J2237" i="14"/>
  <c r="J2236" i="14"/>
  <c r="J2235" i="14"/>
  <c r="J2234" i="14"/>
  <c r="J2233" i="14"/>
  <c r="J2232" i="14"/>
  <c r="J2231" i="14"/>
  <c r="J2230" i="14"/>
  <c r="J2229" i="14"/>
  <c r="J2228" i="14"/>
  <c r="J2227" i="14"/>
  <c r="J2226" i="14"/>
  <c r="J2225" i="14"/>
  <c r="J2224" i="14"/>
  <c r="J2222" i="14"/>
  <c r="J2221" i="14"/>
  <c r="J2220" i="14"/>
  <c r="J2219" i="14"/>
  <c r="J2218" i="14"/>
  <c r="J2217" i="14"/>
  <c r="J2216" i="14"/>
  <c r="J2215" i="14"/>
  <c r="J2214" i="14"/>
  <c r="J2213" i="14"/>
  <c r="J2212" i="14"/>
  <c r="J2211" i="14"/>
  <c r="J2210" i="14"/>
  <c r="J2209" i="14"/>
  <c r="J2208" i="14"/>
  <c r="J2207" i="14"/>
  <c r="J2206" i="14"/>
  <c r="J2205" i="14"/>
  <c r="J2204" i="14"/>
  <c r="J2202" i="14"/>
  <c r="J2201" i="14"/>
  <c r="J2200" i="14"/>
  <c r="J2199" i="14"/>
  <c r="J2198" i="14"/>
  <c r="J2197" i="14"/>
  <c r="J2196" i="14"/>
  <c r="J2195" i="14"/>
  <c r="J2194" i="14"/>
  <c r="J2193" i="14"/>
  <c r="J2192" i="14"/>
  <c r="J2191" i="14"/>
  <c r="J2190" i="14"/>
  <c r="J2189" i="14"/>
  <c r="J2188" i="14"/>
  <c r="J2187" i="14"/>
  <c r="J2186" i="14"/>
  <c r="J2185" i="14"/>
  <c r="J2184" i="14"/>
  <c r="J2183" i="14"/>
  <c r="J2182" i="14"/>
  <c r="J2181" i="14"/>
  <c r="J2180" i="14"/>
  <c r="J2179" i="14"/>
  <c r="J2178" i="14"/>
  <c r="J2177" i="14"/>
  <c r="J2176" i="14"/>
  <c r="J2175" i="14"/>
  <c r="J2174" i="14"/>
  <c r="J2173" i="14"/>
  <c r="J2172" i="14"/>
  <c r="J2171" i="14"/>
  <c r="J2170" i="14"/>
  <c r="J2169" i="14"/>
  <c r="J2168" i="14"/>
  <c r="J2167" i="14"/>
  <c r="J2166" i="14"/>
  <c r="J2165" i="14"/>
  <c r="J2164" i="14"/>
  <c r="J2163" i="14"/>
  <c r="J2162" i="14"/>
  <c r="J2161" i="14"/>
  <c r="J2160" i="14"/>
  <c r="J2159" i="14"/>
  <c r="J2158" i="14"/>
  <c r="J2157" i="14"/>
  <c r="J2156" i="14"/>
  <c r="J2155" i="14"/>
  <c r="J2154" i="14"/>
  <c r="J2153" i="14"/>
  <c r="J2152" i="14"/>
  <c r="J2151" i="14"/>
  <c r="J2150" i="14"/>
  <c r="J2148" i="14"/>
  <c r="J2147" i="14"/>
  <c r="J2146" i="14"/>
  <c r="J2145" i="14"/>
  <c r="J2144" i="14"/>
  <c r="J2143" i="14"/>
  <c r="J2142" i="14"/>
  <c r="J2141" i="14"/>
  <c r="J2140" i="14"/>
  <c r="J2139" i="14"/>
  <c r="J2138" i="14"/>
  <c r="J2137" i="14"/>
  <c r="J2136" i="14"/>
  <c r="J2135" i="14"/>
  <c r="J2134" i="14"/>
  <c r="J2133" i="14"/>
  <c r="J2132" i="14"/>
  <c r="J2131" i="14"/>
  <c r="J2130" i="14"/>
  <c r="J2129" i="14"/>
  <c r="J2128" i="14"/>
  <c r="J2127" i="14"/>
  <c r="J2126" i="14"/>
  <c r="J2125" i="14"/>
  <c r="J2123" i="14"/>
  <c r="J2122" i="14"/>
  <c r="J2121" i="14"/>
  <c r="J2120" i="14"/>
  <c r="J2119" i="14"/>
  <c r="J2118" i="14"/>
  <c r="J2117" i="14"/>
  <c r="J2116" i="14"/>
  <c r="J2115" i="14"/>
  <c r="J2114" i="14"/>
  <c r="J2113" i="14"/>
  <c r="J2112" i="14"/>
  <c r="J2111" i="14"/>
  <c r="J2110" i="14"/>
  <c r="J2109" i="14"/>
  <c r="J2108" i="14"/>
  <c r="J2107" i="14"/>
  <c r="J2106" i="14"/>
  <c r="J2105" i="14"/>
  <c r="J2104" i="14"/>
  <c r="J2102" i="14"/>
  <c r="J2101" i="14"/>
  <c r="J2100" i="14"/>
  <c r="J2099" i="14"/>
  <c r="J2098" i="14"/>
  <c r="J2097" i="14"/>
  <c r="J2096" i="14"/>
  <c r="J2095" i="14"/>
  <c r="J2093" i="14"/>
  <c r="J2092" i="14"/>
  <c r="J2091" i="14"/>
  <c r="J2090" i="14"/>
  <c r="J2089" i="14"/>
  <c r="J2088" i="14"/>
  <c r="J2087" i="14"/>
  <c r="J2086" i="14"/>
  <c r="J2085" i="14"/>
  <c r="J2084" i="14"/>
  <c r="J2083" i="14"/>
  <c r="J2082" i="14"/>
  <c r="J2080" i="14"/>
  <c r="J2079" i="14"/>
  <c r="J2078" i="14"/>
  <c r="J2077" i="14"/>
  <c r="J2076" i="14"/>
  <c r="J2075" i="14"/>
  <c r="J2074" i="14"/>
  <c r="J2073" i="14"/>
  <c r="J2072" i="14"/>
  <c r="J2071" i="14"/>
  <c r="J2070" i="14"/>
  <c r="J2069" i="14"/>
  <c r="J2068" i="14"/>
  <c r="J2067" i="14"/>
  <c r="J2066" i="14"/>
  <c r="J2065" i="14"/>
  <c r="J2064" i="14"/>
  <c r="J2063" i="14"/>
  <c r="J2062" i="14"/>
  <c r="J2061" i="14"/>
  <c r="J2060" i="14"/>
  <c r="J2059" i="14"/>
  <c r="J2058" i="14"/>
  <c r="J2057" i="14"/>
  <c r="J2056" i="14"/>
  <c r="J2055" i="14"/>
  <c r="J2054" i="14"/>
  <c r="J2052" i="14"/>
  <c r="J2051" i="14"/>
  <c r="J2050" i="14"/>
  <c r="J2049" i="14"/>
  <c r="J2048" i="14"/>
  <c r="J2047" i="14"/>
  <c r="J2046" i="14"/>
  <c r="J2045" i="14"/>
  <c r="J2044" i="14"/>
  <c r="J2043" i="14"/>
  <c r="J2042" i="14"/>
  <c r="J2041" i="14"/>
  <c r="J2040" i="14"/>
  <c r="J2039" i="14"/>
  <c r="J2038" i="14"/>
  <c r="J2037" i="14"/>
  <c r="J2036" i="14"/>
  <c r="J2035" i="14"/>
  <c r="J2034" i="14"/>
  <c r="J2033" i="14"/>
  <c r="J2032" i="14"/>
  <c r="J2031" i="14"/>
  <c r="J2030" i="14"/>
  <c r="J2029" i="14"/>
  <c r="J2028" i="14"/>
  <c r="J2027" i="14"/>
  <c r="J2026" i="14"/>
  <c r="J2025" i="14"/>
  <c r="J2024" i="14"/>
  <c r="J2023" i="14"/>
  <c r="J2022" i="14"/>
  <c r="J2021" i="14"/>
  <c r="J2020" i="14"/>
  <c r="J2019" i="14"/>
  <c r="J2018" i="14"/>
  <c r="J2017" i="14"/>
  <c r="J2016" i="14"/>
  <c r="J2015" i="14"/>
  <c r="J2014" i="14"/>
  <c r="J2013" i="14"/>
  <c r="J2012" i="14"/>
  <c r="J2011" i="14"/>
  <c r="J2010" i="14"/>
  <c r="J2009" i="14"/>
  <c r="J2008" i="14"/>
  <c r="J2006" i="14"/>
  <c r="J2005" i="14"/>
  <c r="J2004" i="14"/>
  <c r="J2003" i="14"/>
  <c r="J2002" i="14"/>
  <c r="J2001" i="14"/>
  <c r="J2000" i="14"/>
  <c r="J1999" i="14"/>
  <c r="J1998" i="14"/>
  <c r="J1997" i="14"/>
  <c r="J1996" i="14"/>
  <c r="J1995" i="14"/>
  <c r="J1994" i="14"/>
  <c r="J1993" i="14"/>
  <c r="J1992" i="14"/>
  <c r="J1991" i="14"/>
  <c r="J1990" i="14"/>
  <c r="J1989" i="14"/>
  <c r="J1988" i="14"/>
  <c r="J1987" i="14"/>
  <c r="J1986" i="14"/>
  <c r="J1985" i="14"/>
  <c r="J1984" i="14"/>
  <c r="J1983" i="14"/>
  <c r="J1982" i="14"/>
  <c r="J1981" i="14"/>
  <c r="J1980" i="14"/>
  <c r="J1979" i="14"/>
  <c r="J1978" i="14"/>
  <c r="J1977" i="14"/>
  <c r="J1976" i="14"/>
  <c r="J1975" i="14"/>
  <c r="J1974" i="14"/>
  <c r="J1973" i="14"/>
  <c r="J1972" i="14"/>
  <c r="J1971" i="14"/>
  <c r="J1970" i="14"/>
  <c r="J1969" i="14"/>
  <c r="J1968" i="14"/>
  <c r="J1967" i="14"/>
  <c r="J1966" i="14"/>
  <c r="J1965" i="14"/>
  <c r="J1964" i="14"/>
  <c r="J1963" i="14"/>
  <c r="J1962" i="14"/>
  <c r="J1961" i="14"/>
  <c r="J1959" i="14"/>
  <c r="J1958" i="14"/>
  <c r="J1957" i="14"/>
  <c r="J1956" i="14"/>
  <c r="J1955" i="14"/>
  <c r="J1954" i="14"/>
  <c r="J1953" i="14"/>
  <c r="J1952" i="14"/>
  <c r="J1951" i="14"/>
  <c r="J1950" i="14"/>
  <c r="J1949" i="14"/>
  <c r="J1948" i="14"/>
  <c r="J1947" i="14"/>
  <c r="J1946" i="14"/>
  <c r="J1945" i="14"/>
  <c r="J1944" i="14"/>
  <c r="J1943" i="14"/>
  <c r="J1942" i="14"/>
  <c r="J1941" i="14"/>
  <c r="J1940" i="14"/>
  <c r="J1939" i="14"/>
  <c r="J1938" i="14"/>
  <c r="J1937" i="14"/>
  <c r="J1936" i="14"/>
  <c r="J1935" i="14"/>
  <c r="J1934" i="14"/>
  <c r="J1933" i="14"/>
  <c r="J1932" i="14"/>
  <c r="J1931" i="14"/>
  <c r="J1930" i="14"/>
  <c r="J1929" i="14"/>
  <c r="J1928" i="14"/>
  <c r="J1927" i="14"/>
  <c r="J1926" i="14"/>
  <c r="J1925" i="14"/>
  <c r="J1924" i="14"/>
  <c r="J1923" i="14"/>
  <c r="J1922" i="14"/>
  <c r="J1921" i="14"/>
  <c r="J1920" i="14"/>
  <c r="J1918" i="14"/>
  <c r="J1917" i="14"/>
  <c r="J1916" i="14"/>
  <c r="J1915" i="14"/>
  <c r="J1914" i="14"/>
  <c r="J1913" i="14"/>
  <c r="J1912" i="14"/>
  <c r="J1911" i="14"/>
  <c r="J1910" i="14"/>
  <c r="J1909" i="14"/>
  <c r="J1908" i="14"/>
  <c r="J1907" i="14"/>
  <c r="J1906" i="14"/>
  <c r="J1905" i="14"/>
  <c r="J1904" i="14"/>
  <c r="J1903" i="14"/>
  <c r="J1902" i="14"/>
  <c r="J1901" i="14"/>
  <c r="J1900" i="14"/>
  <c r="J1899" i="14"/>
  <c r="J1898" i="14"/>
  <c r="J1897" i="14"/>
  <c r="J1896" i="14"/>
  <c r="J1895" i="14"/>
  <c r="J1894" i="14"/>
  <c r="J1893" i="14"/>
  <c r="J1892" i="14"/>
  <c r="J1891" i="14"/>
  <c r="J1890" i="14"/>
  <c r="J1889" i="14"/>
  <c r="J1888" i="14"/>
  <c r="J1887" i="14"/>
  <c r="J1886" i="14"/>
  <c r="J1884" i="14"/>
  <c r="J1883" i="14"/>
  <c r="J1882" i="14"/>
  <c r="J1881" i="14"/>
  <c r="J1880" i="14"/>
  <c r="J1879" i="14"/>
  <c r="J1878" i="14"/>
  <c r="J1877" i="14"/>
  <c r="J1876" i="14"/>
  <c r="J1875" i="14"/>
  <c r="J1874" i="14"/>
  <c r="J1873" i="14"/>
  <c r="J1872" i="14"/>
  <c r="J1871" i="14"/>
  <c r="J1870" i="14"/>
  <c r="J1869" i="14"/>
  <c r="J1868" i="14"/>
  <c r="J1867" i="14"/>
  <c r="J1866" i="14"/>
  <c r="J1865" i="14"/>
  <c r="J1864" i="14"/>
  <c r="J1863" i="14"/>
  <c r="J1862" i="14"/>
  <c r="J1861" i="14"/>
  <c r="J1860" i="14"/>
  <c r="J1859" i="14"/>
  <c r="J1858" i="14"/>
  <c r="J1857" i="14"/>
  <c r="J1856" i="14"/>
  <c r="J1855" i="14"/>
  <c r="J1854" i="14"/>
  <c r="J1853" i="14"/>
  <c r="J1852" i="14"/>
  <c r="J1851" i="14"/>
  <c r="J1850" i="14"/>
  <c r="J1849" i="14"/>
  <c r="J1847" i="14"/>
  <c r="J1846" i="14"/>
  <c r="J1845" i="14"/>
  <c r="J1844" i="14"/>
  <c r="J1843" i="14"/>
  <c r="J1842" i="14"/>
  <c r="J1841" i="14"/>
  <c r="J1840" i="14"/>
  <c r="J1839" i="14"/>
  <c r="J1838" i="14"/>
  <c r="J1837" i="14"/>
  <c r="J1836" i="14"/>
  <c r="J1835" i="14"/>
  <c r="J1834" i="14"/>
  <c r="J1833" i="14"/>
  <c r="J1832" i="14"/>
  <c r="J1831" i="14"/>
  <c r="J1830" i="14"/>
  <c r="J1829" i="14"/>
  <c r="J1828" i="14"/>
  <c r="J1827" i="14"/>
  <c r="J1826" i="14"/>
  <c r="J1825" i="14"/>
  <c r="J1824" i="14"/>
  <c r="J1823" i="14"/>
  <c r="J1822" i="14"/>
  <c r="J1821" i="14"/>
  <c r="J1820" i="14"/>
  <c r="J1819" i="14"/>
  <c r="J1817" i="14"/>
  <c r="J1816" i="14"/>
  <c r="J1815" i="14"/>
  <c r="J1814" i="14"/>
  <c r="J1813" i="14"/>
  <c r="J1812" i="14"/>
  <c r="J1811" i="14"/>
  <c r="J1810" i="14"/>
  <c r="J1809" i="14"/>
  <c r="J1808" i="14"/>
  <c r="J1807" i="14"/>
  <c r="J1806" i="14"/>
  <c r="J1805" i="14"/>
  <c r="J1804" i="14"/>
  <c r="J1803" i="14"/>
  <c r="J1802" i="14"/>
  <c r="J1801" i="14"/>
  <c r="J1800" i="14"/>
  <c r="J1799" i="14"/>
  <c r="J1798" i="14"/>
  <c r="J1797" i="14"/>
  <c r="J1796" i="14"/>
  <c r="J1795" i="14"/>
  <c r="J1794" i="14"/>
  <c r="J1793" i="14"/>
  <c r="J1791" i="14"/>
  <c r="J1790" i="14"/>
  <c r="J1789" i="14"/>
  <c r="J1788" i="14"/>
  <c r="J1787" i="14"/>
  <c r="J1786" i="14"/>
  <c r="J1785" i="14"/>
  <c r="J1784" i="14"/>
  <c r="J1783" i="14"/>
  <c r="J1782" i="14"/>
  <c r="J1781" i="14"/>
  <c r="J1780" i="14"/>
  <c r="J1779" i="14"/>
  <c r="J1778" i="14"/>
  <c r="J1777" i="14"/>
  <c r="J1776" i="14"/>
  <c r="J1775" i="14"/>
  <c r="J1774" i="14"/>
  <c r="J1773" i="14"/>
  <c r="J1772" i="14"/>
  <c r="J1771" i="14"/>
  <c r="J1770" i="14"/>
  <c r="J1769" i="14"/>
  <c r="J1767" i="14"/>
  <c r="J1766" i="14"/>
  <c r="J1765" i="14"/>
  <c r="J1764" i="14"/>
  <c r="J1763" i="14"/>
  <c r="J1762" i="14"/>
  <c r="J1761" i="14"/>
  <c r="J1760" i="14"/>
  <c r="J1759" i="14"/>
  <c r="J1758" i="14"/>
  <c r="J1757" i="14"/>
  <c r="J1756" i="14"/>
  <c r="J1755" i="14"/>
  <c r="J1754" i="14"/>
  <c r="J1753" i="14"/>
  <c r="J1752" i="14"/>
  <c r="J1751" i="14"/>
  <c r="J1750" i="14"/>
  <c r="J1749" i="14"/>
  <c r="J1748" i="14"/>
  <c r="J1747" i="14"/>
  <c r="J1746" i="14"/>
  <c r="J1745" i="14"/>
  <c r="J1744" i="14"/>
  <c r="J1743" i="14"/>
  <c r="J1742" i="14"/>
  <c r="J1741" i="14"/>
  <c r="J1740" i="14"/>
  <c r="J1739" i="14"/>
  <c r="J1738" i="14"/>
  <c r="J1737" i="14"/>
  <c r="J1736" i="14"/>
  <c r="J1735" i="14"/>
  <c r="J1733" i="14"/>
  <c r="J1732" i="14"/>
  <c r="J1731" i="14"/>
  <c r="J1730" i="14"/>
  <c r="J1729" i="14"/>
  <c r="J1728" i="14"/>
  <c r="J1727" i="14"/>
  <c r="J1726" i="14"/>
  <c r="J1725" i="14"/>
  <c r="J1724" i="14"/>
  <c r="J1723" i="14"/>
  <c r="J1722" i="14"/>
  <c r="J1721" i="14"/>
  <c r="J1720" i="14"/>
  <c r="J1719" i="14"/>
  <c r="J1718" i="14"/>
  <c r="J1717" i="14"/>
  <c r="J1716" i="14"/>
  <c r="J1715" i="14"/>
  <c r="J1713" i="14"/>
  <c r="J1712" i="14"/>
  <c r="J1711" i="14"/>
  <c r="J1710" i="14"/>
  <c r="J1709" i="14"/>
  <c r="J1708" i="14"/>
  <c r="J1707" i="14"/>
  <c r="J1706" i="14"/>
  <c r="J1705" i="14"/>
  <c r="J1704" i="14"/>
  <c r="J1703" i="14"/>
  <c r="J1702" i="14"/>
  <c r="J1701" i="14"/>
  <c r="J1700" i="14"/>
  <c r="J1699" i="14"/>
  <c r="J1698" i="14"/>
  <c r="J1697" i="14"/>
  <c r="J1696" i="14"/>
  <c r="J1695" i="14"/>
  <c r="J1694" i="14"/>
  <c r="J1693" i="14"/>
  <c r="J1692" i="14"/>
  <c r="J1691" i="14"/>
  <c r="J1690" i="14"/>
  <c r="J1689" i="14"/>
  <c r="J1688" i="14"/>
  <c r="J1687" i="14"/>
  <c r="J1686" i="14"/>
  <c r="J1685" i="14"/>
  <c r="J1684" i="14"/>
  <c r="J1683" i="14"/>
  <c r="J1682" i="14"/>
  <c r="J1681" i="14"/>
  <c r="J1679" i="14"/>
  <c r="J1678" i="14"/>
  <c r="J1677" i="14"/>
  <c r="J1676" i="14"/>
  <c r="J1675" i="14"/>
  <c r="J1674" i="14"/>
  <c r="J1673" i="14"/>
  <c r="J1672" i="14"/>
  <c r="J1671" i="14"/>
  <c r="J1670" i="14"/>
  <c r="J1669" i="14"/>
  <c r="J1668" i="14"/>
  <c r="J1666" i="14"/>
  <c r="J1665" i="14"/>
  <c r="J1664" i="14"/>
  <c r="J1663" i="14"/>
  <c r="J1662" i="14"/>
  <c r="J1661" i="14"/>
  <c r="J1660" i="14"/>
  <c r="J1659" i="14"/>
  <c r="J1658" i="14"/>
  <c r="J1657" i="14"/>
  <c r="J1656" i="14"/>
  <c r="J1655" i="14"/>
  <c r="J1654" i="14"/>
  <c r="J1653" i="14"/>
  <c r="J1652" i="14"/>
  <c r="J1651" i="14"/>
  <c r="J1650" i="14"/>
  <c r="J1649" i="14"/>
  <c r="J1648" i="14"/>
  <c r="J1647" i="14"/>
  <c r="J1646" i="14"/>
  <c r="J1645" i="14"/>
  <c r="J1644" i="14"/>
  <c r="J1643" i="14"/>
  <c r="J1642" i="14"/>
  <c r="J1641" i="14"/>
  <c r="J1640" i="14"/>
  <c r="J1639" i="14"/>
  <c r="J1638" i="14"/>
  <c r="J1637" i="14"/>
  <c r="J1636" i="14"/>
  <c r="J1635" i="14"/>
  <c r="J1634" i="14"/>
  <c r="J1633" i="14"/>
  <c r="J1632" i="14"/>
  <c r="J1631" i="14"/>
  <c r="J1630" i="14"/>
  <c r="J1629" i="14"/>
  <c r="J1628" i="14"/>
  <c r="J1627" i="14"/>
  <c r="J1626" i="14"/>
  <c r="J1625" i="14"/>
  <c r="J1624" i="14"/>
  <c r="J1623" i="14"/>
  <c r="J1622" i="14"/>
  <c r="J1621" i="14"/>
  <c r="J1620" i="14"/>
  <c r="J1619" i="14"/>
  <c r="J1618" i="14"/>
  <c r="J1617" i="14"/>
  <c r="J1616" i="14"/>
  <c r="J1615" i="14"/>
  <c r="J1614" i="14"/>
  <c r="J1613" i="14"/>
  <c r="J1611" i="14"/>
  <c r="J1610" i="14"/>
  <c r="J1609" i="14"/>
  <c r="J1608" i="14"/>
  <c r="J1607" i="14"/>
  <c r="J1606" i="14"/>
  <c r="J1605" i="14"/>
  <c r="J1604" i="14"/>
  <c r="J1603" i="14"/>
  <c r="J1602" i="14"/>
  <c r="J1601" i="14"/>
  <c r="J1600" i="14"/>
  <c r="J1599" i="14"/>
  <c r="J1598" i="14"/>
  <c r="J1597" i="14"/>
  <c r="J1596" i="14"/>
  <c r="J1595" i="14"/>
  <c r="J1594" i="14"/>
  <c r="J1593" i="14"/>
  <c r="J1592" i="14"/>
  <c r="J1591" i="14"/>
  <c r="J1590" i="14"/>
  <c r="J1589" i="14"/>
  <c r="J1588" i="14"/>
  <c r="J1587" i="14"/>
  <c r="J1586" i="14"/>
  <c r="J1585" i="14"/>
  <c r="J1584" i="14"/>
  <c r="J1583" i="14"/>
  <c r="J1582" i="14"/>
  <c r="J1581" i="14"/>
  <c r="J1580" i="14"/>
  <c r="J1578" i="14"/>
  <c r="J1577" i="14"/>
  <c r="J1576" i="14"/>
  <c r="J1575" i="14"/>
  <c r="J1574" i="14"/>
  <c r="J1573" i="14"/>
  <c r="J1572" i="14"/>
  <c r="J1571" i="14"/>
  <c r="J1570" i="14"/>
  <c r="J1569" i="14"/>
  <c r="J1568" i="14"/>
  <c r="J1567" i="14"/>
  <c r="J1566" i="14"/>
  <c r="J1565" i="14"/>
  <c r="J1564" i="14"/>
  <c r="J1563" i="14"/>
  <c r="J1562" i="14"/>
  <c r="J1561" i="14"/>
  <c r="J1560" i="14"/>
  <c r="J1559" i="14"/>
  <c r="J1558" i="14"/>
  <c r="J1557" i="14"/>
  <c r="J1555" i="14"/>
  <c r="J1554" i="14"/>
  <c r="J1553" i="14"/>
  <c r="J1552" i="14"/>
  <c r="J1551" i="14"/>
  <c r="J1550" i="14"/>
  <c r="J1549" i="14"/>
  <c r="J1548" i="14"/>
  <c r="J1547" i="14"/>
  <c r="J1546" i="14"/>
  <c r="J1545" i="14"/>
  <c r="J1544" i="14"/>
  <c r="J1543" i="14"/>
  <c r="J1542" i="14"/>
  <c r="J1541" i="14"/>
  <c r="J1540" i="14"/>
  <c r="J1539" i="14"/>
  <c r="J1538" i="14"/>
  <c r="J1537" i="14"/>
  <c r="J1536" i="14"/>
  <c r="J1535" i="14"/>
  <c r="J1534" i="14"/>
  <c r="J1533" i="14"/>
  <c r="J1532" i="14"/>
  <c r="J1531" i="14"/>
  <c r="J1530" i="14"/>
  <c r="J1528" i="14"/>
  <c r="J1527" i="14"/>
  <c r="J1526" i="14"/>
  <c r="J1525" i="14"/>
  <c r="J1524" i="14"/>
  <c r="J1523" i="14"/>
  <c r="J1522" i="14"/>
  <c r="J1521" i="14"/>
  <c r="J1520" i="14"/>
  <c r="J1519" i="14"/>
  <c r="J1518" i="14"/>
  <c r="J1517" i="14"/>
  <c r="J1516" i="14"/>
  <c r="J1515" i="14"/>
  <c r="J1514" i="14"/>
  <c r="J1513" i="14"/>
  <c r="J1512" i="14"/>
  <c r="J1511" i="14"/>
  <c r="J1510" i="14"/>
  <c r="J1509" i="14"/>
  <c r="J1508" i="14"/>
  <c r="J1507" i="14"/>
  <c r="J1506" i="14"/>
  <c r="J1505" i="14"/>
  <c r="J1504" i="14"/>
  <c r="J1503" i="14"/>
  <c r="J1502" i="14"/>
  <c r="J1501" i="14"/>
  <c r="J1500" i="14"/>
  <c r="J1499" i="14"/>
  <c r="J1498" i="14"/>
  <c r="J1497" i="14"/>
  <c r="J1495" i="14"/>
  <c r="J1494" i="14"/>
  <c r="J1493" i="14"/>
  <c r="J1492" i="14"/>
  <c r="J1491" i="14"/>
  <c r="J1490" i="14"/>
  <c r="J1489" i="14"/>
  <c r="J1488" i="14"/>
  <c r="J1487" i="14"/>
  <c r="J1486" i="14"/>
  <c r="J1485" i="14"/>
  <c r="J1484" i="14"/>
  <c r="J1483" i="14"/>
  <c r="J1482" i="14"/>
  <c r="J1481" i="14"/>
  <c r="J1480" i="14"/>
  <c r="J1479" i="14"/>
  <c r="J1478" i="14"/>
  <c r="J1477" i="14"/>
  <c r="J1476" i="14"/>
  <c r="J1475" i="14"/>
  <c r="J1474" i="14"/>
  <c r="J1473" i="14"/>
  <c r="J1472" i="14"/>
  <c r="J1471" i="14"/>
  <c r="J1470" i="14"/>
  <c r="J1469" i="14"/>
  <c r="J1468" i="14"/>
  <c r="J1467" i="14"/>
  <c r="J1466" i="14"/>
  <c r="J1465" i="14"/>
  <c r="J1464" i="14"/>
  <c r="J1463" i="14"/>
  <c r="J1462" i="14"/>
  <c r="J1461" i="14"/>
  <c r="J1460" i="14"/>
  <c r="J1458" i="14"/>
  <c r="J1457" i="14"/>
  <c r="J1456" i="14"/>
  <c r="J1455" i="14"/>
  <c r="J1454" i="14"/>
  <c r="J1453" i="14"/>
  <c r="J1452" i="14"/>
  <c r="J1451" i="14"/>
  <c r="J1450" i="14"/>
  <c r="J1449" i="14"/>
  <c r="J1448" i="14"/>
  <c r="J1447" i="14"/>
  <c r="J1446" i="14"/>
  <c r="J1445" i="14"/>
  <c r="J1444" i="14"/>
  <c r="J1443" i="14"/>
  <c r="J1442" i="14"/>
  <c r="J1441" i="14"/>
  <c r="J1440" i="14"/>
  <c r="J1439" i="14"/>
  <c r="J1438" i="14"/>
  <c r="J1437" i="14"/>
  <c r="J1436" i="14"/>
  <c r="J1435" i="14"/>
  <c r="J1434" i="14"/>
  <c r="J1433" i="14"/>
  <c r="J1432" i="14"/>
  <c r="J1431" i="14"/>
  <c r="J1430" i="14"/>
  <c r="J1429" i="14"/>
  <c r="J1428" i="14"/>
  <c r="J1426" i="14"/>
  <c r="J1425" i="14"/>
  <c r="J1424" i="14"/>
  <c r="J1423" i="14"/>
  <c r="J1422" i="14"/>
  <c r="J1421" i="14"/>
  <c r="J1420" i="14"/>
  <c r="J1419" i="14"/>
  <c r="J1418" i="14"/>
  <c r="J1417" i="14"/>
  <c r="J1416" i="14"/>
  <c r="J1415" i="14"/>
  <c r="J1414" i="14"/>
  <c r="J1413" i="14"/>
  <c r="J1412" i="14"/>
  <c r="J1411" i="14"/>
  <c r="J1410" i="14"/>
  <c r="J1409" i="14"/>
  <c r="J1408" i="14"/>
  <c r="J1407" i="14"/>
  <c r="J1406" i="14"/>
  <c r="J1405" i="14"/>
  <c r="J1404" i="14"/>
  <c r="J1403" i="14"/>
  <c r="J1402" i="14"/>
  <c r="J1401" i="14"/>
  <c r="J1400" i="14"/>
  <c r="J1399" i="14"/>
  <c r="J1398" i="14"/>
  <c r="J1397" i="14"/>
  <c r="J1396" i="14"/>
  <c r="J1395" i="14"/>
  <c r="J1394" i="14"/>
  <c r="J1393" i="14"/>
  <c r="J1392" i="14"/>
  <c r="J1391" i="14"/>
  <c r="J1390" i="14"/>
  <c r="J1389" i="14"/>
  <c r="J1388" i="14"/>
  <c r="J1387" i="14"/>
  <c r="J1386" i="14"/>
  <c r="J1385" i="14"/>
  <c r="J1384" i="14"/>
  <c r="J1383" i="14"/>
  <c r="J1382" i="14"/>
  <c r="J1381" i="14"/>
  <c r="J1380" i="14"/>
  <c r="J1379" i="14"/>
  <c r="J1378" i="14"/>
  <c r="J1377" i="14"/>
  <c r="J1376" i="14"/>
  <c r="J1375" i="14"/>
  <c r="J1374" i="14"/>
  <c r="J1373" i="14"/>
  <c r="J1372" i="14"/>
  <c r="J1371" i="14"/>
  <c r="J1370" i="14"/>
  <c r="J1369" i="14"/>
  <c r="J1368" i="14"/>
  <c r="J1367" i="14"/>
  <c r="J1366" i="14"/>
  <c r="J1365" i="14"/>
  <c r="J1364" i="14"/>
  <c r="J1363" i="14"/>
  <c r="J1362" i="14"/>
  <c r="J1361" i="14"/>
  <c r="J1360" i="14"/>
  <c r="J1359" i="14"/>
  <c r="J1358" i="14"/>
  <c r="J1357" i="14"/>
  <c r="J1356" i="14"/>
  <c r="J1355" i="14"/>
  <c r="J1354" i="14"/>
  <c r="J1353" i="14"/>
  <c r="J1352" i="14"/>
  <c r="J1351" i="14"/>
  <c r="J1350" i="14"/>
  <c r="J1349" i="14"/>
  <c r="J1348" i="14"/>
  <c r="J1346" i="14"/>
  <c r="J1345" i="14"/>
  <c r="J1344" i="14"/>
  <c r="J1343" i="14"/>
  <c r="J1342" i="14"/>
  <c r="J1341" i="14"/>
  <c r="J1340" i="14"/>
  <c r="J1339" i="14"/>
  <c r="J1338" i="14"/>
  <c r="J1337" i="14"/>
  <c r="J1336" i="14"/>
  <c r="J1335" i="14"/>
  <c r="J1334" i="14"/>
  <c r="J1333" i="14"/>
  <c r="J1332" i="14"/>
  <c r="J1330" i="14"/>
  <c r="J1329" i="14"/>
  <c r="J1328" i="14"/>
  <c r="J1327" i="14"/>
  <c r="J1326" i="14"/>
  <c r="J1325" i="14"/>
  <c r="J1324" i="14"/>
  <c r="J1323" i="14"/>
  <c r="J1322" i="14"/>
  <c r="J1321" i="14"/>
  <c r="J1320" i="14"/>
  <c r="J1319" i="14"/>
  <c r="J1318" i="14"/>
  <c r="J1317" i="14"/>
  <c r="J1316" i="14"/>
  <c r="J1315" i="14"/>
  <c r="J1314" i="14"/>
  <c r="J1313" i="14"/>
  <c r="J1312" i="14"/>
  <c r="J1311" i="14"/>
  <c r="J1310" i="14"/>
  <c r="J1309" i="14"/>
  <c r="J1307" i="14"/>
  <c r="J1306" i="14"/>
  <c r="J1305" i="14"/>
  <c r="J1304" i="14"/>
  <c r="J1303" i="14"/>
  <c r="J1302" i="14"/>
  <c r="J1301" i="14"/>
  <c r="J1300" i="14"/>
  <c r="J1299" i="14"/>
  <c r="J1298" i="14"/>
  <c r="J1297" i="14"/>
  <c r="J1296" i="14"/>
  <c r="J1295" i="14"/>
  <c r="J1294" i="14"/>
  <c r="J1293" i="14"/>
  <c r="J1292" i="14"/>
  <c r="J1291" i="14"/>
  <c r="J1290" i="14"/>
  <c r="J1289" i="14"/>
  <c r="J1288" i="14"/>
  <c r="J1287" i="14"/>
  <c r="J1286" i="14"/>
  <c r="J1285" i="14"/>
  <c r="J1284" i="14"/>
  <c r="J1283" i="14"/>
  <c r="J1282" i="14"/>
  <c r="J1281" i="14"/>
  <c r="J1280" i="14"/>
  <c r="J1279" i="14"/>
  <c r="J1278" i="14"/>
  <c r="J1277" i="14"/>
  <c r="J1276" i="14"/>
  <c r="J1275" i="14"/>
  <c r="J1274" i="14"/>
  <c r="J1273" i="14"/>
  <c r="J1272" i="14"/>
  <c r="J1271" i="14"/>
  <c r="J1270" i="14"/>
  <c r="J1269" i="14"/>
  <c r="J1267" i="14"/>
  <c r="J1266" i="14"/>
  <c r="J1265" i="14"/>
  <c r="J1264" i="14"/>
  <c r="J1263" i="14"/>
  <c r="J1262" i="14"/>
  <c r="J1261" i="14"/>
  <c r="J1260" i="14"/>
  <c r="J1259" i="14"/>
  <c r="J1258" i="14"/>
  <c r="J1257" i="14"/>
  <c r="J1256" i="14"/>
  <c r="J1255" i="14"/>
  <c r="J1254" i="14"/>
  <c r="J1253" i="14"/>
  <c r="J1252" i="14"/>
  <c r="J1251" i="14"/>
  <c r="J1250" i="14"/>
  <c r="J1249" i="14"/>
  <c r="J1248" i="14"/>
  <c r="J1247" i="14"/>
  <c r="J1246" i="14"/>
  <c r="J1245" i="14"/>
  <c r="J1244" i="14"/>
  <c r="J1243" i="14"/>
  <c r="J1242" i="14"/>
  <c r="J1241" i="14"/>
  <c r="J1240" i="14"/>
  <c r="J1239" i="14"/>
  <c r="J1238" i="14"/>
  <c r="J1237" i="14"/>
  <c r="J1236" i="14"/>
  <c r="J1235" i="14"/>
  <c r="J1234" i="14"/>
  <c r="J1233" i="14"/>
  <c r="J1232" i="14"/>
  <c r="J1231" i="14"/>
  <c r="J1230" i="14"/>
  <c r="J1229" i="14"/>
  <c r="J1228" i="14"/>
  <c r="J1227" i="14"/>
  <c r="J1226" i="14"/>
  <c r="J1225" i="14"/>
  <c r="J1224" i="14"/>
  <c r="J1223" i="14"/>
  <c r="J1222" i="14"/>
  <c r="J1221" i="14"/>
  <c r="J1220" i="14"/>
  <c r="J1219" i="14"/>
  <c r="J1218" i="14"/>
  <c r="J1217" i="14"/>
  <c r="J1216" i="14"/>
  <c r="J1214" i="14"/>
  <c r="J1213" i="14"/>
  <c r="J1212" i="14"/>
  <c r="J1211" i="14"/>
  <c r="J1210" i="14"/>
  <c r="J1209" i="14"/>
  <c r="J1208" i="14"/>
  <c r="J1207" i="14"/>
  <c r="J1206" i="14"/>
  <c r="J1205" i="14"/>
  <c r="J1204" i="14"/>
  <c r="J1203" i="14"/>
  <c r="J1202" i="14"/>
  <c r="J1201" i="14"/>
  <c r="J1200" i="14"/>
  <c r="J1199" i="14"/>
  <c r="J1198" i="14"/>
  <c r="J1197" i="14"/>
  <c r="J1196" i="14"/>
  <c r="J1195" i="14"/>
  <c r="J1194" i="14"/>
  <c r="J1193" i="14"/>
  <c r="J1192" i="14"/>
  <c r="J1191" i="14"/>
  <c r="J1190" i="14"/>
  <c r="J1189" i="14"/>
  <c r="J1188" i="14"/>
  <c r="J1187" i="14"/>
  <c r="J1186" i="14"/>
  <c r="J1185" i="14"/>
  <c r="J1184" i="14"/>
  <c r="J1183" i="14"/>
  <c r="J1182" i="14"/>
  <c r="J1181" i="14"/>
  <c r="J1180" i="14"/>
  <c r="J1179" i="14"/>
  <c r="J1178" i="14"/>
  <c r="J1177" i="14"/>
  <c r="J1176" i="14"/>
  <c r="J1175" i="14"/>
  <c r="J1174" i="14"/>
  <c r="J1173" i="14"/>
  <c r="J1172" i="14"/>
  <c r="J1171" i="14"/>
  <c r="J1170" i="14"/>
  <c r="J1169" i="14"/>
  <c r="J1168" i="14"/>
  <c r="J1167" i="14"/>
  <c r="J1166" i="14"/>
  <c r="J1165" i="14"/>
  <c r="J1164" i="14"/>
  <c r="J1163" i="14"/>
  <c r="J1161" i="14"/>
  <c r="J1160" i="14"/>
  <c r="J1159" i="14"/>
  <c r="J1158" i="14"/>
  <c r="J1157" i="14"/>
  <c r="J1156" i="14"/>
  <c r="J1155" i="14"/>
  <c r="J1154" i="14"/>
  <c r="J1153" i="14"/>
  <c r="J1152" i="14"/>
  <c r="J1151" i="14"/>
  <c r="J1150" i="14"/>
  <c r="J1149" i="14"/>
  <c r="J1148" i="14"/>
  <c r="J1147" i="14"/>
  <c r="J1146" i="14"/>
  <c r="J1145" i="14"/>
  <c r="J1144" i="14"/>
  <c r="J1143" i="14"/>
  <c r="J1142" i="14"/>
  <c r="J1141" i="14"/>
  <c r="J1140" i="14"/>
  <c r="J1139" i="14"/>
  <c r="J1138" i="14"/>
  <c r="J1137" i="14"/>
  <c r="J1136" i="14"/>
  <c r="J1134" i="14"/>
  <c r="J1133" i="14"/>
  <c r="J1132" i="14"/>
  <c r="J1131" i="14"/>
  <c r="J1130" i="14"/>
  <c r="J1129" i="14"/>
  <c r="J1128" i="14"/>
  <c r="J1127" i="14"/>
  <c r="J1126" i="14"/>
  <c r="J1125" i="14"/>
  <c r="J1124" i="14"/>
  <c r="J1123" i="14"/>
  <c r="J1122" i="14"/>
  <c r="J1121" i="14"/>
  <c r="J1120" i="14"/>
  <c r="J1119" i="14"/>
  <c r="J1118" i="14"/>
  <c r="J1117" i="14"/>
  <c r="J1116" i="14"/>
  <c r="J1115" i="14"/>
  <c r="J1113" i="14"/>
  <c r="J1112" i="14"/>
  <c r="J1111" i="14"/>
  <c r="J1110" i="14"/>
  <c r="J1109" i="14"/>
  <c r="J1108" i="14"/>
  <c r="J1107" i="14"/>
  <c r="J1106" i="14"/>
  <c r="J1105" i="14"/>
  <c r="J1104" i="14"/>
  <c r="J1103" i="14"/>
  <c r="J1102" i="14"/>
  <c r="J1101" i="14"/>
  <c r="J1100" i="14"/>
  <c r="J1099" i="14"/>
  <c r="J1098" i="14"/>
  <c r="J1097" i="14"/>
  <c r="J1096" i="14"/>
  <c r="J1095" i="14"/>
  <c r="J1094" i="14"/>
  <c r="J1093" i="14"/>
  <c r="J1092" i="14"/>
  <c r="J1091" i="14"/>
  <c r="J1090" i="14"/>
  <c r="J1089" i="14"/>
  <c r="J1088" i="14"/>
  <c r="J1087" i="14"/>
  <c r="J1086" i="14"/>
  <c r="J1085" i="14"/>
  <c r="J1084" i="14"/>
  <c r="J1083" i="14"/>
  <c r="J1082" i="14"/>
  <c r="J1081" i="14"/>
  <c r="J1080" i="14"/>
  <c r="J1079" i="14"/>
  <c r="J1077" i="14"/>
  <c r="J1076" i="14"/>
  <c r="J1075" i="14"/>
  <c r="J1074" i="14"/>
  <c r="J1073" i="14"/>
  <c r="J1072" i="14"/>
  <c r="J1071" i="14"/>
  <c r="J1070" i="14"/>
  <c r="J1069" i="14"/>
  <c r="J1068" i="14"/>
  <c r="J1067" i="14"/>
  <c r="J1066" i="14"/>
  <c r="J1065" i="14"/>
  <c r="J1064" i="14"/>
  <c r="J1063" i="14"/>
  <c r="J1062" i="14"/>
  <c r="J1061" i="14"/>
  <c r="J1060" i="14"/>
  <c r="J1059" i="14"/>
  <c r="J1058" i="14"/>
  <c r="J1057" i="14"/>
  <c r="J1056" i="14"/>
  <c r="J1055" i="14"/>
  <c r="J1054" i="14"/>
  <c r="J1053" i="14"/>
  <c r="J1052" i="14"/>
  <c r="J1051" i="14"/>
  <c r="J1050" i="14"/>
  <c r="J1049" i="14"/>
  <c r="J1048" i="14"/>
  <c r="J1047" i="14"/>
  <c r="J1046" i="14"/>
  <c r="J1045" i="14"/>
  <c r="J1044" i="14"/>
  <c r="J1043" i="14"/>
  <c r="J1042" i="14"/>
  <c r="J1041" i="14"/>
  <c r="J1040" i="14"/>
  <c r="J1039" i="14"/>
  <c r="J1038" i="14"/>
  <c r="J1037" i="14"/>
  <c r="J1036" i="14"/>
  <c r="J1035" i="14"/>
  <c r="J1034" i="14"/>
  <c r="J1033" i="14"/>
  <c r="J1032" i="14"/>
  <c r="J1031" i="14"/>
  <c r="J1030" i="14"/>
  <c r="J1029" i="14"/>
  <c r="J1028" i="14"/>
  <c r="J1027" i="14"/>
  <c r="J1026" i="14"/>
  <c r="J1025" i="14"/>
  <c r="J1024" i="14"/>
  <c r="J1023" i="14"/>
  <c r="J1022" i="14"/>
  <c r="J1021" i="14"/>
  <c r="J1020" i="14"/>
  <c r="J1019" i="14"/>
  <c r="J1018" i="14"/>
  <c r="J1017" i="14"/>
  <c r="J1016" i="14"/>
  <c r="J1014" i="14"/>
  <c r="J1013" i="14"/>
  <c r="J1012" i="14"/>
  <c r="J1011" i="14"/>
  <c r="J1010" i="14"/>
  <c r="J1009" i="14"/>
  <c r="J1008" i="14"/>
  <c r="J1007" i="14"/>
  <c r="J1006" i="14"/>
  <c r="J1005" i="14"/>
  <c r="J1004" i="14"/>
  <c r="J1003" i="14"/>
  <c r="J1002" i="14"/>
  <c r="J1001" i="14"/>
  <c r="J1000" i="14"/>
  <c r="J999" i="14"/>
  <c r="J998" i="14"/>
  <c r="J997" i="14"/>
  <c r="J996" i="14"/>
  <c r="J995" i="14"/>
  <c r="J994" i="14"/>
  <c r="J993" i="14"/>
  <c r="J992" i="14"/>
  <c r="J991" i="14"/>
  <c r="J990" i="14"/>
  <c r="J989" i="14"/>
  <c r="J988" i="14"/>
  <c r="J987" i="14"/>
  <c r="J986" i="14"/>
  <c r="J985" i="14"/>
  <c r="J984" i="14"/>
  <c r="J983" i="14"/>
  <c r="J982" i="14"/>
  <c r="J981" i="14"/>
  <c r="J980" i="14"/>
  <c r="J979" i="14"/>
  <c r="J978" i="14"/>
  <c r="J977" i="14"/>
  <c r="J976" i="14"/>
  <c r="J975" i="14"/>
  <c r="J974" i="14"/>
  <c r="J973" i="14"/>
  <c r="J972" i="14"/>
  <c r="J971" i="14"/>
  <c r="J970" i="14"/>
  <c r="J969" i="14"/>
  <c r="J968" i="14"/>
  <c r="J967" i="14"/>
  <c r="J966" i="14"/>
  <c r="J965" i="14"/>
  <c r="J964" i="14"/>
  <c r="J963" i="14"/>
  <c r="J962" i="14"/>
  <c r="J961" i="14"/>
  <c r="J960" i="14"/>
  <c r="J959" i="14"/>
  <c r="J958" i="14"/>
  <c r="J957" i="14"/>
  <c r="J956" i="14"/>
  <c r="J955" i="14"/>
  <c r="J954" i="14"/>
  <c r="J953" i="14"/>
  <c r="J952" i="14"/>
  <c r="J951" i="14"/>
  <c r="J950" i="14"/>
  <c r="J949" i="14"/>
  <c r="J948" i="14"/>
  <c r="J947" i="14"/>
  <c r="J946" i="14"/>
  <c r="J945" i="14"/>
  <c r="J943" i="14"/>
  <c r="J942" i="14"/>
  <c r="J941" i="14"/>
  <c r="J940" i="14"/>
  <c r="J939" i="14"/>
  <c r="J938" i="14"/>
  <c r="J937" i="14"/>
  <c r="J936" i="14"/>
  <c r="J935" i="14"/>
  <c r="J934" i="14"/>
  <c r="J933" i="14"/>
  <c r="J932" i="14"/>
  <c r="J931" i="14"/>
  <c r="J930" i="14"/>
  <c r="J929" i="14"/>
  <c r="J928" i="14"/>
  <c r="J927" i="14"/>
  <c r="J926" i="14"/>
  <c r="J925" i="14"/>
  <c r="J924" i="14"/>
  <c r="J922" i="14"/>
  <c r="J921" i="14"/>
  <c r="J920" i="14"/>
  <c r="J919" i="14"/>
  <c r="J918" i="14"/>
  <c r="J917" i="14"/>
  <c r="J916" i="14"/>
  <c r="J915" i="14"/>
  <c r="J914" i="14"/>
  <c r="J913" i="14"/>
  <c r="J912" i="14"/>
  <c r="J911" i="14"/>
  <c r="J910" i="14"/>
  <c r="J909" i="14"/>
  <c r="J908" i="14"/>
  <c r="J907" i="14"/>
  <c r="J906" i="14"/>
  <c r="J905" i="14"/>
  <c r="J904" i="14"/>
  <c r="J902" i="14"/>
  <c r="J901" i="14"/>
  <c r="J900" i="14"/>
  <c r="J899" i="14"/>
  <c r="J898" i="14"/>
  <c r="J897" i="14"/>
  <c r="J896" i="14"/>
  <c r="J895" i="14"/>
  <c r="J894" i="14"/>
  <c r="J893" i="14"/>
  <c r="J892" i="14"/>
  <c r="J891" i="14"/>
  <c r="J890" i="14"/>
  <c r="J889" i="14"/>
  <c r="J888" i="14"/>
  <c r="J887" i="14"/>
  <c r="J886" i="14"/>
  <c r="J884" i="14"/>
  <c r="J883" i="14"/>
  <c r="J882" i="14"/>
  <c r="J881" i="14"/>
  <c r="J880" i="14"/>
  <c r="J879" i="14"/>
  <c r="J878" i="14"/>
  <c r="J877" i="14"/>
  <c r="J876" i="14"/>
  <c r="J875" i="14"/>
  <c r="J874" i="14"/>
  <c r="J873" i="14"/>
  <c r="J872" i="14"/>
  <c r="J871" i="14"/>
  <c r="J870" i="14"/>
  <c r="J869" i="14"/>
  <c r="J868" i="14"/>
  <c r="J867" i="14"/>
  <c r="J866" i="14"/>
  <c r="J865" i="14"/>
  <c r="J864" i="14"/>
  <c r="J863" i="14"/>
  <c r="J862" i="14"/>
  <c r="J861" i="14"/>
  <c r="J860" i="14"/>
  <c r="J859" i="14"/>
  <c r="J858" i="14"/>
  <c r="J857" i="14"/>
  <c r="J856" i="14"/>
  <c r="J855" i="14"/>
  <c r="J854" i="14"/>
  <c r="J853" i="14"/>
  <c r="J852" i="14"/>
  <c r="J851" i="14"/>
  <c r="J850" i="14"/>
  <c r="J849" i="14"/>
  <c r="J848" i="14"/>
  <c r="J847" i="14"/>
  <c r="J845" i="14"/>
  <c r="J844" i="14"/>
  <c r="J843" i="14"/>
  <c r="J842" i="14"/>
  <c r="J841" i="14"/>
  <c r="J840" i="14"/>
  <c r="J839" i="14"/>
  <c r="J838" i="14"/>
  <c r="J837" i="14"/>
  <c r="J836" i="14"/>
  <c r="J835" i="14"/>
  <c r="J834" i="14"/>
  <c r="J833" i="14"/>
  <c r="J832" i="14"/>
  <c r="J831" i="14"/>
  <c r="J830" i="14"/>
  <c r="J829" i="14"/>
  <c r="J828" i="14"/>
  <c r="J826" i="14"/>
  <c r="J825" i="14"/>
  <c r="J824" i="14"/>
  <c r="J823" i="14"/>
  <c r="J822" i="14"/>
  <c r="J821" i="14"/>
  <c r="J820" i="14"/>
  <c r="J819" i="14"/>
  <c r="J818" i="14"/>
  <c r="J817" i="14"/>
  <c r="J816" i="14"/>
  <c r="J815" i="14"/>
  <c r="J814" i="14"/>
  <c r="J813" i="14"/>
  <c r="J812" i="14"/>
  <c r="J811" i="14"/>
  <c r="J810" i="14"/>
  <c r="J809" i="14"/>
  <c r="J808" i="14"/>
  <c r="J807" i="14"/>
  <c r="J806" i="14"/>
  <c r="J805" i="14"/>
  <c r="J804" i="14"/>
  <c r="J803" i="14"/>
  <c r="J802" i="14"/>
  <c r="J801" i="14"/>
  <c r="J800" i="14"/>
  <c r="J799" i="14"/>
  <c r="J798" i="14"/>
  <c r="J797" i="14"/>
  <c r="J796" i="14"/>
  <c r="J795" i="14"/>
  <c r="J794" i="14"/>
  <c r="J793" i="14"/>
  <c r="J792" i="14"/>
  <c r="J791" i="14"/>
  <c r="J790" i="14"/>
  <c r="J789" i="14"/>
  <c r="J788" i="14"/>
  <c r="J787" i="14"/>
  <c r="J786" i="14"/>
  <c r="J785" i="14"/>
  <c r="J784" i="14"/>
  <c r="J783" i="14"/>
  <c r="J782" i="14"/>
  <c r="J781" i="14"/>
  <c r="J780" i="14"/>
  <c r="J779" i="14"/>
  <c r="J778" i="14"/>
  <c r="J777" i="14"/>
  <c r="J776" i="14"/>
  <c r="J775" i="14"/>
  <c r="J774" i="14"/>
  <c r="J773" i="14"/>
  <c r="J772" i="14"/>
  <c r="J771" i="14"/>
  <c r="J770" i="14"/>
  <c r="J769" i="14"/>
  <c r="J768" i="14"/>
  <c r="J767" i="14"/>
  <c r="J766" i="14"/>
  <c r="J765" i="14"/>
  <c r="J763" i="14"/>
  <c r="J762" i="14"/>
  <c r="J761" i="14"/>
  <c r="J760" i="14"/>
  <c r="J759" i="14"/>
  <c r="J758" i="14"/>
  <c r="J757" i="14"/>
  <c r="J756" i="14"/>
  <c r="J755" i="14"/>
  <c r="J754" i="14"/>
  <c r="J753" i="14"/>
  <c r="J752" i="14"/>
  <c r="J751" i="14"/>
  <c r="J750" i="14"/>
  <c r="J749" i="14"/>
  <c r="J748" i="14"/>
  <c r="J747" i="14"/>
  <c r="J746" i="14"/>
  <c r="J745" i="14"/>
  <c r="J744" i="14"/>
  <c r="J743" i="14"/>
  <c r="J742" i="14"/>
  <c r="J741" i="14"/>
  <c r="J740" i="14"/>
  <c r="J739" i="14"/>
  <c r="J738" i="14"/>
  <c r="J737" i="14"/>
  <c r="J736" i="14"/>
  <c r="J735" i="14"/>
  <c r="J734" i="14"/>
  <c r="J733" i="14"/>
  <c r="J732" i="14"/>
  <c r="J731" i="14"/>
  <c r="J730" i="14"/>
  <c r="J729" i="14"/>
  <c r="J728" i="14"/>
  <c r="J727" i="14"/>
  <c r="J726" i="14"/>
  <c r="J725" i="14"/>
  <c r="J724" i="14"/>
  <c r="J723" i="14"/>
  <c r="J721" i="14"/>
  <c r="J720" i="14"/>
  <c r="J719" i="14"/>
  <c r="J718" i="14"/>
  <c r="J717" i="14"/>
  <c r="J716" i="14"/>
  <c r="J715" i="14"/>
  <c r="J714" i="14"/>
  <c r="J713" i="14"/>
  <c r="J712" i="14"/>
  <c r="J711" i="14"/>
  <c r="J710" i="14"/>
  <c r="J709" i="14"/>
  <c r="J708" i="14"/>
  <c r="J707" i="14"/>
  <c r="J706" i="14"/>
  <c r="J705" i="14"/>
  <c r="J704" i="14"/>
  <c r="J703" i="14"/>
  <c r="J702" i="14"/>
  <c r="J701" i="14"/>
  <c r="J700" i="14"/>
  <c r="J699" i="14"/>
  <c r="J698" i="14"/>
  <c r="J697" i="14"/>
  <c r="J696" i="14"/>
  <c r="J695" i="14"/>
  <c r="J694" i="14"/>
  <c r="J693" i="14"/>
  <c r="J692" i="14"/>
  <c r="J691" i="14"/>
  <c r="J689" i="14"/>
  <c r="J688" i="14"/>
  <c r="J687" i="14"/>
  <c r="J686" i="14"/>
  <c r="J685" i="14"/>
  <c r="J684" i="14"/>
  <c r="J683" i="14"/>
  <c r="J682" i="14"/>
  <c r="J681" i="14"/>
  <c r="J680" i="14"/>
  <c r="J679" i="14"/>
  <c r="J678" i="14"/>
  <c r="J677" i="14"/>
  <c r="J676" i="14"/>
  <c r="J675" i="14"/>
  <c r="J674" i="14"/>
  <c r="J673" i="14"/>
  <c r="J672" i="14"/>
  <c r="J671" i="14"/>
  <c r="J670" i="14"/>
  <c r="J669" i="14"/>
  <c r="J668" i="14"/>
  <c r="J667" i="14"/>
  <c r="J666" i="14"/>
  <c r="J665" i="14"/>
  <c r="J664" i="14"/>
  <c r="J663" i="14"/>
  <c r="J662" i="14"/>
  <c r="J661" i="14"/>
  <c r="J660" i="14"/>
  <c r="J659" i="14"/>
  <c r="J658" i="14"/>
  <c r="J657" i="14"/>
  <c r="J656" i="14"/>
  <c r="J655" i="14"/>
  <c r="J654" i="14"/>
  <c r="J653" i="14"/>
  <c r="J652" i="14"/>
  <c r="J651" i="14"/>
  <c r="J650" i="14"/>
  <c r="J649" i="14"/>
  <c r="J648" i="14"/>
  <c r="J647" i="14"/>
  <c r="J646" i="14"/>
  <c r="J645" i="14"/>
  <c r="J644" i="14"/>
  <c r="J643" i="14"/>
  <c r="J642" i="14"/>
  <c r="J641" i="14"/>
  <c r="J640" i="14"/>
  <c r="J639" i="14"/>
  <c r="J638" i="14"/>
  <c r="J637" i="14"/>
  <c r="J636" i="14"/>
  <c r="J635" i="14"/>
  <c r="J634" i="14"/>
  <c r="J633" i="14"/>
  <c r="J632" i="14"/>
  <c r="J631" i="14"/>
  <c r="J629" i="14"/>
  <c r="J628" i="14"/>
  <c r="J627" i="14"/>
  <c r="J626" i="14"/>
  <c r="J625" i="14"/>
  <c r="J624" i="14"/>
  <c r="J623" i="14"/>
  <c r="J622" i="14"/>
  <c r="J621" i="14"/>
  <c r="J620" i="14"/>
  <c r="J619" i="14"/>
  <c r="J618" i="14"/>
  <c r="J617" i="14"/>
  <c r="J616" i="14"/>
  <c r="J615" i="14"/>
  <c r="J614" i="14"/>
  <c r="J613" i="14"/>
  <c r="J612" i="14"/>
  <c r="J611" i="14"/>
  <c r="J610" i="14"/>
  <c r="J609" i="14"/>
  <c r="J608" i="14"/>
  <c r="J607" i="14"/>
  <c r="J606" i="14"/>
  <c r="J605" i="14"/>
  <c r="J604" i="14"/>
  <c r="J603" i="14"/>
  <c r="J602" i="14"/>
  <c r="J601" i="14"/>
  <c r="J600" i="14"/>
  <c r="J599" i="14"/>
  <c r="J598" i="14"/>
  <c r="J597" i="14"/>
  <c r="J596" i="14"/>
  <c r="J595" i="14"/>
  <c r="J594" i="14"/>
  <c r="J593" i="14"/>
  <c r="J592" i="14"/>
  <c r="J591" i="14"/>
  <c r="J590" i="14"/>
  <c r="J589" i="14"/>
  <c r="J588" i="14"/>
  <c r="J587" i="14"/>
  <c r="J586" i="14"/>
  <c r="J585" i="14"/>
  <c r="J584" i="14"/>
  <c r="J583" i="14"/>
  <c r="J582" i="14"/>
  <c r="J581" i="14"/>
  <c r="J580" i="14"/>
  <c r="J579" i="14"/>
  <c r="J578" i="14"/>
  <c r="J577" i="14"/>
  <c r="J576" i="14"/>
  <c r="J575" i="14"/>
  <c r="J574" i="14"/>
  <c r="J573" i="14"/>
  <c r="J572" i="14"/>
  <c r="J571" i="14"/>
  <c r="J570" i="14"/>
  <c r="J569" i="14"/>
  <c r="J568" i="14"/>
  <c r="J567" i="14"/>
  <c r="J566" i="14"/>
  <c r="J565" i="14"/>
  <c r="J564" i="14"/>
  <c r="J563" i="14"/>
  <c r="J562" i="14"/>
  <c r="J561" i="14"/>
  <c r="J560" i="14"/>
  <c r="J559" i="14"/>
  <c r="J558" i="14"/>
  <c r="J557" i="14"/>
  <c r="J556" i="14"/>
  <c r="J555" i="14"/>
  <c r="J554" i="14"/>
  <c r="J553" i="14"/>
  <c r="J552" i="14"/>
  <c r="J551" i="14"/>
  <c r="J550" i="14"/>
  <c r="J549" i="14"/>
  <c r="J548" i="14"/>
  <c r="J547" i="14"/>
  <c r="J546" i="14"/>
  <c r="J545" i="14"/>
  <c r="J544" i="14"/>
  <c r="J543" i="14"/>
  <c r="J542" i="14"/>
  <c r="J541" i="14"/>
  <c r="J540" i="14"/>
  <c r="J539" i="14"/>
  <c r="J538" i="14"/>
  <c r="J537" i="14"/>
  <c r="J536" i="14"/>
  <c r="J535" i="14"/>
  <c r="J534" i="14"/>
  <c r="J532" i="14"/>
  <c r="J531" i="14"/>
  <c r="J530" i="14"/>
  <c r="J529" i="14"/>
  <c r="J528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3" i="14"/>
  <c r="J512" i="14"/>
  <c r="J511" i="14"/>
  <c r="J510" i="14"/>
  <c r="J509" i="14"/>
  <c r="J508" i="14"/>
  <c r="J507" i="14"/>
  <c r="J506" i="14"/>
  <c r="J505" i="14"/>
  <c r="J503" i="14"/>
  <c r="J502" i="14"/>
  <c r="J501" i="14"/>
  <c r="J500" i="14"/>
  <c r="J499" i="14"/>
  <c r="J498" i="14"/>
  <c r="J497" i="14"/>
  <c r="J496" i="14"/>
  <c r="J495" i="14"/>
  <c r="J494" i="14"/>
  <c r="J493" i="14"/>
  <c r="J492" i="14"/>
  <c r="J491" i="14"/>
  <c r="J490" i="14"/>
  <c r="J489" i="14"/>
  <c r="J488" i="14"/>
  <c r="J487" i="14"/>
  <c r="J486" i="14"/>
  <c r="J485" i="14"/>
  <c r="J483" i="14"/>
  <c r="J482" i="14"/>
  <c r="J481" i="14"/>
  <c r="J480" i="14"/>
  <c r="J479" i="14"/>
  <c r="J478" i="14"/>
  <c r="J477" i="14"/>
  <c r="J476" i="14"/>
  <c r="J475" i="14"/>
  <c r="J474" i="14"/>
  <c r="J473" i="14"/>
  <c r="J472" i="14"/>
  <c r="J471" i="14"/>
  <c r="J470" i="14"/>
  <c r="J469" i="14"/>
  <c r="J468" i="14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K2" i="14"/>
  <c r="J2" i="14"/>
  <c r="C3" i="14" a="1"/>
  <c r="C3" i="14" s="1"/>
  <c r="C4" i="14" a="1"/>
  <c r="C4" i="14" s="1"/>
  <c r="C5" i="14" a="1"/>
  <c r="C5" i="14" s="1"/>
  <c r="C6" i="14" a="1"/>
  <c r="C6" i="14" s="1"/>
  <c r="C7" i="14" a="1"/>
  <c r="C7" i="14" s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139" i="14" a="1"/>
  <c r="C139" i="14" s="1"/>
  <c r="C140" i="14" a="1"/>
  <c r="C140" i="14" s="1"/>
  <c r="C141" i="14" a="1"/>
  <c r="C141" i="14" s="1"/>
  <c r="C142" i="14" a="1"/>
  <c r="C142" i="14" s="1"/>
  <c r="C143" i="14" a="1"/>
  <c r="C143" i="14" s="1"/>
  <c r="C144" i="14" a="1"/>
  <c r="C144" i="14" s="1"/>
  <c r="C145" i="14" a="1"/>
  <c r="C145" i="14" s="1"/>
  <c r="C146" i="14" a="1"/>
  <c r="C146" i="14" s="1"/>
  <c r="C147" i="14" a="1"/>
  <c r="C147" i="14" s="1"/>
  <c r="C148" i="14" a="1"/>
  <c r="C148" i="14" s="1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54" i="14" a="1"/>
  <c r="C154" i="14" s="1"/>
  <c r="C155" i="14" a="1"/>
  <c r="C155" i="14" s="1"/>
  <c r="C156" i="14" a="1"/>
  <c r="C156" i="14" s="1"/>
  <c r="C157" i="14" a="1"/>
  <c r="C157" i="14" s="1"/>
  <c r="C158" i="14" a="1"/>
  <c r="C158" i="14" s="1"/>
  <c r="C159" i="14" a="1"/>
  <c r="C159" i="14" s="1"/>
  <c r="C160" i="14" a="1"/>
  <c r="C160" i="14" s="1"/>
  <c r="C161" i="14" a="1"/>
  <c r="C161" i="14" s="1"/>
  <c r="C162" i="14" a="1"/>
  <c r="C162" i="14" s="1"/>
  <c r="C163" i="14" a="1"/>
  <c r="C163" i="14" s="1"/>
  <c r="C164" i="14" a="1"/>
  <c r="C164" i="14" s="1"/>
  <c r="C165" i="14" a="1"/>
  <c r="C165" i="14" s="1"/>
  <c r="C166" i="14" a="1"/>
  <c r="C166" i="14" s="1"/>
  <c r="C167" i="14" a="1"/>
  <c r="C167" i="14" s="1"/>
  <c r="C168" i="14" a="1"/>
  <c r="C168" i="14" s="1"/>
  <c r="C169" i="14" a="1"/>
  <c r="C169" i="14" s="1"/>
  <c r="C170" i="14" a="1"/>
  <c r="C170" i="14" s="1"/>
  <c r="C171" i="14" a="1"/>
  <c r="C171" i="14" s="1"/>
  <c r="C172" i="14" a="1"/>
  <c r="C172" i="14" s="1"/>
  <c r="C173" i="14" a="1"/>
  <c r="C173" i="14" s="1"/>
  <c r="C174" i="14" a="1"/>
  <c r="C174" i="14" s="1"/>
  <c r="C175" i="14" a="1"/>
  <c r="C175" i="14" s="1"/>
  <c r="C176" i="14" a="1"/>
  <c r="C176" i="14" s="1"/>
  <c r="C177" i="14" a="1"/>
  <c r="C177" i="14" s="1"/>
  <c r="C178" i="14" a="1"/>
  <c r="C178" i="14" s="1"/>
  <c r="C179" i="14" a="1"/>
  <c r="C179" i="14" s="1"/>
  <c r="C180" i="14" a="1"/>
  <c r="C180" i="14" s="1"/>
  <c r="C181" i="14" a="1"/>
  <c r="C181" i="14" s="1"/>
  <c r="C182" i="14" a="1"/>
  <c r="C182" i="14" s="1"/>
  <c r="C183" i="14" a="1"/>
  <c r="C183" i="14" s="1"/>
  <c r="C184" i="14" a="1"/>
  <c r="C184" i="14" s="1"/>
  <c r="C185" i="14" a="1"/>
  <c r="C185" i="14" s="1"/>
  <c r="C186" i="14" a="1"/>
  <c r="C186" i="14" s="1"/>
  <c r="C187" i="14" a="1"/>
  <c r="C187" i="14" s="1"/>
  <c r="C188" i="14" a="1"/>
  <c r="C188" i="14" s="1"/>
  <c r="C189" i="14" a="1"/>
  <c r="C189" i="14" s="1"/>
  <c r="C190" i="14" a="1"/>
  <c r="C190" i="14" s="1"/>
  <c r="C191" i="14" a="1"/>
  <c r="C191" i="14" s="1"/>
  <c r="C192" i="14" a="1"/>
  <c r="C192" i="14" s="1"/>
  <c r="C193" i="14" a="1"/>
  <c r="C193" i="14" s="1"/>
  <c r="C194" i="14" a="1"/>
  <c r="C194" i="14" s="1"/>
  <c r="C195" i="14" a="1"/>
  <c r="C195" i="14" s="1"/>
  <c r="C196" i="14" a="1"/>
  <c r="C196" i="14" s="1"/>
  <c r="C197" i="14" a="1"/>
  <c r="C197" i="14" s="1"/>
  <c r="C198" i="14" a="1"/>
  <c r="C198" i="14" s="1"/>
  <c r="C199" i="14" a="1"/>
  <c r="C199" i="14" s="1"/>
  <c r="C200" i="14" a="1"/>
  <c r="C200" i="14" s="1"/>
  <c r="C201" i="14" a="1"/>
  <c r="C201" i="14" s="1"/>
  <c r="C202" i="14" a="1"/>
  <c r="C202" i="14" s="1"/>
  <c r="C203" i="14" a="1"/>
  <c r="C203" i="14" s="1"/>
  <c r="C204" i="14" a="1"/>
  <c r="C204" i="14" s="1"/>
  <c r="C205" i="14" a="1"/>
  <c r="C205" i="14" s="1"/>
  <c r="C206" i="14" a="1"/>
  <c r="C206" i="14" s="1"/>
  <c r="C207" i="14" a="1"/>
  <c r="C207" i="14" s="1"/>
  <c r="C208" i="14" a="1"/>
  <c r="C208" i="14" s="1"/>
  <c r="C209" i="14" a="1"/>
  <c r="C209" i="14" s="1"/>
  <c r="C210" i="14" a="1"/>
  <c r="C210" i="14" s="1"/>
  <c r="C211" i="14" a="1"/>
  <c r="C211" i="14" s="1"/>
  <c r="C212" i="14" a="1"/>
  <c r="C212" i="14" s="1"/>
  <c r="C213" i="14" a="1"/>
  <c r="C213" i="14" s="1"/>
  <c r="C214" i="14" a="1"/>
  <c r="C214" i="14" s="1"/>
  <c r="C215" i="14" a="1"/>
  <c r="C215" i="14" s="1"/>
  <c r="C216" i="14" a="1"/>
  <c r="C216" i="14" s="1"/>
  <c r="C217" i="14" a="1"/>
  <c r="C217" i="14" s="1"/>
  <c r="C218" i="14" a="1"/>
  <c r="C218" i="14" s="1"/>
  <c r="C219" i="14" a="1"/>
  <c r="C219" i="14" s="1"/>
  <c r="C220" i="14" a="1"/>
  <c r="C220" i="14" s="1"/>
  <c r="C221" i="14" a="1"/>
  <c r="C221" i="14" s="1"/>
  <c r="C222" i="14" a="1"/>
  <c r="C222" i="14" s="1"/>
  <c r="C223" i="14" a="1"/>
  <c r="C223" i="14" s="1"/>
  <c r="C224" i="14" a="1"/>
  <c r="C224" i="14" s="1"/>
  <c r="C225" i="14" a="1"/>
  <c r="C225" i="14" s="1"/>
  <c r="C226" i="14" a="1"/>
  <c r="C226" i="14" s="1"/>
  <c r="C227" i="14" a="1"/>
  <c r="C227" i="14" s="1"/>
  <c r="C228" i="14" a="1"/>
  <c r="C228" i="14" s="1"/>
  <c r="C229" i="14" a="1"/>
  <c r="C229" i="14" s="1"/>
  <c r="C230" i="14" a="1"/>
  <c r="C230" i="14" s="1"/>
  <c r="C231" i="14" a="1"/>
  <c r="C231" i="14" s="1"/>
  <c r="C232" i="14" a="1"/>
  <c r="C232" i="14" s="1"/>
  <c r="C233" i="14" a="1"/>
  <c r="C233" i="14" s="1"/>
  <c r="C234" i="14" a="1"/>
  <c r="C234" i="14" s="1"/>
  <c r="C235" i="14" a="1"/>
  <c r="C235" i="14" s="1"/>
  <c r="C236" i="14" a="1"/>
  <c r="C236" i="14" s="1"/>
  <c r="C237" i="14" a="1"/>
  <c r="C237" i="14" s="1"/>
  <c r="C238" i="14" a="1"/>
  <c r="C238" i="14" s="1"/>
  <c r="C239" i="14" a="1"/>
  <c r="C239" i="14" s="1"/>
  <c r="C240" i="14" a="1"/>
  <c r="C240" i="14" s="1"/>
  <c r="C241" i="14" a="1"/>
  <c r="C241" i="14" s="1"/>
  <c r="C242" i="14" a="1"/>
  <c r="C242" i="14" s="1"/>
  <c r="C243" i="14" a="1"/>
  <c r="C243" i="14" s="1"/>
  <c r="C244" i="14" a="1"/>
  <c r="C244" i="14" s="1"/>
  <c r="C245" i="14" a="1"/>
  <c r="C245" i="14" s="1"/>
  <c r="C246" i="14" a="1"/>
  <c r="C246" i="14" s="1"/>
  <c r="C247" i="14" a="1"/>
  <c r="C247" i="14" s="1"/>
  <c r="C248" i="14" a="1"/>
  <c r="C248" i="14" s="1"/>
  <c r="C249" i="14" a="1"/>
  <c r="C249" i="14" s="1"/>
  <c r="C250" i="14" a="1"/>
  <c r="C250" i="14" s="1"/>
  <c r="C251" i="14" a="1"/>
  <c r="C251" i="14" s="1"/>
  <c r="C252" i="14" a="1"/>
  <c r="C252" i="14" s="1"/>
  <c r="C253" i="14" a="1"/>
  <c r="C253" i="14" s="1"/>
  <c r="C254" i="14" a="1"/>
  <c r="C254" i="14" s="1"/>
  <c r="C255" i="14" a="1"/>
  <c r="C255" i="14" s="1"/>
  <c r="C256" i="14" a="1"/>
  <c r="C256" i="14" s="1"/>
  <c r="C257" i="14" a="1"/>
  <c r="C257" i="14" s="1"/>
  <c r="C258" i="14" a="1"/>
  <c r="C258" i="14" s="1"/>
  <c r="C259" i="14" a="1"/>
  <c r="C259" i="14" s="1"/>
  <c r="C260" i="14" a="1"/>
  <c r="C260" i="14" s="1"/>
  <c r="C261" i="14" a="1"/>
  <c r="C261" i="14" s="1"/>
  <c r="C262" i="14" a="1"/>
  <c r="C262" i="14" s="1"/>
  <c r="C263" i="14" a="1"/>
  <c r="C263" i="14" s="1"/>
  <c r="C264" i="14" a="1"/>
  <c r="C264" i="14" s="1"/>
  <c r="C265" i="14" a="1"/>
  <c r="C265" i="14" s="1"/>
  <c r="C266" i="14" a="1"/>
  <c r="C266" i="14" s="1"/>
  <c r="C267" i="14" a="1"/>
  <c r="C267" i="14" s="1"/>
  <c r="C268" i="14" a="1"/>
  <c r="C268" i="14" s="1"/>
  <c r="C269" i="14" a="1"/>
  <c r="C269" i="14" s="1"/>
  <c r="C270" i="14" a="1"/>
  <c r="C270" i="14" s="1"/>
  <c r="C271" i="14" a="1"/>
  <c r="C271" i="14" s="1"/>
  <c r="C272" i="14" a="1"/>
  <c r="C272" i="14" s="1"/>
  <c r="C273" i="14" a="1"/>
  <c r="C273" i="14" s="1"/>
  <c r="C274" i="14" a="1"/>
  <c r="C274" i="14" s="1"/>
  <c r="C275" i="14" a="1"/>
  <c r="C275" i="14" s="1"/>
  <c r="C276" i="14" a="1"/>
  <c r="C276" i="14" s="1"/>
  <c r="C277" i="14" a="1"/>
  <c r="C277" i="14" s="1"/>
  <c r="C278" i="14" a="1"/>
  <c r="C278" i="14" s="1"/>
  <c r="C279" i="14" a="1"/>
  <c r="C279" i="14" s="1"/>
  <c r="C280" i="14" a="1"/>
  <c r="C280" i="14" s="1"/>
  <c r="C281" i="14" a="1"/>
  <c r="C281" i="14" s="1"/>
  <c r="C282" i="14" a="1"/>
  <c r="C282" i="14" s="1"/>
  <c r="C283" i="14" a="1"/>
  <c r="C283" i="14" s="1"/>
  <c r="C284" i="14" a="1"/>
  <c r="C284" i="14" s="1"/>
  <c r="C285" i="14" a="1"/>
  <c r="C285" i="14" s="1"/>
  <c r="C286" i="14" a="1"/>
  <c r="C286" i="14" s="1"/>
  <c r="C287" i="14" a="1"/>
  <c r="C287" i="14" s="1"/>
  <c r="C288" i="14" a="1"/>
  <c r="C288" i="14" s="1"/>
  <c r="C289" i="14" a="1"/>
  <c r="C289" i="14" s="1"/>
  <c r="C290" i="14" a="1"/>
  <c r="C290" i="14" s="1"/>
  <c r="C291" i="14" a="1"/>
  <c r="C291" i="14" s="1"/>
  <c r="C292" i="14" a="1"/>
  <c r="C292" i="14" s="1"/>
  <c r="C293" i="14" a="1"/>
  <c r="C293" i="14" s="1"/>
  <c r="C294" i="14" a="1"/>
  <c r="C294" i="14" s="1"/>
  <c r="C295" i="14" a="1"/>
  <c r="C295" i="14" s="1"/>
  <c r="C296" i="14" a="1"/>
  <c r="C296" i="14" s="1"/>
  <c r="C297" i="14" a="1"/>
  <c r="C297" i="14" s="1"/>
  <c r="C298" i="14" a="1"/>
  <c r="C298" i="14" s="1"/>
  <c r="C299" i="14" a="1"/>
  <c r="C299" i="14" s="1"/>
  <c r="C300" i="14" a="1"/>
  <c r="C300" i="14" s="1"/>
  <c r="C301" i="14" a="1"/>
  <c r="C301" i="14" s="1"/>
  <c r="C302" i="14" a="1"/>
  <c r="C302" i="14" s="1"/>
  <c r="C303" i="14" a="1"/>
  <c r="C303" i="14" s="1"/>
  <c r="C304" i="14" a="1"/>
  <c r="C304" i="14" s="1"/>
  <c r="C305" i="14" a="1"/>
  <c r="C305" i="14" s="1"/>
  <c r="C306" i="14" a="1"/>
  <c r="C306" i="14" s="1"/>
  <c r="C307" i="14" a="1"/>
  <c r="C307" i="14" s="1"/>
  <c r="C308" i="14" a="1"/>
  <c r="C308" i="14" s="1"/>
  <c r="C309" i="14" a="1"/>
  <c r="C309" i="14" s="1"/>
  <c r="C310" i="14" a="1"/>
  <c r="C310" i="14" s="1"/>
  <c r="C311" i="14" a="1"/>
  <c r="C311" i="14" s="1"/>
  <c r="C312" i="14" a="1"/>
  <c r="C312" i="14" s="1"/>
  <c r="C313" i="14" a="1"/>
  <c r="C313" i="14" s="1"/>
  <c r="C314" i="14" a="1"/>
  <c r="C314" i="14" s="1"/>
  <c r="C315" i="14" a="1"/>
  <c r="C315" i="14" s="1"/>
  <c r="C316" i="14" a="1"/>
  <c r="C316" i="14" s="1"/>
  <c r="C317" i="14" a="1"/>
  <c r="C317" i="14" s="1"/>
  <c r="C318" i="14" a="1"/>
  <c r="C318" i="14" s="1"/>
  <c r="C319" i="14" a="1"/>
  <c r="C319" i="14" s="1"/>
  <c r="C320" i="14" a="1"/>
  <c r="C320" i="14" s="1"/>
  <c r="C321" i="14" a="1"/>
  <c r="C321" i="14" s="1"/>
  <c r="C322" i="14" a="1"/>
  <c r="C322" i="14" s="1"/>
  <c r="C323" i="14" a="1"/>
  <c r="C323" i="14" s="1"/>
  <c r="C324" i="14" a="1"/>
  <c r="C324" i="14" s="1"/>
  <c r="C325" i="14" a="1"/>
  <c r="C325" i="14" s="1"/>
  <c r="C326" i="14" a="1"/>
  <c r="C326" i="14" s="1"/>
  <c r="C327" i="14" a="1"/>
  <c r="C327" i="14" s="1"/>
  <c r="C328" i="14" a="1"/>
  <c r="C328" i="14" s="1"/>
  <c r="C329" i="14" a="1"/>
  <c r="C329" i="14" s="1"/>
  <c r="C330" i="14" a="1"/>
  <c r="C330" i="14" s="1"/>
  <c r="C331" i="14" a="1"/>
  <c r="C331" i="14" s="1"/>
  <c r="C332" i="14" a="1"/>
  <c r="C332" i="14" s="1"/>
  <c r="C333" i="14" a="1"/>
  <c r="C333" i="14" s="1"/>
  <c r="C334" i="14" a="1"/>
  <c r="C334" i="14" s="1"/>
  <c r="C335" i="14" a="1"/>
  <c r="C335" i="14" s="1"/>
  <c r="C336" i="14" a="1"/>
  <c r="C336" i="14" s="1"/>
  <c r="C337" i="14" a="1"/>
  <c r="C337" i="14" s="1"/>
  <c r="C338" i="14" a="1"/>
  <c r="C338" i="14" s="1"/>
  <c r="C339" i="14" a="1"/>
  <c r="C339" i="14" s="1"/>
  <c r="C340" i="14" a="1"/>
  <c r="C340" i="14" s="1"/>
  <c r="C341" i="14" a="1"/>
  <c r="C341" i="14" s="1"/>
  <c r="C342" i="14" a="1"/>
  <c r="C342" i="14" s="1"/>
  <c r="C343" i="14" a="1"/>
  <c r="C343" i="14" s="1"/>
  <c r="C344" i="14" a="1"/>
  <c r="C344" i="14" s="1"/>
  <c r="C345" i="14" a="1"/>
  <c r="C345" i="14" s="1"/>
  <c r="C346" i="14" a="1"/>
  <c r="C346" i="14" s="1"/>
  <c r="C347" i="14" a="1"/>
  <c r="C347" i="14" s="1"/>
  <c r="C348" i="14" a="1"/>
  <c r="C348" i="14" s="1"/>
  <c r="C349" i="14" a="1"/>
  <c r="C349" i="14" s="1"/>
  <c r="C350" i="14" a="1"/>
  <c r="C350" i="14" s="1"/>
  <c r="C351" i="14" a="1"/>
  <c r="C351" i="14" s="1"/>
  <c r="C352" i="14" a="1"/>
  <c r="C352" i="14" s="1"/>
  <c r="C353" i="14" a="1"/>
  <c r="C353" i="14" s="1"/>
  <c r="C354" i="14" a="1"/>
  <c r="C354" i="14" s="1"/>
  <c r="C355" i="14" a="1"/>
  <c r="C355" i="14" s="1"/>
  <c r="C356" i="14" a="1"/>
  <c r="C356" i="14" s="1"/>
  <c r="C357" i="14" a="1"/>
  <c r="C357" i="14" s="1"/>
  <c r="C358" i="14" a="1"/>
  <c r="C358" i="14" s="1"/>
  <c r="C359" i="14" a="1"/>
  <c r="C359" i="14" s="1"/>
  <c r="C360" i="14" a="1"/>
  <c r="C360" i="14" s="1"/>
  <c r="C361" i="14" a="1"/>
  <c r="C361" i="14" s="1"/>
  <c r="C362" i="14" a="1"/>
  <c r="C362" i="14" s="1"/>
  <c r="C363" i="14" a="1"/>
  <c r="C363" i="14" s="1"/>
  <c r="C364" i="14" a="1"/>
  <c r="C364" i="14" s="1"/>
  <c r="C365" i="14" a="1"/>
  <c r="C365" i="14" s="1"/>
  <c r="C366" i="14" a="1"/>
  <c r="C366" i="14" s="1"/>
  <c r="C367" i="14" a="1"/>
  <c r="C367" i="14" s="1"/>
  <c r="C368" i="14" a="1"/>
  <c r="C368" i="14" s="1"/>
  <c r="C369" i="14" a="1"/>
  <c r="C369" i="14" s="1"/>
  <c r="C370" i="14" a="1"/>
  <c r="C370" i="14" s="1"/>
  <c r="C371" i="14" a="1"/>
  <c r="C371" i="14" s="1"/>
  <c r="C372" i="14" a="1"/>
  <c r="C372" i="14" s="1"/>
  <c r="C373" i="14" a="1"/>
  <c r="C373" i="14" s="1"/>
  <c r="C374" i="14" a="1"/>
  <c r="C374" i="14" s="1"/>
  <c r="C375" i="14" a="1"/>
  <c r="C375" i="14" s="1"/>
  <c r="C376" i="14" a="1"/>
  <c r="C376" i="14" s="1"/>
  <c r="C377" i="14" a="1"/>
  <c r="C377" i="14" s="1"/>
  <c r="C378" i="14" a="1"/>
  <c r="C378" i="14" s="1"/>
  <c r="C379" i="14" a="1"/>
  <c r="C379" i="14" s="1"/>
  <c r="C380" i="14" a="1"/>
  <c r="C380" i="14" s="1"/>
  <c r="C381" i="14" a="1"/>
  <c r="C381" i="14" s="1"/>
  <c r="C382" i="14" a="1"/>
  <c r="C382" i="14" s="1"/>
  <c r="C383" i="14" a="1"/>
  <c r="C383" i="14" s="1"/>
  <c r="C384" i="14" a="1"/>
  <c r="C384" i="14" s="1"/>
  <c r="C385" i="14" a="1"/>
  <c r="C385" i="14" s="1"/>
  <c r="C386" i="14" a="1"/>
  <c r="C386" i="14" s="1"/>
  <c r="C387" i="14" a="1"/>
  <c r="C387" i="14" s="1"/>
  <c r="C388" i="14" a="1"/>
  <c r="C388" i="14" s="1"/>
  <c r="C389" i="14" a="1"/>
  <c r="C389" i="14" s="1"/>
  <c r="C390" i="14" a="1"/>
  <c r="C390" i="14" s="1"/>
  <c r="C391" i="14" a="1"/>
  <c r="C391" i="14" s="1"/>
  <c r="C392" i="14" a="1"/>
  <c r="C392" i="14" s="1"/>
  <c r="C393" i="14" a="1"/>
  <c r="C393" i="14" s="1"/>
  <c r="C394" i="14" a="1"/>
  <c r="C394" i="14" s="1"/>
  <c r="C395" i="14" a="1"/>
  <c r="C395" i="14" s="1"/>
  <c r="C396" i="14" a="1"/>
  <c r="C396" i="14" s="1"/>
  <c r="C397" i="14" a="1"/>
  <c r="C397" i="14" s="1"/>
  <c r="C398" i="14" a="1"/>
  <c r="C398" i="14" s="1"/>
  <c r="C399" i="14" a="1"/>
  <c r="C399" i="14" s="1"/>
  <c r="C400" i="14" a="1"/>
  <c r="C400" i="14" s="1"/>
  <c r="C401" i="14" a="1"/>
  <c r="C401" i="14" s="1"/>
  <c r="C402" i="14" a="1"/>
  <c r="C402" i="14" s="1"/>
  <c r="C403" i="14" a="1"/>
  <c r="C403" i="14" s="1"/>
  <c r="C404" i="14" a="1"/>
  <c r="C404" i="14" s="1"/>
  <c r="C405" i="14" a="1"/>
  <c r="C405" i="14" s="1"/>
  <c r="C406" i="14" a="1"/>
  <c r="C406" i="14" s="1"/>
  <c r="C407" i="14" a="1"/>
  <c r="C407" i="14" s="1"/>
  <c r="C408" i="14" a="1"/>
  <c r="C408" i="14" s="1"/>
  <c r="C409" i="14" a="1"/>
  <c r="C409" i="14" s="1"/>
  <c r="C410" i="14" a="1"/>
  <c r="C410" i="14" s="1"/>
  <c r="C411" i="14" a="1"/>
  <c r="C411" i="14" s="1"/>
  <c r="C412" i="14" a="1"/>
  <c r="C412" i="14" s="1"/>
  <c r="C413" i="14" a="1"/>
  <c r="C413" i="14" s="1"/>
  <c r="C414" i="14" a="1"/>
  <c r="C414" i="14" s="1"/>
  <c r="C415" i="14" a="1"/>
  <c r="C415" i="14" s="1"/>
  <c r="C416" i="14" a="1"/>
  <c r="C416" i="14" s="1"/>
  <c r="C417" i="14" a="1"/>
  <c r="C417" i="14" s="1"/>
  <c r="C418" i="14" a="1"/>
  <c r="C418" i="14" s="1"/>
  <c r="C419" i="14" a="1"/>
  <c r="C419" i="14" s="1"/>
  <c r="C420" i="14" a="1"/>
  <c r="C420" i="14" s="1"/>
  <c r="C421" i="14" a="1"/>
  <c r="C421" i="14" s="1"/>
  <c r="C422" i="14" a="1"/>
  <c r="C422" i="14" s="1"/>
  <c r="C423" i="14" a="1"/>
  <c r="C423" i="14" s="1"/>
  <c r="C424" i="14" a="1"/>
  <c r="C424" i="14" s="1"/>
  <c r="C425" i="14" a="1"/>
  <c r="C425" i="14" s="1"/>
  <c r="C426" i="14" a="1"/>
  <c r="C426" i="14" s="1"/>
  <c r="C427" i="14" a="1"/>
  <c r="C427" i="14" s="1"/>
  <c r="C428" i="14" a="1"/>
  <c r="C428" i="14" s="1"/>
  <c r="C429" i="14" a="1"/>
  <c r="C429" i="14" s="1"/>
  <c r="C430" i="14" a="1"/>
  <c r="C430" i="14" s="1"/>
  <c r="C431" i="14" a="1"/>
  <c r="C431" i="14" s="1"/>
  <c r="C432" i="14" a="1"/>
  <c r="C432" i="14" s="1"/>
  <c r="C433" i="14" a="1"/>
  <c r="C433" i="14" s="1"/>
  <c r="C434" i="14" a="1"/>
  <c r="C434" i="14" s="1"/>
  <c r="C435" i="14" a="1"/>
  <c r="C435" i="14" s="1"/>
  <c r="C436" i="14" a="1"/>
  <c r="C436" i="14" s="1"/>
  <c r="C437" i="14" a="1"/>
  <c r="C437" i="14" s="1"/>
  <c r="C438" i="14" a="1"/>
  <c r="C438" i="14" s="1"/>
  <c r="C439" i="14" a="1"/>
  <c r="C439" i="14" s="1"/>
  <c r="C440" i="14" a="1"/>
  <c r="C440" i="14" s="1"/>
  <c r="C441" i="14" a="1"/>
  <c r="C441" i="14" s="1"/>
  <c r="C442" i="14" a="1"/>
  <c r="C442" i="14" s="1"/>
  <c r="C443" i="14" a="1"/>
  <c r="C443" i="14" s="1"/>
  <c r="C444" i="14" a="1"/>
  <c r="C444" i="14" s="1"/>
  <c r="C445" i="14" a="1"/>
  <c r="C445" i="14" s="1"/>
  <c r="C446" i="14" a="1"/>
  <c r="C446" i="14" s="1"/>
  <c r="C447" i="14" a="1"/>
  <c r="C447" i="14" s="1"/>
  <c r="C448" i="14" a="1"/>
  <c r="C448" i="14" s="1"/>
  <c r="C449" i="14" a="1"/>
  <c r="C449" i="14" s="1"/>
  <c r="C450" i="14" a="1"/>
  <c r="C450" i="14" s="1"/>
  <c r="C451" i="14" a="1"/>
  <c r="C451" i="14" s="1"/>
  <c r="C452" i="14" a="1"/>
  <c r="C452" i="14" s="1"/>
  <c r="C453" i="14" a="1"/>
  <c r="C453" i="14" s="1"/>
  <c r="C454" i="14" a="1"/>
  <c r="C454" i="14" s="1"/>
  <c r="C455" i="14" a="1"/>
  <c r="C455" i="14" s="1"/>
  <c r="C456" i="14" a="1"/>
  <c r="C456" i="14" s="1"/>
  <c r="C457" i="14" a="1"/>
  <c r="C457" i="14" s="1"/>
  <c r="C458" i="14" a="1"/>
  <c r="C458" i="14" s="1"/>
  <c r="C459" i="14" a="1"/>
  <c r="C459" i="14" s="1"/>
  <c r="C460" i="14" a="1"/>
  <c r="C460" i="14" s="1"/>
  <c r="C461" i="14" a="1"/>
  <c r="C461" i="14" s="1"/>
  <c r="C462" i="14" a="1"/>
  <c r="C462" i="14" s="1"/>
  <c r="C463" i="14" a="1"/>
  <c r="C463" i="14" s="1"/>
  <c r="C464" i="14" a="1"/>
  <c r="C464" i="14" s="1"/>
  <c r="C465" i="14" a="1"/>
  <c r="C465" i="14" s="1"/>
  <c r="C466" i="14" a="1"/>
  <c r="C466" i="14" s="1"/>
  <c r="C467" i="14" a="1"/>
  <c r="C467" i="14" s="1"/>
  <c r="C468" i="14" a="1"/>
  <c r="C468" i="14" s="1"/>
  <c r="C469" i="14" a="1"/>
  <c r="C469" i="14" s="1"/>
  <c r="C470" i="14" a="1"/>
  <c r="C470" i="14" s="1"/>
  <c r="C471" i="14" a="1"/>
  <c r="C471" i="14" s="1"/>
  <c r="C472" i="14" a="1"/>
  <c r="C472" i="14" s="1"/>
  <c r="C473" i="14" a="1"/>
  <c r="C473" i="14" s="1"/>
  <c r="C474" i="14" a="1"/>
  <c r="C474" i="14" s="1"/>
  <c r="C475" i="14" a="1"/>
  <c r="C475" i="14" s="1"/>
  <c r="C476" i="14" a="1"/>
  <c r="C476" i="14" s="1"/>
  <c r="C477" i="14" a="1"/>
  <c r="C477" i="14" s="1"/>
  <c r="C478" i="14" a="1"/>
  <c r="C478" i="14" s="1"/>
  <c r="C479" i="14" a="1"/>
  <c r="C479" i="14" s="1"/>
  <c r="C480" i="14" a="1"/>
  <c r="C480" i="14" s="1"/>
  <c r="C481" i="14" a="1"/>
  <c r="C481" i="14" s="1"/>
  <c r="C482" i="14" a="1"/>
  <c r="C482" i="14" s="1"/>
  <c r="C483" i="14" a="1"/>
  <c r="C483" i="14" s="1"/>
  <c r="C484" i="14" a="1"/>
  <c r="C484" i="14" s="1"/>
  <c r="C485" i="14" a="1"/>
  <c r="C485" i="14" s="1"/>
  <c r="C486" i="14" a="1"/>
  <c r="C486" i="14" s="1"/>
  <c r="C487" i="14" a="1"/>
  <c r="C487" i="14" s="1"/>
  <c r="C488" i="14" a="1"/>
  <c r="C488" i="14" s="1"/>
  <c r="C489" i="14" a="1"/>
  <c r="C489" i="14" s="1"/>
  <c r="C490" i="14" a="1"/>
  <c r="C490" i="14" s="1"/>
  <c r="C491" i="14" a="1"/>
  <c r="C491" i="14" s="1"/>
  <c r="C492" i="14" a="1"/>
  <c r="C492" i="14" s="1"/>
  <c r="C493" i="14" a="1"/>
  <c r="C493" i="14" s="1"/>
  <c r="C494" i="14" a="1"/>
  <c r="C494" i="14" s="1"/>
  <c r="C495" i="14" a="1"/>
  <c r="C495" i="14" s="1"/>
  <c r="C496" i="14" a="1"/>
  <c r="C496" i="14" s="1"/>
  <c r="C497" i="14" a="1"/>
  <c r="C497" i="14" s="1"/>
  <c r="C498" i="14" a="1"/>
  <c r="C498" i="14" s="1"/>
  <c r="C499" i="14" a="1"/>
  <c r="C499" i="14" s="1"/>
  <c r="C500" i="14" a="1"/>
  <c r="C500" i="14" s="1"/>
  <c r="C501" i="14" a="1"/>
  <c r="C501" i="14" s="1"/>
  <c r="C502" i="14" a="1"/>
  <c r="C502" i="14" s="1"/>
  <c r="C503" i="14" a="1"/>
  <c r="C503" i="14" s="1"/>
  <c r="C504" i="14" a="1"/>
  <c r="C504" i="14" s="1"/>
  <c r="C505" i="14" a="1"/>
  <c r="C505" i="14" s="1"/>
  <c r="C506" i="14" a="1"/>
  <c r="C506" i="14" s="1"/>
  <c r="C507" i="14" a="1"/>
  <c r="C507" i="14" s="1"/>
  <c r="C508" i="14" a="1"/>
  <c r="C508" i="14" s="1"/>
  <c r="C509" i="14" a="1"/>
  <c r="C509" i="14" s="1"/>
  <c r="C510" i="14" a="1"/>
  <c r="C510" i="14" s="1"/>
  <c r="C511" i="14" a="1"/>
  <c r="C511" i="14" s="1"/>
  <c r="C512" i="14" a="1"/>
  <c r="C512" i="14" s="1"/>
  <c r="C513" i="14" a="1"/>
  <c r="C513" i="14" s="1"/>
  <c r="C514" i="14" a="1"/>
  <c r="C514" i="14" s="1"/>
  <c r="C515" i="14" a="1"/>
  <c r="C515" i="14" s="1"/>
  <c r="C516" i="14" a="1"/>
  <c r="C516" i="14" s="1"/>
  <c r="C517" i="14" a="1"/>
  <c r="C517" i="14" s="1"/>
  <c r="C518" i="14" a="1"/>
  <c r="C518" i="14" s="1"/>
  <c r="C519" i="14" a="1"/>
  <c r="C519" i="14" s="1"/>
  <c r="C520" i="14" a="1"/>
  <c r="C520" i="14" s="1"/>
  <c r="C521" i="14" a="1"/>
  <c r="C521" i="14" s="1"/>
  <c r="C522" i="14" a="1"/>
  <c r="C522" i="14" s="1"/>
  <c r="C523" i="14" a="1"/>
  <c r="C523" i="14" s="1"/>
  <c r="C524" i="14" a="1"/>
  <c r="C524" i="14" s="1"/>
  <c r="C525" i="14" a="1"/>
  <c r="C525" i="14" s="1"/>
  <c r="C526" i="14" a="1"/>
  <c r="C526" i="14" s="1"/>
  <c r="C527" i="14" a="1"/>
  <c r="C527" i="14" s="1"/>
  <c r="C528" i="14" a="1"/>
  <c r="C528" i="14" s="1"/>
  <c r="C529" i="14" a="1"/>
  <c r="C529" i="14" s="1"/>
  <c r="C530" i="14" a="1"/>
  <c r="C530" i="14" s="1"/>
  <c r="C531" i="14" a="1"/>
  <c r="C531" i="14" s="1"/>
  <c r="C532" i="14" a="1"/>
  <c r="C532" i="14" s="1"/>
  <c r="C533" i="14" a="1"/>
  <c r="C533" i="14" s="1"/>
  <c r="C534" i="14" a="1"/>
  <c r="C534" i="14" s="1"/>
  <c r="C535" i="14" a="1"/>
  <c r="C535" i="14" s="1"/>
  <c r="C536" i="14" a="1"/>
  <c r="C536" i="14" s="1"/>
  <c r="C537" i="14" a="1"/>
  <c r="C537" i="14" s="1"/>
  <c r="C538" i="14" a="1"/>
  <c r="C538" i="14" s="1"/>
  <c r="C539" i="14" a="1"/>
  <c r="C539" i="14" s="1"/>
  <c r="C540" i="14" a="1"/>
  <c r="C540" i="14" s="1"/>
  <c r="C541" i="14" a="1"/>
  <c r="C541" i="14" s="1"/>
  <c r="C542" i="14" a="1"/>
  <c r="C542" i="14" s="1"/>
  <c r="C543" i="14" a="1"/>
  <c r="C543" i="14" s="1"/>
  <c r="C544" i="14" a="1"/>
  <c r="C544" i="14" s="1"/>
  <c r="C545" i="14" a="1"/>
  <c r="C545" i="14" s="1"/>
  <c r="C546" i="14" a="1"/>
  <c r="C546" i="14" s="1"/>
  <c r="C547" i="14" a="1"/>
  <c r="C547" i="14" s="1"/>
  <c r="C548" i="14" a="1"/>
  <c r="C548" i="14" s="1"/>
  <c r="C549" i="14" a="1"/>
  <c r="C549" i="14" s="1"/>
  <c r="C550" i="14" a="1"/>
  <c r="C550" i="14" s="1"/>
  <c r="C551" i="14" a="1"/>
  <c r="C551" i="14" s="1"/>
  <c r="C552" i="14" a="1"/>
  <c r="C552" i="14" s="1"/>
  <c r="C553" i="14" a="1"/>
  <c r="C553" i="14" s="1"/>
  <c r="C554" i="14" a="1"/>
  <c r="C554" i="14" s="1"/>
  <c r="C555" i="14" a="1"/>
  <c r="C555" i="14" s="1"/>
  <c r="C556" i="14" a="1"/>
  <c r="C556" i="14" s="1"/>
  <c r="C557" i="14" a="1"/>
  <c r="C557" i="14" s="1"/>
  <c r="C558" i="14" a="1"/>
  <c r="C558" i="14" s="1"/>
  <c r="C559" i="14" a="1"/>
  <c r="C559" i="14" s="1"/>
  <c r="C560" i="14" a="1"/>
  <c r="C560" i="14" s="1"/>
  <c r="C561" i="14" a="1"/>
  <c r="C561" i="14" s="1"/>
  <c r="C562" i="14" a="1"/>
  <c r="C562" i="14" s="1"/>
  <c r="C563" i="14" a="1"/>
  <c r="C563" i="14" s="1"/>
  <c r="C564" i="14" a="1"/>
  <c r="C564" i="14" s="1"/>
  <c r="C565" i="14" a="1"/>
  <c r="C565" i="14" s="1"/>
  <c r="C566" i="14" a="1"/>
  <c r="C566" i="14" s="1"/>
  <c r="C567" i="14" a="1"/>
  <c r="C567" i="14" s="1"/>
  <c r="C568" i="14" a="1"/>
  <c r="C568" i="14" s="1"/>
  <c r="C569" i="14" a="1"/>
  <c r="C569" i="14" s="1"/>
  <c r="C570" i="14" a="1"/>
  <c r="C570" i="14" s="1"/>
  <c r="C571" i="14" a="1"/>
  <c r="C571" i="14" s="1"/>
  <c r="C572" i="14" a="1"/>
  <c r="C572" i="14" s="1"/>
  <c r="C573" i="14" a="1"/>
  <c r="C573" i="14" s="1"/>
  <c r="C574" i="14" a="1"/>
  <c r="C574" i="14" s="1"/>
  <c r="C575" i="14" a="1"/>
  <c r="C575" i="14" s="1"/>
  <c r="C576" i="14" a="1"/>
  <c r="C576" i="14" s="1"/>
  <c r="C577" i="14" a="1"/>
  <c r="C577" i="14" s="1"/>
  <c r="C578" i="14" a="1"/>
  <c r="C578" i="14" s="1"/>
  <c r="C579" i="14" a="1"/>
  <c r="C579" i="14" s="1"/>
  <c r="C580" i="14" a="1"/>
  <c r="C580" i="14" s="1"/>
  <c r="C581" i="14" a="1"/>
  <c r="C581" i="14" s="1"/>
  <c r="C582" i="14" a="1"/>
  <c r="C582" i="14" s="1"/>
  <c r="C583" i="14" a="1"/>
  <c r="C583" i="14" s="1"/>
  <c r="C584" i="14" a="1"/>
  <c r="C584" i="14" s="1"/>
  <c r="C585" i="14" a="1"/>
  <c r="C585" i="14" s="1"/>
  <c r="C586" i="14" a="1"/>
  <c r="C586" i="14" s="1"/>
  <c r="C587" i="14" a="1"/>
  <c r="C587" i="14" s="1"/>
  <c r="C588" i="14" a="1"/>
  <c r="C588" i="14" s="1"/>
  <c r="C589" i="14" a="1"/>
  <c r="C589" i="14" s="1"/>
  <c r="C590" i="14" a="1"/>
  <c r="C590" i="14" s="1"/>
  <c r="C591" i="14" a="1"/>
  <c r="C591" i="14" s="1"/>
  <c r="C592" i="14" a="1"/>
  <c r="C592" i="14" s="1"/>
  <c r="C593" i="14" a="1"/>
  <c r="C593" i="14" s="1"/>
  <c r="C594" i="14" a="1"/>
  <c r="C594" i="14" s="1"/>
  <c r="C595" i="14" a="1"/>
  <c r="C595" i="14" s="1"/>
  <c r="C596" i="14" a="1"/>
  <c r="C596" i="14" s="1"/>
  <c r="C597" i="14" a="1"/>
  <c r="C597" i="14" s="1"/>
  <c r="C598" i="14" a="1"/>
  <c r="C598" i="14" s="1"/>
  <c r="C599" i="14" a="1"/>
  <c r="C599" i="14" s="1"/>
  <c r="C600" i="14" a="1"/>
  <c r="C600" i="14" s="1"/>
  <c r="C601" i="14" a="1"/>
  <c r="C601" i="14" s="1"/>
  <c r="C602" i="14" a="1"/>
  <c r="C602" i="14" s="1"/>
  <c r="C603" i="14" a="1"/>
  <c r="C603" i="14" s="1"/>
  <c r="C604" i="14" a="1"/>
  <c r="C604" i="14" s="1"/>
  <c r="C605" i="14" a="1"/>
  <c r="C605" i="14" s="1"/>
  <c r="C606" i="14" a="1"/>
  <c r="C606" i="14" s="1"/>
  <c r="C607" i="14" a="1"/>
  <c r="C607" i="14" s="1"/>
  <c r="C608" i="14" a="1"/>
  <c r="C608" i="14" s="1"/>
  <c r="C609" i="14" a="1"/>
  <c r="C609" i="14" s="1"/>
  <c r="C610" i="14" a="1"/>
  <c r="C610" i="14" s="1"/>
  <c r="C611" i="14" a="1"/>
  <c r="C611" i="14" s="1"/>
  <c r="C612" i="14" a="1"/>
  <c r="C612" i="14" s="1"/>
  <c r="C613" i="14" a="1"/>
  <c r="C613" i="14" s="1"/>
  <c r="C614" i="14" a="1"/>
  <c r="C614" i="14" s="1"/>
  <c r="C615" i="14" a="1"/>
  <c r="C615" i="14" s="1"/>
  <c r="C616" i="14" a="1"/>
  <c r="C616" i="14" s="1"/>
  <c r="C617" i="14" a="1"/>
  <c r="C617" i="14" s="1"/>
  <c r="C618" i="14" a="1"/>
  <c r="C618" i="14" s="1"/>
  <c r="C619" i="14" a="1"/>
  <c r="C619" i="14" s="1"/>
  <c r="C620" i="14" a="1"/>
  <c r="C620" i="14" s="1"/>
  <c r="C621" i="14" a="1"/>
  <c r="C621" i="14" s="1"/>
  <c r="C622" i="14" a="1"/>
  <c r="C622" i="14" s="1"/>
  <c r="C623" i="14" a="1"/>
  <c r="C623" i="14" s="1"/>
  <c r="C624" i="14" a="1"/>
  <c r="C624" i="14" s="1"/>
  <c r="C625" i="14" a="1"/>
  <c r="C625" i="14" s="1"/>
  <c r="C626" i="14" a="1"/>
  <c r="C626" i="14" s="1"/>
  <c r="C627" i="14" a="1"/>
  <c r="C627" i="14" s="1"/>
  <c r="C628" i="14" a="1"/>
  <c r="C628" i="14" s="1"/>
  <c r="C629" i="14" a="1"/>
  <c r="C629" i="14" s="1"/>
  <c r="C630" i="14" a="1"/>
  <c r="C630" i="14" s="1"/>
  <c r="C631" i="14" a="1"/>
  <c r="C631" i="14" s="1"/>
  <c r="C632" i="14" a="1"/>
  <c r="C632" i="14" s="1"/>
  <c r="C633" i="14" a="1"/>
  <c r="C633" i="14" s="1"/>
  <c r="C634" i="14" a="1"/>
  <c r="C634" i="14" s="1"/>
  <c r="C635" i="14" a="1"/>
  <c r="C635" i="14" s="1"/>
  <c r="C636" i="14" a="1"/>
  <c r="C636" i="14" s="1"/>
  <c r="C637" i="14" a="1"/>
  <c r="C637" i="14" s="1"/>
  <c r="C638" i="14" a="1"/>
  <c r="C638" i="14" s="1"/>
  <c r="C639" i="14" a="1"/>
  <c r="C639" i="14" s="1"/>
  <c r="C640" i="14" a="1"/>
  <c r="C640" i="14" s="1"/>
  <c r="C641" i="14" a="1"/>
  <c r="C641" i="14" s="1"/>
  <c r="C642" i="14" a="1"/>
  <c r="C642" i="14" s="1"/>
  <c r="C643" i="14" a="1"/>
  <c r="C643" i="14" s="1"/>
  <c r="C644" i="14" a="1"/>
  <c r="C644" i="14" s="1"/>
  <c r="C645" i="14" a="1"/>
  <c r="C645" i="14" s="1"/>
  <c r="C646" i="14" a="1"/>
  <c r="C646" i="14" s="1"/>
  <c r="C647" i="14" a="1"/>
  <c r="C647" i="14" s="1"/>
  <c r="C648" i="14" a="1"/>
  <c r="C648" i="14" s="1"/>
  <c r="C649" i="14" a="1"/>
  <c r="C649" i="14" s="1"/>
  <c r="C650" i="14" a="1"/>
  <c r="C650" i="14" s="1"/>
  <c r="C651" i="14" a="1"/>
  <c r="C651" i="14" s="1"/>
  <c r="C652" i="14" a="1"/>
  <c r="C652" i="14" s="1"/>
  <c r="C653" i="14" a="1"/>
  <c r="C653" i="14" s="1"/>
  <c r="C654" i="14" a="1"/>
  <c r="C654" i="14" s="1"/>
  <c r="C655" i="14" a="1"/>
  <c r="C655" i="14" s="1"/>
  <c r="C656" i="14" a="1"/>
  <c r="C656" i="14" s="1"/>
  <c r="C657" i="14" a="1"/>
  <c r="C657" i="14" s="1"/>
  <c r="C658" i="14" a="1"/>
  <c r="C658" i="14" s="1"/>
  <c r="C659" i="14" a="1"/>
  <c r="C659" i="14" s="1"/>
  <c r="C660" i="14" a="1"/>
  <c r="C660" i="14" s="1"/>
  <c r="C661" i="14" a="1"/>
  <c r="C661" i="14" s="1"/>
  <c r="C662" i="14" a="1"/>
  <c r="C662" i="14" s="1"/>
  <c r="C663" i="14" a="1"/>
  <c r="C663" i="14" s="1"/>
  <c r="C664" i="14" a="1"/>
  <c r="C664" i="14" s="1"/>
  <c r="C665" i="14" a="1"/>
  <c r="C665" i="14" s="1"/>
  <c r="C666" i="14" a="1"/>
  <c r="C666" i="14" s="1"/>
  <c r="C667" i="14" a="1"/>
  <c r="C667" i="14" s="1"/>
  <c r="C668" i="14" a="1"/>
  <c r="C668" i="14" s="1"/>
  <c r="C669" i="14" a="1"/>
  <c r="C669" i="14" s="1"/>
  <c r="C670" i="14" a="1"/>
  <c r="C670" i="14" s="1"/>
  <c r="C671" i="14" a="1"/>
  <c r="C671" i="14" s="1"/>
  <c r="C672" i="14" a="1"/>
  <c r="C672" i="14" s="1"/>
  <c r="C673" i="14" a="1"/>
  <c r="C673" i="14" s="1"/>
  <c r="C674" i="14" a="1"/>
  <c r="C674" i="14" s="1"/>
  <c r="C675" i="14" a="1"/>
  <c r="C675" i="14" s="1"/>
  <c r="C676" i="14" a="1"/>
  <c r="C676" i="14" s="1"/>
  <c r="C677" i="14" a="1"/>
  <c r="C677" i="14" s="1"/>
  <c r="C678" i="14" a="1"/>
  <c r="C678" i="14" s="1"/>
  <c r="C679" i="14" a="1"/>
  <c r="C679" i="14" s="1"/>
  <c r="C680" i="14" a="1"/>
  <c r="C680" i="14" s="1"/>
  <c r="C681" i="14" a="1"/>
  <c r="C681" i="14" s="1"/>
  <c r="C682" i="14" a="1"/>
  <c r="C682" i="14" s="1"/>
  <c r="C683" i="14" a="1"/>
  <c r="C683" i="14" s="1"/>
  <c r="C684" i="14" a="1"/>
  <c r="C684" i="14" s="1"/>
  <c r="C685" i="14" a="1"/>
  <c r="C685" i="14" s="1"/>
  <c r="C686" i="14" a="1"/>
  <c r="C686" i="14" s="1"/>
  <c r="C687" i="14" a="1"/>
  <c r="C687" i="14" s="1"/>
  <c r="C688" i="14" a="1"/>
  <c r="C688" i="14" s="1"/>
  <c r="C689" i="14" a="1"/>
  <c r="C689" i="14" s="1"/>
  <c r="C690" i="14" a="1"/>
  <c r="C690" i="14" s="1"/>
  <c r="C691" i="14" a="1"/>
  <c r="C691" i="14" s="1"/>
  <c r="C692" i="14" a="1"/>
  <c r="C692" i="14" s="1"/>
  <c r="C693" i="14" a="1"/>
  <c r="C693" i="14" s="1"/>
  <c r="C694" i="14" a="1"/>
  <c r="C694" i="14" s="1"/>
  <c r="C695" i="14" a="1"/>
  <c r="C695" i="14" s="1"/>
  <c r="C696" i="14" a="1"/>
  <c r="C696" i="14" s="1"/>
  <c r="C697" i="14" a="1"/>
  <c r="C697" i="14" s="1"/>
  <c r="C698" i="14" a="1"/>
  <c r="C698" i="14" s="1"/>
  <c r="C699" i="14" a="1"/>
  <c r="C699" i="14" s="1"/>
  <c r="C700" i="14" a="1"/>
  <c r="C700" i="14" s="1"/>
  <c r="C701" i="14" a="1"/>
  <c r="C701" i="14" s="1"/>
  <c r="C702" i="14" a="1"/>
  <c r="C702" i="14" s="1"/>
  <c r="C703" i="14" a="1"/>
  <c r="C703" i="14" s="1"/>
  <c r="C704" i="14" a="1"/>
  <c r="C704" i="14" s="1"/>
  <c r="C705" i="14" a="1"/>
  <c r="C705" i="14" s="1"/>
  <c r="C706" i="14" a="1"/>
  <c r="C706" i="14" s="1"/>
  <c r="C707" i="14" a="1"/>
  <c r="C707" i="14" s="1"/>
  <c r="C708" i="14" a="1"/>
  <c r="C708" i="14" s="1"/>
  <c r="C709" i="14" a="1"/>
  <c r="C709" i="14" s="1"/>
  <c r="C710" i="14" a="1"/>
  <c r="C710" i="14" s="1"/>
  <c r="C711" i="14" a="1"/>
  <c r="C711" i="14" s="1"/>
  <c r="C712" i="14" a="1"/>
  <c r="C712" i="14" s="1"/>
  <c r="C713" i="14" a="1"/>
  <c r="C713" i="14" s="1"/>
  <c r="C714" i="14" a="1"/>
  <c r="C714" i="14" s="1"/>
  <c r="C715" i="14" a="1"/>
  <c r="C715" i="14" s="1"/>
  <c r="C716" i="14" a="1"/>
  <c r="C716" i="14" s="1"/>
  <c r="C717" i="14" a="1"/>
  <c r="C717" i="14" s="1"/>
  <c r="C718" i="14" a="1"/>
  <c r="C718" i="14" s="1"/>
  <c r="C719" i="14" a="1"/>
  <c r="C719" i="14" s="1"/>
  <c r="C720" i="14" a="1"/>
  <c r="C720" i="14" s="1"/>
  <c r="C721" i="14" a="1"/>
  <c r="C721" i="14" s="1"/>
  <c r="C722" i="14" a="1"/>
  <c r="C722" i="14" s="1"/>
  <c r="C723" i="14" a="1"/>
  <c r="C723" i="14" s="1"/>
  <c r="C724" i="14" a="1"/>
  <c r="C724" i="14" s="1"/>
  <c r="C725" i="14" a="1"/>
  <c r="C725" i="14"/>
  <c r="C726" i="14" a="1"/>
  <c r="C726" i="14" s="1"/>
  <c r="C727" i="14" a="1"/>
  <c r="C727" i="14"/>
  <c r="C728" i="14" a="1"/>
  <c r="C728" i="14" s="1"/>
  <c r="C729" i="14" a="1"/>
  <c r="C729" i="14"/>
  <c r="C730" i="14" a="1"/>
  <c r="C730" i="14"/>
  <c r="C731" i="14" a="1"/>
  <c r="C731" i="14" s="1"/>
  <c r="C732" i="14" a="1"/>
  <c r="C732" i="14" s="1"/>
  <c r="C733" i="14" a="1"/>
  <c r="C733" i="14" s="1"/>
  <c r="C734" i="14" a="1"/>
  <c r="C734" i="14" s="1"/>
  <c r="C735" i="14" a="1"/>
  <c r="C735" i="14" s="1"/>
  <c r="C736" i="14" a="1"/>
  <c r="C736" i="14" s="1"/>
  <c r="C737" i="14" a="1"/>
  <c r="C737" i="14" s="1"/>
  <c r="C738" i="14" a="1"/>
  <c r="C738" i="14" s="1"/>
  <c r="C739" i="14" a="1"/>
  <c r="C739" i="14" s="1"/>
  <c r="C740" i="14" a="1"/>
  <c r="C740" i="14" s="1"/>
  <c r="C741" i="14" a="1"/>
  <c r="C741" i="14" s="1"/>
  <c r="C742" i="14" a="1"/>
  <c r="C742" i="14" s="1"/>
  <c r="C743" i="14" a="1"/>
  <c r="C743" i="14" s="1"/>
  <c r="C744" i="14" a="1"/>
  <c r="C744" i="14" s="1"/>
  <c r="C745" i="14" a="1"/>
  <c r="C745" i="14" s="1"/>
  <c r="C746" i="14" a="1"/>
  <c r="C746" i="14"/>
  <c r="C747" i="14" a="1"/>
  <c r="C747" i="14" s="1"/>
  <c r="C748" i="14" a="1"/>
  <c r="C748" i="14" s="1"/>
  <c r="C749" i="14" a="1"/>
  <c r="C749" i="14" s="1"/>
  <c r="C750" i="14" a="1"/>
  <c r="C750" i="14" s="1"/>
  <c r="C751" i="14" a="1"/>
  <c r="C751" i="14" s="1"/>
  <c r="C752" i="14" a="1"/>
  <c r="C752" i="14" s="1"/>
  <c r="C753" i="14" a="1"/>
  <c r="C753" i="14" s="1"/>
  <c r="C754" i="14" a="1"/>
  <c r="C754" i="14" s="1"/>
  <c r="C755" i="14" a="1"/>
  <c r="C755" i="14" s="1"/>
  <c r="C756" i="14" a="1"/>
  <c r="C756" i="14" s="1"/>
  <c r="C757" i="14" a="1"/>
  <c r="C757" i="14" s="1"/>
  <c r="C758" i="14" a="1"/>
  <c r="C758" i="14" s="1"/>
  <c r="C759" i="14" a="1"/>
  <c r="C759" i="14" s="1"/>
  <c r="C760" i="14" a="1"/>
  <c r="C760" i="14" s="1"/>
  <c r="C761" i="14" a="1"/>
  <c r="C761" i="14" s="1"/>
  <c r="C762" i="14" a="1"/>
  <c r="C762" i="14" s="1"/>
  <c r="C763" i="14" a="1"/>
  <c r="C763" i="14" s="1"/>
  <c r="C764" i="14" a="1"/>
  <c r="C764" i="14" s="1"/>
  <c r="C765" i="14" a="1"/>
  <c r="C765" i="14" s="1"/>
  <c r="C766" i="14" a="1"/>
  <c r="C766" i="14" s="1"/>
  <c r="C767" i="14" a="1"/>
  <c r="C767" i="14" s="1"/>
  <c r="C768" i="14" a="1"/>
  <c r="C768" i="14" s="1"/>
  <c r="C769" i="14" a="1"/>
  <c r="C769" i="14" s="1"/>
  <c r="C770" i="14" a="1"/>
  <c r="C770" i="14" s="1"/>
  <c r="C771" i="14" a="1"/>
  <c r="C771" i="14" s="1"/>
  <c r="C772" i="14" a="1"/>
  <c r="C772" i="14" s="1"/>
  <c r="C773" i="14" a="1"/>
  <c r="C773" i="14" s="1"/>
  <c r="C774" i="14" a="1"/>
  <c r="C774" i="14" s="1"/>
  <c r="C775" i="14" a="1"/>
  <c r="C775" i="14" s="1"/>
  <c r="C776" i="14" a="1"/>
  <c r="C776" i="14" s="1"/>
  <c r="C777" i="14" a="1"/>
  <c r="C777" i="14" s="1"/>
  <c r="C778" i="14" a="1"/>
  <c r="C778" i="14" s="1"/>
  <c r="C779" i="14" a="1"/>
  <c r="C779" i="14" s="1"/>
  <c r="C780" i="14" a="1"/>
  <c r="C780" i="14" s="1"/>
  <c r="C781" i="14" a="1"/>
  <c r="C781" i="14" s="1"/>
  <c r="C782" i="14" a="1"/>
  <c r="C782" i="14" s="1"/>
  <c r="C783" i="14" a="1"/>
  <c r="C783" i="14" s="1"/>
  <c r="C784" i="14" a="1"/>
  <c r="C784" i="14" s="1"/>
  <c r="C785" i="14" a="1"/>
  <c r="C785" i="14"/>
  <c r="C786" i="14" a="1"/>
  <c r="C786" i="14" s="1"/>
  <c r="C787" i="14" a="1"/>
  <c r="C787" i="14" s="1"/>
  <c r="C788" i="14" a="1"/>
  <c r="C788" i="14" s="1"/>
  <c r="C789" i="14" a="1"/>
  <c r="C789" i="14" s="1"/>
  <c r="C790" i="14" a="1"/>
  <c r="C790" i="14" s="1"/>
  <c r="C791" i="14" a="1"/>
  <c r="C791" i="14"/>
  <c r="C792" i="14" a="1"/>
  <c r="C792" i="14" s="1"/>
  <c r="C793" i="14" a="1"/>
  <c r="C793" i="14" s="1"/>
  <c r="C794" i="14" a="1"/>
  <c r="C794" i="14" s="1"/>
  <c r="C795" i="14" a="1"/>
  <c r="C795" i="14" s="1"/>
  <c r="C796" i="14" a="1"/>
  <c r="C796" i="14" s="1"/>
  <c r="C797" i="14" a="1"/>
  <c r="C797" i="14" s="1"/>
  <c r="C798" i="14" a="1"/>
  <c r="C798" i="14" s="1"/>
  <c r="C799" i="14" a="1"/>
  <c r="C799" i="14" s="1"/>
  <c r="C800" i="14" a="1"/>
  <c r="C800" i="14" s="1"/>
  <c r="C801" i="14" a="1"/>
  <c r="C801" i="14" s="1"/>
  <c r="C802" i="14" a="1"/>
  <c r="C802" i="14" s="1"/>
  <c r="C803" i="14" a="1"/>
  <c r="C803" i="14" s="1"/>
  <c r="C804" i="14" a="1"/>
  <c r="C804" i="14" s="1"/>
  <c r="C805" i="14" a="1"/>
  <c r="C805" i="14" s="1"/>
  <c r="C806" i="14" a="1"/>
  <c r="C806" i="14" s="1"/>
  <c r="C807" i="14" a="1"/>
  <c r="C807" i="14" s="1"/>
  <c r="C808" i="14" a="1"/>
  <c r="C808" i="14" s="1"/>
  <c r="C809" i="14" a="1"/>
  <c r="C809" i="14" s="1"/>
  <c r="C810" i="14" a="1"/>
  <c r="C810" i="14" s="1"/>
  <c r="C811" i="14" a="1"/>
  <c r="C811" i="14" s="1"/>
  <c r="C812" i="14" a="1"/>
  <c r="C812" i="14" s="1"/>
  <c r="C813" i="14" a="1"/>
  <c r="C813" i="14" s="1"/>
  <c r="C814" i="14" a="1"/>
  <c r="C814" i="14" s="1"/>
  <c r="C815" i="14" a="1"/>
  <c r="C815" i="14" s="1"/>
  <c r="C816" i="14" a="1"/>
  <c r="C816" i="14" s="1"/>
  <c r="C817" i="14" a="1"/>
  <c r="C817" i="14" s="1"/>
  <c r="C818" i="14" a="1"/>
  <c r="C818" i="14" s="1"/>
  <c r="C819" i="14" a="1"/>
  <c r="C819" i="14" s="1"/>
  <c r="C820" i="14" a="1"/>
  <c r="C820" i="14" s="1"/>
  <c r="C821" i="14" a="1"/>
  <c r="C821" i="14" s="1"/>
  <c r="C822" i="14" a="1"/>
  <c r="C822" i="14" s="1"/>
  <c r="C823" i="14" a="1"/>
  <c r="C823" i="14" s="1"/>
  <c r="C824" i="14" a="1"/>
  <c r="C824" i="14" s="1"/>
  <c r="C825" i="14" a="1"/>
  <c r="C825" i="14"/>
  <c r="C826" i="14" a="1"/>
  <c r="C826" i="14" s="1"/>
  <c r="C827" i="14" a="1"/>
  <c r="C827" i="14" s="1"/>
  <c r="C828" i="14" a="1"/>
  <c r="C828" i="14" s="1"/>
  <c r="C829" i="14" a="1"/>
  <c r="C829" i="14"/>
  <c r="C830" i="14" a="1"/>
  <c r="C830" i="14"/>
  <c r="C831" i="14" a="1"/>
  <c r="C831" i="14" s="1"/>
  <c r="C832" i="14" a="1"/>
  <c r="C832" i="14" s="1"/>
  <c r="C833" i="14" a="1"/>
  <c r="C833" i="14" s="1"/>
  <c r="C834" i="14" a="1"/>
  <c r="C834" i="14" s="1"/>
  <c r="C835" i="14" a="1"/>
  <c r="C835" i="14" s="1"/>
  <c r="C836" i="14" a="1"/>
  <c r="C836" i="14" s="1"/>
  <c r="C837" i="14" a="1"/>
  <c r="C837" i="14"/>
  <c r="C838" i="14" a="1"/>
  <c r="C838" i="14" s="1"/>
  <c r="C839" i="14" a="1"/>
  <c r="C839" i="14" s="1"/>
  <c r="C840" i="14" a="1"/>
  <c r="C840" i="14" s="1"/>
  <c r="C841" i="14" a="1"/>
  <c r="C841" i="14" s="1"/>
  <c r="C842" i="14" a="1"/>
  <c r="C842" i="14" s="1"/>
  <c r="C843" i="14" a="1"/>
  <c r="C843" i="14"/>
  <c r="C844" i="14" a="1"/>
  <c r="C844" i="14" s="1"/>
  <c r="C845" i="14" a="1"/>
  <c r="C845" i="14"/>
  <c r="C846" i="14" a="1"/>
  <c r="C846" i="14" s="1"/>
  <c r="C847" i="14" a="1"/>
  <c r="C847" i="14" s="1"/>
  <c r="C848" i="14" a="1"/>
  <c r="C848" i="14" s="1"/>
  <c r="C849" i="14" a="1"/>
  <c r="C849" i="14" s="1"/>
  <c r="C850" i="14" a="1"/>
  <c r="C850" i="14" s="1"/>
  <c r="C851" i="14" a="1"/>
  <c r="C851" i="14" s="1"/>
  <c r="C852" i="14" a="1"/>
  <c r="C852" i="14" s="1"/>
  <c r="C853" i="14" a="1"/>
  <c r="C853" i="14" s="1"/>
  <c r="C854" i="14" a="1"/>
  <c r="C854" i="14" s="1"/>
  <c r="C855" i="14" a="1"/>
  <c r="C855" i="14" s="1"/>
  <c r="C856" i="14" a="1"/>
  <c r="C856" i="14" s="1"/>
  <c r="C857" i="14" a="1"/>
  <c r="C857" i="14" s="1"/>
  <c r="C858" i="14" a="1"/>
  <c r="C858" i="14" s="1"/>
  <c r="C859" i="14" a="1"/>
  <c r="C859" i="14" s="1"/>
  <c r="C860" i="14" a="1"/>
  <c r="C860" i="14" s="1"/>
  <c r="C861" i="14" a="1"/>
  <c r="C861" i="14" s="1"/>
  <c r="C862" i="14" a="1"/>
  <c r="C862" i="14" s="1"/>
  <c r="C863" i="14" a="1"/>
  <c r="C863" i="14"/>
  <c r="C864" i="14" a="1"/>
  <c r="C864" i="14" s="1"/>
  <c r="C865" i="14" a="1"/>
  <c r="C865" i="14" s="1"/>
  <c r="C866" i="14" a="1"/>
  <c r="C866" i="14" s="1"/>
  <c r="C867" i="14" a="1"/>
  <c r="C867" i="14" s="1"/>
  <c r="C868" i="14" a="1"/>
  <c r="C868" i="14" s="1"/>
  <c r="C869" i="14" a="1"/>
  <c r="C869" i="14" s="1"/>
  <c r="C870" i="14" a="1"/>
  <c r="C870" i="14" s="1"/>
  <c r="C871" i="14" a="1"/>
  <c r="C871" i="14" s="1"/>
  <c r="C872" i="14" a="1"/>
  <c r="C872" i="14"/>
  <c r="C873" i="14" a="1"/>
  <c r="C873" i="14" s="1"/>
  <c r="C874" i="14" a="1"/>
  <c r="C874" i="14" s="1"/>
  <c r="C875" i="14" a="1"/>
  <c r="C875" i="14" s="1"/>
  <c r="C876" i="14" a="1"/>
  <c r="C876" i="14" s="1"/>
  <c r="C877" i="14" a="1"/>
  <c r="C877" i="14" s="1"/>
  <c r="C878" i="14" a="1"/>
  <c r="C878" i="14" s="1"/>
  <c r="C879" i="14" a="1"/>
  <c r="C879" i="14" s="1"/>
  <c r="C880" i="14" a="1"/>
  <c r="C880" i="14" s="1"/>
  <c r="C881" i="14" a="1"/>
  <c r="C881" i="14" s="1"/>
  <c r="C882" i="14" a="1"/>
  <c r="C882" i="14" s="1"/>
  <c r="C883" i="14" a="1"/>
  <c r="C883" i="14" s="1"/>
  <c r="C884" i="14" a="1"/>
  <c r="C884" i="14" s="1"/>
  <c r="C885" i="14" a="1"/>
  <c r="C885" i="14" s="1"/>
  <c r="C886" i="14" a="1"/>
  <c r="C886" i="14" s="1"/>
  <c r="C887" i="14" a="1"/>
  <c r="C887" i="14" s="1"/>
  <c r="C888" i="14" a="1"/>
  <c r="C888" i="14" s="1"/>
  <c r="C889" i="14" a="1"/>
  <c r="C889" i="14" s="1"/>
  <c r="C890" i="14" a="1"/>
  <c r="C890" i="14" s="1"/>
  <c r="C891" i="14" a="1"/>
  <c r="C891" i="14"/>
  <c r="C892" i="14" a="1"/>
  <c r="C892" i="14" s="1"/>
  <c r="C893" i="14" a="1"/>
  <c r="C893" i="14" s="1"/>
  <c r="C894" i="14" a="1"/>
  <c r="C894" i="14" s="1"/>
  <c r="C895" i="14" a="1"/>
  <c r="C895" i="14" s="1"/>
  <c r="C896" i="14" a="1"/>
  <c r="C896" i="14" s="1"/>
  <c r="C897" i="14" a="1"/>
  <c r="C897" i="14" s="1"/>
  <c r="C898" i="14" a="1"/>
  <c r="C898" i="14" s="1"/>
  <c r="C899" i="14" a="1"/>
  <c r="C899" i="14" s="1"/>
  <c r="C900" i="14" a="1"/>
  <c r="C900" i="14" s="1"/>
  <c r="C901" i="14" a="1"/>
  <c r="C901" i="14" s="1"/>
  <c r="C902" i="14" a="1"/>
  <c r="C902" i="14" s="1"/>
  <c r="C903" i="14" a="1"/>
  <c r="C903" i="14" s="1"/>
  <c r="C904" i="14" a="1"/>
  <c r="C904" i="14" s="1"/>
  <c r="C905" i="14" a="1"/>
  <c r="C905" i="14" s="1"/>
  <c r="C906" i="14" a="1"/>
  <c r="C906" i="14" s="1"/>
  <c r="C907" i="14" a="1"/>
  <c r="C907" i="14" s="1"/>
  <c r="C908" i="14" a="1"/>
  <c r="C908" i="14" s="1"/>
  <c r="C909" i="14" a="1"/>
  <c r="C909" i="14" s="1"/>
  <c r="C910" i="14" a="1"/>
  <c r="C910" i="14" s="1"/>
  <c r="C911" i="14" a="1"/>
  <c r="C911" i="14" s="1"/>
  <c r="C912" i="14" a="1"/>
  <c r="C912" i="14" s="1"/>
  <c r="C913" i="14" a="1"/>
  <c r="C913" i="14" s="1"/>
  <c r="C914" i="14" a="1"/>
  <c r="C914" i="14" s="1"/>
  <c r="C915" i="14" a="1"/>
  <c r="C915" i="14"/>
  <c r="C916" i="14" a="1"/>
  <c r="C916" i="14" s="1"/>
  <c r="C917" i="14" a="1"/>
  <c r="C917" i="14" s="1"/>
  <c r="C918" i="14" a="1"/>
  <c r="C918" i="14" s="1"/>
  <c r="C919" i="14" a="1"/>
  <c r="C919" i="14" s="1"/>
  <c r="C920" i="14" a="1"/>
  <c r="C920" i="14" s="1"/>
  <c r="C921" i="14" a="1"/>
  <c r="C921" i="14" s="1"/>
  <c r="C922" i="14" a="1"/>
  <c r="C922" i="14" s="1"/>
  <c r="C923" i="14" a="1"/>
  <c r="C923" i="14"/>
  <c r="C924" i="14" a="1"/>
  <c r="C924" i="14" s="1"/>
  <c r="C925" i="14" a="1"/>
  <c r="C925" i="14" s="1"/>
  <c r="C926" i="14" a="1"/>
  <c r="C926" i="14" s="1"/>
  <c r="C927" i="14" a="1"/>
  <c r="C927" i="14"/>
  <c r="C928" i="14" a="1"/>
  <c r="C928" i="14" s="1"/>
  <c r="C929" i="14" a="1"/>
  <c r="C929" i="14" s="1"/>
  <c r="C930" i="14" a="1"/>
  <c r="C930" i="14" s="1"/>
  <c r="C931" i="14" a="1"/>
  <c r="C931" i="14" s="1"/>
  <c r="C932" i="14" a="1"/>
  <c r="C932" i="14" s="1"/>
  <c r="C933" i="14" a="1"/>
  <c r="C933" i="14" s="1"/>
  <c r="C934" i="14" a="1"/>
  <c r="C934" i="14" s="1"/>
  <c r="C935" i="14" a="1"/>
  <c r="C935" i="14"/>
  <c r="C936" i="14" a="1"/>
  <c r="C936" i="14" s="1"/>
  <c r="C937" i="14" a="1"/>
  <c r="C937" i="14" s="1"/>
  <c r="C938" i="14" a="1"/>
  <c r="C938" i="14" s="1"/>
  <c r="C939" i="14" a="1"/>
  <c r="C939" i="14"/>
  <c r="C940" i="14" a="1"/>
  <c r="C940" i="14" s="1"/>
  <c r="C941" i="14" a="1"/>
  <c r="C941" i="14"/>
  <c r="C942" i="14" a="1"/>
  <c r="C942" i="14" s="1"/>
  <c r="C943" i="14" a="1"/>
  <c r="C943" i="14" s="1"/>
  <c r="C944" i="14" a="1"/>
  <c r="C944" i="14" s="1"/>
  <c r="C945" i="14" a="1"/>
  <c r="C945" i="14" s="1"/>
  <c r="C946" i="14" a="1"/>
  <c r="C946" i="14" s="1"/>
  <c r="C947" i="14" a="1"/>
  <c r="C947" i="14" s="1"/>
  <c r="C948" i="14" a="1"/>
  <c r="C948" i="14" s="1"/>
  <c r="C949" i="14" a="1"/>
  <c r="C949" i="14" s="1"/>
  <c r="C950" i="14" a="1"/>
  <c r="C950" i="14" s="1"/>
  <c r="C951" i="14" a="1"/>
  <c r="C951" i="14" s="1"/>
  <c r="C952" i="14" a="1"/>
  <c r="C952" i="14" s="1"/>
  <c r="C953" i="14" a="1"/>
  <c r="C953" i="14" s="1"/>
  <c r="C954" i="14" a="1"/>
  <c r="C954" i="14" s="1"/>
  <c r="C955" i="14" a="1"/>
  <c r="C955" i="14"/>
  <c r="C956" i="14" a="1"/>
  <c r="C956" i="14"/>
  <c r="C957" i="14" a="1"/>
  <c r="C957" i="14" s="1"/>
  <c r="C958" i="14" a="1"/>
  <c r="C958" i="14" s="1"/>
  <c r="C959" i="14" a="1"/>
  <c r="C959" i="14" s="1"/>
  <c r="C960" i="14" a="1"/>
  <c r="C960" i="14" s="1"/>
  <c r="C961" i="14" a="1"/>
  <c r="C961" i="14" s="1"/>
  <c r="C962" i="14" a="1"/>
  <c r="C962" i="14" s="1"/>
  <c r="C963" i="14" a="1"/>
  <c r="C963" i="14"/>
  <c r="C964" i="14" a="1"/>
  <c r="C964" i="14" s="1"/>
  <c r="C965" i="14" a="1"/>
  <c r="C965" i="14" s="1"/>
  <c r="C966" i="14" a="1"/>
  <c r="C966" i="14" s="1"/>
  <c r="C967" i="14" a="1"/>
  <c r="C967" i="14" s="1"/>
  <c r="C968" i="14" a="1"/>
  <c r="C968" i="14" s="1"/>
  <c r="C969" i="14" a="1"/>
  <c r="C969" i="14" s="1"/>
  <c r="C970" i="14" a="1"/>
  <c r="C970" i="14"/>
  <c r="C971" i="14" a="1"/>
  <c r="C971" i="14" s="1"/>
  <c r="C972" i="14" a="1"/>
  <c r="C972" i="14" s="1"/>
  <c r="C973" i="14" a="1"/>
  <c r="C973" i="14"/>
  <c r="C974" i="14" a="1"/>
  <c r="C974" i="14" s="1"/>
  <c r="C975" i="14" a="1"/>
  <c r="C975" i="14"/>
  <c r="C976" i="14" a="1"/>
  <c r="C976" i="14" s="1"/>
  <c r="C977" i="14" a="1"/>
  <c r="C977" i="14" s="1"/>
  <c r="C978" i="14" a="1"/>
  <c r="C978" i="14" s="1"/>
  <c r="C979" i="14" a="1"/>
  <c r="C979" i="14" s="1"/>
  <c r="C980" i="14" a="1"/>
  <c r="C980" i="14" s="1"/>
  <c r="C981" i="14" a="1"/>
  <c r="C981" i="14" s="1"/>
  <c r="C982" i="14" a="1"/>
  <c r="C982" i="14" s="1"/>
  <c r="C983" i="14" a="1"/>
  <c r="C983" i="14"/>
  <c r="C984" i="14" a="1"/>
  <c r="C984" i="14" s="1"/>
  <c r="C985" i="14" a="1"/>
  <c r="C985" i="14" s="1"/>
  <c r="C986" i="14" a="1"/>
  <c r="C986" i="14" s="1"/>
  <c r="C987" i="14" a="1"/>
  <c r="C987" i="14" s="1"/>
  <c r="C988" i="14" a="1"/>
  <c r="C988" i="14" s="1"/>
  <c r="C989" i="14" a="1"/>
  <c r="C989" i="14" s="1"/>
  <c r="C990" i="14" a="1"/>
  <c r="C990" i="14" s="1"/>
  <c r="C991" i="14" a="1"/>
  <c r="C991" i="14" s="1"/>
  <c r="C992" i="14" a="1"/>
  <c r="C992" i="14" s="1"/>
  <c r="C993" i="14" a="1"/>
  <c r="C993" i="14" s="1"/>
  <c r="C994" i="14" a="1"/>
  <c r="C994" i="14" s="1"/>
  <c r="C995" i="14" a="1"/>
  <c r="C995" i="14"/>
  <c r="C996" i="14" a="1"/>
  <c r="C996" i="14" s="1"/>
  <c r="C997" i="14" a="1"/>
  <c r="C997" i="14" s="1"/>
  <c r="C998" i="14" a="1"/>
  <c r="C998" i="14" s="1"/>
  <c r="C999" i="14" a="1"/>
  <c r="C999" i="14"/>
  <c r="C1000" i="14" a="1"/>
  <c r="C1000" i="14" s="1"/>
  <c r="C1001" i="14" a="1"/>
  <c r="C1001" i="14" s="1"/>
  <c r="C1002" i="14" a="1"/>
  <c r="C1002" i="14" s="1"/>
  <c r="C1003" i="14" a="1"/>
  <c r="C1003" i="14" s="1"/>
  <c r="C1004" i="14" a="1"/>
  <c r="C1004" i="14" s="1"/>
  <c r="C1005" i="14" a="1"/>
  <c r="C1005" i="14" s="1"/>
  <c r="C1006" i="14" a="1"/>
  <c r="C1006" i="14" s="1"/>
  <c r="C1007" i="14" a="1"/>
  <c r="C1007" i="14" s="1"/>
  <c r="C1008" i="14" a="1"/>
  <c r="C1008" i="14" s="1"/>
  <c r="C1009" i="14" a="1"/>
  <c r="C1009" i="14" s="1"/>
  <c r="C1010" i="14" a="1"/>
  <c r="C1010" i="14" s="1"/>
  <c r="C1011" i="14" a="1"/>
  <c r="C1011" i="14" s="1"/>
  <c r="C1012" i="14" a="1"/>
  <c r="C1012" i="14" s="1"/>
  <c r="C1013" i="14" a="1"/>
  <c r="C1013" i="14" s="1"/>
  <c r="C1014" i="14" a="1"/>
  <c r="C1014" i="14" s="1"/>
  <c r="C1015" i="14" a="1"/>
  <c r="C1015" i="14" s="1"/>
  <c r="C1016" i="14" a="1"/>
  <c r="C1016" i="14" s="1"/>
  <c r="C1017" i="14" a="1"/>
  <c r="C1017" i="14" s="1"/>
  <c r="C1018" i="14" a="1"/>
  <c r="C1018" i="14" s="1"/>
  <c r="C1019" i="14" a="1"/>
  <c r="C1019" i="14" s="1"/>
  <c r="C1020" i="14" a="1"/>
  <c r="C1020" i="14" s="1"/>
  <c r="C1021" i="14" a="1"/>
  <c r="C1021" i="14" s="1"/>
  <c r="C1022" i="14" a="1"/>
  <c r="C1022" i="14" s="1"/>
  <c r="C1023" i="14" a="1"/>
  <c r="C1023" i="14" s="1"/>
  <c r="C1024" i="14" a="1"/>
  <c r="C1024" i="14" s="1"/>
  <c r="C1025" i="14" a="1"/>
  <c r="C1025" i="14" s="1"/>
  <c r="C1026" i="14" a="1"/>
  <c r="C1026" i="14" s="1"/>
  <c r="C1027" i="14" a="1"/>
  <c r="C1027" i="14" s="1"/>
  <c r="C1028" i="14" a="1"/>
  <c r="C1028" i="14" s="1"/>
  <c r="C1029" i="14" a="1"/>
  <c r="C1029" i="14" s="1"/>
  <c r="C1030" i="14" a="1"/>
  <c r="C1030" i="14" s="1"/>
  <c r="C1031" i="14" a="1"/>
  <c r="C1031" i="14" s="1"/>
  <c r="C1032" i="14" a="1"/>
  <c r="C1032" i="14" s="1"/>
  <c r="C1033" i="14" a="1"/>
  <c r="C1033" i="14" s="1"/>
  <c r="C1034" i="14" a="1"/>
  <c r="C1034" i="14" s="1"/>
  <c r="C1035" i="14" a="1"/>
  <c r="C1035" i="14"/>
  <c r="C1036" i="14" a="1"/>
  <c r="C1036" i="14" s="1"/>
  <c r="C1037" i="14" a="1"/>
  <c r="C1037" i="14" s="1"/>
  <c r="C1038" i="14" a="1"/>
  <c r="C1038" i="14"/>
  <c r="C1039" i="14" a="1"/>
  <c r="C1039" i="14" s="1"/>
  <c r="C1040" i="14" a="1"/>
  <c r="C1040" i="14" s="1"/>
  <c r="C1041" i="14" a="1"/>
  <c r="C1041" i="14"/>
  <c r="C1042" i="14" a="1"/>
  <c r="C1042" i="14" s="1"/>
  <c r="C1043" i="14" a="1"/>
  <c r="C1043" i="14" s="1"/>
  <c r="C1044" i="14" a="1"/>
  <c r="C1044" i="14" s="1"/>
  <c r="C1045" i="14" a="1"/>
  <c r="C1045" i="14" s="1"/>
  <c r="C1046" i="14" a="1"/>
  <c r="C1046" i="14" s="1"/>
  <c r="C1047" i="14" a="1"/>
  <c r="C1047" i="14" s="1"/>
  <c r="C1048" i="14" a="1"/>
  <c r="C1048" i="14" s="1"/>
  <c r="C1049" i="14" a="1"/>
  <c r="C1049" i="14" s="1"/>
  <c r="C1050" i="14" a="1"/>
  <c r="C1050" i="14" s="1"/>
  <c r="C1051" i="14" a="1"/>
  <c r="C1051" i="14"/>
  <c r="C1052" i="14" a="1"/>
  <c r="C1052" i="14" s="1"/>
  <c r="C1053" i="14" a="1"/>
  <c r="C1053" i="14" s="1"/>
  <c r="C1054" i="14" a="1"/>
  <c r="C1054" i="14" s="1"/>
  <c r="C1055" i="14" a="1"/>
  <c r="C1055" i="14" s="1"/>
  <c r="C1056" i="14" a="1"/>
  <c r="C1056" i="14" s="1"/>
  <c r="C1057" i="14" a="1"/>
  <c r="C1057" i="14" s="1"/>
  <c r="C1058" i="14" a="1"/>
  <c r="C1058" i="14" s="1"/>
  <c r="C1059" i="14" a="1"/>
  <c r="C1059" i="14" s="1"/>
  <c r="C1060" i="14" a="1"/>
  <c r="C1060" i="14" s="1"/>
  <c r="C1061" i="14" a="1"/>
  <c r="C1061" i="14" s="1"/>
  <c r="C1062" i="14" a="1"/>
  <c r="C1062" i="14" s="1"/>
  <c r="C1063" i="14" a="1"/>
  <c r="C1063" i="14" s="1"/>
  <c r="C1064" i="14" a="1"/>
  <c r="C1064" i="14" s="1"/>
  <c r="C1065" i="14" a="1"/>
  <c r="C1065" i="14" s="1"/>
  <c r="C1066" i="14" a="1"/>
  <c r="C1066" i="14" s="1"/>
  <c r="C1067" i="14" a="1"/>
  <c r="C1067" i="14" s="1"/>
  <c r="C1068" i="14" a="1"/>
  <c r="C1068" i="14" s="1"/>
  <c r="C1069" i="14" a="1"/>
  <c r="C1069" i="14"/>
  <c r="C1070" i="14" a="1"/>
  <c r="C1070" i="14" s="1"/>
  <c r="C1071" i="14" a="1"/>
  <c r="C1071" i="14" s="1"/>
  <c r="C1072" i="14" a="1"/>
  <c r="C1072" i="14" s="1"/>
  <c r="C1073" i="14" a="1"/>
  <c r="C1073" i="14" s="1"/>
  <c r="C1074" i="14" a="1"/>
  <c r="C1074" i="14"/>
  <c r="C1075" i="14" a="1"/>
  <c r="C1075" i="14" s="1"/>
  <c r="C1076" i="14" a="1"/>
  <c r="C1076" i="14" s="1"/>
  <c r="C1077" i="14" a="1"/>
  <c r="C1077" i="14" s="1"/>
  <c r="C1078" i="14" a="1"/>
  <c r="C1078" i="14" s="1"/>
  <c r="C1079" i="14" a="1"/>
  <c r="C1079" i="14"/>
  <c r="C1080" i="14" a="1"/>
  <c r="C1080" i="14"/>
  <c r="C1081" i="14" a="1"/>
  <c r="C1081" i="14" s="1"/>
  <c r="C1082" i="14" a="1"/>
  <c r="C1082" i="14" s="1"/>
  <c r="C1083" i="14" a="1"/>
  <c r="C1083" i="14" s="1"/>
  <c r="C1084" i="14" a="1"/>
  <c r="C1084" i="14" s="1"/>
  <c r="C1085" i="14" a="1"/>
  <c r="C1085" i="14" s="1"/>
  <c r="C1086" i="14" a="1"/>
  <c r="C1086" i="14" s="1"/>
  <c r="C1087" i="14" a="1"/>
  <c r="C1087" i="14" s="1"/>
  <c r="C1088" i="14" a="1"/>
  <c r="C1088" i="14" s="1"/>
  <c r="C1089" i="14" a="1"/>
  <c r="C1089" i="14" s="1"/>
  <c r="C1090" i="14" a="1"/>
  <c r="C1090" i="14" s="1"/>
  <c r="C1091" i="14" a="1"/>
  <c r="C1091" i="14" s="1"/>
  <c r="C1092" i="14" a="1"/>
  <c r="C1092" i="14" s="1"/>
  <c r="C1093" i="14" a="1"/>
  <c r="C1093" i="14" s="1"/>
  <c r="C1094" i="14" a="1"/>
  <c r="C1094" i="14"/>
  <c r="C1095" i="14" a="1"/>
  <c r="C1095" i="14" s="1"/>
  <c r="C1096" i="14" a="1"/>
  <c r="C1096" i="14" s="1"/>
  <c r="C1097" i="14" a="1"/>
  <c r="C1097" i="14"/>
  <c r="C1098" i="14" a="1"/>
  <c r="C1098" i="14" s="1"/>
  <c r="C1099" i="14" a="1"/>
  <c r="C1099" i="14" s="1"/>
  <c r="C1100" i="14" a="1"/>
  <c r="C1100" i="14" s="1"/>
  <c r="C1101" i="14" a="1"/>
  <c r="C1101" i="14" s="1"/>
  <c r="C1102" i="14" a="1"/>
  <c r="C1102" i="14" s="1"/>
  <c r="C1103" i="14" a="1"/>
  <c r="C1103" i="14" s="1"/>
  <c r="C1104" i="14" a="1"/>
  <c r="C1104" i="14" s="1"/>
  <c r="C1105" i="14" a="1"/>
  <c r="C1105" i="14" s="1"/>
  <c r="C1106" i="14" a="1"/>
  <c r="C1106" i="14" s="1"/>
  <c r="C1107" i="14" a="1"/>
  <c r="C1107" i="14" s="1"/>
  <c r="C1108" i="14" a="1"/>
  <c r="C1108" i="14" s="1"/>
  <c r="C1109" i="14" a="1"/>
  <c r="C1109" i="14" s="1"/>
  <c r="C1110" i="14" a="1"/>
  <c r="C1110" i="14"/>
  <c r="C1111" i="14" a="1"/>
  <c r="C1111" i="14" s="1"/>
  <c r="C1112" i="14" a="1"/>
  <c r="C1112" i="14" s="1"/>
  <c r="C1113" i="14" a="1"/>
  <c r="C1113" i="14" s="1"/>
  <c r="C1114" i="14" a="1"/>
  <c r="C1114" i="14" s="1"/>
  <c r="C1115" i="14" a="1"/>
  <c r="C1115" i="14" s="1"/>
  <c r="C1116" i="14" a="1"/>
  <c r="C1116" i="14" s="1"/>
  <c r="C1117" i="14" a="1"/>
  <c r="C1117" i="14" s="1"/>
  <c r="C1118" i="14" a="1"/>
  <c r="C1118" i="14" s="1"/>
  <c r="C1119" i="14" a="1"/>
  <c r="C1119" i="14" s="1"/>
  <c r="C1120" i="14" a="1"/>
  <c r="C1120" i="14" s="1"/>
  <c r="C1121" i="14" a="1"/>
  <c r="C1121" i="14" s="1"/>
  <c r="C1122" i="14" a="1"/>
  <c r="C1122" i="14"/>
  <c r="C1123" i="14" a="1"/>
  <c r="C1123" i="14" s="1"/>
  <c r="C1124" i="14" a="1"/>
  <c r="C1124" i="14" s="1"/>
  <c r="C1125" i="14" a="1"/>
  <c r="C1125" i="14" s="1"/>
  <c r="C1126" i="14" a="1"/>
  <c r="C1126" i="14" s="1"/>
  <c r="C1127" i="14" a="1"/>
  <c r="C1127" i="14" s="1"/>
  <c r="C1128" i="14" a="1"/>
  <c r="C1128" i="14" s="1"/>
  <c r="C1129" i="14" a="1"/>
  <c r="C1129" i="14" s="1"/>
  <c r="C1130" i="14" a="1"/>
  <c r="C1130" i="14" s="1"/>
  <c r="C1131" i="14" a="1"/>
  <c r="C1131" i="14" s="1"/>
  <c r="C1132" i="14" a="1"/>
  <c r="C1132" i="14" s="1"/>
  <c r="C1133" i="14" a="1"/>
  <c r="C1133" i="14" s="1"/>
  <c r="C1134" i="14" a="1"/>
  <c r="C1134" i="14" s="1"/>
  <c r="C1135" i="14" a="1"/>
  <c r="C1135" i="14" s="1"/>
  <c r="C1136" i="14" a="1"/>
  <c r="C1136" i="14" s="1"/>
  <c r="C1137" i="14" a="1"/>
  <c r="C1137" i="14" s="1"/>
  <c r="C1138" i="14" a="1"/>
  <c r="C1138" i="14" s="1"/>
  <c r="C1139" i="14" a="1"/>
  <c r="C1139" i="14" s="1"/>
  <c r="C1140" i="14" a="1"/>
  <c r="C1140" i="14" s="1"/>
  <c r="C1141" i="14" a="1"/>
  <c r="C1141" i="14" s="1"/>
  <c r="C1142" i="14" a="1"/>
  <c r="C1142" i="14"/>
  <c r="C1143" i="14" a="1"/>
  <c r="C1143" i="14" s="1"/>
  <c r="C1144" i="14" a="1"/>
  <c r="C1144" i="14"/>
  <c r="C1145" i="14" a="1"/>
  <c r="C1145" i="14" s="1"/>
  <c r="C1146" i="14" a="1"/>
  <c r="C1146" i="14" s="1"/>
  <c r="C1147" i="14" a="1"/>
  <c r="C1147" i="14" s="1"/>
  <c r="C1148" i="14" a="1"/>
  <c r="C1148" i="14"/>
  <c r="C1149" i="14" a="1"/>
  <c r="C1149" i="14" s="1"/>
  <c r="C1150" i="14" a="1"/>
  <c r="C1150" i="14"/>
  <c r="C1151" i="14" a="1"/>
  <c r="C1151" i="14" s="1"/>
  <c r="C1152" i="14" a="1"/>
  <c r="C1152" i="14" s="1"/>
  <c r="C1153" i="14" a="1"/>
  <c r="C1153" i="14" s="1"/>
  <c r="C1154" i="14" a="1"/>
  <c r="C1154" i="14" s="1"/>
  <c r="C1155" i="14" a="1"/>
  <c r="C1155" i="14" s="1"/>
  <c r="C1156" i="14" a="1"/>
  <c r="C1156" i="14" s="1"/>
  <c r="C1157" i="14" a="1"/>
  <c r="C1157" i="14"/>
  <c r="C1158" i="14" a="1"/>
  <c r="C1158" i="14"/>
  <c r="C1159" i="14" a="1"/>
  <c r="C1159" i="14" s="1"/>
  <c r="C1160" i="14" a="1"/>
  <c r="C1160" i="14" s="1"/>
  <c r="C1161" i="14" a="1"/>
  <c r="C1161" i="14" s="1"/>
  <c r="C1162" i="14" a="1"/>
  <c r="C1162" i="14"/>
  <c r="C1163" i="14" a="1"/>
  <c r="C1163" i="14" s="1"/>
  <c r="C1164" i="14" a="1"/>
  <c r="C1164" i="14"/>
  <c r="C1165" i="14" a="1"/>
  <c r="C1165" i="14" s="1"/>
  <c r="C1166" i="14" a="1"/>
  <c r="C1166" i="14" s="1"/>
  <c r="C1167" i="14" a="1"/>
  <c r="C1167" i="14" s="1"/>
  <c r="C1168" i="14" a="1"/>
  <c r="C1168" i="14" s="1"/>
  <c r="C1169" i="14" a="1"/>
  <c r="C1169" i="14" s="1"/>
  <c r="C1170" i="14" a="1"/>
  <c r="C1170" i="14" s="1"/>
  <c r="C1171" i="14" a="1"/>
  <c r="C1171" i="14" s="1"/>
  <c r="C1172" i="14" a="1"/>
  <c r="C1172" i="14" s="1"/>
  <c r="C1173" i="14" a="1"/>
  <c r="C1173" i="14" s="1"/>
  <c r="C1174" i="14" a="1"/>
  <c r="C1174" i="14" s="1"/>
  <c r="C1175" i="14" a="1"/>
  <c r="C1175" i="14"/>
  <c r="C1176" i="14" a="1"/>
  <c r="C1176" i="14"/>
  <c r="C1177" i="14" a="1"/>
  <c r="C1177" i="14" s="1"/>
  <c r="C1178" i="14" a="1"/>
  <c r="C1178" i="14" s="1"/>
  <c r="C1179" i="14" a="1"/>
  <c r="C1179" i="14" s="1"/>
  <c r="C1180" i="14" a="1"/>
  <c r="C1180" i="14" s="1"/>
  <c r="C1181" i="14" a="1"/>
  <c r="C1181" i="14" s="1"/>
  <c r="C1182" i="14" a="1"/>
  <c r="C1182" i="14" s="1"/>
  <c r="C1183" i="14" a="1"/>
  <c r="C1183" i="14" s="1"/>
  <c r="C1184" i="14" a="1"/>
  <c r="C1184" i="14"/>
  <c r="C1185" i="14" a="1"/>
  <c r="C1185" i="14"/>
  <c r="C1186" i="14" a="1"/>
  <c r="C1186" i="14" s="1"/>
  <c r="C1187" i="14" a="1"/>
  <c r="C1187" i="14" s="1"/>
  <c r="C1188" i="14" a="1"/>
  <c r="C1188" i="14" s="1"/>
  <c r="C1189" i="14" a="1"/>
  <c r="C1189" i="14" s="1"/>
  <c r="C1190" i="14" a="1"/>
  <c r="C1190" i="14" s="1"/>
  <c r="C1191" i="14" a="1"/>
  <c r="C1191" i="14" s="1"/>
  <c r="C1192" i="14" a="1"/>
  <c r="C1192" i="14" s="1"/>
  <c r="C1193" i="14" a="1"/>
  <c r="C1193" i="14" s="1"/>
  <c r="C1194" i="14" a="1"/>
  <c r="C1194" i="14" s="1"/>
  <c r="C1195" i="14" a="1"/>
  <c r="C1195" i="14" s="1"/>
  <c r="C1196" i="14" a="1"/>
  <c r="C1196" i="14" s="1"/>
  <c r="C1197" i="14" a="1"/>
  <c r="C1197" i="14" s="1"/>
  <c r="C1198" i="14" a="1"/>
  <c r="C1198" i="14"/>
  <c r="C1199" i="14" a="1"/>
  <c r="C1199" i="14" s="1"/>
  <c r="C1200" i="14" a="1"/>
  <c r="C1200" i="14" s="1"/>
  <c r="C1201" i="14" a="1"/>
  <c r="C1201" i="14" s="1"/>
  <c r="C1202" i="14" a="1"/>
  <c r="C1202" i="14" s="1"/>
  <c r="C1203" i="14" a="1"/>
  <c r="C1203" i="14" s="1"/>
  <c r="C1204" i="14" a="1"/>
  <c r="C1204" i="14" s="1"/>
  <c r="C1205" i="14" a="1"/>
  <c r="C1205" i="14" s="1"/>
  <c r="C1206" i="14" a="1"/>
  <c r="C1206" i="14" s="1"/>
  <c r="C1207" i="14" a="1"/>
  <c r="C1207" i="14"/>
  <c r="C1208" i="14" a="1"/>
  <c r="C1208" i="14" s="1"/>
  <c r="C1209" i="14" a="1"/>
  <c r="C1209" i="14" s="1"/>
  <c r="C1210" i="14" a="1"/>
  <c r="C1210" i="14" s="1"/>
  <c r="C1211" i="14" a="1"/>
  <c r="C1211" i="14" s="1"/>
  <c r="C1212" i="14" a="1"/>
  <c r="C1212" i="14" s="1"/>
  <c r="C1213" i="14" a="1"/>
  <c r="C1213" i="14" s="1"/>
  <c r="C1214" i="14" a="1"/>
  <c r="C1214" i="14" s="1"/>
  <c r="C1215" i="14" a="1"/>
  <c r="C1215" i="14" s="1"/>
  <c r="C1216" i="14" a="1"/>
  <c r="C1216" i="14" s="1"/>
  <c r="C1217" i="14" a="1"/>
  <c r="C1217" i="14" s="1"/>
  <c r="C1218" i="14" a="1"/>
  <c r="C1218" i="14" s="1"/>
  <c r="C1219" i="14" a="1"/>
  <c r="C1219" i="14" s="1"/>
  <c r="C1220" i="14" a="1"/>
  <c r="C1220" i="14" s="1"/>
  <c r="C1221" i="14" a="1"/>
  <c r="C1221" i="14" s="1"/>
  <c r="C1222" i="14" a="1"/>
  <c r="C1222" i="14" s="1"/>
  <c r="C1223" i="14" a="1"/>
  <c r="C1223" i="14" s="1"/>
  <c r="C1224" i="14" a="1"/>
  <c r="C1224" i="14" s="1"/>
  <c r="C1225" i="14" a="1"/>
  <c r="C1225" i="14" s="1"/>
  <c r="C1226" i="14" a="1"/>
  <c r="C1226" i="14" s="1"/>
  <c r="C1227" i="14" a="1"/>
  <c r="C1227" i="14" s="1"/>
  <c r="C1228" i="14" a="1"/>
  <c r="C1228" i="14" s="1"/>
  <c r="C1229" i="14" a="1"/>
  <c r="C1229" i="14" s="1"/>
  <c r="C1230" i="14" a="1"/>
  <c r="C1230" i="14" s="1"/>
  <c r="C1231" i="14" a="1"/>
  <c r="C1231" i="14" s="1"/>
  <c r="C1232" i="14" a="1"/>
  <c r="C1232" i="14" s="1"/>
  <c r="C1233" i="14" a="1"/>
  <c r="C1233" i="14" s="1"/>
  <c r="C1234" i="14" a="1"/>
  <c r="C1234" i="14" s="1"/>
  <c r="C1235" i="14" a="1"/>
  <c r="C1235" i="14" s="1"/>
  <c r="C1236" i="14" a="1"/>
  <c r="C1236" i="14"/>
  <c r="C1237" i="14" a="1"/>
  <c r="C1237" i="14" s="1"/>
  <c r="C1238" i="14" a="1"/>
  <c r="C1238" i="14" s="1"/>
  <c r="C1239" i="14" a="1"/>
  <c r="C1239" i="14" s="1"/>
  <c r="C1240" i="14" a="1"/>
  <c r="C1240" i="14" s="1"/>
  <c r="C1241" i="14" a="1"/>
  <c r="C1241" i="14" s="1"/>
  <c r="C1242" i="14" a="1"/>
  <c r="C1242" i="14" s="1"/>
  <c r="C1243" i="14" a="1"/>
  <c r="C1243" i="14" s="1"/>
  <c r="C1244" i="14" a="1"/>
  <c r="C1244" i="14" s="1"/>
  <c r="C1245" i="14" a="1"/>
  <c r="C1245" i="14" s="1"/>
  <c r="C1246" i="14" a="1"/>
  <c r="C1246" i="14" s="1"/>
  <c r="C1247" i="14" a="1"/>
  <c r="C1247" i="14" s="1"/>
  <c r="C1248" i="14" a="1"/>
  <c r="C1248" i="14" s="1"/>
  <c r="C1249" i="14" a="1"/>
  <c r="C1249" i="14" s="1"/>
  <c r="C1250" i="14" a="1"/>
  <c r="C1250" i="14" s="1"/>
  <c r="C1251" i="14" a="1"/>
  <c r="C1251" i="14" s="1"/>
  <c r="C1252" i="14" a="1"/>
  <c r="C1252" i="14" s="1"/>
  <c r="C1253" i="14" a="1"/>
  <c r="C1253" i="14" s="1"/>
  <c r="C1254" i="14" a="1"/>
  <c r="C1254" i="14"/>
  <c r="C1255" i="14" a="1"/>
  <c r="C1255" i="14" s="1"/>
  <c r="C1256" i="14" a="1"/>
  <c r="C1256" i="14"/>
  <c r="C1257" i="14" a="1"/>
  <c r="C1257" i="14" s="1"/>
  <c r="C1258" i="14" a="1"/>
  <c r="C1258" i="14" s="1"/>
  <c r="C1259" i="14" a="1"/>
  <c r="C1259" i="14" s="1"/>
  <c r="C1260" i="14" a="1"/>
  <c r="C1260" i="14" s="1"/>
  <c r="C1261" i="14" a="1"/>
  <c r="C1261" i="14" s="1"/>
  <c r="C1262" i="14" a="1"/>
  <c r="C1262" i="14"/>
  <c r="C1263" i="14" a="1"/>
  <c r="C1263" i="14" s="1"/>
  <c r="C1264" i="14" a="1"/>
  <c r="C1264" i="14" s="1"/>
  <c r="C1265" i="14" a="1"/>
  <c r="C1265" i="14"/>
  <c r="C1266" i="14" a="1"/>
  <c r="C1266" i="14" s="1"/>
  <c r="C1267" i="14" a="1"/>
  <c r="C1267" i="14"/>
  <c r="C1268" i="14" a="1"/>
  <c r="C1268" i="14" s="1"/>
  <c r="C1269" i="14" a="1"/>
  <c r="C1269" i="14" s="1"/>
  <c r="C1270" i="14" a="1"/>
  <c r="C1270" i="14" s="1"/>
  <c r="C1271" i="14" a="1"/>
  <c r="C1271" i="14" s="1"/>
  <c r="C1272" i="14" a="1"/>
  <c r="C1272" i="14" s="1"/>
  <c r="C1273" i="14" a="1"/>
  <c r="C1273" i="14" s="1"/>
  <c r="C1274" i="14" a="1"/>
  <c r="C1274" i="14" s="1"/>
  <c r="C1275" i="14" a="1"/>
  <c r="C1275" i="14" s="1"/>
  <c r="C1276" i="14" a="1"/>
  <c r="C1276" i="14" s="1"/>
  <c r="C1277" i="14" a="1"/>
  <c r="C1277" i="14" s="1"/>
  <c r="C1278" i="14" a="1"/>
  <c r="C1278" i="14" s="1"/>
  <c r="C1279" i="14" a="1"/>
  <c r="C1279" i="14" s="1"/>
  <c r="C1280" i="14" a="1"/>
  <c r="C1280" i="14"/>
  <c r="C1281" i="14" a="1"/>
  <c r="C1281" i="14" s="1"/>
  <c r="C1282" i="14" a="1"/>
  <c r="C1282" i="14" s="1"/>
  <c r="C1283" i="14" a="1"/>
  <c r="C1283" i="14" s="1"/>
  <c r="C1284" i="14" a="1"/>
  <c r="C1284" i="14" s="1"/>
  <c r="C1285" i="14" a="1"/>
  <c r="C1285" i="14" s="1"/>
  <c r="C1286" i="14" a="1"/>
  <c r="C1286" i="14" s="1"/>
  <c r="C1287" i="14" a="1"/>
  <c r="C1287" i="14" s="1"/>
  <c r="C1288" i="14" a="1"/>
  <c r="C1288" i="14" s="1"/>
  <c r="C1289" i="14" a="1"/>
  <c r="C1289" i="14" s="1"/>
  <c r="C1290" i="14" a="1"/>
  <c r="C1290" i="14" s="1"/>
  <c r="C1291" i="14" a="1"/>
  <c r="C1291" i="14" s="1"/>
  <c r="C1292" i="14" a="1"/>
  <c r="C1292" i="14" s="1"/>
  <c r="C1293" i="14" a="1"/>
  <c r="C1293" i="14" s="1"/>
  <c r="C1294" i="14" a="1"/>
  <c r="C1294" i="14" s="1"/>
  <c r="C1295" i="14" a="1"/>
  <c r="C1295" i="14" s="1"/>
  <c r="C1296" i="14" a="1"/>
  <c r="C1296" i="14" s="1"/>
  <c r="C1297" i="14" a="1"/>
  <c r="C1297" i="14"/>
  <c r="C1298" i="14" a="1"/>
  <c r="C1298" i="14" s="1"/>
  <c r="C1299" i="14" a="1"/>
  <c r="C1299" i="14" s="1"/>
  <c r="C1300" i="14" a="1"/>
  <c r="C1300" i="14" s="1"/>
  <c r="C1301" i="14" a="1"/>
  <c r="C1301" i="14" s="1"/>
  <c r="C1302" i="14" a="1"/>
  <c r="C1302" i="14" s="1"/>
  <c r="C1303" i="14" a="1"/>
  <c r="C1303" i="14" s="1"/>
  <c r="C1304" i="14" a="1"/>
  <c r="C1304" i="14" s="1"/>
  <c r="C1305" i="14" a="1"/>
  <c r="C1305" i="14" s="1"/>
  <c r="C1306" i="14" a="1"/>
  <c r="C1306" i="14" s="1"/>
  <c r="C1307" i="14" a="1"/>
  <c r="C1307" i="14" s="1"/>
  <c r="C1308" i="14" a="1"/>
  <c r="C1308" i="14" s="1"/>
  <c r="C1309" i="14" a="1"/>
  <c r="C1309" i="14" s="1"/>
  <c r="C1310" i="14" a="1"/>
  <c r="C1310" i="14"/>
  <c r="C1311" i="14" a="1"/>
  <c r="C1311" i="14" s="1"/>
  <c r="C1312" i="14" a="1"/>
  <c r="C1312" i="14" s="1"/>
  <c r="C1313" i="14" a="1"/>
  <c r="C1313" i="14" s="1"/>
  <c r="C1314" i="14" a="1"/>
  <c r="C1314" i="14" s="1"/>
  <c r="C1315" i="14" a="1"/>
  <c r="C1315" i="14" s="1"/>
  <c r="C1316" i="14" a="1"/>
  <c r="C1316" i="14" s="1"/>
  <c r="C1317" i="14" a="1"/>
  <c r="C1317" i="14" s="1"/>
  <c r="C1318" i="14" a="1"/>
  <c r="C1318" i="14" s="1"/>
  <c r="C1319" i="14" a="1"/>
  <c r="C1319" i="14" s="1"/>
  <c r="C1320" i="14" a="1"/>
  <c r="C1320" i="14" s="1"/>
  <c r="C1321" i="14" a="1"/>
  <c r="C1321" i="14" s="1"/>
  <c r="C1322" i="14" a="1"/>
  <c r="C1322" i="14" s="1"/>
  <c r="C1323" i="14" a="1"/>
  <c r="C1323" i="14" s="1"/>
  <c r="C1324" i="14" a="1"/>
  <c r="C1324" i="14"/>
  <c r="C1325" i="14" a="1"/>
  <c r="C1325" i="14" s="1"/>
  <c r="C1326" i="14" a="1"/>
  <c r="C1326" i="14" s="1"/>
  <c r="C1327" i="14" a="1"/>
  <c r="C1327" i="14" s="1"/>
  <c r="C1328" i="14" a="1"/>
  <c r="C1328" i="14" s="1"/>
  <c r="C1329" i="14" a="1"/>
  <c r="C1329" i="14" s="1"/>
  <c r="C1330" i="14" a="1"/>
  <c r="C1330" i="14" s="1"/>
  <c r="C1331" i="14" a="1"/>
  <c r="C1331" i="14" s="1"/>
  <c r="C1332" i="14" a="1"/>
  <c r="C1332" i="14" s="1"/>
  <c r="C1333" i="14" a="1"/>
  <c r="C1333" i="14" s="1"/>
  <c r="C1334" i="14" a="1"/>
  <c r="C1334" i="14" s="1"/>
  <c r="C1335" i="14" a="1"/>
  <c r="C1335" i="14" s="1"/>
  <c r="C1336" i="14" a="1"/>
  <c r="C1336" i="14" s="1"/>
  <c r="C1337" i="14" a="1"/>
  <c r="C1337" i="14" s="1"/>
  <c r="C1338" i="14" a="1"/>
  <c r="C1338" i="14" s="1"/>
  <c r="C1339" i="14" a="1"/>
  <c r="C1339" i="14" s="1"/>
  <c r="C1340" i="14" a="1"/>
  <c r="C1340" i="14" s="1"/>
  <c r="C1341" i="14" a="1"/>
  <c r="C1341" i="14" s="1"/>
  <c r="C1342" i="14" a="1"/>
  <c r="C1342" i="14" s="1"/>
  <c r="C1343" i="14" a="1"/>
  <c r="C1343" i="14" s="1"/>
  <c r="C1344" i="14" a="1"/>
  <c r="C1344" i="14" s="1"/>
  <c r="C1345" i="14" a="1"/>
  <c r="C1345" i="14" s="1"/>
  <c r="C1346" i="14" a="1"/>
  <c r="C1346" i="14" s="1"/>
  <c r="C1347" i="14" a="1"/>
  <c r="C1347" i="14" s="1"/>
  <c r="C1348" i="14" a="1"/>
  <c r="C1348" i="14" s="1"/>
  <c r="C1349" i="14" a="1"/>
  <c r="C1349" i="14" s="1"/>
  <c r="C1350" i="14" a="1"/>
  <c r="C1350" i="14"/>
  <c r="C1351" i="14" a="1"/>
  <c r="C1351" i="14" s="1"/>
  <c r="C1352" i="14" a="1"/>
  <c r="C1352" i="14" s="1"/>
  <c r="C1353" i="14" a="1"/>
  <c r="C1353" i="14" s="1"/>
  <c r="C1354" i="14" a="1"/>
  <c r="C1354" i="14" s="1"/>
  <c r="C1355" i="14" a="1"/>
  <c r="C1355" i="14" s="1"/>
  <c r="C1356" i="14" a="1"/>
  <c r="C1356" i="14" s="1"/>
  <c r="C1357" i="14" a="1"/>
  <c r="C1357" i="14" s="1"/>
  <c r="C1358" i="14" a="1"/>
  <c r="C1358" i="14" s="1"/>
  <c r="C1359" i="14" a="1"/>
  <c r="C1359" i="14" s="1"/>
  <c r="C1360" i="14" a="1"/>
  <c r="C1360" i="14" s="1"/>
  <c r="C1361" i="14" a="1"/>
  <c r="C1361" i="14" s="1"/>
  <c r="C1362" i="14" a="1"/>
  <c r="C1362" i="14"/>
  <c r="C1363" i="14" a="1"/>
  <c r="C1363" i="14" s="1"/>
  <c r="C1364" i="14" a="1"/>
  <c r="C1364" i="14" s="1"/>
  <c r="C1365" i="14" a="1"/>
  <c r="C1365" i="14" s="1"/>
  <c r="C1366" i="14" a="1"/>
  <c r="C1366" i="14" s="1"/>
  <c r="C1367" i="14" a="1"/>
  <c r="C1367" i="14" s="1"/>
  <c r="C1368" i="14" a="1"/>
  <c r="C1368" i="14" s="1"/>
  <c r="C1369" i="14" a="1"/>
  <c r="C1369" i="14" s="1"/>
  <c r="C1370" i="14" a="1"/>
  <c r="C1370" i="14" s="1"/>
  <c r="C1371" i="14" a="1"/>
  <c r="C1371" i="14" s="1"/>
  <c r="C1372" i="14" a="1"/>
  <c r="C1372" i="14" s="1"/>
  <c r="C1373" i="14" a="1"/>
  <c r="C1373" i="14" s="1"/>
  <c r="C1374" i="14" a="1"/>
  <c r="C1374" i="14" s="1"/>
  <c r="C1375" i="14" a="1"/>
  <c r="C1375" i="14" s="1"/>
  <c r="C1376" i="14" a="1"/>
  <c r="C1376" i="14" s="1"/>
  <c r="C1377" i="14" a="1"/>
  <c r="C1377" i="14" s="1"/>
  <c r="C1378" i="14" a="1"/>
  <c r="C1378" i="14" s="1"/>
  <c r="C1379" i="14" a="1"/>
  <c r="C1379" i="14" s="1"/>
  <c r="C1380" i="14" a="1"/>
  <c r="C1380" i="14" s="1"/>
  <c r="C1381" i="14" a="1"/>
  <c r="C1381" i="14" s="1"/>
  <c r="C1382" i="14" a="1"/>
  <c r="C1382" i="14" s="1"/>
  <c r="C1383" i="14" a="1"/>
  <c r="C1383" i="14" s="1"/>
  <c r="C1384" i="14" a="1"/>
  <c r="C1384" i="14" s="1"/>
  <c r="C1385" i="14" a="1"/>
  <c r="C1385" i="14" s="1"/>
  <c r="C1386" i="14" a="1"/>
  <c r="C1386" i="14" s="1"/>
  <c r="C1387" i="14" a="1"/>
  <c r="C1387" i="14" s="1"/>
  <c r="C1388" i="14" a="1"/>
  <c r="C1388" i="14" s="1"/>
  <c r="C1389" i="14" a="1"/>
  <c r="C1389" i="14" s="1"/>
  <c r="C1390" i="14" a="1"/>
  <c r="C1390" i="14" s="1"/>
  <c r="C1391" i="14" a="1"/>
  <c r="C1391" i="14" s="1"/>
  <c r="C1392" i="14" a="1"/>
  <c r="C1392" i="14" s="1"/>
  <c r="C1393" i="14" a="1"/>
  <c r="C1393" i="14" s="1"/>
  <c r="C1394" i="14" a="1"/>
  <c r="C1394" i="14" s="1"/>
  <c r="C1395" i="14" a="1"/>
  <c r="C1395" i="14" s="1"/>
  <c r="C1396" i="14" a="1"/>
  <c r="C1396" i="14"/>
  <c r="C1397" i="14" a="1"/>
  <c r="C1397" i="14" s="1"/>
  <c r="C1398" i="14" a="1"/>
  <c r="C1398" i="14" s="1"/>
  <c r="C1399" i="14" a="1"/>
  <c r="C1399" i="14" s="1"/>
  <c r="C1400" i="14" a="1"/>
  <c r="C1400" i="14" s="1"/>
  <c r="C1401" i="14" a="1"/>
  <c r="C1401" i="14" s="1"/>
  <c r="C1402" i="14" a="1"/>
  <c r="C1402" i="14" s="1"/>
  <c r="C1403" i="14" a="1"/>
  <c r="C1403" i="14"/>
  <c r="C1404" i="14" a="1"/>
  <c r="C1404" i="14" s="1"/>
  <c r="C1405" i="14" a="1"/>
  <c r="C1405" i="14"/>
  <c r="C1406" i="14" a="1"/>
  <c r="C1406" i="14" s="1"/>
  <c r="C1407" i="14" a="1"/>
  <c r="C1407" i="14" s="1"/>
  <c r="C1408" i="14" a="1"/>
  <c r="C1408" i="14" s="1"/>
  <c r="C1409" i="14" a="1"/>
  <c r="C1409" i="14" s="1"/>
  <c r="C1410" i="14" a="1"/>
  <c r="C1410" i="14" s="1"/>
  <c r="C1411" i="14" a="1"/>
  <c r="C1411" i="14" s="1"/>
  <c r="C1412" i="14" a="1"/>
  <c r="C1412" i="14" s="1"/>
  <c r="C1413" i="14" a="1"/>
  <c r="C1413" i="14" s="1"/>
  <c r="C1414" i="14" a="1"/>
  <c r="C1414" i="14" s="1"/>
  <c r="C1415" i="14" a="1"/>
  <c r="C1415" i="14"/>
  <c r="C1416" i="14" a="1"/>
  <c r="C1416" i="14" s="1"/>
  <c r="C1417" i="14" a="1"/>
  <c r="C1417" i="14" s="1"/>
  <c r="C1418" i="14" a="1"/>
  <c r="C1418" i="14" s="1"/>
  <c r="C1419" i="14" a="1"/>
  <c r="C1419" i="14" s="1"/>
  <c r="C1420" i="14" a="1"/>
  <c r="C1420" i="14" s="1"/>
  <c r="C1421" i="14" a="1"/>
  <c r="C1421" i="14" s="1"/>
  <c r="C1422" i="14" a="1"/>
  <c r="C1422" i="14" s="1"/>
  <c r="C1423" i="14" a="1"/>
  <c r="C1423" i="14" s="1"/>
  <c r="C1424" i="14" a="1"/>
  <c r="C1424" i="14" s="1"/>
  <c r="C1425" i="14" a="1"/>
  <c r="C1425" i="14"/>
  <c r="C1426" i="14" a="1"/>
  <c r="C1426" i="14" s="1"/>
  <c r="C1427" i="14" a="1"/>
  <c r="C1427" i="14" s="1"/>
  <c r="C1428" i="14" a="1"/>
  <c r="C1428" i="14" s="1"/>
  <c r="C1429" i="14" a="1"/>
  <c r="C1429" i="14" s="1"/>
  <c r="C1430" i="14" a="1"/>
  <c r="C1430" i="14" s="1"/>
  <c r="C1431" i="14" a="1"/>
  <c r="C1431" i="14" s="1"/>
  <c r="C1432" i="14" a="1"/>
  <c r="C1432" i="14" s="1"/>
  <c r="C1433" i="14" a="1"/>
  <c r="C1433" i="14" s="1"/>
  <c r="C1434" i="14" a="1"/>
  <c r="C1434" i="14" s="1"/>
  <c r="C1435" i="14" a="1"/>
  <c r="C1435" i="14" s="1"/>
  <c r="C1436" i="14" a="1"/>
  <c r="C1436" i="14" s="1"/>
  <c r="C1437" i="14" a="1"/>
  <c r="C1437" i="14"/>
  <c r="C1438" i="14" a="1"/>
  <c r="C1438" i="14" s="1"/>
  <c r="C1439" i="14" a="1"/>
  <c r="C1439" i="14" s="1"/>
  <c r="C1440" i="14" a="1"/>
  <c r="C1440" i="14" s="1"/>
  <c r="C1441" i="14" a="1"/>
  <c r="C1441" i="14" s="1"/>
  <c r="C1442" i="14" a="1"/>
  <c r="C1442" i="14" s="1"/>
  <c r="C1443" i="14" a="1"/>
  <c r="C1443" i="14" s="1"/>
  <c r="C1444" i="14" a="1"/>
  <c r="C1444" i="14" s="1"/>
  <c r="C1445" i="14" a="1"/>
  <c r="C1445" i="14" s="1"/>
  <c r="C1446" i="14" a="1"/>
  <c r="C1446" i="14" s="1"/>
  <c r="C1447" i="14" a="1"/>
  <c r="C1447" i="14"/>
  <c r="C1448" i="14" a="1"/>
  <c r="C1448" i="14" s="1"/>
  <c r="C1449" i="14" a="1"/>
  <c r="C1449" i="14" s="1"/>
  <c r="C1450" i="14" a="1"/>
  <c r="C1450" i="14"/>
  <c r="C1451" i="14" a="1"/>
  <c r="C1451" i="14" s="1"/>
  <c r="C1452" i="14" a="1"/>
  <c r="C1452" i="14" s="1"/>
  <c r="C1453" i="14" a="1"/>
  <c r="C1453" i="14" s="1"/>
  <c r="C1454" i="14" a="1"/>
  <c r="C1454" i="14" s="1"/>
  <c r="C1455" i="14" a="1"/>
  <c r="C1455" i="14" s="1"/>
  <c r="C1456" i="14" a="1"/>
  <c r="C1456" i="14" s="1"/>
  <c r="C1457" i="14" a="1"/>
  <c r="C1457" i="14" s="1"/>
  <c r="C1458" i="14" a="1"/>
  <c r="C1458" i="14"/>
  <c r="C1459" i="14" a="1"/>
  <c r="C1459" i="14"/>
  <c r="C1460" i="14" a="1"/>
  <c r="C1460" i="14"/>
  <c r="C1461" i="14" a="1"/>
  <c r="C1461" i="14" s="1"/>
  <c r="C1462" i="14" a="1"/>
  <c r="C1462" i="14" s="1"/>
  <c r="C1463" i="14" a="1"/>
  <c r="C1463" i="14"/>
  <c r="C1464" i="14" a="1"/>
  <c r="C1464" i="14" s="1"/>
  <c r="C1465" i="14" a="1"/>
  <c r="C1465" i="14" s="1"/>
  <c r="C1466" i="14" a="1"/>
  <c r="C1466" i="14" s="1"/>
  <c r="C1467" i="14" a="1"/>
  <c r="C1467" i="14" s="1"/>
  <c r="C1468" i="14" a="1"/>
  <c r="C1468" i="14" s="1"/>
  <c r="C1469" i="14" a="1"/>
  <c r="C1469" i="14" s="1"/>
  <c r="C1470" i="14" a="1"/>
  <c r="C1470" i="14" s="1"/>
  <c r="C1471" i="14" a="1"/>
  <c r="C1471" i="14" s="1"/>
  <c r="C1472" i="14" a="1"/>
  <c r="C1472" i="14"/>
  <c r="C1473" i="14" a="1"/>
  <c r="C1473" i="14" s="1"/>
  <c r="C1474" i="14" a="1"/>
  <c r="C1474" i="14" s="1"/>
  <c r="C1475" i="14" a="1"/>
  <c r="C1475" i="14" s="1"/>
  <c r="C1476" i="14" a="1"/>
  <c r="C1476" i="14" s="1"/>
  <c r="C1477" i="14" a="1"/>
  <c r="C1477" i="14"/>
  <c r="C1478" i="14" a="1"/>
  <c r="C1478" i="14" s="1"/>
  <c r="C1479" i="14" a="1"/>
  <c r="C1479" i="14" s="1"/>
  <c r="C1480" i="14" a="1"/>
  <c r="C1480" i="14" s="1"/>
  <c r="C1481" i="14" a="1"/>
  <c r="C1481" i="14" s="1"/>
  <c r="C1482" i="14" a="1"/>
  <c r="C1482" i="14" s="1"/>
  <c r="C1483" i="14" a="1"/>
  <c r="C1483" i="14" s="1"/>
  <c r="C1484" i="14" a="1"/>
  <c r="C1484" i="14" s="1"/>
  <c r="C1485" i="14" a="1"/>
  <c r="C1485" i="14" s="1"/>
  <c r="C1486" i="14" a="1"/>
  <c r="C1486" i="14" s="1"/>
  <c r="C1487" i="14" a="1"/>
  <c r="C1487" i="14" s="1"/>
  <c r="C1488" i="14" a="1"/>
  <c r="C1488" i="14" s="1"/>
  <c r="C1489" i="14" a="1"/>
  <c r="C1489" i="14" s="1"/>
  <c r="C1490" i="14" a="1"/>
  <c r="C1490" i="14" s="1"/>
  <c r="C1491" i="14" a="1"/>
  <c r="C1491" i="14"/>
  <c r="C1492" i="14" a="1"/>
  <c r="C1492" i="14" s="1"/>
  <c r="C1493" i="14" a="1"/>
  <c r="C1493" i="14" s="1"/>
  <c r="C1494" i="14" a="1"/>
  <c r="C1494" i="14" s="1"/>
  <c r="C1495" i="14" a="1"/>
  <c r="C1495" i="14" s="1"/>
  <c r="C1496" i="14" a="1"/>
  <c r="C1496" i="14" s="1"/>
  <c r="C1497" i="14" a="1"/>
  <c r="C1497" i="14"/>
  <c r="C1498" i="14" a="1"/>
  <c r="C1498" i="14" s="1"/>
  <c r="C1499" i="14" a="1"/>
  <c r="C1499" i="14" s="1"/>
  <c r="C1500" i="14" a="1"/>
  <c r="C1500" i="14" s="1"/>
  <c r="C1501" i="14" a="1"/>
  <c r="C1501" i="14" s="1"/>
  <c r="C1502" i="14" a="1"/>
  <c r="C1502" i="14" s="1"/>
  <c r="C1503" i="14" a="1"/>
  <c r="C1503" i="14" s="1"/>
  <c r="C1504" i="14" a="1"/>
  <c r="C1504" i="14" s="1"/>
  <c r="C1505" i="14" a="1"/>
  <c r="C1505" i="14" s="1"/>
  <c r="C1506" i="14" a="1"/>
  <c r="C1506" i="14"/>
  <c r="C1507" i="14" a="1"/>
  <c r="C1507" i="14" s="1"/>
  <c r="C1508" i="14" a="1"/>
  <c r="C1508" i="14"/>
  <c r="C1509" i="14" a="1"/>
  <c r="C1509" i="14" s="1"/>
  <c r="C1510" i="14" a="1"/>
  <c r="C1510" i="14"/>
  <c r="C1511" i="14" a="1"/>
  <c r="C1511" i="14"/>
  <c r="C1512" i="14" a="1"/>
  <c r="C1512" i="14" s="1"/>
  <c r="C1513" i="14" a="1"/>
  <c r="C1513" i="14" s="1"/>
  <c r="C1514" i="14" a="1"/>
  <c r="C1514" i="14" s="1"/>
  <c r="C1515" i="14" a="1"/>
  <c r="C1515" i="14" s="1"/>
  <c r="C1516" i="14" a="1"/>
  <c r="C1516" i="14" s="1"/>
  <c r="C1517" i="14" a="1"/>
  <c r="C1517" i="14"/>
  <c r="C1518" i="14" a="1"/>
  <c r="C1518" i="14" s="1"/>
  <c r="C1519" i="14" a="1"/>
  <c r="C1519" i="14" s="1"/>
  <c r="C1520" i="14" a="1"/>
  <c r="C1520" i="14" s="1"/>
  <c r="C1521" i="14" a="1"/>
  <c r="C1521" i="14"/>
  <c r="C1522" i="14" a="1"/>
  <c r="C1522" i="14" s="1"/>
  <c r="C1523" i="14" a="1"/>
  <c r="C1523" i="14"/>
  <c r="C1524" i="14" a="1"/>
  <c r="C1524" i="14"/>
  <c r="C1525" i="14" a="1"/>
  <c r="C1525" i="14" s="1"/>
  <c r="C1526" i="14" a="1"/>
  <c r="C1526" i="14"/>
  <c r="C1527" i="14" a="1"/>
  <c r="C1527" i="14" s="1"/>
  <c r="C1528" i="14" a="1"/>
  <c r="C1528" i="14" s="1"/>
  <c r="C1529" i="14" a="1"/>
  <c r="C1529" i="14"/>
  <c r="C1530" i="14" a="1"/>
  <c r="C1530" i="14" s="1"/>
  <c r="C1531" i="14" a="1"/>
  <c r="C1531" i="14" s="1"/>
  <c r="C1532" i="14" a="1"/>
  <c r="C1532" i="14" s="1"/>
  <c r="C1533" i="14" a="1"/>
  <c r="C1533" i="14" s="1"/>
  <c r="C1534" i="14" a="1"/>
  <c r="C1534" i="14"/>
  <c r="C1535" i="14" a="1"/>
  <c r="C1535" i="14"/>
  <c r="C1536" i="14" a="1"/>
  <c r="C1536" i="14" s="1"/>
  <c r="C1537" i="14" a="1"/>
  <c r="C1537" i="14" s="1"/>
  <c r="C1538" i="14" a="1"/>
  <c r="C1538" i="14" s="1"/>
  <c r="C1539" i="14" a="1"/>
  <c r="C1539" i="14" s="1"/>
  <c r="C1540" i="14" a="1"/>
  <c r="C1540" i="14" s="1"/>
  <c r="C1541" i="14" a="1"/>
  <c r="C1541" i="14" s="1"/>
  <c r="C1542" i="14" a="1"/>
  <c r="C1542" i="14" s="1"/>
  <c r="C1543" i="14" a="1"/>
  <c r="C1543" i="14" s="1"/>
  <c r="C1544" i="14" a="1"/>
  <c r="C1544" i="14" s="1"/>
  <c r="C1545" i="14" a="1"/>
  <c r="C1545" i="14" s="1"/>
  <c r="C1546" i="14" a="1"/>
  <c r="C1546" i="14" s="1"/>
  <c r="C1547" i="14" a="1"/>
  <c r="C1547" i="14"/>
  <c r="C1548" i="14" a="1"/>
  <c r="C1548" i="14" s="1"/>
  <c r="C1549" i="14" a="1"/>
  <c r="C1549" i="14" s="1"/>
  <c r="C1550" i="14" a="1"/>
  <c r="C1550" i="14" s="1"/>
  <c r="C1551" i="14" a="1"/>
  <c r="C1551" i="14" s="1"/>
  <c r="C1552" i="14" a="1"/>
  <c r="C1552" i="14" s="1"/>
  <c r="C1553" i="14" a="1"/>
  <c r="C1553" i="14" s="1"/>
  <c r="C1554" i="14" a="1"/>
  <c r="C1554" i="14" s="1"/>
  <c r="C1555" i="14" a="1"/>
  <c r="C1555" i="14" s="1"/>
  <c r="C1556" i="14" a="1"/>
  <c r="C1556" i="14" s="1"/>
  <c r="C1557" i="14" a="1"/>
  <c r="C1557" i="14" s="1"/>
  <c r="C1558" i="14" a="1"/>
  <c r="C1558" i="14" s="1"/>
  <c r="C1559" i="14" a="1"/>
  <c r="C1559" i="14" s="1"/>
  <c r="C1560" i="14" a="1"/>
  <c r="C1560" i="14"/>
  <c r="C1561" i="14" a="1"/>
  <c r="C1561" i="14" s="1"/>
  <c r="C1562" i="14" a="1"/>
  <c r="C1562" i="14" s="1"/>
  <c r="C1563" i="14" a="1"/>
  <c r="C1563" i="14" s="1"/>
  <c r="C1564" i="14" a="1"/>
  <c r="C1564" i="14"/>
  <c r="C1565" i="14" a="1"/>
  <c r="C1565" i="14" s="1"/>
  <c r="C1566" i="14" a="1"/>
  <c r="C1566" i="14" s="1"/>
  <c r="C1567" i="14" a="1"/>
  <c r="C1567" i="14" s="1"/>
  <c r="C1568" i="14" a="1"/>
  <c r="C1568" i="14" s="1"/>
  <c r="C1569" i="14" a="1"/>
  <c r="C1569" i="14" s="1"/>
  <c r="C1570" i="14" a="1"/>
  <c r="C1570" i="14"/>
  <c r="C1571" i="14" a="1"/>
  <c r="C1571" i="14" s="1"/>
  <c r="C1572" i="14" a="1"/>
  <c r="C1572" i="14" s="1"/>
  <c r="C1573" i="14" a="1"/>
  <c r="C1573" i="14" s="1"/>
  <c r="C1574" i="14" a="1"/>
  <c r="C1574" i="14" s="1"/>
  <c r="C1575" i="14" a="1"/>
  <c r="C1575" i="14" s="1"/>
  <c r="C1576" i="14" a="1"/>
  <c r="C1576" i="14" s="1"/>
  <c r="C1577" i="14" a="1"/>
  <c r="C1577" i="14" s="1"/>
  <c r="C1578" i="14" a="1"/>
  <c r="C1578" i="14" s="1"/>
  <c r="C1579" i="14" a="1"/>
  <c r="C1579" i="14" s="1"/>
  <c r="C1580" i="14" a="1"/>
  <c r="C1580" i="14" s="1"/>
  <c r="C1581" i="14" a="1"/>
  <c r="C1581" i="14" s="1"/>
  <c r="C1582" i="14" a="1"/>
  <c r="C1582" i="14" s="1"/>
  <c r="C1583" i="14" a="1"/>
  <c r="C1583" i="14" s="1"/>
  <c r="C1584" i="14" a="1"/>
  <c r="C1584" i="14" s="1"/>
  <c r="C1585" i="14" a="1"/>
  <c r="C1585" i="14" s="1"/>
  <c r="C1586" i="14" a="1"/>
  <c r="C1586" i="14" s="1"/>
  <c r="C1587" i="14" a="1"/>
  <c r="C1587" i="14" s="1"/>
  <c r="C1588" i="14" a="1"/>
  <c r="C1588" i="14" s="1"/>
  <c r="C1589" i="14" a="1"/>
  <c r="C1589" i="14" s="1"/>
  <c r="C1590" i="14" a="1"/>
  <c r="C1590" i="14" s="1"/>
  <c r="C1591" i="14" a="1"/>
  <c r="C1591" i="14"/>
  <c r="C1592" i="14" a="1"/>
  <c r="C1592" i="14" s="1"/>
  <c r="C1593" i="14" a="1"/>
  <c r="C1593" i="14" s="1"/>
  <c r="C1594" i="14" a="1"/>
  <c r="C1594" i="14" s="1"/>
  <c r="C1595" i="14" a="1"/>
  <c r="C1595" i="14" s="1"/>
  <c r="C1596" i="14" a="1"/>
  <c r="C1596" i="14" s="1"/>
  <c r="C1597" i="14" a="1"/>
  <c r="C1597" i="14"/>
  <c r="C1598" i="14" a="1"/>
  <c r="C1598" i="14" s="1"/>
  <c r="C1599" i="14" a="1"/>
  <c r="C1599" i="14" s="1"/>
  <c r="C1600" i="14" a="1"/>
  <c r="C1600" i="14" s="1"/>
  <c r="C1601" i="14" a="1"/>
  <c r="C1601" i="14"/>
  <c r="C1602" i="14" a="1"/>
  <c r="C1602" i="14"/>
  <c r="C1603" i="14" a="1"/>
  <c r="C1603" i="14" s="1"/>
  <c r="C1604" i="14" a="1"/>
  <c r="C1604" i="14" s="1"/>
  <c r="C1605" i="14" a="1"/>
  <c r="C1605" i="14" s="1"/>
  <c r="C1606" i="14" a="1"/>
  <c r="C1606" i="14"/>
  <c r="C1607" i="14" a="1"/>
  <c r="C1607" i="14" s="1"/>
  <c r="C1608" i="14" a="1"/>
  <c r="C1608" i="14" s="1"/>
  <c r="C1609" i="14" a="1"/>
  <c r="C1609" i="14" s="1"/>
  <c r="C1610" i="14" a="1"/>
  <c r="C1610" i="14"/>
  <c r="C1611" i="14" a="1"/>
  <c r="C1611" i="14" s="1"/>
  <c r="C1612" i="14" a="1"/>
  <c r="C1612" i="14" s="1"/>
  <c r="C1613" i="14" a="1"/>
  <c r="C1613" i="14" s="1"/>
  <c r="C1614" i="14" a="1"/>
  <c r="C1614" i="14" s="1"/>
  <c r="C1615" i="14" a="1"/>
  <c r="C1615" i="14" s="1"/>
  <c r="C1616" i="14" a="1"/>
  <c r="C1616" i="14" s="1"/>
  <c r="C1617" i="14" a="1"/>
  <c r="C1617" i="14" s="1"/>
  <c r="C1618" i="14" a="1"/>
  <c r="C1618" i="14" s="1"/>
  <c r="C1619" i="14" a="1"/>
  <c r="C1619" i="14" s="1"/>
  <c r="C1620" i="14" a="1"/>
  <c r="C1620" i="14" s="1"/>
  <c r="C1621" i="14" a="1"/>
  <c r="C1621" i="14" s="1"/>
  <c r="C1622" i="14" a="1"/>
  <c r="C1622" i="14"/>
  <c r="C1623" i="14" a="1"/>
  <c r="C1623" i="14" s="1"/>
  <c r="C1624" i="14" a="1"/>
  <c r="C1624" i="14" s="1"/>
  <c r="C1625" i="14" a="1"/>
  <c r="C1625" i="14" s="1"/>
  <c r="C1626" i="14" a="1"/>
  <c r="C1626" i="14" s="1"/>
  <c r="C1627" i="14" a="1"/>
  <c r="C1627" i="14" s="1"/>
  <c r="C1628" i="14" a="1"/>
  <c r="C1628" i="14" s="1"/>
  <c r="C1629" i="14" a="1"/>
  <c r="C1629" i="14" s="1"/>
  <c r="C1630" i="14" a="1"/>
  <c r="C1630" i="14" s="1"/>
  <c r="C1631" i="14" a="1"/>
  <c r="C1631" i="14" s="1"/>
  <c r="C1632" i="14" a="1"/>
  <c r="C1632" i="14" s="1"/>
  <c r="C1633" i="14" a="1"/>
  <c r="C1633" i="14" s="1"/>
  <c r="C1634" i="14" a="1"/>
  <c r="C1634" i="14"/>
  <c r="C1635" i="14" a="1"/>
  <c r="C1635" i="14" s="1"/>
  <c r="C1636" i="14" a="1"/>
  <c r="C1636" i="14" s="1"/>
  <c r="C1637" i="14" a="1"/>
  <c r="C1637" i="14" s="1"/>
  <c r="C1638" i="14" a="1"/>
  <c r="C1638" i="14" s="1"/>
  <c r="C1639" i="14" a="1"/>
  <c r="C1639" i="14" s="1"/>
  <c r="C1640" i="14" a="1"/>
  <c r="C1640" i="14" s="1"/>
  <c r="C1641" i="14" a="1"/>
  <c r="C1641" i="14" s="1"/>
  <c r="C1642" i="14" a="1"/>
  <c r="C1642" i="14" s="1"/>
  <c r="C1643" i="14" a="1"/>
  <c r="C1643" i="14" s="1"/>
  <c r="C1644" i="14" a="1"/>
  <c r="C1644" i="14" s="1"/>
  <c r="C1645" i="14" a="1"/>
  <c r="C1645" i="14" s="1"/>
  <c r="C1646" i="14" a="1"/>
  <c r="C1646" i="14" s="1"/>
  <c r="C1647" i="14" a="1"/>
  <c r="C1647" i="14" s="1"/>
  <c r="C1648" i="14" a="1"/>
  <c r="C1648" i="14" s="1"/>
  <c r="C1649" i="14" a="1"/>
  <c r="C1649" i="14"/>
  <c r="C1650" i="14" a="1"/>
  <c r="C1650" i="14" s="1"/>
  <c r="C1651" i="14" a="1"/>
  <c r="C1651" i="14" s="1"/>
  <c r="C1652" i="14" a="1"/>
  <c r="C1652" i="14" s="1"/>
  <c r="C1653" i="14" a="1"/>
  <c r="C1653" i="14"/>
  <c r="C1654" i="14" a="1"/>
  <c r="C1654" i="14" s="1"/>
  <c r="C1655" i="14" a="1"/>
  <c r="C1655" i="14" s="1"/>
  <c r="C1656" i="14" a="1"/>
  <c r="C1656" i="14" s="1"/>
  <c r="C1657" i="14" a="1"/>
  <c r="C1657" i="14" s="1"/>
  <c r="C1658" i="14" a="1"/>
  <c r="C1658" i="14" s="1"/>
  <c r="C1659" i="14" a="1"/>
  <c r="C1659" i="14" s="1"/>
  <c r="C1660" i="14" a="1"/>
  <c r="C1660" i="14" s="1"/>
  <c r="C1661" i="14" a="1"/>
  <c r="C1661" i="14"/>
  <c r="C1662" i="14" a="1"/>
  <c r="C1662" i="14" s="1"/>
  <c r="C1663" i="14" a="1"/>
  <c r="C1663" i="14" s="1"/>
  <c r="C1664" i="14" a="1"/>
  <c r="C1664" i="14" s="1"/>
  <c r="C1665" i="14" a="1"/>
  <c r="C1665" i="14" s="1"/>
  <c r="C1666" i="14" a="1"/>
  <c r="C1666" i="14" s="1"/>
  <c r="C1667" i="14" a="1"/>
  <c r="C1667" i="14" s="1"/>
  <c r="C1668" i="14" a="1"/>
  <c r="C1668" i="14" s="1"/>
  <c r="C1669" i="14" a="1"/>
  <c r="C1669" i="14" s="1"/>
  <c r="C1670" i="14" a="1"/>
  <c r="C1670" i="14" s="1"/>
  <c r="C1671" i="14" a="1"/>
  <c r="C1671" i="14" s="1"/>
  <c r="C1672" i="14" a="1"/>
  <c r="C1672" i="14" s="1"/>
  <c r="C1673" i="14" a="1"/>
  <c r="C1673" i="14" s="1"/>
  <c r="C1674" i="14" a="1"/>
  <c r="C1674" i="14" s="1"/>
  <c r="C1675" i="14" a="1"/>
  <c r="C1675" i="14" s="1"/>
  <c r="C1676" i="14" a="1"/>
  <c r="C1676" i="14" s="1"/>
  <c r="C1677" i="14" a="1"/>
  <c r="C1677" i="14" s="1"/>
  <c r="C1678" i="14" a="1"/>
  <c r="C1678" i="14"/>
  <c r="C1679" i="14" a="1"/>
  <c r="C1679" i="14" s="1"/>
  <c r="C1680" i="14" a="1"/>
  <c r="C1680" i="14" s="1"/>
  <c r="C1681" i="14" a="1"/>
  <c r="C1681" i="14" s="1"/>
  <c r="C1682" i="14" a="1"/>
  <c r="C1682" i="14" s="1"/>
  <c r="C1683" i="14" a="1"/>
  <c r="C1683" i="14" s="1"/>
  <c r="C1684" i="14" a="1"/>
  <c r="C1684" i="14" s="1"/>
  <c r="C1685" i="14" a="1"/>
  <c r="C1685" i="14" s="1"/>
  <c r="C1686" i="14" a="1"/>
  <c r="C1686" i="14"/>
  <c r="C1687" i="14" a="1"/>
  <c r="C1687" i="14" s="1"/>
  <c r="C1688" i="14" a="1"/>
  <c r="C1688" i="14"/>
  <c r="C1689" i="14" a="1"/>
  <c r="C1689" i="14" s="1"/>
  <c r="C1690" i="14" a="1"/>
  <c r="C1690" i="14" s="1"/>
  <c r="C1691" i="14" a="1"/>
  <c r="C1691" i="14"/>
  <c r="C1692" i="14" a="1"/>
  <c r="C1692" i="14" s="1"/>
  <c r="C1693" i="14" a="1"/>
  <c r="C1693" i="14" s="1"/>
  <c r="C1694" i="14" a="1"/>
  <c r="C1694" i="14" s="1"/>
  <c r="C1695" i="14" a="1"/>
  <c r="C1695" i="14" s="1"/>
  <c r="C1696" i="14" a="1"/>
  <c r="C1696" i="14" s="1"/>
  <c r="C1697" i="14" a="1"/>
  <c r="C1697" i="14" s="1"/>
  <c r="C1698" i="14" a="1"/>
  <c r="C1698" i="14" s="1"/>
  <c r="C1699" i="14" a="1"/>
  <c r="C1699" i="14" s="1"/>
  <c r="C1700" i="14" a="1"/>
  <c r="C1700" i="14" s="1"/>
  <c r="C1701" i="14" a="1"/>
  <c r="C1701" i="14" s="1"/>
  <c r="C1702" i="14" a="1"/>
  <c r="C1702" i="14" s="1"/>
  <c r="C1703" i="14" a="1"/>
  <c r="C1703" i="14" s="1"/>
  <c r="C1704" i="14" a="1"/>
  <c r="C1704" i="14" s="1"/>
  <c r="C1705" i="14" a="1"/>
  <c r="C1705" i="14" s="1"/>
  <c r="C1706" i="14" a="1"/>
  <c r="C1706" i="14" s="1"/>
  <c r="C1707" i="14" a="1"/>
  <c r="C1707" i="14" s="1"/>
  <c r="C1708" i="14" a="1"/>
  <c r="C1708" i="14" s="1"/>
  <c r="C1709" i="14" a="1"/>
  <c r="C1709" i="14" s="1"/>
  <c r="C1710" i="14" a="1"/>
  <c r="C1710" i="14" s="1"/>
  <c r="C1711" i="14" a="1"/>
  <c r="C1711" i="14" s="1"/>
  <c r="C1712" i="14" a="1"/>
  <c r="C1712" i="14" s="1"/>
  <c r="C1713" i="14" a="1"/>
  <c r="C1713" i="14" s="1"/>
  <c r="C1714" i="14" a="1"/>
  <c r="C1714" i="14" s="1"/>
  <c r="C1715" i="14" a="1"/>
  <c r="C1715" i="14" s="1"/>
  <c r="C1716" i="14" a="1"/>
  <c r="C1716" i="14" s="1"/>
  <c r="C1717" i="14" a="1"/>
  <c r="C1717" i="14"/>
  <c r="C1718" i="14" a="1"/>
  <c r="C1718" i="14" s="1"/>
  <c r="C1719" i="14" a="1"/>
  <c r="C1719" i="14" s="1"/>
  <c r="C1720" i="14" a="1"/>
  <c r="C1720" i="14" s="1"/>
  <c r="C1721" i="14" a="1"/>
  <c r="C1721" i="14" s="1"/>
  <c r="C1722" i="14" a="1"/>
  <c r="C1722" i="14" s="1"/>
  <c r="C1723" i="14" a="1"/>
  <c r="C1723" i="14" s="1"/>
  <c r="C1724" i="14" a="1"/>
  <c r="C1724" i="14" s="1"/>
  <c r="C1725" i="14" a="1"/>
  <c r="C1725" i="14" s="1"/>
  <c r="C1726" i="14" a="1"/>
  <c r="C1726" i="14" s="1"/>
  <c r="C1727" i="14" a="1"/>
  <c r="C1727" i="14" s="1"/>
  <c r="C1728" i="14" a="1"/>
  <c r="C1728" i="14"/>
  <c r="C1729" i="14" a="1"/>
  <c r="C1729" i="14" s="1"/>
  <c r="C1730" i="14" a="1"/>
  <c r="C1730" i="14" s="1"/>
  <c r="C1731" i="14" a="1"/>
  <c r="C1731" i="14" s="1"/>
  <c r="C1732" i="14" a="1"/>
  <c r="C1732" i="14" s="1"/>
  <c r="C1733" i="14" a="1"/>
  <c r="C1733" i="14" s="1"/>
  <c r="C1734" i="14" a="1"/>
  <c r="C1734" i="14" s="1"/>
  <c r="C1735" i="14" a="1"/>
  <c r="C1735" i="14"/>
  <c r="C1736" i="14" a="1"/>
  <c r="C1736" i="14" s="1"/>
  <c r="C1737" i="14" a="1"/>
  <c r="C1737" i="14" s="1"/>
  <c r="C1738" i="14" a="1"/>
  <c r="C1738" i="14" s="1"/>
  <c r="C1739" i="14" a="1"/>
  <c r="C1739" i="14" s="1"/>
  <c r="C1740" i="14" a="1"/>
  <c r="C1740" i="14" s="1"/>
  <c r="C1741" i="14" a="1"/>
  <c r="C1741" i="14"/>
  <c r="C1742" i="14" a="1"/>
  <c r="C1742" i="14" s="1"/>
  <c r="C1743" i="14" a="1"/>
  <c r="C1743" i="14"/>
  <c r="C1744" i="14" a="1"/>
  <c r="C1744" i="14" s="1"/>
  <c r="C1745" i="14" a="1"/>
  <c r="C1745" i="14" s="1"/>
  <c r="C1746" i="14" a="1"/>
  <c r="C1746" i="14" s="1"/>
  <c r="C1747" i="14" a="1"/>
  <c r="C1747" i="14" s="1"/>
  <c r="C1748" i="14" a="1"/>
  <c r="C1748" i="14" s="1"/>
  <c r="C1749" i="14" a="1"/>
  <c r="C1749" i="14"/>
  <c r="C1750" i="14" a="1"/>
  <c r="C1750" i="14" s="1"/>
  <c r="C1751" i="14" a="1"/>
  <c r="C1751" i="14" s="1"/>
  <c r="C1752" i="14" a="1"/>
  <c r="C1752" i="14" s="1"/>
  <c r="C1753" i="14" a="1"/>
  <c r="C1753" i="14" s="1"/>
  <c r="C1754" i="14" a="1"/>
  <c r="C1754" i="14" s="1"/>
  <c r="C1755" i="14" a="1"/>
  <c r="C1755" i="14"/>
  <c r="C1756" i="14" a="1"/>
  <c r="C1756" i="14" s="1"/>
  <c r="C1757" i="14" a="1"/>
  <c r="C1757" i="14" s="1"/>
  <c r="C1758" i="14" a="1"/>
  <c r="C1758" i="14" s="1"/>
  <c r="C1759" i="14" a="1"/>
  <c r="C1759" i="14" s="1"/>
  <c r="C1760" i="14" a="1"/>
  <c r="C1760" i="14" s="1"/>
  <c r="C1761" i="14" a="1"/>
  <c r="C1761" i="14" s="1"/>
  <c r="C1762" i="14" a="1"/>
  <c r="C1762" i="14" s="1"/>
  <c r="C1763" i="14" a="1"/>
  <c r="C1763" i="14" s="1"/>
  <c r="C1764" i="14" a="1"/>
  <c r="C1764" i="14" s="1"/>
  <c r="C1765" i="14" a="1"/>
  <c r="C1765" i="14" s="1"/>
  <c r="C1766" i="14" a="1"/>
  <c r="C1766" i="14" s="1"/>
  <c r="C1767" i="14" a="1"/>
  <c r="C1767" i="14" s="1"/>
  <c r="C1768" i="14" a="1"/>
  <c r="C1768" i="14" s="1"/>
  <c r="C1769" i="14" a="1"/>
  <c r="C1769" i="14" s="1"/>
  <c r="C1770" i="14" a="1"/>
  <c r="C1770" i="14" s="1"/>
  <c r="C1771" i="14" a="1"/>
  <c r="C1771" i="14" s="1"/>
  <c r="C1772" i="14" a="1"/>
  <c r="C1772" i="14" s="1"/>
  <c r="C1773" i="14" a="1"/>
  <c r="C1773" i="14" s="1"/>
  <c r="C1774" i="14" a="1"/>
  <c r="C1774" i="14" s="1"/>
  <c r="C1775" i="14" a="1"/>
  <c r="C1775" i="14" s="1"/>
  <c r="C1776" i="14" a="1"/>
  <c r="C1776" i="14" s="1"/>
  <c r="C1777" i="14" a="1"/>
  <c r="C1777" i="14" s="1"/>
  <c r="C1778" i="14" a="1"/>
  <c r="C1778" i="14" s="1"/>
  <c r="C1779" i="14" a="1"/>
  <c r="C1779" i="14" s="1"/>
  <c r="C1780" i="14" a="1"/>
  <c r="C1780" i="14" s="1"/>
  <c r="C1781" i="14" a="1"/>
  <c r="C1781" i="14" s="1"/>
  <c r="C1782" i="14" a="1"/>
  <c r="C1782" i="14"/>
  <c r="C1783" i="14" a="1"/>
  <c r="C1783" i="14" s="1"/>
  <c r="C1784" i="14" a="1"/>
  <c r="C1784" i="14" s="1"/>
  <c r="C1785" i="14" a="1"/>
  <c r="C1785" i="14" s="1"/>
  <c r="C1786" i="14" a="1"/>
  <c r="C1786" i="14" s="1"/>
  <c r="C1787" i="14" a="1"/>
  <c r="C1787" i="14" s="1"/>
  <c r="C1788" i="14" a="1"/>
  <c r="C1788" i="14"/>
  <c r="C1789" i="14" a="1"/>
  <c r="C1789" i="14" s="1"/>
  <c r="C1790" i="14" a="1"/>
  <c r="C1790" i="14" s="1"/>
  <c r="C1791" i="14" a="1"/>
  <c r="C1791" i="14" s="1"/>
  <c r="C1792" i="14" a="1"/>
  <c r="C1792" i="14" s="1"/>
  <c r="C1793" i="14" a="1"/>
  <c r="C1793" i="14" s="1"/>
  <c r="C1794" i="14" a="1"/>
  <c r="C1794" i="14" s="1"/>
  <c r="C1795" i="14" a="1"/>
  <c r="C1795" i="14" s="1"/>
  <c r="C1796" i="14" a="1"/>
  <c r="C1796" i="14" s="1"/>
  <c r="C1797" i="14" a="1"/>
  <c r="C1797" i="14" s="1"/>
  <c r="C1798" i="14" a="1"/>
  <c r="C1798" i="14" s="1"/>
  <c r="C1799" i="14" a="1"/>
  <c r="C1799" i="14" s="1"/>
  <c r="C1800" i="14" a="1"/>
  <c r="C1800" i="14" s="1"/>
  <c r="C1801" i="14" a="1"/>
  <c r="C1801" i="14" s="1"/>
  <c r="C1802" i="14" a="1"/>
  <c r="C1802" i="14" s="1"/>
  <c r="C1803" i="14" a="1"/>
  <c r="C1803" i="14" s="1"/>
  <c r="C1804" i="14" a="1"/>
  <c r="C1804" i="14" s="1"/>
  <c r="C1805" i="14" a="1"/>
  <c r="C1805" i="14"/>
  <c r="C1806" i="14" a="1"/>
  <c r="C1806" i="14" s="1"/>
  <c r="C1807" i="14" a="1"/>
  <c r="C1807" i="14" s="1"/>
  <c r="C1808" i="14" a="1"/>
  <c r="C1808" i="14" s="1"/>
  <c r="C1809" i="14" a="1"/>
  <c r="C1809" i="14" s="1"/>
  <c r="C1810" i="14" a="1"/>
  <c r="C1810" i="14" s="1"/>
  <c r="C1811" i="14" a="1"/>
  <c r="C1811" i="14" s="1"/>
  <c r="C1812" i="14" a="1"/>
  <c r="C1812" i="14"/>
  <c r="C1813" i="14" a="1"/>
  <c r="C1813" i="14" s="1"/>
  <c r="C1814" i="14" a="1"/>
  <c r="C1814" i="14" s="1"/>
  <c r="C1815" i="14" a="1"/>
  <c r="C1815" i="14" s="1"/>
  <c r="C1816" i="14" a="1"/>
  <c r="C1816" i="14"/>
  <c r="C1817" i="14" a="1"/>
  <c r="C1817" i="14" s="1"/>
  <c r="C1818" i="14" a="1"/>
  <c r="C1818" i="14" s="1"/>
  <c r="C1819" i="14" a="1"/>
  <c r="C1819" i="14" s="1"/>
  <c r="C1820" i="14" a="1"/>
  <c r="C1820" i="14" s="1"/>
  <c r="C1821" i="14" a="1"/>
  <c r="C1821" i="14" s="1"/>
  <c r="C1822" i="14" a="1"/>
  <c r="C1822" i="14" s="1"/>
  <c r="C1823" i="14" a="1"/>
  <c r="C1823" i="14" s="1"/>
  <c r="C1824" i="14" a="1"/>
  <c r="C1824" i="14"/>
  <c r="C1825" i="14" a="1"/>
  <c r="C1825" i="14" s="1"/>
  <c r="C1826" i="14" a="1"/>
  <c r="C1826" i="14" s="1"/>
  <c r="C1827" i="14" a="1"/>
  <c r="C1827" i="14" s="1"/>
  <c r="C1828" i="14" a="1"/>
  <c r="C1828" i="14" s="1"/>
  <c r="C1829" i="14" a="1"/>
  <c r="C1829" i="14" s="1"/>
  <c r="C1830" i="14" a="1"/>
  <c r="C1830" i="14" s="1"/>
  <c r="C1831" i="14" a="1"/>
  <c r="C1831" i="14" s="1"/>
  <c r="C1832" i="14" a="1"/>
  <c r="C1832" i="14" s="1"/>
  <c r="C1833" i="14" a="1"/>
  <c r="C1833" i="14" s="1"/>
  <c r="C1834" i="14" a="1"/>
  <c r="C1834" i="14" s="1"/>
  <c r="C1835" i="14" a="1"/>
  <c r="C1835" i="14"/>
  <c r="C1836" i="14" a="1"/>
  <c r="C1836" i="14" s="1"/>
  <c r="C1837" i="14" a="1"/>
  <c r="C1837" i="14" s="1"/>
  <c r="C1838" i="14" a="1"/>
  <c r="C1838" i="14" s="1"/>
  <c r="C1839" i="14" a="1"/>
  <c r="C1839" i="14"/>
  <c r="C1840" i="14" a="1"/>
  <c r="C1840" i="14" s="1"/>
  <c r="C1841" i="14" a="1"/>
  <c r="C1841" i="14" s="1"/>
  <c r="C1842" i="14" a="1"/>
  <c r="C1842" i="14" s="1"/>
  <c r="C1843" i="14" a="1"/>
  <c r="C1843" i="14" s="1"/>
  <c r="C1844" i="14" a="1"/>
  <c r="C1844" i="14"/>
  <c r="C1845" i="14" a="1"/>
  <c r="C1845" i="14" s="1"/>
  <c r="C1846" i="14" a="1"/>
  <c r="C1846" i="14" s="1"/>
  <c r="C1847" i="14" a="1"/>
  <c r="C1847" i="14" s="1"/>
  <c r="C1848" i="14" a="1"/>
  <c r="C1848" i="14" s="1"/>
  <c r="C1849" i="14" a="1"/>
  <c r="C1849" i="14" s="1"/>
  <c r="C1850" i="14" a="1"/>
  <c r="C1850" i="14" s="1"/>
  <c r="C1851" i="14" a="1"/>
  <c r="C1851" i="14" s="1"/>
  <c r="C1852" i="14" a="1"/>
  <c r="C1852" i="14"/>
  <c r="C1853" i="14" a="1"/>
  <c r="C1853" i="14" s="1"/>
  <c r="C1854" i="14" a="1"/>
  <c r="C1854" i="14"/>
  <c r="C1855" i="14" a="1"/>
  <c r="C1855" i="14" s="1"/>
  <c r="C1856" i="14" a="1"/>
  <c r="C1856" i="14" s="1"/>
  <c r="C1857" i="14" a="1"/>
  <c r="C1857" i="14" s="1"/>
  <c r="C1858" i="14" a="1"/>
  <c r="C1858" i="14" s="1"/>
  <c r="C1859" i="14" a="1"/>
  <c r="C1859" i="14" s="1"/>
  <c r="C1860" i="14" a="1"/>
  <c r="C1860" i="14" s="1"/>
  <c r="C1861" i="14" a="1"/>
  <c r="C1861" i="14" s="1"/>
  <c r="C1862" i="14" a="1"/>
  <c r="C1862" i="14" s="1"/>
  <c r="C1863" i="14" a="1"/>
  <c r="C1863" i="14" s="1"/>
  <c r="C1864" i="14" a="1"/>
  <c r="C1864" i="14" s="1"/>
  <c r="C1865" i="14" a="1"/>
  <c r="C1865" i="14" s="1"/>
  <c r="C1866" i="14" a="1"/>
  <c r="C1866" i="14" s="1"/>
  <c r="C1867" i="14" a="1"/>
  <c r="C1867" i="14" s="1"/>
  <c r="C1868" i="14" a="1"/>
  <c r="C1868" i="14" s="1"/>
  <c r="C1869" i="14" a="1"/>
  <c r="C1869" i="14" s="1"/>
  <c r="C1870" i="14" a="1"/>
  <c r="C1870" i="14" s="1"/>
  <c r="C1871" i="14" a="1"/>
  <c r="C1871" i="14" s="1"/>
  <c r="C1872" i="14" a="1"/>
  <c r="C1872" i="14" s="1"/>
  <c r="C1873" i="14" a="1"/>
  <c r="C1873" i="14" s="1"/>
  <c r="C1874" i="14" a="1"/>
  <c r="C1874" i="14" s="1"/>
  <c r="C1875" i="14" a="1"/>
  <c r="C1875" i="14"/>
  <c r="C1876" i="14" a="1"/>
  <c r="C1876" i="14" s="1"/>
  <c r="C1877" i="14" a="1"/>
  <c r="C1877" i="14" s="1"/>
  <c r="C1878" i="14" a="1"/>
  <c r="C1878" i="14" s="1"/>
  <c r="C1879" i="14" a="1"/>
  <c r="C1879" i="14" s="1"/>
  <c r="C1880" i="14" a="1"/>
  <c r="C1880" i="14"/>
  <c r="C1881" i="14" a="1"/>
  <c r="C1881" i="14" s="1"/>
  <c r="C1882" i="14" a="1"/>
  <c r="C1882" i="14" s="1"/>
  <c r="C1883" i="14" a="1"/>
  <c r="C1883" i="14" s="1"/>
  <c r="C1884" i="14" a="1"/>
  <c r="C1884" i="14" s="1"/>
  <c r="C1885" i="14" a="1"/>
  <c r="C1885" i="14" s="1"/>
  <c r="C1886" i="14" a="1"/>
  <c r="C1886" i="14" s="1"/>
  <c r="C1887" i="14" a="1"/>
  <c r="C1887" i="14" s="1"/>
  <c r="C1888" i="14" a="1"/>
  <c r="C1888" i="14" s="1"/>
  <c r="C1889" i="14" a="1"/>
  <c r="C1889" i="14" s="1"/>
  <c r="C1890" i="14" a="1"/>
  <c r="C1890" i="14" s="1"/>
  <c r="C1891" i="14" a="1"/>
  <c r="C1891" i="14" s="1"/>
  <c r="C1892" i="14" a="1"/>
  <c r="C1892" i="14" s="1"/>
  <c r="C1893" i="14" a="1"/>
  <c r="C1893" i="14" s="1"/>
  <c r="C1894" i="14" a="1"/>
  <c r="C1894" i="14" s="1"/>
  <c r="C1895" i="14" a="1"/>
  <c r="C1895" i="14" s="1"/>
  <c r="C1896" i="14" a="1"/>
  <c r="C1896" i="14" s="1"/>
  <c r="C1897" i="14" a="1"/>
  <c r="C1897" i="14" s="1"/>
  <c r="C1898" i="14" a="1"/>
  <c r="C1898" i="14" s="1"/>
  <c r="C1899" i="14" a="1"/>
  <c r="C1899" i="14" s="1"/>
  <c r="C1900" i="14" a="1"/>
  <c r="C1900" i="14" s="1"/>
  <c r="C1901" i="14" a="1"/>
  <c r="C1901" i="14" s="1"/>
  <c r="C1902" i="14" a="1"/>
  <c r="C1902" i="14" s="1"/>
  <c r="C1903" i="14" a="1"/>
  <c r="C1903" i="14" s="1"/>
  <c r="C1904" i="14" a="1"/>
  <c r="C1904" i="14" s="1"/>
  <c r="C1905" i="14" a="1"/>
  <c r="C1905" i="14" s="1"/>
  <c r="C1906" i="14" a="1"/>
  <c r="C1906" i="14" s="1"/>
  <c r="C1907" i="14" a="1"/>
  <c r="C1907" i="14" s="1"/>
  <c r="C1908" i="14" a="1"/>
  <c r="C1908" i="14" s="1"/>
  <c r="C1909" i="14" a="1"/>
  <c r="C1909" i="14" s="1"/>
  <c r="C1910" i="14" a="1"/>
  <c r="C1910" i="14" s="1"/>
  <c r="C1911" i="14" a="1"/>
  <c r="C1911" i="14" s="1"/>
  <c r="C1912" i="14" a="1"/>
  <c r="C1912" i="14" s="1"/>
  <c r="C1913" i="14" a="1"/>
  <c r="C1913" i="14" s="1"/>
  <c r="C1914" i="14" a="1"/>
  <c r="C1914" i="14" s="1"/>
  <c r="C1915" i="14" a="1"/>
  <c r="C1915" i="14" s="1"/>
  <c r="C1916" i="14" a="1"/>
  <c r="C1916" i="14" s="1"/>
  <c r="C1917" i="14" a="1"/>
  <c r="C1917" i="14" s="1"/>
  <c r="C1918" i="14" a="1"/>
  <c r="C1918" i="14" s="1"/>
  <c r="C1919" i="14" a="1"/>
  <c r="C1919" i="14"/>
  <c r="C1920" i="14" a="1"/>
  <c r="C1920" i="14" s="1"/>
  <c r="C1921" i="14" a="1"/>
  <c r="C1921" i="14" s="1"/>
  <c r="C1922" i="14" a="1"/>
  <c r="C1922" i="14" s="1"/>
  <c r="C1923" i="14" a="1"/>
  <c r="C1923" i="14" s="1"/>
  <c r="C1924" i="14" a="1"/>
  <c r="C1924" i="14" s="1"/>
  <c r="C1925" i="14" a="1"/>
  <c r="C1925" i="14"/>
  <c r="C1926" i="14" a="1"/>
  <c r="C1926" i="14" s="1"/>
  <c r="C1927" i="14" a="1"/>
  <c r="C1927" i="14" s="1"/>
  <c r="C1928" i="14" a="1"/>
  <c r="C1928" i="14" s="1"/>
  <c r="C1929" i="14" a="1"/>
  <c r="C1929" i="14" s="1"/>
  <c r="C1930" i="14" a="1"/>
  <c r="C1930" i="14" s="1"/>
  <c r="C1931" i="14" a="1"/>
  <c r="C1931" i="14" s="1"/>
  <c r="C1932" i="14" a="1"/>
  <c r="C1932" i="14" s="1"/>
  <c r="C1933" i="14" a="1"/>
  <c r="C1933" i="14" s="1"/>
  <c r="C1934" i="14" a="1"/>
  <c r="C1934" i="14"/>
  <c r="C1935" i="14" a="1"/>
  <c r="C1935" i="14"/>
  <c r="C1936" i="14" a="1"/>
  <c r="C1936" i="14" s="1"/>
  <c r="C1937" i="14" a="1"/>
  <c r="C1937" i="14" s="1"/>
  <c r="C1938" i="14" a="1"/>
  <c r="C1938" i="14" s="1"/>
  <c r="C1939" i="14" a="1"/>
  <c r="C1939" i="14"/>
  <c r="C1940" i="14" a="1"/>
  <c r="C1940" i="14" s="1"/>
  <c r="C1941" i="14" a="1"/>
  <c r="C1941" i="14" s="1"/>
  <c r="C1942" i="14" a="1"/>
  <c r="C1942" i="14" s="1"/>
  <c r="C1943" i="14" a="1"/>
  <c r="C1943" i="14" s="1"/>
  <c r="C1944" i="14" a="1"/>
  <c r="C1944" i="14" s="1"/>
  <c r="C1945" i="14" a="1"/>
  <c r="C1945" i="14"/>
  <c r="C1946" i="14" a="1"/>
  <c r="C1946" i="14" s="1"/>
  <c r="C1947" i="14" a="1"/>
  <c r="C1947" i="14"/>
  <c r="C1948" i="14" a="1"/>
  <c r="C1948" i="14" s="1"/>
  <c r="C1949" i="14" a="1"/>
  <c r="C1949" i="14" s="1"/>
  <c r="C1950" i="14" a="1"/>
  <c r="C1950" i="14" s="1"/>
  <c r="C1951" i="14" a="1"/>
  <c r="C1951" i="14" s="1"/>
  <c r="C1952" i="14" a="1"/>
  <c r="C1952" i="14"/>
  <c r="C1953" i="14" a="1"/>
  <c r="C1953" i="14" s="1"/>
  <c r="C1954" i="14" a="1"/>
  <c r="C1954" i="14" s="1"/>
  <c r="C1955" i="14" a="1"/>
  <c r="C1955" i="14" s="1"/>
  <c r="C1956" i="14" a="1"/>
  <c r="C1956" i="14"/>
  <c r="C1957" i="14" a="1"/>
  <c r="C1957" i="14" s="1"/>
  <c r="C1958" i="14" a="1"/>
  <c r="C1958" i="14" s="1"/>
  <c r="C1959" i="14" a="1"/>
  <c r="C1959" i="14" s="1"/>
  <c r="C1960" i="14" a="1"/>
  <c r="C1960" i="14" s="1"/>
  <c r="C1961" i="14" a="1"/>
  <c r="C1961" i="14" s="1"/>
  <c r="C1962" i="14" a="1"/>
  <c r="C1962" i="14" s="1"/>
  <c r="C1963" i="14" a="1"/>
  <c r="C1963" i="14" s="1"/>
  <c r="C1964" i="14" a="1"/>
  <c r="C1964" i="14" s="1"/>
  <c r="C1965" i="14" a="1"/>
  <c r="C1965" i="14" s="1"/>
  <c r="C1966" i="14" a="1"/>
  <c r="C1966" i="14" s="1"/>
  <c r="C1967" i="14" a="1"/>
  <c r="C1967" i="14" s="1"/>
  <c r="C1968" i="14" a="1"/>
  <c r="C1968" i="14" s="1"/>
  <c r="C1969" i="14" a="1"/>
  <c r="C1969" i="14" s="1"/>
  <c r="C1970" i="14" a="1"/>
  <c r="C1970" i="14"/>
  <c r="C1971" i="14" a="1"/>
  <c r="C1971" i="14" s="1"/>
  <c r="C1972" i="14" a="1"/>
  <c r="C1972" i="14" s="1"/>
  <c r="C1973" i="14" a="1"/>
  <c r="C1973" i="14" s="1"/>
  <c r="C1974" i="14" a="1"/>
  <c r="C1974" i="14" s="1"/>
  <c r="C1975" i="14" a="1"/>
  <c r="C1975" i="14" s="1"/>
  <c r="C1976" i="14" a="1"/>
  <c r="C1976" i="14" s="1"/>
  <c r="C1977" i="14" a="1"/>
  <c r="C1977" i="14" s="1"/>
  <c r="C1978" i="14" a="1"/>
  <c r="C1978" i="14" s="1"/>
  <c r="C1979" i="14" a="1"/>
  <c r="C1979" i="14" s="1"/>
  <c r="C1980" i="14" a="1"/>
  <c r="C1980" i="14" s="1"/>
  <c r="C1981" i="14" a="1"/>
  <c r="C1981" i="14" s="1"/>
  <c r="C1982" i="14" a="1"/>
  <c r="C1982" i="14" s="1"/>
  <c r="C1983" i="14" a="1"/>
  <c r="C1983" i="14" s="1"/>
  <c r="C1984" i="14" a="1"/>
  <c r="C1984" i="14" s="1"/>
  <c r="C1985" i="14" a="1"/>
  <c r="C1985" i="14" s="1"/>
  <c r="C1986" i="14" a="1"/>
  <c r="C1986" i="14"/>
  <c r="C1987" i="14" a="1"/>
  <c r="C1987" i="14"/>
  <c r="C1988" i="14" a="1"/>
  <c r="C1988" i="14" s="1"/>
  <c r="C1989" i="14" a="1"/>
  <c r="C1989" i="14" s="1"/>
  <c r="C1990" i="14" a="1"/>
  <c r="C1990" i="14" s="1"/>
  <c r="C1991" i="14" a="1"/>
  <c r="C1991" i="14" s="1"/>
  <c r="C1992" i="14" a="1"/>
  <c r="C1992" i="14" s="1"/>
  <c r="C1993" i="14" a="1"/>
  <c r="C1993" i="14" s="1"/>
  <c r="C1994" i="14" a="1"/>
  <c r="C1994" i="14" s="1"/>
  <c r="C1995" i="14" a="1"/>
  <c r="C1995" i="14"/>
  <c r="C1996" i="14" a="1"/>
  <c r="C1996" i="14"/>
  <c r="C1997" i="14" a="1"/>
  <c r="C1997" i="14" s="1"/>
  <c r="C1998" i="14" a="1"/>
  <c r="C1998" i="14" s="1"/>
  <c r="C1999" i="14" a="1"/>
  <c r="C1999" i="14" s="1"/>
  <c r="C2000" i="14" a="1"/>
  <c r="C2000" i="14" s="1"/>
  <c r="C2001" i="14" a="1"/>
  <c r="C2001" i="14" s="1"/>
  <c r="C2002" i="14" a="1"/>
  <c r="C2002" i="14" s="1"/>
  <c r="C2003" i="14" a="1"/>
  <c r="C2003" i="14" s="1"/>
  <c r="C2004" i="14" a="1"/>
  <c r="C2004" i="14" s="1"/>
  <c r="C2005" i="14" a="1"/>
  <c r="C2005" i="14" s="1"/>
  <c r="C2006" i="14" a="1"/>
  <c r="C2006" i="14" s="1"/>
  <c r="C2007" i="14" a="1"/>
  <c r="C2007" i="14" s="1"/>
  <c r="C2008" i="14" a="1"/>
  <c r="C2008" i="14" s="1"/>
  <c r="C2009" i="14" a="1"/>
  <c r="C2009" i="14" s="1"/>
  <c r="C2010" i="14" a="1"/>
  <c r="C2010" i="14" s="1"/>
  <c r="C2011" i="14" a="1"/>
  <c r="C2011" i="14" s="1"/>
  <c r="C2012" i="14" a="1"/>
  <c r="C2012" i="14" s="1"/>
  <c r="C2013" i="14" a="1"/>
  <c r="C2013" i="14" s="1"/>
  <c r="C2014" i="14" a="1"/>
  <c r="C2014" i="14" s="1"/>
  <c r="C2015" i="14" a="1"/>
  <c r="C2015" i="14"/>
  <c r="C2016" i="14" a="1"/>
  <c r="C2016" i="14" s="1"/>
  <c r="C2017" i="14" a="1"/>
  <c r="C2017" i="14" s="1"/>
  <c r="C2018" i="14" a="1"/>
  <c r="C2018" i="14" s="1"/>
  <c r="C2019" i="14" a="1"/>
  <c r="C2019" i="14" s="1"/>
  <c r="C2020" i="14" a="1"/>
  <c r="C2020" i="14" s="1"/>
  <c r="C2021" i="14" a="1"/>
  <c r="C2021" i="14" s="1"/>
  <c r="C2022" i="14" a="1"/>
  <c r="C2022" i="14" s="1"/>
  <c r="C2023" i="14" a="1"/>
  <c r="C2023" i="14" s="1"/>
  <c r="C2024" i="14" a="1"/>
  <c r="C2024" i="14" s="1"/>
  <c r="C2025" i="14" a="1"/>
  <c r="C2025" i="14" s="1"/>
  <c r="C2026" i="14" a="1"/>
  <c r="C2026" i="14" s="1"/>
  <c r="C2027" i="14" a="1"/>
  <c r="C2027" i="14" s="1"/>
  <c r="C2028" i="14" a="1"/>
  <c r="C2028" i="14" s="1"/>
  <c r="C2029" i="14" a="1"/>
  <c r="C2029" i="14"/>
  <c r="C2030" i="14" a="1"/>
  <c r="C2030" i="14" s="1"/>
  <c r="C2031" i="14" a="1"/>
  <c r="C2031" i="14" s="1"/>
  <c r="C2032" i="14" a="1"/>
  <c r="C2032" i="14" s="1"/>
  <c r="C2033" i="14" a="1"/>
  <c r="C2033" i="14"/>
  <c r="C2034" i="14" a="1"/>
  <c r="C2034" i="14" s="1"/>
  <c r="C2035" i="14" a="1"/>
  <c r="C2035" i="14" s="1"/>
  <c r="C2036" i="14" a="1"/>
  <c r="C2036" i="14" s="1"/>
  <c r="C2037" i="14" a="1"/>
  <c r="C2037" i="14" s="1"/>
  <c r="C2038" i="14" a="1"/>
  <c r="C2038" i="14" s="1"/>
  <c r="C2039" i="14" a="1"/>
  <c r="C2039" i="14" s="1"/>
  <c r="C2040" i="14" a="1"/>
  <c r="C2040" i="14" s="1"/>
  <c r="C2041" i="14" a="1"/>
  <c r="C2041" i="14" s="1"/>
  <c r="C2042" i="14" a="1"/>
  <c r="C2042" i="14" s="1"/>
  <c r="C2043" i="14" a="1"/>
  <c r="C2043" i="14" s="1"/>
  <c r="C2044" i="14" a="1"/>
  <c r="C2044" i="14" s="1"/>
  <c r="C2045" i="14" a="1"/>
  <c r="C2045" i="14" s="1"/>
  <c r="C2046" i="14" a="1"/>
  <c r="C2046" i="14" s="1"/>
  <c r="C2047" i="14" a="1"/>
  <c r="C2047" i="14" s="1"/>
  <c r="C2048" i="14" a="1"/>
  <c r="C2048" i="14" s="1"/>
  <c r="C2049" i="14" a="1"/>
  <c r="C2049" i="14" s="1"/>
  <c r="C2050" i="14" a="1"/>
  <c r="C2050" i="14" s="1"/>
  <c r="C2051" i="14" a="1"/>
  <c r="C2051" i="14" s="1"/>
  <c r="C2052" i="14" a="1"/>
  <c r="C2052" i="14" s="1"/>
  <c r="C2053" i="14" a="1"/>
  <c r="C2053" i="14" s="1"/>
  <c r="C2054" i="14" a="1"/>
  <c r="C2054" i="14" s="1"/>
  <c r="C2055" i="14" a="1"/>
  <c r="C2055" i="14" s="1"/>
  <c r="C2056" i="14" a="1"/>
  <c r="C2056" i="14" s="1"/>
  <c r="C2057" i="14" a="1"/>
  <c r="C2057" i="14" s="1"/>
  <c r="C2058" i="14" a="1"/>
  <c r="C2058" i="14"/>
  <c r="C2059" i="14" a="1"/>
  <c r="C2059" i="14" s="1"/>
  <c r="C2060" i="14" a="1"/>
  <c r="C2060" i="14" s="1"/>
  <c r="C2061" i="14" a="1"/>
  <c r="C2061" i="14" s="1"/>
  <c r="C2062" i="14" a="1"/>
  <c r="C2062" i="14" s="1"/>
  <c r="C2063" i="14" a="1"/>
  <c r="C2063" i="14" s="1"/>
  <c r="C2064" i="14" a="1"/>
  <c r="C2064" i="14" s="1"/>
  <c r="C2065" i="14" a="1"/>
  <c r="C2065" i="14" s="1"/>
  <c r="C2066" i="14" a="1"/>
  <c r="C2066" i="14" s="1"/>
  <c r="C2067" i="14" a="1"/>
  <c r="C2067" i="14"/>
  <c r="C2068" i="14" a="1"/>
  <c r="C2068" i="14" s="1"/>
  <c r="C2069" i="14" a="1"/>
  <c r="C2069" i="14" s="1"/>
  <c r="C2070" i="14" a="1"/>
  <c r="C2070" i="14" s="1"/>
  <c r="C2071" i="14" a="1"/>
  <c r="C2071" i="14" s="1"/>
  <c r="C2072" i="14" a="1"/>
  <c r="C2072" i="14"/>
  <c r="C2073" i="14" a="1"/>
  <c r="C2073" i="14" s="1"/>
  <c r="C2074" i="14" a="1"/>
  <c r="C2074" i="14"/>
  <c r="C2075" i="14" a="1"/>
  <c r="C2075" i="14" s="1"/>
  <c r="C2076" i="14" a="1"/>
  <c r="C2076" i="14"/>
  <c r="C2077" i="14" a="1"/>
  <c r="C2077" i="14" s="1"/>
  <c r="C2078" i="14" a="1"/>
  <c r="C2078" i="14" s="1"/>
  <c r="C2079" i="14" a="1"/>
  <c r="C2079" i="14" s="1"/>
  <c r="C2080" i="14" a="1"/>
  <c r="C2080" i="14" s="1"/>
  <c r="C2081" i="14" a="1"/>
  <c r="C2081" i="14" s="1"/>
  <c r="C2082" i="14" a="1"/>
  <c r="C2082" i="14"/>
  <c r="C2083" i="14" a="1"/>
  <c r="C2083" i="14" s="1"/>
  <c r="C2084" i="14" a="1"/>
  <c r="C2084" i="14" s="1"/>
  <c r="C2085" i="14" a="1"/>
  <c r="C2085" i="14" s="1"/>
  <c r="C2086" i="14" a="1"/>
  <c r="C2086" i="14" s="1"/>
  <c r="C2087" i="14" a="1"/>
  <c r="C2087" i="14" s="1"/>
  <c r="C2088" i="14" a="1"/>
  <c r="C2088" i="14" s="1"/>
  <c r="C2089" i="14" a="1"/>
  <c r="C2089" i="14" s="1"/>
  <c r="C2090" i="14" a="1"/>
  <c r="C2090" i="14" s="1"/>
  <c r="C2091" i="14" a="1"/>
  <c r="C2091" i="14" s="1"/>
  <c r="C2092" i="14" a="1"/>
  <c r="C2092" i="14" s="1"/>
  <c r="C2093" i="14" a="1"/>
  <c r="C2093" i="14" s="1"/>
  <c r="C2094" i="14" a="1"/>
  <c r="C2094" i="14" s="1"/>
  <c r="C2095" i="14" a="1"/>
  <c r="C2095" i="14" s="1"/>
  <c r="C2096" i="14" a="1"/>
  <c r="C2096" i="14"/>
  <c r="C2097" i="14" a="1"/>
  <c r="C2097" i="14" s="1"/>
  <c r="C2098" i="14" a="1"/>
  <c r="C2098" i="14"/>
  <c r="C2099" i="14" a="1"/>
  <c r="C2099" i="14" s="1"/>
  <c r="C2100" i="14" a="1"/>
  <c r="C2100" i="14" s="1"/>
  <c r="C2101" i="14" a="1"/>
  <c r="C2101" i="14" s="1"/>
  <c r="C2102" i="14" a="1"/>
  <c r="C2102" i="14" s="1"/>
  <c r="C2103" i="14" a="1"/>
  <c r="C2103" i="14" s="1"/>
  <c r="C2104" i="14" a="1"/>
  <c r="C2104" i="14" s="1"/>
  <c r="C2105" i="14" a="1"/>
  <c r="C2105" i="14" s="1"/>
  <c r="C2106" i="14" a="1"/>
  <c r="C2106" i="14" s="1"/>
  <c r="C2107" i="14" a="1"/>
  <c r="C2107" i="14" s="1"/>
  <c r="C2108" i="14" a="1"/>
  <c r="C2108" i="14" s="1"/>
  <c r="C2109" i="14" a="1"/>
  <c r="C2109" i="14" s="1"/>
  <c r="C2110" i="14" a="1"/>
  <c r="C2110" i="14"/>
  <c r="C2111" i="14" a="1"/>
  <c r="C2111" i="14" s="1"/>
  <c r="C2112" i="14" a="1"/>
  <c r="C2112" i="14"/>
  <c r="C2113" i="14" a="1"/>
  <c r="C2113" i="14" s="1"/>
  <c r="C2114" i="14" a="1"/>
  <c r="C2114" i="14" s="1"/>
  <c r="C2115" i="14" a="1"/>
  <c r="C2115" i="14" s="1"/>
  <c r="C2116" i="14" a="1"/>
  <c r="C2116" i="14" s="1"/>
  <c r="C2117" i="14" a="1"/>
  <c r="C2117" i="14" s="1"/>
  <c r="C2118" i="14" a="1"/>
  <c r="C2118" i="14" s="1"/>
  <c r="C2119" i="14" a="1"/>
  <c r="C2119" i="14" s="1"/>
  <c r="C2120" i="14" a="1"/>
  <c r="C2120" i="14" s="1"/>
  <c r="C2121" i="14" a="1"/>
  <c r="C2121" i="14" s="1"/>
  <c r="C2122" i="14" a="1"/>
  <c r="C2122" i="14"/>
  <c r="C2123" i="14" a="1"/>
  <c r="C2123" i="14" s="1"/>
  <c r="C2124" i="14" a="1"/>
  <c r="C2124" i="14" s="1"/>
  <c r="C2125" i="14" a="1"/>
  <c r="C2125" i="14" s="1"/>
  <c r="C2126" i="14" a="1"/>
  <c r="C2126" i="14" s="1"/>
  <c r="C2127" i="14" a="1"/>
  <c r="C2127" i="14"/>
  <c r="C2128" i="14" a="1"/>
  <c r="C2128" i="14" s="1"/>
  <c r="C2129" i="14" a="1"/>
  <c r="C2129" i="14" s="1"/>
  <c r="C2130" i="14" a="1"/>
  <c r="C2130" i="14"/>
  <c r="C2131" i="14" a="1"/>
  <c r="C2131" i="14" s="1"/>
  <c r="C2132" i="14" a="1"/>
  <c r="C2132" i="14" s="1"/>
  <c r="C2133" i="14" a="1"/>
  <c r="C2133" i="14" s="1"/>
  <c r="C2134" i="14" a="1"/>
  <c r="C2134" i="14" s="1"/>
  <c r="C2135" i="14" a="1"/>
  <c r="C2135" i="14" s="1"/>
  <c r="C2136" i="14" a="1"/>
  <c r="C2136" i="14" s="1"/>
  <c r="C2137" i="14" a="1"/>
  <c r="C2137" i="14" s="1"/>
  <c r="C2138" i="14" a="1"/>
  <c r="C2138" i="14" s="1"/>
  <c r="C2139" i="14" a="1"/>
  <c r="C2139" i="14" s="1"/>
  <c r="C2140" i="14" a="1"/>
  <c r="C2140" i="14" s="1"/>
  <c r="C2141" i="14" a="1"/>
  <c r="C2141" i="14" s="1"/>
  <c r="C2142" i="14" a="1"/>
  <c r="C2142" i="14" s="1"/>
  <c r="C2143" i="14" a="1"/>
  <c r="C2143" i="14"/>
  <c r="C2144" i="14" a="1"/>
  <c r="C2144" i="14" s="1"/>
  <c r="C2145" i="14" a="1"/>
  <c r="C2145" i="14" s="1"/>
  <c r="C2146" i="14" a="1"/>
  <c r="C2146" i="14" s="1"/>
  <c r="C2147" i="14" a="1"/>
  <c r="C2147" i="14" s="1"/>
  <c r="C2148" i="14" a="1"/>
  <c r="C2148" i="14" s="1"/>
  <c r="C2149" i="14" a="1"/>
  <c r="C2149" i="14" s="1"/>
  <c r="C2150" i="14" a="1"/>
  <c r="C2150" i="14" s="1"/>
  <c r="C2151" i="14" a="1"/>
  <c r="C2151" i="14" s="1"/>
  <c r="C2152" i="14" a="1"/>
  <c r="C2152" i="14"/>
  <c r="C2153" i="14" a="1"/>
  <c r="C2153" i="14" s="1"/>
  <c r="C2154" i="14" a="1"/>
  <c r="C2154" i="14" s="1"/>
  <c r="C2155" i="14" a="1"/>
  <c r="C2155" i="14"/>
  <c r="C2156" i="14" a="1"/>
  <c r="C2156" i="14" s="1"/>
  <c r="C2157" i="14" a="1"/>
  <c r="C2157" i="14" s="1"/>
  <c r="C2158" i="14" a="1"/>
  <c r="C2158" i="14" s="1"/>
  <c r="C2159" i="14" a="1"/>
  <c r="C2159" i="14" s="1"/>
  <c r="C2160" i="14" a="1"/>
  <c r="C2160" i="14" s="1"/>
  <c r="C2161" i="14" a="1"/>
  <c r="C2161" i="14" s="1"/>
  <c r="C2162" i="14" a="1"/>
  <c r="C2162" i="14" s="1"/>
  <c r="C2163" i="14" a="1"/>
  <c r="C2163" i="14" s="1"/>
  <c r="C2164" i="14" a="1"/>
  <c r="C2164" i="14" s="1"/>
  <c r="C2165" i="14" a="1"/>
  <c r="C2165" i="14" s="1"/>
  <c r="C2166" i="14" a="1"/>
  <c r="C2166" i="14" s="1"/>
  <c r="C2167" i="14" a="1"/>
  <c r="C2167" i="14"/>
  <c r="C2168" i="14" a="1"/>
  <c r="C2168" i="14" s="1"/>
  <c r="C2169" i="14" a="1"/>
  <c r="C2169" i="14" s="1"/>
  <c r="C2170" i="14" a="1"/>
  <c r="C2170" i="14" s="1"/>
  <c r="C2171" i="14" a="1"/>
  <c r="C2171" i="14" s="1"/>
  <c r="C2172" i="14" a="1"/>
  <c r="C2172" i="14" s="1"/>
  <c r="C2173" i="14" a="1"/>
  <c r="C2173" i="14" s="1"/>
  <c r="C2174" i="14" a="1"/>
  <c r="C2174" i="14" s="1"/>
  <c r="C2175" i="14" a="1"/>
  <c r="C2175" i="14" s="1"/>
  <c r="C2176" i="14" a="1"/>
  <c r="C2176" i="14" s="1"/>
  <c r="C2177" i="14" a="1"/>
  <c r="C2177" i="14" s="1"/>
  <c r="C2178" i="14" a="1"/>
  <c r="C2178" i="14" s="1"/>
  <c r="C2179" i="14" a="1"/>
  <c r="C2179" i="14" s="1"/>
  <c r="C2180" i="14" a="1"/>
  <c r="C2180" i="14" s="1"/>
  <c r="C2181" i="14" a="1"/>
  <c r="C2181" i="14" s="1"/>
  <c r="C2182" i="14" a="1"/>
  <c r="C2182" i="14" s="1"/>
  <c r="C2183" i="14" a="1"/>
  <c r="C2183" i="14" s="1"/>
  <c r="C2184" i="14" a="1"/>
  <c r="C2184" i="14" s="1"/>
  <c r="C2185" i="14" a="1"/>
  <c r="C2185" i="14" s="1"/>
  <c r="C2186" i="14" a="1"/>
  <c r="C2186" i="14" s="1"/>
  <c r="C2187" i="14" a="1"/>
  <c r="C2187" i="14" s="1"/>
  <c r="C2188" i="14" a="1"/>
  <c r="C2188" i="14"/>
  <c r="C2189" i="14" a="1"/>
  <c r="C2189" i="14" s="1"/>
  <c r="C2190" i="14" a="1"/>
  <c r="C2190" i="14" s="1"/>
  <c r="C2191" i="14" a="1"/>
  <c r="C2191" i="14" s="1"/>
  <c r="C2192" i="14" a="1"/>
  <c r="C2192" i="14" s="1"/>
  <c r="C2193" i="14" a="1"/>
  <c r="C2193" i="14" s="1"/>
  <c r="C2194" i="14" a="1"/>
  <c r="C2194" i="14" s="1"/>
  <c r="C2195" i="14" a="1"/>
  <c r="C2195" i="14" s="1"/>
  <c r="C2196" i="14" a="1"/>
  <c r="C2196" i="14" s="1"/>
  <c r="C2197" i="14" a="1"/>
  <c r="C2197" i="14" s="1"/>
  <c r="C2198" i="14" a="1"/>
  <c r="C2198" i="14" s="1"/>
  <c r="C2199" i="14" a="1"/>
  <c r="C2199" i="14" s="1"/>
  <c r="C2200" i="14" a="1"/>
  <c r="C2200" i="14" s="1"/>
  <c r="C2201" i="14" a="1"/>
  <c r="C2201" i="14" s="1"/>
  <c r="C2202" i="14" a="1"/>
  <c r="C2202" i="14" s="1"/>
  <c r="C2203" i="14" a="1"/>
  <c r="C2203" i="14" s="1"/>
  <c r="C2204" i="14" a="1"/>
  <c r="C2204" i="14" s="1"/>
  <c r="C2205" i="14" a="1"/>
  <c r="C2205" i="14" s="1"/>
  <c r="C2206" i="14" a="1"/>
  <c r="C2206" i="14" s="1"/>
  <c r="C2207" i="14" a="1"/>
  <c r="C2207" i="14" s="1"/>
  <c r="C2208" i="14" a="1"/>
  <c r="C2208" i="14" s="1"/>
  <c r="C2209" i="14" a="1"/>
  <c r="C2209" i="14" s="1"/>
  <c r="C2210" i="14" a="1"/>
  <c r="C2210" i="14" s="1"/>
  <c r="C2211" i="14" a="1"/>
  <c r="C2211" i="14"/>
  <c r="C2212" i="14" a="1"/>
  <c r="C2212" i="14" s="1"/>
  <c r="C2213" i="14" a="1"/>
  <c r="C2213" i="14"/>
  <c r="C2214" i="14" a="1"/>
  <c r="C2214" i="14" s="1"/>
  <c r="C2215" i="14" a="1"/>
  <c r="C2215" i="14" s="1"/>
  <c r="C2216" i="14" a="1"/>
  <c r="C2216" i="14"/>
  <c r="C2217" i="14" a="1"/>
  <c r="C2217" i="14" s="1"/>
  <c r="C2218" i="14" a="1"/>
  <c r="C2218" i="14" s="1"/>
  <c r="C2219" i="14" a="1"/>
  <c r="C2219" i="14" s="1"/>
  <c r="C2220" i="14" a="1"/>
  <c r="C2220" i="14" s="1"/>
  <c r="C2221" i="14" a="1"/>
  <c r="C2221" i="14" s="1"/>
  <c r="C2222" i="14" a="1"/>
  <c r="C2222" i="14" s="1"/>
  <c r="C2223" i="14" a="1"/>
  <c r="C2223" i="14" s="1"/>
  <c r="C2224" i="14" a="1"/>
  <c r="C2224" i="14" s="1"/>
  <c r="C2225" i="14" a="1"/>
  <c r="C2225" i="14" s="1"/>
  <c r="C2226" i="14" a="1"/>
  <c r="C2226" i="14" s="1"/>
  <c r="C2227" i="14" a="1"/>
  <c r="C2227" i="14" s="1"/>
  <c r="C2228" i="14" a="1"/>
  <c r="C2228" i="14" s="1"/>
  <c r="C2229" i="14" a="1"/>
  <c r="C2229" i="14" s="1"/>
  <c r="C2230" i="14" a="1"/>
  <c r="C2230" i="14" s="1"/>
  <c r="C2231" i="14" a="1"/>
  <c r="C2231" i="14" s="1"/>
  <c r="C2232" i="14" a="1"/>
  <c r="C2232" i="14" s="1"/>
  <c r="C2233" i="14" a="1"/>
  <c r="C2233" i="14" s="1"/>
  <c r="C2234" i="14" a="1"/>
  <c r="C2234" i="14" s="1"/>
  <c r="C2235" i="14" a="1"/>
  <c r="C2235" i="14" s="1"/>
  <c r="C2236" i="14" a="1"/>
  <c r="C2236" i="14" s="1"/>
  <c r="C2237" i="14" a="1"/>
  <c r="C2237" i="14" s="1"/>
  <c r="C2238" i="14" a="1"/>
  <c r="C2238" i="14" s="1"/>
  <c r="C2239" i="14" a="1"/>
  <c r="C2239" i="14"/>
  <c r="C2240" i="14" a="1"/>
  <c r="C2240" i="14" s="1"/>
  <c r="C2241" i="14" a="1"/>
  <c r="C2241" i="14"/>
  <c r="C2242" i="14" a="1"/>
  <c r="C2242" i="14" s="1"/>
  <c r="C2243" i="14" a="1"/>
  <c r="C2243" i="14" s="1"/>
  <c r="C2244" i="14" a="1"/>
  <c r="C2244" i="14"/>
  <c r="C2245" i="14" a="1"/>
  <c r="C2245" i="14" s="1"/>
  <c r="C2246" i="14" a="1"/>
  <c r="C2246" i="14" s="1"/>
  <c r="C2247" i="14" a="1"/>
  <c r="C2247" i="14"/>
  <c r="C2248" i="14" a="1"/>
  <c r="C2248" i="14" s="1"/>
  <c r="C2249" i="14" a="1"/>
  <c r="C2249" i="14" s="1"/>
  <c r="C2250" i="14" a="1"/>
  <c r="C2250" i="14" s="1"/>
  <c r="C2251" i="14" a="1"/>
  <c r="C2251" i="14" s="1"/>
  <c r="C2252" i="14" a="1"/>
  <c r="C2252" i="14" s="1"/>
  <c r="C2253" i="14" a="1"/>
  <c r="C2253" i="14" s="1"/>
  <c r="C2254" i="14" a="1"/>
  <c r="C2254" i="14" s="1"/>
  <c r="C2255" i="14" a="1"/>
  <c r="C2255" i="14" s="1"/>
  <c r="C2256" i="14" a="1"/>
  <c r="C2256" i="14"/>
  <c r="C2257" i="14" a="1"/>
  <c r="C2257" i="14" s="1"/>
  <c r="C2258" i="14" a="1"/>
  <c r="C2258" i="14" s="1"/>
  <c r="C2259" i="14" a="1"/>
  <c r="C2259" i="14" s="1"/>
  <c r="C2260" i="14" a="1"/>
  <c r="C2260" i="14"/>
  <c r="C2261" i="14" a="1"/>
  <c r="C2261" i="14" s="1"/>
  <c r="C2262" i="14" a="1"/>
  <c r="C2262" i="14" s="1"/>
  <c r="C2263" i="14" a="1"/>
  <c r="C2263" i="14" s="1"/>
  <c r="C2264" i="14" a="1"/>
  <c r="C2264" i="14" s="1"/>
  <c r="C2265" i="14" a="1"/>
  <c r="C2265" i="14" s="1"/>
  <c r="C2266" i="14" a="1"/>
  <c r="C2266" i="14" s="1"/>
  <c r="C2267" i="14" a="1"/>
  <c r="C2267" i="14"/>
  <c r="C2268" i="14" a="1"/>
  <c r="C2268" i="14" s="1"/>
  <c r="C2269" i="14" a="1"/>
  <c r="C2269" i="14" s="1"/>
  <c r="C2270" i="14" a="1"/>
  <c r="C2270" i="14" s="1"/>
  <c r="C2271" i="14" a="1"/>
  <c r="C2271" i="14"/>
  <c r="C2272" i="14" a="1"/>
  <c r="C2272" i="14" s="1"/>
  <c r="C2273" i="14" a="1"/>
  <c r="C2273" i="14"/>
  <c r="C2274" i="14" a="1"/>
  <c r="C2274" i="14" s="1"/>
  <c r="C2275" i="14" a="1"/>
  <c r="C2275" i="14" s="1"/>
  <c r="C2276" i="14" a="1"/>
  <c r="C2276" i="14" s="1"/>
  <c r="C2277" i="14" a="1"/>
  <c r="C2277" i="14" s="1"/>
  <c r="C2278" i="14" a="1"/>
  <c r="C2278" i="14" s="1"/>
  <c r="C2279" i="14" a="1"/>
  <c r="C2279" i="14" s="1"/>
  <c r="C2280" i="14" a="1"/>
  <c r="C2280" i="14" s="1"/>
  <c r="C2281" i="14" a="1"/>
  <c r="C2281" i="14" s="1"/>
  <c r="C2282" i="14" a="1"/>
  <c r="C2282" i="14" s="1"/>
  <c r="C2283" i="14" a="1"/>
  <c r="C2283" i="14"/>
  <c r="C2284" i="14" a="1"/>
  <c r="C2284" i="14" s="1"/>
  <c r="C2285" i="14" a="1"/>
  <c r="C2285" i="14" s="1"/>
  <c r="C2286" i="14" a="1"/>
  <c r="C2286" i="14"/>
  <c r="C2287" i="14" a="1"/>
  <c r="C2287" i="14" s="1"/>
  <c r="C2288" i="14" a="1"/>
  <c r="C2288" i="14" s="1"/>
  <c r="C2289" i="14" a="1"/>
  <c r="C2289" i="14" s="1"/>
  <c r="C2290" i="14" a="1"/>
  <c r="C2290" i="14" s="1"/>
  <c r="C2291" i="14" a="1"/>
  <c r="C2291" i="14" s="1"/>
  <c r="C2292" i="14" a="1"/>
  <c r="C2292" i="14" s="1"/>
  <c r="C2293" i="14" a="1"/>
  <c r="C2293" i="14" s="1"/>
  <c r="C2294" i="14" a="1"/>
  <c r="C2294" i="14" s="1"/>
  <c r="C2295" i="14" a="1"/>
  <c r="C2295" i="14" s="1"/>
  <c r="C2296" i="14" a="1"/>
  <c r="C2296" i="14" s="1"/>
  <c r="C2297" i="14" a="1"/>
  <c r="C2297" i="14" s="1"/>
  <c r="C2298" i="14" a="1"/>
  <c r="C2298" i="14" s="1"/>
  <c r="C2299" i="14" a="1"/>
  <c r="C2299" i="14" s="1"/>
  <c r="C2300" i="14" a="1"/>
  <c r="C2300" i="14"/>
  <c r="C2301" i="14" a="1"/>
  <c r="C2301" i="14" s="1"/>
  <c r="C2302" i="14" a="1"/>
  <c r="C2302" i="14" s="1"/>
  <c r="C2303" i="14" a="1"/>
  <c r="C2303" i="14"/>
  <c r="C2304" i="14" a="1"/>
  <c r="C2304" i="14" s="1"/>
  <c r="C2305" i="14" a="1"/>
  <c r="C2305" i="14" s="1"/>
  <c r="C2306" i="14" a="1"/>
  <c r="C2306" i="14" s="1"/>
  <c r="C2307" i="14" a="1"/>
  <c r="C2307" i="14" s="1"/>
  <c r="C2308" i="14" a="1"/>
  <c r="C2308" i="14" s="1"/>
  <c r="C2309" i="14" a="1"/>
  <c r="C2309" i="14" s="1"/>
  <c r="C2310" i="14" a="1"/>
  <c r="C2310" i="14" s="1"/>
  <c r="C2311" i="14" a="1"/>
  <c r="C2311" i="14" s="1"/>
  <c r="C2312" i="14" a="1"/>
  <c r="C2312" i="14" s="1"/>
  <c r="C2313" i="14" a="1"/>
  <c r="C2313" i="14" s="1"/>
  <c r="C2314" i="14" a="1"/>
  <c r="C2314" i="14" s="1"/>
  <c r="C2315" i="14" a="1"/>
  <c r="C2315" i="14" s="1"/>
  <c r="C2316" i="14" a="1"/>
  <c r="C2316" i="14" s="1"/>
  <c r="C2317" i="14" a="1"/>
  <c r="C2317" i="14" s="1"/>
  <c r="C2318" i="14" a="1"/>
  <c r="C2318" i="14"/>
  <c r="C2319" i="14" a="1"/>
  <c r="C2319" i="14" s="1"/>
  <c r="C2320" i="14" a="1"/>
  <c r="C2320" i="14" s="1"/>
  <c r="C2321" i="14" a="1"/>
  <c r="C2321" i="14" s="1"/>
  <c r="C2322" i="14" a="1"/>
  <c r="C2322" i="14"/>
  <c r="C2323" i="14" a="1"/>
  <c r="C2323" i="14" s="1"/>
  <c r="C2324" i="14" a="1"/>
  <c r="C2324" i="14" s="1"/>
  <c r="C2325" i="14" a="1"/>
  <c r="C2325" i="14" s="1"/>
  <c r="C2326" i="14" a="1"/>
  <c r="C2326" i="14" s="1"/>
  <c r="C2327" i="14" a="1"/>
  <c r="C2327" i="14" s="1"/>
  <c r="C2328" i="14" a="1"/>
  <c r="C2328" i="14" s="1"/>
  <c r="C2329" i="14" a="1"/>
  <c r="C2329" i="14" s="1"/>
  <c r="C2330" i="14" a="1"/>
  <c r="C2330" i="14" s="1"/>
  <c r="C2331" i="14" a="1"/>
  <c r="C2331" i="14"/>
  <c r="C2332" i="14" a="1"/>
  <c r="C2332" i="14" s="1"/>
  <c r="C2333" i="14" a="1"/>
  <c r="C2333" i="14" s="1"/>
  <c r="C2334" i="14" a="1"/>
  <c r="C2334" i="14" s="1"/>
  <c r="C2335" i="14" a="1"/>
  <c r="C2335" i="14" s="1"/>
  <c r="C2336" i="14" a="1"/>
  <c r="C2336" i="14"/>
  <c r="C2337" i="14" a="1"/>
  <c r="C2337" i="14" s="1"/>
  <c r="C2338" i="14" a="1"/>
  <c r="C2338" i="14" s="1"/>
  <c r="C2339" i="14" a="1"/>
  <c r="C2339" i="14" s="1"/>
  <c r="C2340" i="14" a="1"/>
  <c r="C2340" i="14" s="1"/>
  <c r="C2341" i="14" a="1"/>
  <c r="C2341" i="14" s="1"/>
  <c r="C2342" i="14" a="1"/>
  <c r="C2342" i="14" s="1"/>
  <c r="C2343" i="14" a="1"/>
  <c r="C2343" i="14" s="1"/>
  <c r="C2344" i="14" a="1"/>
  <c r="C2344" i="14" s="1"/>
  <c r="C2345" i="14" a="1"/>
  <c r="C2345" i="14" s="1"/>
  <c r="C2346" i="14" a="1"/>
  <c r="C2346" i="14" s="1"/>
  <c r="C2347" i="14" a="1"/>
  <c r="C2347" i="14"/>
  <c r="C2348" i="14" a="1"/>
  <c r="C2348" i="14" s="1"/>
  <c r="C2349" i="14" a="1"/>
  <c r="C2349" i="14" s="1"/>
  <c r="C2350" i="14" a="1"/>
  <c r="C2350" i="14" s="1"/>
  <c r="C2351" i="14" a="1"/>
  <c r="C2351" i="14" s="1"/>
  <c r="C2352" i="14" a="1"/>
  <c r="C2352" i="14" s="1"/>
  <c r="C2353" i="14" a="1"/>
  <c r="C2353" i="14" s="1"/>
  <c r="C2354" i="14" a="1"/>
  <c r="C2354" i="14" s="1"/>
  <c r="C2355" i="14" a="1"/>
  <c r="C2355" i="14" s="1"/>
  <c r="C2356" i="14" a="1"/>
  <c r="C2356" i="14"/>
  <c r="C2357" i="14" a="1"/>
  <c r="C2357" i="14" s="1"/>
  <c r="C2358" i="14" a="1"/>
  <c r="C2358" i="14" s="1"/>
  <c r="C2359" i="14" a="1"/>
  <c r="C2359" i="14" s="1"/>
  <c r="C2360" i="14" a="1"/>
  <c r="C2360" i="14" s="1"/>
  <c r="C2361" i="14" a="1"/>
  <c r="C2361" i="14"/>
  <c r="C2362" i="14" a="1"/>
  <c r="C2362" i="14" s="1"/>
  <c r="C2363" i="14" a="1"/>
  <c r="C2363" i="14" s="1"/>
  <c r="C2364" i="14" a="1"/>
  <c r="C2364" i="14" s="1"/>
  <c r="C2365" i="14" a="1"/>
  <c r="C2365" i="14" s="1"/>
  <c r="C2366" i="14" a="1"/>
  <c r="C2366" i="14" s="1"/>
  <c r="C2367" i="14" a="1"/>
  <c r="C2367" i="14" s="1"/>
  <c r="C2368" i="14" a="1"/>
  <c r="C2368" i="14" s="1"/>
  <c r="C2369" i="14" a="1"/>
  <c r="C2369" i="14" s="1"/>
  <c r="C2370" i="14" a="1"/>
  <c r="C2370" i="14" s="1"/>
  <c r="C2371" i="14" a="1"/>
  <c r="C2371" i="14" s="1"/>
  <c r="C2372" i="14" a="1"/>
  <c r="C2372" i="14" s="1"/>
  <c r="C2373" i="14" a="1"/>
  <c r="C2373" i="14" s="1"/>
  <c r="C2374" i="14" a="1"/>
  <c r="C2374" i="14" s="1"/>
  <c r="C2375" i="14" a="1"/>
  <c r="C2375" i="14" s="1"/>
  <c r="C2376" i="14" a="1"/>
  <c r="C2376" i="14" s="1"/>
  <c r="C2377" i="14" a="1"/>
  <c r="C2377" i="14" s="1"/>
  <c r="C2378" i="14" a="1"/>
  <c r="C2378" i="14" s="1"/>
  <c r="C2379" i="14" a="1"/>
  <c r="C2379" i="14" s="1"/>
  <c r="C2380" i="14" a="1"/>
  <c r="C2380" i="14" s="1"/>
  <c r="C2381" i="14" a="1"/>
  <c r="C2381" i="14" s="1"/>
  <c r="C2382" i="14" a="1"/>
  <c r="C2382" i="14" s="1"/>
  <c r="C2383" i="14" a="1"/>
  <c r="C2383" i="14" s="1"/>
  <c r="C2384" i="14" a="1"/>
  <c r="C2384" i="14" s="1"/>
  <c r="C2385" i="14" a="1"/>
  <c r="C2385" i="14" s="1"/>
  <c r="C2386" i="14" a="1"/>
  <c r="C2386" i="14" s="1"/>
  <c r="C2387" i="14" a="1"/>
  <c r="C2387" i="14" s="1"/>
  <c r="C2388" i="14" a="1"/>
  <c r="C2388" i="14" s="1"/>
  <c r="C2389" i="14" a="1"/>
  <c r="C2389" i="14" s="1"/>
  <c r="C2390" i="14" a="1"/>
  <c r="C2390" i="14" s="1"/>
  <c r="C2391" i="14" a="1"/>
  <c r="C2391" i="14" s="1"/>
  <c r="C2392" i="14" a="1"/>
  <c r="C2392" i="14"/>
  <c r="C2393" i="14" a="1"/>
  <c r="C2393" i="14" s="1"/>
  <c r="C2394" i="14" a="1"/>
  <c r="C2394" i="14" s="1"/>
  <c r="C2395" i="14" a="1"/>
  <c r="C2395" i="14" s="1"/>
  <c r="C2396" i="14" a="1"/>
  <c r="C2396" i="14" s="1"/>
  <c r="C2397" i="14" a="1"/>
  <c r="C2397" i="14"/>
  <c r="C2398" i="14" a="1"/>
  <c r="C2398" i="14" s="1"/>
  <c r="C2399" i="14" a="1"/>
  <c r="C2399" i="14" s="1"/>
  <c r="C2400" i="14" a="1"/>
  <c r="C2400" i="14" s="1"/>
  <c r="C2401" i="14" a="1"/>
  <c r="C2401" i="14" s="1"/>
  <c r="C2402" i="14" a="1"/>
  <c r="C2402" i="14" s="1"/>
  <c r="C2403" i="14" a="1"/>
  <c r="C2403" i="14"/>
  <c r="C2404" i="14" a="1"/>
  <c r="C2404" i="14" s="1"/>
  <c r="C2405" i="14" a="1"/>
  <c r="C2405" i="14" s="1"/>
  <c r="C2406" i="14" a="1"/>
  <c r="C2406" i="14" s="1"/>
  <c r="C2407" i="14" a="1"/>
  <c r="C2407" i="14" s="1"/>
  <c r="C2408" i="14" a="1"/>
  <c r="C2408" i="14" s="1"/>
  <c r="C2409" i="14" a="1"/>
  <c r="C2409" i="14" s="1"/>
  <c r="C2410" i="14" a="1"/>
  <c r="C2410" i="14" s="1"/>
  <c r="C2411" i="14" a="1"/>
  <c r="C2411" i="14" s="1"/>
  <c r="C2412" i="14" a="1"/>
  <c r="C2412" i="14"/>
  <c r="C2413" i="14" a="1"/>
  <c r="C2413" i="14"/>
  <c r="C2414" i="14" a="1"/>
  <c r="C2414" i="14" s="1"/>
  <c r="C2415" i="14" a="1"/>
  <c r="C2415" i="14" s="1"/>
  <c r="C2416" i="14" a="1"/>
  <c r="C2416" i="14" s="1"/>
  <c r="C2417" i="14" a="1"/>
  <c r="C2417" i="14" s="1"/>
  <c r="C2418" i="14" a="1"/>
  <c r="C2418" i="14" s="1"/>
  <c r="C2419" i="14" a="1"/>
  <c r="C2419" i="14" s="1"/>
  <c r="C2420" i="14" a="1"/>
  <c r="C2420" i="14" s="1"/>
  <c r="C2421" i="14" a="1"/>
  <c r="C2421" i="14" s="1"/>
  <c r="C2422" i="14" a="1"/>
  <c r="C2422" i="14" s="1"/>
  <c r="C2423" i="14" a="1"/>
  <c r="C2423" i="14" s="1"/>
  <c r="C2424" i="14" a="1"/>
  <c r="C2424" i="14" s="1"/>
  <c r="C2425" i="14" a="1"/>
  <c r="C2425" i="14" s="1"/>
  <c r="C2426" i="14" a="1"/>
  <c r="C2426" i="14" s="1"/>
  <c r="C2427" i="14" a="1"/>
  <c r="C2427" i="14"/>
  <c r="C2428" i="14" a="1"/>
  <c r="C2428" i="14" s="1"/>
  <c r="C2429" i="14" a="1"/>
  <c r="C2429" i="14" s="1"/>
  <c r="C2430" i="14" a="1"/>
  <c r="C2430" i="14" s="1"/>
  <c r="C2431" i="14" a="1"/>
  <c r="C2431" i="14" s="1"/>
  <c r="C2432" i="14" a="1"/>
  <c r="C2432" i="14" s="1"/>
  <c r="C2433" i="14" a="1"/>
  <c r="C2433" i="14" s="1"/>
  <c r="C2434" i="14" a="1"/>
  <c r="C2434" i="14" s="1"/>
  <c r="C2435" i="14" a="1"/>
  <c r="C2435" i="14" s="1"/>
  <c r="C2436" i="14" a="1"/>
  <c r="C2436" i="14" s="1"/>
  <c r="C2437" i="14" a="1"/>
  <c r="C2437" i="14" s="1"/>
  <c r="C2438" i="14" a="1"/>
  <c r="C2438" i="14"/>
  <c r="C2439" i="14" a="1"/>
  <c r="C2439" i="14" s="1"/>
  <c r="C2440" i="14" a="1"/>
  <c r="C2440" i="14" s="1"/>
  <c r="C2441" i="14" a="1"/>
  <c r="C2441" i="14" s="1"/>
  <c r="C2442" i="14" a="1"/>
  <c r="C2442" i="14" s="1"/>
  <c r="C2443" i="14" a="1"/>
  <c r="C2443" i="14" s="1"/>
  <c r="C2444" i="14" a="1"/>
  <c r="C2444" i="14" s="1"/>
  <c r="C2445" i="14" a="1"/>
  <c r="C2445" i="14"/>
  <c r="C2446" i="14" a="1"/>
  <c r="C2446" i="14" s="1"/>
  <c r="C2447" i="14" a="1"/>
  <c r="C2447" i="14"/>
  <c r="C2448" i="14" a="1"/>
  <c r="C2448" i="14" s="1"/>
  <c r="C2449" i="14" a="1"/>
  <c r="C2449" i="14" s="1"/>
  <c r="C2450" i="14" a="1"/>
  <c r="C2450" i="14" s="1"/>
  <c r="C2451" i="14" a="1"/>
  <c r="C2451" i="14" s="1"/>
  <c r="C2452" i="14" a="1"/>
  <c r="C2452" i="14" s="1"/>
  <c r="C2453" i="14" a="1"/>
  <c r="C2453" i="14"/>
  <c r="C2454" i="14" a="1"/>
  <c r="C2454" i="14" s="1"/>
  <c r="C2455" i="14" a="1"/>
  <c r="C2455" i="14" s="1"/>
  <c r="C2456" i="14" a="1"/>
  <c r="C2456" i="14" s="1"/>
  <c r="C2457" i="14" a="1"/>
  <c r="C2457" i="14" s="1"/>
  <c r="C2458" i="14" a="1"/>
  <c r="C2458" i="14" s="1"/>
  <c r="C2459" i="14" a="1"/>
  <c r="C2459" i="14" s="1"/>
  <c r="C2460" i="14" a="1"/>
  <c r="C2460" i="14" s="1"/>
  <c r="C2461" i="14" a="1"/>
  <c r="C2461" i="14" s="1"/>
  <c r="C2462" i="14" a="1"/>
  <c r="C2462" i="14"/>
  <c r="C2463" i="14" a="1"/>
  <c r="C2463" i="14"/>
  <c r="C2464" i="14" a="1"/>
  <c r="C2464" i="14" s="1"/>
  <c r="C2465" i="14" a="1"/>
  <c r="C2465" i="14" s="1"/>
  <c r="C2466" i="14" a="1"/>
  <c r="C2466" i="14" s="1"/>
  <c r="C2467" i="14" a="1"/>
  <c r="C2467" i="14" s="1"/>
  <c r="C2468" i="14" a="1"/>
  <c r="C2468" i="14" s="1"/>
  <c r="C2469" i="14" a="1"/>
  <c r="C2469" i="14" s="1"/>
  <c r="C2470" i="14" a="1"/>
  <c r="C2470" i="14" s="1"/>
  <c r="C2471" i="14" a="1"/>
  <c r="C2471" i="14" s="1"/>
  <c r="C2472" i="14" a="1"/>
  <c r="C2472" i="14" s="1"/>
  <c r="C2473" i="14" a="1"/>
  <c r="C2473" i="14" s="1"/>
  <c r="C2474" i="14" a="1"/>
  <c r="C2474" i="14" s="1"/>
  <c r="C2475" i="14" a="1"/>
  <c r="C2475" i="14"/>
  <c r="C2476" i="14" a="1"/>
  <c r="C2476" i="14" s="1"/>
  <c r="C2477" i="14" a="1"/>
  <c r="C2477" i="14" s="1"/>
  <c r="C2478" i="14" a="1"/>
  <c r="C2478" i="14" s="1"/>
  <c r="C2479" i="14" a="1"/>
  <c r="C2479" i="14" s="1"/>
  <c r="C2480" i="14" a="1"/>
  <c r="C2480" i="14" s="1"/>
  <c r="C2481" i="14" a="1"/>
  <c r="C2481" i="14" s="1"/>
  <c r="C2482" i="14" a="1"/>
  <c r="C2482" i="14"/>
  <c r="C2483" i="14" a="1"/>
  <c r="C2483" i="14" s="1"/>
  <c r="C2484" i="14" a="1"/>
  <c r="C2484" i="14" s="1"/>
  <c r="C2485" i="14" a="1"/>
  <c r="C2485" i="14" s="1"/>
  <c r="C2486" i="14" a="1"/>
  <c r="C2486" i="14" s="1"/>
  <c r="C2487" i="14" a="1"/>
  <c r="C2487" i="14" s="1"/>
  <c r="C2488" i="14" a="1"/>
  <c r="C2488" i="14" s="1"/>
  <c r="C2489" i="14" a="1"/>
  <c r="C2489" i="14" s="1"/>
  <c r="C2490" i="14" a="1"/>
  <c r="C2490" i="14"/>
  <c r="C2491" i="14" a="1"/>
  <c r="C2491" i="14" s="1"/>
  <c r="C2492" i="14" a="1"/>
  <c r="C2492" i="14" s="1"/>
  <c r="C2493" i="14" a="1"/>
  <c r="C2493" i="14"/>
  <c r="C2494" i="14" a="1"/>
  <c r="C2494" i="14" s="1"/>
  <c r="C2495" i="14" a="1"/>
  <c r="C2495" i="14" s="1"/>
  <c r="C2496" i="14" a="1"/>
  <c r="C2496" i="14"/>
  <c r="C2497" i="14" a="1"/>
  <c r="C2497" i="14" s="1"/>
  <c r="C2498" i="14" a="1"/>
  <c r="C2498" i="14" s="1"/>
  <c r="C2499" i="14" a="1"/>
  <c r="C2499" i="14" s="1"/>
  <c r="C2500" i="14" a="1"/>
  <c r="C2500" i="14" s="1"/>
  <c r="C2501" i="14" a="1"/>
  <c r="C2501" i="14" s="1"/>
  <c r="C2502" i="14" a="1"/>
  <c r="C2502" i="14" s="1"/>
  <c r="C2503" i="14" a="1"/>
  <c r="C2503" i="14" s="1"/>
  <c r="C2504" i="14" a="1"/>
  <c r="C2504" i="14" s="1"/>
  <c r="C2505" i="14" a="1"/>
  <c r="C2505" i="14" s="1"/>
  <c r="C2506" i="14" a="1"/>
  <c r="C2506" i="14" s="1"/>
  <c r="C2507" i="14" a="1"/>
  <c r="C2507" i="14"/>
  <c r="C2508" i="14" a="1"/>
  <c r="C2508" i="14" s="1"/>
  <c r="C2509" i="14" a="1"/>
  <c r="C2509" i="14" s="1"/>
  <c r="C2510" i="14" a="1"/>
  <c r="C2510" i="14" s="1"/>
  <c r="C2511" i="14" a="1"/>
  <c r="C2511" i="14" s="1"/>
  <c r="C2512" i="14" a="1"/>
  <c r="C2512" i="14" s="1"/>
  <c r="C2513" i="14" a="1"/>
  <c r="C2513" i="14" s="1"/>
  <c r="C2514" i="14" a="1"/>
  <c r="C2514" i="14" s="1"/>
  <c r="C2515" i="14" a="1"/>
  <c r="C2515" i="14" s="1"/>
  <c r="C2516" i="14" a="1"/>
  <c r="C2516" i="14" s="1"/>
  <c r="C2517" i="14" a="1"/>
  <c r="C2517" i="14" s="1"/>
  <c r="C2518" i="14" a="1"/>
  <c r="C2518" i="14"/>
  <c r="C2519" i="14" a="1"/>
  <c r="C2519" i="14" s="1"/>
  <c r="C2520" i="14" a="1"/>
  <c r="C2520" i="14" s="1"/>
  <c r="C2521" i="14" a="1"/>
  <c r="C2521" i="14" s="1"/>
  <c r="C2522" i="14" a="1"/>
  <c r="C2522" i="14" s="1"/>
  <c r="C2523" i="14" a="1"/>
  <c r="C2523" i="14"/>
  <c r="C2524" i="14" a="1"/>
  <c r="C2524" i="14" s="1"/>
  <c r="C2525" i="14" a="1"/>
  <c r="C2525" i="14" s="1"/>
  <c r="C2526" i="14" a="1"/>
  <c r="C2526" i="14" s="1"/>
  <c r="C2527" i="14" a="1"/>
  <c r="C2527" i="14" s="1"/>
  <c r="C2528" i="14" a="1"/>
  <c r="C2528" i="14" s="1"/>
  <c r="C2529" i="14" a="1"/>
  <c r="C2529" i="14" s="1"/>
  <c r="C2530" i="14" a="1"/>
  <c r="C2530" i="14" s="1"/>
  <c r="C2" i="14" a="1"/>
  <c r="C2" i="14" s="1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3" i="1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2" i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" i="5"/>
  <c r="B19" i="4"/>
  <c r="B18" i="4"/>
  <c r="B17" i="4"/>
  <c r="B16" i="4"/>
  <c r="N12" i="4"/>
  <c r="M13" i="4"/>
  <c r="L13" i="4"/>
  <c r="K13" i="4"/>
  <c r="J13" i="4"/>
  <c r="I13" i="4"/>
  <c r="H13" i="4"/>
  <c r="G13" i="4"/>
  <c r="F13" i="4"/>
  <c r="E13" i="4"/>
  <c r="D13" i="4"/>
  <c r="C13" i="4"/>
  <c r="B13" i="4"/>
  <c r="N3" i="4"/>
  <c r="N4" i="4"/>
  <c r="N5" i="4"/>
  <c r="N6" i="4"/>
  <c r="N7" i="4"/>
  <c r="N8" i="4"/>
  <c r="N9" i="4"/>
  <c r="N10" i="4"/>
  <c r="N11" i="4"/>
  <c r="N2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D4" i="5"/>
  <c r="D5" i="5"/>
  <c r="D6" i="5"/>
  <c r="D7" i="5"/>
  <c r="D8" i="5"/>
  <c r="D11" i="5"/>
  <c r="D12" i="5"/>
  <c r="D14" i="5"/>
  <c r="D15" i="5"/>
  <c r="D16" i="5"/>
  <c r="D17" i="5"/>
  <c r="D18" i="5"/>
  <c r="D19" i="5"/>
  <c r="D20" i="5"/>
  <c r="D21" i="5"/>
  <c r="D2" i="5"/>
  <c r="D3" i="10"/>
  <c r="D4" i="10"/>
  <c r="D5" i="10"/>
  <c r="D6" i="10"/>
  <c r="D7" i="10"/>
  <c r="D2" i="10"/>
  <c r="C3" i="10"/>
  <c r="C4" i="10"/>
  <c r="C5" i="10"/>
  <c r="C6" i="10"/>
  <c r="C7" i="10"/>
  <c r="C2" i="10"/>
  <c r="B3" i="10"/>
  <c r="B4" i="10"/>
  <c r="B5" i="10"/>
  <c r="B6" i="10"/>
  <c r="B7" i="10"/>
  <c r="B2" i="10"/>
  <c r="G2" i="8"/>
  <c r="G3" i="8"/>
  <c r="G4" i="8"/>
  <c r="G5" i="8"/>
  <c r="G6" i="8"/>
  <c r="G7" i="8"/>
  <c r="E8" i="9"/>
  <c r="E3" i="9"/>
  <c r="E4" i="9"/>
  <c r="E5" i="9"/>
  <c r="E6" i="9"/>
  <c r="E7" i="9"/>
  <c r="E2" i="9"/>
  <c r="M33" i="6"/>
  <c r="K33" i="6"/>
  <c r="I33" i="6"/>
  <c r="H33" i="6"/>
  <c r="F33" i="6"/>
  <c r="D33" i="6"/>
  <c r="B33" i="6"/>
  <c r="M32" i="6"/>
  <c r="L32" i="6"/>
  <c r="K32" i="6"/>
  <c r="J32" i="6"/>
  <c r="I32" i="6"/>
  <c r="H32" i="6"/>
  <c r="G32" i="6"/>
  <c r="F32" i="6"/>
  <c r="E32" i="6"/>
  <c r="D32" i="6"/>
  <c r="B32" i="6"/>
  <c r="M31" i="6"/>
  <c r="L31" i="6"/>
  <c r="K31" i="6"/>
  <c r="J31" i="6"/>
  <c r="I31" i="6"/>
  <c r="H31" i="6"/>
  <c r="G31" i="6"/>
  <c r="F31" i="6"/>
  <c r="E31" i="6"/>
  <c r="D31" i="6"/>
  <c r="M30" i="6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M12" i="6"/>
  <c r="L12" i="6"/>
  <c r="K12" i="6"/>
  <c r="J12" i="6"/>
  <c r="I12" i="6"/>
  <c r="H12" i="6"/>
  <c r="G12" i="6"/>
  <c r="F12" i="6"/>
  <c r="E12" i="6"/>
  <c r="D12" i="6"/>
  <c r="C12" i="6"/>
  <c r="B12" i="6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F4" i="6"/>
  <c r="E4" i="6"/>
  <c r="D4" i="6"/>
  <c r="C4" i="6"/>
  <c r="B4" i="6"/>
  <c r="M3" i="6"/>
  <c r="L3" i="6"/>
  <c r="K3" i="6"/>
  <c r="J3" i="6"/>
  <c r="I3" i="6"/>
  <c r="H3" i="6"/>
  <c r="G3" i="6"/>
  <c r="F3" i="6"/>
  <c r="E3" i="6"/>
  <c r="D3" i="6"/>
  <c r="C3" i="6"/>
  <c r="B3" i="6"/>
  <c r="B2" i="6"/>
  <c r="N13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461AEC-9957-4794-97DB-1BC1F48CBC84}" keepAlive="1" name="Query - province_txt" description="Connection to the 'province_txt' query in the workbook." type="5" refreshedVersion="8" background="1" saveData="1">
    <dbPr connection="Provider=Microsoft.Mashup.OleDb.1;Data Source=$Workbook$;Location=province_txt;Extended Properties=&quot;&quot;" command="SELECT * FROM [province_txt]"/>
  </connection>
  <connection id="2" xr16:uid="{F2EDA504-D4D9-4AB2-8576-CFC269A5585F}" keepAlive="1" name="คิวรี - population_2568" description="การเชื่อมต่อกับแบบสอบถาม 'population_2568' ในสมุดงาน" type="5" refreshedVersion="8" background="1" saveData="1">
    <dbPr connection="Provider=Microsoft.Mashup.OleDb.1;Data Source=$Workbook$;Location=population_2568;Extended Properties=&quot;&quot;" command="SELECT * FROM [population_256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<sst xmlns="http://schemas.openxmlformats.org/spreadsheetml/2006/main" count="16117" uniqueCount="3000">
  <si>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</si>
  <si>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</si>
  <si>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</si>
  <si>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</si>
  <si>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</si>
  <si>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</si>
  <si>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</si>
  <si>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</si>
  <si>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</si>
  <si>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</si>
  <si>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</si>
  <si>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</si>
  <si>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</si>
  <si>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รหัส</t>
  </si>
  <si>
    <t>ชื่อจังหวัดT</t>
  </si>
  <si>
    <t>ละติจูด</t>
  </si>
  <si>
    <t>ลองจิจูด</t>
  </si>
  <si>
    <t>Zoom</t>
  </si>
  <si>
    <t>(10,</t>
  </si>
  <si>
    <t>'กรุงเทพมหานคร',</t>
  </si>
  <si>
    <t>'13.7278956',</t>
  </si>
  <si>
    <t>'100.52412349999997',</t>
  </si>
  <si>
    <t>13),</t>
  </si>
  <si>
    <t>(11,</t>
  </si>
  <si>
    <t>'นนทบุรี',</t>
  </si>
  <si>
    <t>'13.8621125',</t>
  </si>
  <si>
    <t>'100.51435279999998',</t>
  </si>
  <si>
    <t>(12,</t>
  </si>
  <si>
    <t>'ปทุมธานี',</t>
  </si>
  <si>
    <t>'14.0208391',</t>
  </si>
  <si>
    <t>'100.52502759999993',</t>
  </si>
  <si>
    <t>(13,</t>
  </si>
  <si>
    <t>'พระนครศรีอยุธยา',</t>
  </si>
  <si>
    <t>'14.3532128',</t>
  </si>
  <si>
    <t>'100.56895989999998',</t>
  </si>
  <si>
    <t>(14,</t>
  </si>
  <si>
    <t>'อ่างทอง',</t>
  </si>
  <si>
    <t>'14.5896054',</t>
  </si>
  <si>
    <t>'100.45505200000002',</t>
  </si>
  <si>
    <t>(15,</t>
  </si>
  <si>
    <t>'ลพบุรี',</t>
  </si>
  <si>
    <t>'14.7995081',</t>
  </si>
  <si>
    <t>'100.65337060000002',</t>
  </si>
  <si>
    <t>(16,</t>
  </si>
  <si>
    <t>'สิงห์บุรี',</t>
  </si>
  <si>
    <t>'14.8936253',</t>
  </si>
  <si>
    <t>'100.39673140000002',</t>
  </si>
  <si>
    <t>(17,</t>
  </si>
  <si>
    <t>'ชัยนาท',</t>
  </si>
  <si>
    <t>'15.1851971',</t>
  </si>
  <si>
    <t>'100.12512500000003',</t>
  </si>
  <si>
    <t>(18,</t>
  </si>
  <si>
    <t>'สระบุรี',</t>
  </si>
  <si>
    <t>'14.5289154',</t>
  </si>
  <si>
    <t>'100.91014210000003',</t>
  </si>
  <si>
    <t>(19,</t>
  </si>
  <si>
    <t>'สมุทรปราการ',</t>
  </si>
  <si>
    <t>'13.5990961',</t>
  </si>
  <si>
    <t>'100.59983190000003',</t>
  </si>
  <si>
    <t>(20,</t>
  </si>
  <si>
    <t>'ชลบุรี',</t>
  </si>
  <si>
    <t>'13.3611431',</t>
  </si>
  <si>
    <t>'100.98467170000004',</t>
  </si>
  <si>
    <t>(21,</t>
  </si>
  <si>
    <t>'ระยอง',</t>
  </si>
  <si>
    <t>'12.6833115',</t>
  </si>
  <si>
    <t>'101.23742949999996',</t>
  </si>
  <si>
    <t>(22,</t>
  </si>
  <si>
    <t>'จันทบุรี',</t>
  </si>
  <si>
    <t>'12.61134',</t>
  </si>
  <si>
    <t>'102.10385459999998',</t>
  </si>
  <si>
    <t>(23,</t>
  </si>
  <si>
    <t>'ตราด',</t>
  </si>
  <si>
    <t>'12.2427563',</t>
  </si>
  <si>
    <t>'102.51747339999997',</t>
  </si>
  <si>
    <t>(24,</t>
  </si>
  <si>
    <t>'ฉะเชิงเทรา',</t>
  </si>
  <si>
    <t>'13.6904194',</t>
  </si>
  <si>
    <t>'101.07795959999999',</t>
  </si>
  <si>
    <t>(25,</t>
  </si>
  <si>
    <t>'ปราจีนบุรี',</t>
  </si>
  <si>
    <t>'14.0509704',</t>
  </si>
  <si>
    <t>'101.37274389999993',</t>
  </si>
  <si>
    <t>(26,</t>
  </si>
  <si>
    <t>'นครนายก',</t>
  </si>
  <si>
    <t>'14.2069466',</t>
  </si>
  <si>
    <t>'101.21305110000003',</t>
  </si>
  <si>
    <t>(27,</t>
  </si>
  <si>
    <t>'สระแก้ว',</t>
  </si>
  <si>
    <t>'13.824038',</t>
  </si>
  <si>
    <t>'102.0645839',</t>
  </si>
  <si>
    <t>(30,</t>
  </si>
  <si>
    <t>'นคราชสีมา',</t>
  </si>
  <si>
    <t>'14.9798997',</t>
  </si>
  <si>
    <t>'102.09776929999998',</t>
  </si>
  <si>
    <t>(31,</t>
  </si>
  <si>
    <t>'บุรีรัมย์',</t>
  </si>
  <si>
    <t>'14.9930017',</t>
  </si>
  <si>
    <t>'103.10291910000001',</t>
  </si>
  <si>
    <t>(32,</t>
  </si>
  <si>
    <t>'สุรินทร์',</t>
  </si>
  <si>
    <t>'14.882905',</t>
  </si>
  <si>
    <t>'103.49371070000007',</t>
  </si>
  <si>
    <t>(33,</t>
  </si>
  <si>
    <t>'ศรีสะเกษ',</t>
  </si>
  <si>
    <t>'15.1186009',</t>
  </si>
  <si>
    <t>'104.32200949999992',</t>
  </si>
  <si>
    <t>(34,</t>
  </si>
  <si>
    <t>'อุบลราชธานี',</t>
  </si>
  <si>
    <t>'15.2286861',</t>
  </si>
  <si>
    <t>'104.85642170000006',</t>
  </si>
  <si>
    <t>(35,</t>
  </si>
  <si>
    <t>'ยโสธร',</t>
  </si>
  <si>
    <t>'15.792641',</t>
  </si>
  <si>
    <t>'104.14528270000005',</t>
  </si>
  <si>
    <t>(36,</t>
  </si>
  <si>
    <t>'ชัยภูมิ',</t>
  </si>
  <si>
    <t>'15.8068173',</t>
  </si>
  <si>
    <t>'102.03150270000003',</t>
  </si>
  <si>
    <t>(37,</t>
  </si>
  <si>
    <t>'อำนาจเจริญ',</t>
  </si>
  <si>
    <t>'15.8656783',</t>
  </si>
  <si>
    <t>'104.62577740000006',</t>
  </si>
  <si>
    <t>(38,</t>
  </si>
  <si>
    <t>'บึงกาฬ',</t>
  </si>
  <si>
    <t>'18.3609104',</t>
  </si>
  <si>
    <t>'103.64644629999998',</t>
  </si>
  <si>
    <t>(39,</t>
  </si>
  <si>
    <t>'หนองบัวลำภู',</t>
  </si>
  <si>
    <t>'17.2218247',</t>
  </si>
  <si>
    <t>'102.42603680000002',</t>
  </si>
  <si>
    <t>(40,</t>
  </si>
  <si>
    <t>'ขอนแก่น',</t>
  </si>
  <si>
    <t>'16.4419355',</t>
  </si>
  <si>
    <t>'102.8359921',</t>
  </si>
  <si>
    <t>(41,</t>
  </si>
  <si>
    <t>'อุดรธานี',</t>
  </si>
  <si>
    <t>'17.4138413',</t>
  </si>
  <si>
    <t>'102.78723250000007',</t>
  </si>
  <si>
    <t>(42,</t>
  </si>
  <si>
    <t>'เลย',</t>
  </si>
  <si>
    <t>'17.4860232',</t>
  </si>
  <si>
    <t>'101.72230020000006',</t>
  </si>
  <si>
    <t>(43,</t>
  </si>
  <si>
    <t>'หนองคาย',</t>
  </si>
  <si>
    <t>'17.8782803',</t>
  </si>
  <si>
    <t>'102.74126380000007',</t>
  </si>
  <si>
    <t>(44,</t>
  </si>
  <si>
    <t>'มหาสารคาม',</t>
  </si>
  <si>
    <t>'16.1850896',</t>
  </si>
  <si>
    <t>'103.30264609999995',</t>
  </si>
  <si>
    <t>(45,</t>
  </si>
  <si>
    <t>'ร้อยเอ็ด',</t>
  </si>
  <si>
    <t>'16.0538196',</t>
  </si>
  <si>
    <t>'103.65200359999994',</t>
  </si>
  <si>
    <t>(46,</t>
  </si>
  <si>
    <t>'กาฬสินธุ์',</t>
  </si>
  <si>
    <t>'16.4314078',</t>
  </si>
  <si>
    <t>'103.5058755',</t>
  </si>
  <si>
    <t>(47,</t>
  </si>
  <si>
    <t>'สกลนคร',</t>
  </si>
  <si>
    <t>'17.1545995',</t>
  </si>
  <si>
    <t>'104.1348365',</t>
  </si>
  <si>
    <t>(48,</t>
  </si>
  <si>
    <t>'นครพนม',</t>
  </si>
  <si>
    <t>'17.392039',</t>
  </si>
  <si>
    <t>'104.76955079999993',</t>
  </si>
  <si>
    <t>(49,</t>
  </si>
  <si>
    <t>'มุกดาหาร',</t>
  </si>
  <si>
    <t>'16.542443',</t>
  </si>
  <si>
    <t>'104.72091509999996',</t>
  </si>
  <si>
    <t>(50,</t>
  </si>
  <si>
    <t>'เชียงใหม่',</t>
  </si>
  <si>
    <t>'18.7877477',</t>
  </si>
  <si>
    <t>'98.99313110000003',</t>
  </si>
  <si>
    <t>(51,</t>
  </si>
  <si>
    <t>'ลำพูน',</t>
  </si>
  <si>
    <t>'18.5744606',</t>
  </si>
  <si>
    <t>'99.0087221',</t>
  </si>
  <si>
    <t>(52,</t>
  </si>
  <si>
    <t>'ลำปาง',</t>
  </si>
  <si>
    <t>'18.2888404',</t>
  </si>
  <si>
    <t>'99.49087399999996',</t>
  </si>
  <si>
    <t>(53,</t>
  </si>
  <si>
    <t>'อุตรดิตถ์',</t>
  </si>
  <si>
    <t>'17.6200886',</t>
  </si>
  <si>
    <t>'100.09929420000003',</t>
  </si>
  <si>
    <t>(54,</t>
  </si>
  <si>
    <t>'แพร่',</t>
  </si>
  <si>
    <t>'18.1445774',</t>
  </si>
  <si>
    <t>'100.14028310000003',</t>
  </si>
  <si>
    <t>(55,</t>
  </si>
  <si>
    <t>'น่าน',</t>
  </si>
  <si>
    <t>'18.7756318',</t>
  </si>
  <si>
    <t>'100.77304170000002',</t>
  </si>
  <si>
    <t>(56,</t>
  </si>
  <si>
    <t>'พะเยา',</t>
  </si>
  <si>
    <t>'19.1664789',</t>
  </si>
  <si>
    <t>'99.9019419',</t>
  </si>
  <si>
    <t>(57,</t>
  </si>
  <si>
    <t>'เชียงราย',</t>
  </si>
  <si>
    <t>'19.9071656',</t>
  </si>
  <si>
    <t>'99.83095500000002',</t>
  </si>
  <si>
    <t>(58,</t>
  </si>
  <si>
    <t>'แม่ฮ่องสอน',</t>
  </si>
  <si>
    <t>'19.2990643',</t>
  </si>
  <si>
    <t>'97.96562259999996',</t>
  </si>
  <si>
    <t>(60,</t>
  </si>
  <si>
    <t>'นครสวรรค์',</t>
  </si>
  <si>
    <t>'15.6930072',</t>
  </si>
  <si>
    <t>'100.12255949999997',</t>
  </si>
  <si>
    <t>(61,</t>
  </si>
  <si>
    <t>'อุทัยธานี',</t>
  </si>
  <si>
    <t>'15.3835001',</t>
  </si>
  <si>
    <t>'100.02455269999996',</t>
  </si>
  <si>
    <t>(62,</t>
  </si>
  <si>
    <t>'กำแพงเพชร',</t>
  </si>
  <si>
    <t>'16.4827798',</t>
  </si>
  <si>
    <t>'99.52266179999992',</t>
  </si>
  <si>
    <t>(63,</t>
  </si>
  <si>
    <t>'ตาก',</t>
  </si>
  <si>
    <t>'16.8839901',</t>
  </si>
  <si>
    <t>'99.12584979999997',</t>
  </si>
  <si>
    <t>(64,</t>
  </si>
  <si>
    <t>'สุโขทัย',</t>
  </si>
  <si>
    <t>'17.0055573',</t>
  </si>
  <si>
    <t>'99.82637120000004',</t>
  </si>
  <si>
    <t>(65,</t>
  </si>
  <si>
    <t>'พิษณุโลก',</t>
  </si>
  <si>
    <t>'16.8298048',</t>
  </si>
  <si>
    <t>'100.26149150000003',</t>
  </si>
  <si>
    <t>(66,</t>
  </si>
  <si>
    <t>'พิจิตร',</t>
  </si>
  <si>
    <t>'16.4429516',</t>
  </si>
  <si>
    <t>'100.34823289999997',</t>
  </si>
  <si>
    <t>(67,</t>
  </si>
  <si>
    <t>'เพชรบูรณ์',</t>
  </si>
  <si>
    <t>'16.4189807',</t>
  </si>
  <si>
    <t>'101.15509259999999',</t>
  </si>
  <si>
    <t>(70,</t>
  </si>
  <si>
    <t>'ราชบุรี',</t>
  </si>
  <si>
    <t>'13.5282893',</t>
  </si>
  <si>
    <t>'99.81342110000003',</t>
  </si>
  <si>
    <t>(71,</t>
  </si>
  <si>
    <t>'กาญจนบุรี',</t>
  </si>
  <si>
    <t>'14.0227797',</t>
  </si>
  <si>
    <t>'99.53281149999998',</t>
  </si>
  <si>
    <t>(72,</t>
  </si>
  <si>
    <t>'สุพรรณบุรี',</t>
  </si>
  <si>
    <t>'14.4744892',</t>
  </si>
  <si>
    <t>'100.11771279999994',</t>
  </si>
  <si>
    <t>(73,</t>
  </si>
  <si>
    <t>'นครปฐม',</t>
  </si>
  <si>
    <t>'13.8199206',</t>
  </si>
  <si>
    <t>'100.06216760000007',</t>
  </si>
  <si>
    <t>(74,</t>
  </si>
  <si>
    <t>'สมุทรสาคร',</t>
  </si>
  <si>
    <t>'13.5475216',</t>
  </si>
  <si>
    <t>'100.27439559999993',</t>
  </si>
  <si>
    <t>(75,</t>
  </si>
  <si>
    <t>'สมุทรสงคราม',</t>
  </si>
  <si>
    <t>'13.4098217',</t>
  </si>
  <si>
    <t>'100.00226450000002',</t>
  </si>
  <si>
    <t>(76,</t>
  </si>
  <si>
    <t>'เพชรบุรี',</t>
  </si>
  <si>
    <t>'13.1111601',</t>
  </si>
  <si>
    <t>'99.93913069999996',</t>
  </si>
  <si>
    <t>(77,</t>
  </si>
  <si>
    <t>'ประจวบคีรีขันธ์',</t>
  </si>
  <si>
    <t>'11.812367',</t>
  </si>
  <si>
    <t>'99.79732709999996',</t>
  </si>
  <si>
    <t>(80,</t>
  </si>
  <si>
    <t>'นครศรีธรรมราช',</t>
  </si>
  <si>
    <t>'8.4303975',</t>
  </si>
  <si>
    <t>'99.96312190000003',</t>
  </si>
  <si>
    <t>(81,</t>
  </si>
  <si>
    <t>'กระบี่',</t>
  </si>
  <si>
    <t>'8.0862997',</t>
  </si>
  <si>
    <t>'98.90628349999997',</t>
  </si>
  <si>
    <t>(82,</t>
  </si>
  <si>
    <t>'พังงา',</t>
  </si>
  <si>
    <t>'8.4407456',</t>
  </si>
  <si>
    <t>'98.51930319999997',</t>
  </si>
  <si>
    <t>(83,</t>
  </si>
  <si>
    <t>'ภูเก็ต',</t>
  </si>
  <si>
    <t>'7.9810496',</t>
  </si>
  <si>
    <t>'98.36388239999997',</t>
  </si>
  <si>
    <t>(84,</t>
  </si>
  <si>
    <t>'สุราษฎร์ธานี',</t>
  </si>
  <si>
    <t>'9.1382389',</t>
  </si>
  <si>
    <t>'99.32174829999997',</t>
  </si>
  <si>
    <t>(85,</t>
  </si>
  <si>
    <t>'ระนอง',</t>
  </si>
  <si>
    <t>'9.9528702',</t>
  </si>
  <si>
    <t>'98.60846409999999',</t>
  </si>
  <si>
    <t>(86,</t>
  </si>
  <si>
    <t>'ชุมพร',</t>
  </si>
  <si>
    <t>'10.4930496',</t>
  </si>
  <si>
    <t>'99.18001989999993',</t>
  </si>
  <si>
    <t>(90,</t>
  </si>
  <si>
    <t>'สงขลา',</t>
  </si>
  <si>
    <t>'7.1756004',</t>
  </si>
  <si>
    <t>'100.61434699999995',</t>
  </si>
  <si>
    <t>(91,</t>
  </si>
  <si>
    <t>'สตูล',</t>
  </si>
  <si>
    <t>'6.6238158',</t>
  </si>
  <si>
    <t>'100.06737440000006',</t>
  </si>
  <si>
    <t>(92,</t>
  </si>
  <si>
    <t>'ตรัง',</t>
  </si>
  <si>
    <t>'7.5593851',</t>
  </si>
  <si>
    <t>'99.61100650000003',</t>
  </si>
  <si>
    <t>(93,</t>
  </si>
  <si>
    <t>'พัทลุง',</t>
  </si>
  <si>
    <t>'7.6166823',</t>
  </si>
  <si>
    <t>'100.07402309999998',</t>
  </si>
  <si>
    <t>(94,</t>
  </si>
  <si>
    <t>'ปัตตานี',</t>
  </si>
  <si>
    <t>'6.869484399999999',</t>
  </si>
  <si>
    <t>'101.25048259999994',</t>
  </si>
  <si>
    <t>(95,</t>
  </si>
  <si>
    <t>'ยะลา',</t>
  </si>
  <si>
    <t>'6.541147',</t>
  </si>
  <si>
    <t>'101.28039469999999',</t>
  </si>
  <si>
    <t>(96,</t>
  </si>
  <si>
    <t>'นราธิวาส',</t>
  </si>
  <si>
    <t>'6.4254607',</t>
  </si>
  <si>
    <t>'101.82531429999995',</t>
  </si>
  <si>
    <t>13);</t>
  </si>
  <si>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</si>
  <si>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</si>
  <si>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</si>
  <si>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</si>
  <si>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</si>
  <si>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</si>
  <si>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</si>
  <si>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</si>
  <si>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</si>
  <si>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</si>
  <si>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</si>
  <si>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</si>
  <si>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</si>
  <si>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﻿6712</t>
  </si>
  <si>
    <t>ทั่วประเทศ</t>
  </si>
  <si>
    <t>-</t>
  </si>
  <si>
    <t>กรุงเทพมหานคร</t>
  </si>
  <si>
    <t>ท้องถิ่นเขตพระนคร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</si>
  <si>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</si>
  <si>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</si>
  <si>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</si>
  <si>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</si>
  <si>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</si>
  <si>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</si>
  <si>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</si>
  <si>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</si>
  <si>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</si>
  <si>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</si>
  <si>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</si>
  <si>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</si>
  <si>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</si>
  <si>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</si>
  <si>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</si>
  <si>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</si>
  <si>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</si>
  <si>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</si>
  <si>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</si>
  <si>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</si>
  <si>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</si>
  <si>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</si>
  <si>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</si>
  <si>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</si>
  <si>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</si>
  <si>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</si>
  <si>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</si>
  <si>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</si>
  <si>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</si>
  <si>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</si>
  <si>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</si>
  <si>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</si>
  <si>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</si>
  <si>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</si>
  <si>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</si>
  <si>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</si>
  <si>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</si>
  <si>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</si>
  <si>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</si>
  <si>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</si>
  <si>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</si>
  <si>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</si>
  <si>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</si>
  <si>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</si>
  <si>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</si>
  <si>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</si>
  <si>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</si>
  <si>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</si>
  <si>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</si>
  <si>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</si>
  <si>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</si>
  <si>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</si>
  <si>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</si>
  <si>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</si>
  <si>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</si>
  <si>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</si>
  <si>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</si>
  <si>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</si>
  <si>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</si>
  <si>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</si>
  <si>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</si>
  <si>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</si>
  <si>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</si>
  <si>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</si>
  <si>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</si>
  <si>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</si>
  <si>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</si>
  <si>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</si>
  <si>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</si>
  <si>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</si>
  <si>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</si>
  <si>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</si>
  <si>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</si>
  <si>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</si>
  <si>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</si>
  <si>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</si>
  <si>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</si>
  <si>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</si>
  <si>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</si>
  <si>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</si>
  <si>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</si>
  <si>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</si>
  <si>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</si>
  <si>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</si>
  <si>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</si>
  <si>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</si>
  <si>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</si>
  <si>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</si>
  <si>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</si>
  <si>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</si>
  <si>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</si>
  <si>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</si>
  <si>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</si>
  <si>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</si>
  <si>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</si>
  <si>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</si>
  <si>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</si>
  <si>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</si>
  <si>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</si>
  <si>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</si>
  <si>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</si>
  <si>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</si>
  <si>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</si>
  <si>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</si>
  <si>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</si>
  <si>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</si>
  <si>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</si>
  <si>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</si>
  <si>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</si>
  <si>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</si>
  <si>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</si>
  <si>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</si>
  <si>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</si>
  <si>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</si>
  <si>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</si>
  <si>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</si>
  <si>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</si>
  <si>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</si>
  <si>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</si>
  <si>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</si>
  <si>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</si>
  <si>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</si>
  <si>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</si>
  <si>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</si>
  <si>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</si>
  <si>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</si>
  <si>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</si>
  <si>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</si>
  <si>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</si>
  <si>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</si>
  <si>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</si>
  <si>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</si>
  <si>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</si>
  <si>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</si>
  <si>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</si>
  <si>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</si>
  <si>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</si>
  <si>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</si>
  <si>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</si>
  <si>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</si>
  <si>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</si>
  <si>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</si>
  <si>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</si>
  <si>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</si>
  <si>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</si>
  <si>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</si>
  <si>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</si>
  <si>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</si>
  <si>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</si>
  <si>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</si>
  <si>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</si>
  <si>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</si>
  <si>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</si>
  <si>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</si>
  <si>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</si>
  <si>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</si>
  <si>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</si>
  <si>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</si>
  <si>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</si>
  <si>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</si>
  <si>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</si>
  <si>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</si>
  <si>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</si>
  <si>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</si>
  <si>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</si>
  <si>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</si>
  <si>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</si>
  <si>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</si>
  <si>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</si>
  <si>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</si>
  <si>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</si>
  <si>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</si>
  <si>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</si>
  <si>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</si>
  <si>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</si>
  <si>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</si>
  <si>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</si>
  <si>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</si>
  <si>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</si>
  <si>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</si>
  <si>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</si>
  <si>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</si>
  <si>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</si>
  <si>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</si>
  <si>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</si>
  <si>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</si>
  <si>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</si>
  <si>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</si>
  <si>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</si>
  <si>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</si>
  <si>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</si>
  <si>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</si>
  <si>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</si>
  <si>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</si>
  <si>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</si>
  <si>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</si>
  <si>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</si>
  <si>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</si>
  <si>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</si>
  <si>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</si>
  <si>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</si>
  <si>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</si>
  <si>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</si>
  <si>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</si>
  <si>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</si>
  <si>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</si>
  <si>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</si>
  <si>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</si>
  <si>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</si>
  <si>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</si>
  <si>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</si>
  <si>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</si>
  <si>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</si>
  <si>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</si>
  <si>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</si>
  <si>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</si>
  <si>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</si>
  <si>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</si>
  <si>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</si>
  <si>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</si>
  <si>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</si>
  <si>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</si>
  <si>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</si>
  <si>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</si>
  <si>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</si>
  <si>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</si>
  <si>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</si>
  <si>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</si>
  <si>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</si>
  <si>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</si>
  <si>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</si>
  <si>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</si>
  <si>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</si>
  <si>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</si>
  <si>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</si>
  <si>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</si>
  <si>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</si>
  <si>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</si>
  <si>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</si>
  <si>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</si>
  <si>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</si>
  <si>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</si>
  <si>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</si>
  <si>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</si>
  <si>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</si>
  <si>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</si>
  <si>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</si>
  <si>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</si>
  <si>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</si>
  <si>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</si>
  <si>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</si>
  <si>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</si>
  <si>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</si>
  <si>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</si>
  <si>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</si>
  <si>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</si>
  <si>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</si>
  <si>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</si>
  <si>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</si>
  <si>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</si>
  <si>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</si>
  <si>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</si>
  <si>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</si>
  <si>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</si>
  <si>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</si>
  <si>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</si>
  <si>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</si>
  <si>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</si>
  <si>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</si>
  <si>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</si>
  <si>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</si>
  <si>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</si>
  <si>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</si>
  <si>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</si>
  <si>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</si>
  <si>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</si>
  <si>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</si>
  <si>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</si>
  <si>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</si>
  <si>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</si>
  <si>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</si>
  <si>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</si>
  <si>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</si>
  <si>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</si>
  <si>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</si>
  <si>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</si>
  <si>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</si>
  <si>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</si>
  <si>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</si>
  <si>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</si>
  <si>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</si>
  <si>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</si>
  <si>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</si>
  <si>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</si>
  <si>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</si>
  <si>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</si>
  <si>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</si>
  <si>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</si>
  <si>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</si>
  <si>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</si>
  <si>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</si>
  <si>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</si>
  <si>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</si>
  <si>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</si>
  <si>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</si>
  <si>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</si>
  <si>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</si>
  <si>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</si>
  <si>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</si>
  <si>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</si>
  <si>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</si>
  <si>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</si>
  <si>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</si>
  <si>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</si>
  <si>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</si>
  <si>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</si>
  <si>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</si>
  <si>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</si>
  <si>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</si>
  <si>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</si>
  <si>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</si>
  <si>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</si>
  <si>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</si>
  <si>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</si>
  <si>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</si>
  <si>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</si>
  <si>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</si>
  <si>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</si>
  <si>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</si>
  <si>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</si>
  <si>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</si>
  <si>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</si>
  <si>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</si>
  <si>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</si>
  <si>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</si>
  <si>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</si>
  <si>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</si>
  <si>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</si>
  <si>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</si>
  <si>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</si>
  <si>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</si>
  <si>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</si>
  <si>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</si>
  <si>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</si>
  <si>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</si>
  <si>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</si>
  <si>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</si>
  <si>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</si>
  <si>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</si>
  <si>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</si>
  <si>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</si>
  <si>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</si>
  <si>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</si>
  <si>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</si>
  <si>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</si>
  <si>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</si>
  <si>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</si>
  <si>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</si>
  <si>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</si>
  <si>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</si>
  <si>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</si>
  <si>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</si>
  <si>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</si>
  <si>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</si>
  <si>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</si>
  <si>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</si>
  <si>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</si>
  <si>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</si>
  <si>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</si>
  <si>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</si>
  <si>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</si>
  <si>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</si>
  <si>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</si>
  <si>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</si>
  <si>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</si>
  <si>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</si>
  <si>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</si>
  <si>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</si>
  <si>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</si>
  <si>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</si>
  <si>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</si>
  <si>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</si>
  <si>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</si>
  <si>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</si>
  <si>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</si>
  <si>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</si>
  <si>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</si>
  <si>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</si>
  <si>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</si>
  <si>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</si>
  <si>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</si>
  <si>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</si>
  <si>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</si>
  <si>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</si>
  <si>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</si>
  <si>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</si>
  <si>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</si>
  <si>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</si>
  <si>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</si>
  <si>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</si>
  <si>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</si>
  <si>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</si>
  <si>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</si>
  <si>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</si>
  <si>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</si>
  <si>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</si>
  <si>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</si>
  <si>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</si>
  <si>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</si>
  <si>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</si>
  <si>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</si>
  <si>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</si>
  <si>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</si>
  <si>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</si>
  <si>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</si>
  <si>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</si>
  <si>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</si>
  <si>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</si>
  <si>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</si>
  <si>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</si>
  <si>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</si>
  <si>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</si>
  <si>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</si>
  <si>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</si>
  <si>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</si>
  <si>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</si>
  <si>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</si>
  <si>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</si>
  <si>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</si>
  <si>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</si>
  <si>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</si>
  <si>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</si>
  <si>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</si>
  <si>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</si>
  <si>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</si>
  <si>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</si>
  <si>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</si>
  <si>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</si>
  <si>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</si>
  <si>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</si>
  <si>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</si>
  <si>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</si>
  <si>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</si>
  <si>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</si>
  <si>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</si>
  <si>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</si>
  <si>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</si>
  <si>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</si>
  <si>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</si>
  <si>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</si>
  <si>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</si>
  <si>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</si>
  <si>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</si>
  <si>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</si>
  <si>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</si>
  <si>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</si>
  <si>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</si>
  <si>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</si>
  <si>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</si>
  <si>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</si>
  <si>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</si>
  <si>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</si>
  <si>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</si>
  <si>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</si>
  <si>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</si>
  <si>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</si>
  <si>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</si>
  <si>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</si>
  <si>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</si>
  <si>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</si>
  <si>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</si>
  <si>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</si>
  <si>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</si>
  <si>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</si>
  <si>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</si>
  <si>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</si>
  <si>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</si>
  <si>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</si>
  <si>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</si>
  <si>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</si>
  <si>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</si>
  <si>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</si>
  <si>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</si>
  <si>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</si>
  <si>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</si>
  <si>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</si>
  <si>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</si>
  <si>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</si>
  <si>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</si>
  <si>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</si>
  <si>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</si>
  <si>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</si>
  <si>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</si>
  <si>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</si>
  <si>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</si>
  <si>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</si>
  <si>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</si>
  <si>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</si>
  <si>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</si>
  <si>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</si>
  <si>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</si>
  <si>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</si>
  <si>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</si>
  <si>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</si>
  <si>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</si>
  <si>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</si>
  <si>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</si>
  <si>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</si>
  <si>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</si>
  <si>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</si>
  <si>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</si>
  <si>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</si>
  <si>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</si>
  <si>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</si>
  <si>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</si>
  <si>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</si>
  <si>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</si>
  <si>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</si>
  <si>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</si>
  <si>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</si>
  <si>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</si>
  <si>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</si>
  <si>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</si>
  <si>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</si>
  <si>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</si>
  <si>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</si>
  <si>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</si>
  <si>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</si>
  <si>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</si>
  <si>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</si>
  <si>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</si>
  <si>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</si>
  <si>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</si>
  <si>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</si>
  <si>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</si>
  <si>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</si>
  <si>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</si>
  <si>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</si>
  <si>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</si>
  <si>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</si>
  <si>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</si>
  <si>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</si>
  <si>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</si>
  <si>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</si>
  <si>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</si>
  <si>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</si>
  <si>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</si>
  <si>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</si>
  <si>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</si>
  <si>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</si>
  <si>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</si>
  <si>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</si>
  <si>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</si>
  <si>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</si>
  <si>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</si>
  <si>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</si>
  <si>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</si>
  <si>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</si>
  <si>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</si>
  <si>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</si>
  <si>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</si>
  <si>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</si>
  <si>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</si>
  <si>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</si>
  <si>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</si>
  <si>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</si>
  <si>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</si>
  <si>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</si>
  <si>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</si>
  <si>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</si>
  <si>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</si>
  <si>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</si>
  <si>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</si>
  <si>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</si>
  <si>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</si>
  <si>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</si>
  <si>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</si>
  <si>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</si>
  <si>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</si>
  <si>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</si>
  <si>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</si>
  <si>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</si>
  <si>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</si>
  <si>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</si>
  <si>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</si>
  <si>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</si>
  <si>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</si>
  <si>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</si>
  <si>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</si>
  <si>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</si>
  <si>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</si>
  <si>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</si>
  <si>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</si>
  <si>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</si>
  <si>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</si>
  <si>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</si>
  <si>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</si>
  <si>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</si>
  <si>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</si>
  <si>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</si>
  <si>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</si>
  <si>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</si>
  <si>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</si>
  <si>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</si>
  <si>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</si>
  <si>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</si>
  <si>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</si>
  <si>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</si>
  <si>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</si>
  <si>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</si>
  <si>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</si>
  <si>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</si>
  <si>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</si>
  <si>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</si>
  <si>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</si>
  <si>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</si>
  <si>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</si>
  <si>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</si>
  <si>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</si>
  <si>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</si>
  <si>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</si>
  <si>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</si>
  <si>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</si>
  <si>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</si>
  <si>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</si>
  <si>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</si>
  <si>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</si>
  <si>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</si>
  <si>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</si>
  <si>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</si>
  <si>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</si>
  <si>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</si>
  <si>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</si>
  <si>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</si>
  <si>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</si>
  <si>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</si>
  <si>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</si>
  <si>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</si>
  <si>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</si>
  <si>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</si>
  <si>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</si>
  <si>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</si>
  <si>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</si>
  <si>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</si>
  <si>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</si>
  <si>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</si>
  <si>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</si>
  <si>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</si>
  <si>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</si>
  <si>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</si>
  <si>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</si>
  <si>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</si>
  <si>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</si>
  <si>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</si>
  <si>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</si>
  <si>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</si>
  <si>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</si>
  <si>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</si>
  <si>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</si>
  <si>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</si>
  <si>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</si>
  <si>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</si>
  <si>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</si>
  <si>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</si>
  <si>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</si>
  <si>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</si>
  <si>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</si>
  <si>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</si>
  <si>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</si>
  <si>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</si>
  <si>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</si>
  <si>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</si>
  <si>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</si>
  <si>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</si>
  <si>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</si>
  <si>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</si>
  <si>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</si>
  <si>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</si>
  <si>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</si>
  <si>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</si>
  <si>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</si>
  <si>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</si>
  <si>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</si>
  <si>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</si>
  <si>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</si>
  <si>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</si>
  <si>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</si>
  <si>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</si>
  <si>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</si>
  <si>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</si>
  <si>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</si>
  <si>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</si>
  <si>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</si>
  <si>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</si>
  <si>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</si>
  <si>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</si>
  <si>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</si>
  <si>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</si>
  <si>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</si>
  <si>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</si>
  <si>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</si>
  <si>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</si>
  <si>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</si>
  <si>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</si>
  <si>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</si>
  <si>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</si>
  <si>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</si>
  <si>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</si>
  <si>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</si>
  <si>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</si>
  <si>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</si>
  <si>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</si>
  <si>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</si>
  <si>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</si>
  <si>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</si>
  <si>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</si>
  <si>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</si>
  <si>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</si>
  <si>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</si>
  <si>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</si>
  <si>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</si>
  <si>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</si>
  <si>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</si>
  <si>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</si>
  <si>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</si>
  <si>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</si>
  <si>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</si>
  <si>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</si>
  <si>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</si>
  <si>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</si>
  <si>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</si>
  <si>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</si>
  <si>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</si>
  <si>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</si>
  <si>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</si>
  <si>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</si>
  <si>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</si>
  <si>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</si>
  <si>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</si>
  <si>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</si>
  <si>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</si>
  <si>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</si>
  <si>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</si>
  <si>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</si>
  <si>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</si>
  <si>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</si>
  <si>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</si>
  <si>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</si>
  <si>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</si>
  <si>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</si>
  <si>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</si>
  <si>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</si>
  <si>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</si>
  <si>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</si>
  <si>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</si>
  <si>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</si>
  <si>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</si>
  <si>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</si>
  <si>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</si>
  <si>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</si>
  <si>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</si>
  <si>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</si>
  <si>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</si>
  <si>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</si>
  <si>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</si>
  <si>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</si>
  <si>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</si>
  <si>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</si>
  <si>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</si>
  <si>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</si>
  <si>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</si>
  <si>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</si>
  <si>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</si>
  <si>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</si>
  <si>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</si>
  <si>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</si>
  <si>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</si>
  <si>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</si>
  <si>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</si>
  <si>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</si>
  <si>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</si>
  <si>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</si>
  <si>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</si>
  <si>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</si>
  <si>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</si>
  <si>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</si>
  <si>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</si>
  <si>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</si>
  <si>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</si>
  <si>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</si>
  <si>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</si>
  <si>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</si>
  <si>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</si>
  <si>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</si>
  <si>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</si>
  <si>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</si>
  <si>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</si>
  <si>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</si>
  <si>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</si>
  <si>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</si>
  <si>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</si>
  <si>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</si>
  <si>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</si>
  <si>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</si>
  <si>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</si>
  <si>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</si>
  <si>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</si>
  <si>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</si>
  <si>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</si>
  <si>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</si>
  <si>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</si>
  <si>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</si>
  <si>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</si>
  <si>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</si>
  <si>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</si>
  <si>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</si>
  <si>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</si>
  <si>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</si>
  <si>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</si>
  <si>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</si>
  <si>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</si>
  <si>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</si>
  <si>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</si>
  <si>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</si>
  <si>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</si>
  <si>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</si>
  <si>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</si>
  <si>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</si>
  <si>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</si>
  <si>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</si>
  <si>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</si>
  <si>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</si>
  <si>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</si>
  <si>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</si>
  <si>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</si>
  <si>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</si>
  <si>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</si>
  <si>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</si>
  <si>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</si>
  <si>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</si>
  <si>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</si>
  <si>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</si>
  <si>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</si>
  <si>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</si>
  <si>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</si>
  <si>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</si>
  <si>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</si>
  <si>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</si>
  <si>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</si>
  <si>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</si>
  <si>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</si>
  <si>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</si>
  <si>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</si>
  <si>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</si>
  <si>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</si>
  <si>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</si>
  <si>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</si>
  <si>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</si>
  <si>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</si>
  <si>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</si>
  <si>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</si>
  <si>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</si>
  <si>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</si>
  <si>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</si>
  <si>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</si>
  <si>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</si>
  <si>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</si>
  <si>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</si>
  <si>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</si>
  <si>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</si>
  <si>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</si>
  <si>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</si>
  <si>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</si>
  <si>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</si>
  <si>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</si>
  <si>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</si>
  <si>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</si>
  <si>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</si>
  <si>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</si>
  <si>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</si>
  <si>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</si>
  <si>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</si>
  <si>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</si>
  <si>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</si>
  <si>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</si>
  <si>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</si>
  <si>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</si>
  <si>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</si>
  <si>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</si>
  <si>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</si>
  <si>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</si>
  <si>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</si>
  <si>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</si>
  <si>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</si>
  <si>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</si>
  <si>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</si>
  <si>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</si>
  <si>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</si>
  <si>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</si>
  <si>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</si>
  <si>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</si>
  <si>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</si>
  <si>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</si>
  <si>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</si>
  <si>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</si>
  <si>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</si>
  <si>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</si>
  <si>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</si>
  <si>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</si>
  <si>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</si>
  <si>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</si>
  <si>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</si>
  <si>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</si>
  <si>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</si>
  <si>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</si>
  <si>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</si>
  <si>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</si>
  <si>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</si>
  <si>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</si>
  <si>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</si>
  <si>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</si>
  <si>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</si>
  <si>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</si>
  <si>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</si>
  <si>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</si>
  <si>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</si>
  <si>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</si>
  <si>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</si>
  <si>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</si>
  <si>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</si>
  <si>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</si>
  <si>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</si>
  <si>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</si>
  <si>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</si>
  <si>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</si>
  <si>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</si>
  <si>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</si>
  <si>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</si>
  <si>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</si>
  <si>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</si>
  <si>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</si>
  <si>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</si>
  <si>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</si>
  <si>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</si>
  <si>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</si>
  <si>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</si>
  <si>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</si>
  <si>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</si>
  <si>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</si>
  <si>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</si>
  <si>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</si>
  <si>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</si>
  <si>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</si>
  <si>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</si>
  <si>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</si>
  <si>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</si>
  <si>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</si>
  <si>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</si>
  <si>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</si>
  <si>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</si>
  <si>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</si>
  <si>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</si>
  <si>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</si>
  <si>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</si>
  <si>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</si>
  <si>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</si>
  <si>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</si>
  <si>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</si>
  <si>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</si>
  <si>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</si>
  <si>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</si>
  <si>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</si>
  <si>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</si>
  <si>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</si>
  <si>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</si>
  <si>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</si>
  <si>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</si>
  <si>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</si>
  <si>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</si>
  <si>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</si>
  <si>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</si>
  <si>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</si>
  <si>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</si>
  <si>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</si>
  <si>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</si>
  <si>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</si>
  <si>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</si>
  <si>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</si>
  <si>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</si>
  <si>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</si>
  <si>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</si>
  <si>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</si>
  <si>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</si>
  <si>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</si>
  <si>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</si>
  <si>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</si>
  <si>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</si>
  <si>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</si>
  <si>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</si>
  <si>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</si>
  <si>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</si>
  <si>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</si>
  <si>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</si>
  <si>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</si>
  <si>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</si>
  <si>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</si>
  <si>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</si>
  <si>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</si>
  <si>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</si>
  <si>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</si>
  <si>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</si>
  <si>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</si>
  <si>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</si>
  <si>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</si>
  <si>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</si>
  <si>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</si>
  <si>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</si>
  <si>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</si>
  <si>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</si>
  <si>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</si>
  <si>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</si>
  <si>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</si>
  <si>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</si>
  <si>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</si>
  <si>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</si>
  <si>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</si>
  <si>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</si>
  <si>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</si>
  <si>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</si>
  <si>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</si>
  <si>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</si>
  <si>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</si>
  <si>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</si>
  <si>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</si>
  <si>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</si>
  <si>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</si>
  <si>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</si>
  <si>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</si>
  <si>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</si>
  <si>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</si>
  <si>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</si>
  <si>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</si>
  <si>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</si>
  <si>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</si>
  <si>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</si>
  <si>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</si>
  <si>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</si>
  <si>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</si>
  <si>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</si>
  <si>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</si>
  <si>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</si>
  <si>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</si>
  <si>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</si>
  <si>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</si>
  <si>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</si>
  <si>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</si>
  <si>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</si>
  <si>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</si>
  <si>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</si>
  <si>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</si>
  <si>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</si>
  <si>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</si>
  <si>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</si>
  <si>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</si>
  <si>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</si>
  <si>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</si>
  <si>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</si>
  <si>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</si>
  <si>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</si>
  <si>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</si>
  <si>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</si>
  <si>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</si>
  <si>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</si>
  <si>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</si>
  <si>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</si>
  <si>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</si>
  <si>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</si>
  <si>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</si>
  <si>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</si>
  <si>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</si>
  <si>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</si>
  <si>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</si>
  <si>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</si>
  <si>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</si>
  <si>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</si>
  <si>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</si>
  <si>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</si>
  <si>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</si>
  <si>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</si>
  <si>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</si>
  <si>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</si>
  <si>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</si>
  <si>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</si>
  <si>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</si>
  <si>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</si>
  <si>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</si>
  <si>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</si>
  <si>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</si>
  <si>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</si>
  <si>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</si>
  <si>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</si>
  <si>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</si>
  <si>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</si>
  <si>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</si>
  <si>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</si>
  <si>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</si>
  <si>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</si>
  <si>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</si>
  <si>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</si>
  <si>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</si>
  <si>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</si>
  <si>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</si>
  <si>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</si>
  <si>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</si>
  <si>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</si>
  <si>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</si>
  <si>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</si>
  <si>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</si>
  <si>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</si>
  <si>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</si>
  <si>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</si>
  <si>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</si>
  <si>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</si>
  <si>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</si>
  <si>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</si>
  <si>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</si>
  <si>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</si>
  <si>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</si>
  <si>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</si>
  <si>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</si>
  <si>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</si>
  <si>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</si>
  <si>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</si>
  <si>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</si>
  <si>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</si>
  <si>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</si>
  <si>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</si>
  <si>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</si>
  <si>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</si>
  <si>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</si>
  <si>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</si>
  <si>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</si>
  <si>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</si>
  <si>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</si>
  <si>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</si>
  <si>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</si>
  <si>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</si>
  <si>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</si>
  <si>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</si>
  <si>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</si>
  <si>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</si>
  <si>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</si>
  <si>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</si>
  <si>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</si>
  <si>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</si>
  <si>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</si>
  <si>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</si>
  <si>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</si>
  <si>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</si>
  <si>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</si>
  <si>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</si>
  <si>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</si>
  <si>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</si>
  <si>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</si>
  <si>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</si>
  <si>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</si>
  <si>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</si>
  <si>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</si>
  <si>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</si>
  <si>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</si>
  <si>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</si>
  <si>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</si>
  <si>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</si>
  <si>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</si>
  <si>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</si>
  <si>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</si>
  <si>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</si>
  <si>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</si>
  <si>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</si>
  <si>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</si>
  <si>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</si>
  <si>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</si>
  <si>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</si>
  <si>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</si>
  <si>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</si>
  <si>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</si>
  <si>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</si>
  <si>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</si>
  <si>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</si>
  <si>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</si>
  <si>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</si>
  <si>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</si>
  <si>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</si>
  <si>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</si>
  <si>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</si>
  <si>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</si>
  <si>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</si>
  <si>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</si>
  <si>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</si>
  <si>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</si>
  <si>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</si>
  <si>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</si>
  <si>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</si>
  <si>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</si>
  <si>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</si>
  <si>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</si>
  <si>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</si>
  <si>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</si>
  <si>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</si>
  <si>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</si>
  <si>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</si>
  <si>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</si>
  <si>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</si>
  <si>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</si>
  <si>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</si>
  <si>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</si>
  <si>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</si>
  <si>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</si>
  <si>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</si>
  <si>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</si>
  <si>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</si>
  <si>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</si>
  <si>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</si>
  <si>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</si>
  <si>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</si>
  <si>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</si>
  <si>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</si>
  <si>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</si>
  <si>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</si>
  <si>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</si>
  <si>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</si>
  <si>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</si>
  <si>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</si>
  <si>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</si>
  <si>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</si>
  <si>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</si>
  <si>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</si>
  <si>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</si>
  <si>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</si>
  <si>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</si>
  <si>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</si>
  <si>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</si>
  <si>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</si>
  <si>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</si>
  <si>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</si>
  <si>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</si>
  <si>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</si>
  <si>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</si>
  <si>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</si>
  <si>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</si>
  <si>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</si>
  <si>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</si>
  <si>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</si>
  <si>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</si>
  <si>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</si>
  <si>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</si>
  <si>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</si>
  <si>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</si>
  <si>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</si>
  <si>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</si>
  <si>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</si>
  <si>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</si>
  <si>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</si>
  <si>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</si>
  <si>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</si>
  <si>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</si>
  <si>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</si>
  <si>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</si>
  <si>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</si>
  <si>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</si>
  <si>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</si>
  <si>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</si>
  <si>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</si>
  <si>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</si>
  <si>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</si>
  <si>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</si>
  <si>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</si>
  <si>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</si>
  <si>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</si>
  <si>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</si>
  <si>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</si>
  <si>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</si>
  <si>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</si>
  <si>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</si>
  <si>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</si>
  <si>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</si>
  <si>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</si>
  <si>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</si>
  <si>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</si>
  <si>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</si>
  <si>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</si>
  <si>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</si>
  <si>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</si>
  <si>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</si>
  <si>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</si>
  <si>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</si>
  <si>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</si>
  <si>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</si>
  <si>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</si>
  <si>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</si>
  <si>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</si>
  <si>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</si>
  <si>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</si>
  <si>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</si>
  <si>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</si>
  <si>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</si>
  <si>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</si>
  <si>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</si>
  <si>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</si>
  <si>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</si>
  <si>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</si>
  <si>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</si>
  <si>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</si>
  <si>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</si>
  <si>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</si>
  <si>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</si>
  <si>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</si>
  <si>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</si>
  <si>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</si>
  <si>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</si>
  <si>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</si>
  <si>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</si>
  <si>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</si>
  <si>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</si>
  <si>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</si>
  <si>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</si>
  <si>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</si>
  <si>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</si>
  <si>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</si>
  <si>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</si>
  <si>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</si>
  <si>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</si>
  <si>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</si>
  <si>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</si>
  <si>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</si>
  <si>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</si>
  <si>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</si>
  <si>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</si>
  <si>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</si>
  <si>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</si>
  <si>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</si>
  <si>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</si>
  <si>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</si>
  <si>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</si>
  <si>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</si>
  <si>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</si>
  <si>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</si>
  <si>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</si>
  <si>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</si>
  <si>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</si>
  <si>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</si>
  <si>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</si>
  <si>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</si>
  <si>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</si>
  <si>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</si>
  <si>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</si>
  <si>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</si>
  <si>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</si>
  <si>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</si>
  <si>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</si>
  <si>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</si>
  <si>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</si>
  <si>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</si>
  <si>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</si>
  <si>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</si>
  <si>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</si>
  <si>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</si>
  <si>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</si>
  <si>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</si>
  <si>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</si>
  <si>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</si>
  <si>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</si>
  <si>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</si>
  <si>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</si>
  <si>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</si>
  <si>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</si>
  <si>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</si>
  <si>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</si>
  <si>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</si>
  <si>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</si>
  <si>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</si>
  <si>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</si>
  <si>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</si>
  <si>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</si>
  <si>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</si>
  <si>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</si>
  <si>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</si>
  <si>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</si>
  <si>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</si>
  <si>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</si>
  <si>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</si>
  <si>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</si>
  <si>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</si>
  <si>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</si>
  <si>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</si>
  <si>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</si>
  <si>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</si>
  <si>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</si>
  <si>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</si>
  <si>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</si>
  <si>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</si>
  <si>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</si>
  <si>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</si>
  <si>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</si>
  <si>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</si>
  <si>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</si>
  <si>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</si>
  <si>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</si>
  <si>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</si>
  <si>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</si>
  <si>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</si>
  <si>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</si>
  <si>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</si>
  <si>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</si>
  <si>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</si>
  <si>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</si>
  <si>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</si>
  <si>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</si>
  <si>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</si>
  <si>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</si>
  <si>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</si>
  <si>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</si>
  <si>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</si>
  <si>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</si>
  <si>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</si>
  <si>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</si>
  <si>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</si>
  <si>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</si>
  <si>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</si>
  <si>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</si>
  <si>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</si>
  <si>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</si>
  <si>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</si>
  <si>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</si>
  <si>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</si>
  <si>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</si>
  <si>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</si>
  <si>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</si>
  <si>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</si>
  <si>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</si>
  <si>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</si>
  <si>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</si>
  <si>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</si>
  <si>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</si>
  <si>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</si>
  <si>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</si>
  <si>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</si>
  <si>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</si>
  <si>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</si>
  <si>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</si>
  <si>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</si>
  <si>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</si>
  <si>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</si>
  <si>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</si>
  <si>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</si>
  <si>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</si>
  <si>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</si>
  <si>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</si>
  <si>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</si>
  <si>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</si>
  <si>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</si>
  <si>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</si>
  <si>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</si>
  <si>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</si>
  <si>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</si>
  <si>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</si>
  <si>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</si>
  <si>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</si>
  <si>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</si>
  <si>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</si>
  <si>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</si>
  <si>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</si>
  <si>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</si>
  <si>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</si>
  <si>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</si>
  <si>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</si>
  <si>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</si>
  <si>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</si>
  <si>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</si>
  <si>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</si>
  <si>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</si>
  <si>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</si>
  <si>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</si>
  <si>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</si>
  <si>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</si>
  <si>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</si>
  <si>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</si>
  <si>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</si>
  <si>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</si>
  <si>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</si>
  <si>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</si>
  <si>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</si>
  <si>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</si>
  <si>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</si>
  <si>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</si>
  <si>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</si>
  <si>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</si>
  <si>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</si>
  <si>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</si>
  <si>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</si>
  <si>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</si>
  <si>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</si>
  <si>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</si>
  <si>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</si>
  <si>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</si>
  <si>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</si>
  <si>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</si>
  <si>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</si>
  <si>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</si>
  <si>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</si>
  <si>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</si>
  <si>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</si>
  <si>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</si>
  <si>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</si>
  <si>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</si>
  <si>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</si>
  <si>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</si>
  <si>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</si>
  <si>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</si>
  <si>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</si>
  <si>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</si>
  <si>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</si>
  <si>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</si>
  <si>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</si>
  <si>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</si>
  <si>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</si>
  <si>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</si>
  <si>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</si>
  <si>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</si>
  <si>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</si>
  <si>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</si>
  <si>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</si>
  <si>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</si>
  <si>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</si>
  <si>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</si>
  <si>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</si>
  <si>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</si>
  <si>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</si>
  <si>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</si>
  <si>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</si>
  <si>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</si>
  <si>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</si>
  <si>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</si>
  <si>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</si>
  <si>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</si>
  <si>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</si>
  <si>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</si>
  <si>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</si>
  <si>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</si>
  <si>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</si>
  <si>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</si>
  <si>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</si>
  <si>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</si>
  <si>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</si>
  <si>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</si>
  <si>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</si>
  <si>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</si>
  <si>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</si>
  <si>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</si>
  <si>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</si>
  <si>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</si>
  <si>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</si>
  <si>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</si>
  <si>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</si>
  <si>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</si>
  <si>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</si>
  <si>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</si>
  <si>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</si>
  <si>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</si>
  <si>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</si>
  <si>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</si>
  <si>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</si>
  <si>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</si>
  <si>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</si>
  <si>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</si>
  <si>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</si>
  <si>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</si>
  <si>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</si>
  <si>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</si>
  <si>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</si>
  <si>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</si>
  <si>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</si>
  <si>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</si>
  <si>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</si>
  <si>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</si>
  <si>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</si>
  <si>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</si>
  <si>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</si>
  <si>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</si>
  <si>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</si>
  <si>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</si>
  <si>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</si>
  <si>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</si>
  <si>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</si>
  <si>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</si>
  <si>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</si>
  <si>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</si>
  <si>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</si>
  <si>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</si>
  <si>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</si>
  <si>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</si>
  <si>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</si>
  <si>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</si>
  <si>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</si>
  <si>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</si>
  <si>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</si>
  <si>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</si>
  <si>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</si>
  <si>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</si>
  <si>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</si>
  <si>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</si>
  <si>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</si>
  <si>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</si>
  <si>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</si>
  <si>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</si>
  <si>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</si>
  <si>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</si>
  <si>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</si>
  <si>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</si>
  <si>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</si>
  <si>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</si>
  <si>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</si>
  <si>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</si>
  <si>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</si>
  <si>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</si>
  <si>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</si>
  <si>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</si>
  <si>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</si>
  <si>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</si>
  <si>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</si>
  <si>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</si>
  <si>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</si>
  <si>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</si>
  <si>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</si>
  <si>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</si>
  <si>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</si>
  <si>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</si>
  <si>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</si>
  <si>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</si>
  <si>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</si>
  <si>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</si>
  <si>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</si>
  <si>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</si>
  <si>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</si>
  <si>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</si>
  <si>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</si>
  <si>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</si>
  <si>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</si>
  <si>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</si>
  <si>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</si>
  <si>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</si>
  <si>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</si>
  <si>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</si>
  <si>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</si>
  <si>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</si>
  <si>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</si>
  <si>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</si>
  <si>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</si>
  <si>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</si>
  <si>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</si>
  <si>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</si>
  <si>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</si>
  <si>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</si>
  <si>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</si>
  <si>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</si>
  <si>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</si>
  <si>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</si>
  <si>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</si>
  <si>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</si>
  <si>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</si>
  <si>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</si>
  <si>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</si>
  <si>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</si>
  <si>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</si>
  <si>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</si>
  <si>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</si>
  <si>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</si>
  <si>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</si>
  <si>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</si>
  <si>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</si>
  <si>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</si>
  <si>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</si>
  <si>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</si>
  <si>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</si>
  <si>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</si>
  <si>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</si>
  <si>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</si>
  <si>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</si>
  <si>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</si>
  <si>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</si>
  <si>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</si>
  <si>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</si>
  <si>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</si>
  <si>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</si>
  <si>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</si>
  <si>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</si>
  <si>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</si>
  <si>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</si>
  <si>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</si>
  <si>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</si>
  <si>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</si>
  <si>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</si>
  <si>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</si>
  <si>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</si>
  <si>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</si>
  <si>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</si>
  <si>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</si>
  <si>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</si>
  <si>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</si>
  <si>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</si>
  <si>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</si>
  <si>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</si>
  <si>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</si>
  <si>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</si>
  <si>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</si>
  <si>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</si>
  <si>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</si>
  <si>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</si>
  <si>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</si>
  <si>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</si>
  <si>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</si>
  <si>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</si>
  <si>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</si>
  <si>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</si>
  <si>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</si>
  <si>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</si>
  <si>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</si>
  <si>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</si>
  <si>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</si>
  <si>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</si>
  <si>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</si>
  <si>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</si>
  <si>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</si>
  <si>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</si>
  <si>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</si>
  <si>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</si>
  <si>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</si>
  <si>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</si>
  <si>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</si>
  <si>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</si>
  <si>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</si>
  <si>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</si>
  <si>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</si>
  <si>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</si>
  <si>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</si>
  <si>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</si>
  <si>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</si>
  <si>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</si>
  <si>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</si>
  <si>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</si>
  <si>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</si>
  <si>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</si>
  <si>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</si>
  <si>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</si>
  <si>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</si>
  <si>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</si>
  <si>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</si>
  <si>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</si>
  <si>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</si>
  <si>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</si>
  <si>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</si>
  <si>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</si>
  <si>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</si>
  <si>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</si>
  <si>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</si>
  <si>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</si>
  <si>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</si>
  <si>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</si>
  <si>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</si>
  <si>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</si>
  <si>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</si>
  <si>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</si>
  <si>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</si>
  <si>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</si>
  <si>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</si>
  <si>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</si>
  <si>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</si>
  <si>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</si>
  <si>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</si>
  <si>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</si>
  <si>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</si>
  <si>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</si>
  <si>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</si>
  <si>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</si>
  <si>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</si>
  <si>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</si>
  <si>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</si>
  <si>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</si>
  <si>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</si>
  <si>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</si>
  <si>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</si>
  <si>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</si>
  <si>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</si>
  <si>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</si>
  <si>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</si>
  <si>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</si>
  <si>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</si>
  <si>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</si>
  <si>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</si>
  <si>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</si>
  <si>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</si>
  <si>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</si>
  <si>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</si>
  <si>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</si>
  <si>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</si>
  <si>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</si>
  <si>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</si>
  <si>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</si>
  <si>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</si>
  <si>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</si>
  <si>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</si>
  <si>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</si>
  <si>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</si>
  <si>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</si>
  <si>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</si>
  <si>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</si>
  <si>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</si>
  <si>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</si>
  <si>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</si>
  <si>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</si>
  <si>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</si>
  <si>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</si>
  <si>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</si>
  <si>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</si>
  <si>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</si>
  <si>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</si>
  <si>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</si>
  <si>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</si>
  <si>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</si>
  <si>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</si>
  <si>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</si>
  <si>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</si>
  <si>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</si>
  <si>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</si>
  <si>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</si>
  <si>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</si>
  <si>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</si>
  <si>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</si>
  <si>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</si>
  <si>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</si>
  <si>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</si>
  <si>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</si>
  <si>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</si>
  <si>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</si>
  <si>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</si>
  <si>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</si>
  <si>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</si>
  <si>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</si>
  <si>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</si>
  <si>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</si>
  <si>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</si>
  <si>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</si>
  <si>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</si>
  <si>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</si>
  <si>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</si>
  <si>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</si>
  <si>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</si>
  <si>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</si>
  <si>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</si>
  <si>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</si>
  <si>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</si>
  <si>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</si>
  <si>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</si>
  <si>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</si>
  <si>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</si>
  <si>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</si>
  <si>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</si>
  <si>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</si>
  <si>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</si>
  <si>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</si>
  <si>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</si>
  <si>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</si>
  <si>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</si>
  <si>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</si>
  <si>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</si>
  <si>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</si>
  <si>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</si>
  <si>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</si>
  <si>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</si>
  <si>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</si>
  <si>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</si>
  <si>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</si>
  <si>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</si>
  <si>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</si>
  <si>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</si>
  <si>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</si>
  <si>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</si>
  <si>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</si>
  <si>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</si>
  <si>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</si>
  <si>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</si>
  <si>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</si>
  <si>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</si>
  <si>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</si>
  <si>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</si>
  <si>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</si>
  <si>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</si>
  <si>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</si>
  <si>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</si>
  <si>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</si>
  <si>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</si>
  <si>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</si>
  <si>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</si>
  <si>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</si>
  <si>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</si>
  <si>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</si>
  <si>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</si>
  <si>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</si>
  <si>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</si>
  <si>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</si>
  <si>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</si>
  <si>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</si>
  <si>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</si>
  <si>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</si>
  <si>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</si>
  <si>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</si>
  <si>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</si>
  <si>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</si>
  <si>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</si>
  <si>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</si>
  <si>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</si>
  <si>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</si>
  <si>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</si>
  <si>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</si>
  <si>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</si>
  <si>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</si>
  <si>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</si>
  <si>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</si>
  <si>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</si>
  <si>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</si>
  <si>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</si>
  <si>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</si>
  <si>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</si>
  <si>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</si>
  <si>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</si>
  <si>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</si>
  <si>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</si>
  <si>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</si>
  <si>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</si>
  <si>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</si>
  <si>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</si>
  <si>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</si>
  <si>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</si>
  <si>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</si>
  <si>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</si>
  <si>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</si>
  <si>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</si>
  <si>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</si>
  <si>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</si>
  <si>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</si>
  <si>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</si>
  <si>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</si>
  <si>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</si>
  <si>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</si>
  <si>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</si>
  <si>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</si>
  <si>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</si>
  <si>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</si>
  <si>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</si>
  <si>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</si>
  <si>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</si>
  <si>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</si>
  <si>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</si>
  <si>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</si>
  <si>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</si>
  <si>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</si>
  <si>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</si>
  <si>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</si>
  <si>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</si>
  <si>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</si>
  <si>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</si>
  <si>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</si>
  <si>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</si>
  <si>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</si>
  <si>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</si>
  <si>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</si>
  <si>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</si>
  <si>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</si>
  <si>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</si>
  <si>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</si>
  <si>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</si>
  <si>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</si>
  <si>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</si>
  <si>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</si>
  <si>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</si>
  <si>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</si>
  <si>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</si>
  <si>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</si>
  <si>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</si>
  <si>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</si>
  <si>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</si>
  <si>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</si>
  <si>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</si>
  <si>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</si>
  <si>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</si>
  <si>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</si>
  <si>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</si>
  <si>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</si>
  <si>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</si>
  <si>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</si>
  <si>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</si>
  <si>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</si>
  <si>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</si>
  <si>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</si>
  <si>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</si>
  <si>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</si>
  <si>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</si>
  <si>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</si>
  <si>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</si>
  <si>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</si>
  <si>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</si>
  <si>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</si>
  <si>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</si>
  <si>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</si>
  <si>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</si>
  <si>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</si>
  <si>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</si>
  <si>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</si>
  <si>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</si>
  <si>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</si>
  <si>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</si>
  <si>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</si>
  <si>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</si>
  <si>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</si>
  <si>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</si>
  <si>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</si>
  <si>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</si>
  <si>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</si>
  <si>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</si>
  <si>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</si>
  <si>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</si>
  <si>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</si>
  <si>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</si>
  <si>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</si>
  <si>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</si>
  <si>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</si>
  <si>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</si>
  <si>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</si>
  <si>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</si>
  <si>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</si>
  <si>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</si>
  <si>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</si>
  <si>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</si>
  <si>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</si>
  <si>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</si>
  <si>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</si>
  <si>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</si>
  <si>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</si>
  <si>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</si>
  <si>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</si>
  <si>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</si>
  <si>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</si>
  <si>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</si>
  <si>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</si>
  <si>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</si>
  <si>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</si>
  <si>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</si>
  <si>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</si>
  <si>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</si>
  <si>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</si>
  <si>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</si>
  <si>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</si>
  <si>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</si>
  <si>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</si>
  <si>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</si>
  <si>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</si>
  <si>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</si>
  <si>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</si>
  <si>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</si>
  <si>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</si>
  <si>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</si>
  <si>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</si>
  <si>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</si>
  <si>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</si>
  <si>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</si>
  <si>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</si>
  <si>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</si>
  <si>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</si>
  <si>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</si>
  <si>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</si>
  <si>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</si>
  <si>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</si>
  <si>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</si>
  <si>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</si>
  <si>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</si>
  <si>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</si>
  <si>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</si>
  <si>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</si>
  <si>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</si>
  <si>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</si>
  <si>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</si>
  <si>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</si>
  <si>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</si>
  <si>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</si>
  <si>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</si>
  <si>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</si>
  <si>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</si>
  <si>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</si>
  <si>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</si>
  <si>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</si>
  <si>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</si>
  <si>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</si>
  <si>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</si>
  <si>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</si>
  <si>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</si>
  <si>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</si>
  <si>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</si>
  <si>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</si>
  <si>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</si>
  <si>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</si>
  <si>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</si>
  <si>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</si>
  <si>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</si>
  <si>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</si>
  <si>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</si>
  <si>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</si>
  <si>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</si>
  <si>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</si>
  <si>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</si>
  <si>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</si>
  <si>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</si>
  <si>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</si>
  <si>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</si>
  <si>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</si>
  <si>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</si>
  <si>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</si>
  <si>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</si>
  <si>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</si>
  <si>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</si>
  <si>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</si>
  <si>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</si>
  <si>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</si>
  <si>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</si>
  <si>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</si>
  <si>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</si>
  <si>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</si>
  <si>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</si>
  <si>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</si>
  <si>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</si>
  <si>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</si>
  <si>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</si>
  <si>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</si>
  <si>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</si>
  <si>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</si>
  <si>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</si>
  <si>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</si>
  <si>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</si>
  <si>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</si>
  <si>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</si>
  <si>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</si>
  <si>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</si>
  <si>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</si>
  <si>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</si>
  <si>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</si>
  <si>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</si>
  <si>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</si>
  <si>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</si>
  <si>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</si>
  <si>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</si>
  <si>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</si>
  <si>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</si>
  <si>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</si>
  <si>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</si>
  <si>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</si>
  <si>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</si>
  <si>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</si>
  <si>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</si>
  <si>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</si>
  <si>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</si>
  <si>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</si>
  <si>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</si>
  <si>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</si>
  <si>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</si>
  <si>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</si>
  <si>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</si>
  <si>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</si>
  <si>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</si>
  <si>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</si>
  <si>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</si>
  <si>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</si>
  <si>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</si>
  <si>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</si>
  <si>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</si>
  <si>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</si>
  <si>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</si>
  <si>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</si>
  <si>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</si>
  <si>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</si>
  <si>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</si>
  <si>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</si>
  <si>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</si>
  <si>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</si>
  <si>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</si>
  <si>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</si>
  <si>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</si>
  <si>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</si>
  <si>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</si>
  <si>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</si>
  <si>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</si>
  <si>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</si>
  <si>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</si>
  <si>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</si>
  <si>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</si>
  <si>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</si>
  <si>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</si>
  <si>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</si>
  <si>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</si>
  <si>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</si>
  <si>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</si>
  <si>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</si>
  <si>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</si>
  <si>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</si>
  <si>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</si>
  <si>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</si>
  <si>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</si>
  <si>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</si>
  <si>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</si>
  <si>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</si>
  <si>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</si>
  <si>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</si>
  <si>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</si>
  <si>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</si>
  <si>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</si>
  <si>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</si>
  <si>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</si>
  <si>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</si>
  <si>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</si>
  <si>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</si>
  <si>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</si>
  <si>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</si>
  <si>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</si>
  <si>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</si>
  <si>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</si>
  <si>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</si>
  <si>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</si>
  <si>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</si>
  <si>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</si>
  <si>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</si>
  <si>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</si>
  <si>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</si>
  <si>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</si>
  <si>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</si>
  <si>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</si>
  <si>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</si>
  <si>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</si>
  <si>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</si>
  <si>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</si>
  <si>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</si>
  <si>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</si>
  <si>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</si>
  <si>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</si>
  <si>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</si>
  <si>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</si>
  <si>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</si>
  <si>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</si>
  <si>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</si>
  <si>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</si>
  <si>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</si>
  <si>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</si>
  <si>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</si>
  <si>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</si>
  <si>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</si>
  <si>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</si>
  <si>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</si>
  <si>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</si>
  <si>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</si>
  <si>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</si>
  <si>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</si>
  <si>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</si>
  <si>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</si>
  <si>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</si>
  <si>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</si>
  <si>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</si>
  <si>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</si>
  <si>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</si>
  <si>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</si>
  <si>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</si>
  <si>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</si>
  <si>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</si>
  <si>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</si>
  <si>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</si>
  <si>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</si>
  <si>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</si>
  <si>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</si>
  <si>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</si>
  <si>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</si>
  <si>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</si>
  <si>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</si>
  <si>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</si>
  <si>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</si>
  <si>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</si>
  <si>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</si>
  <si>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</si>
  <si>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</si>
  <si>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</si>
  <si>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</si>
  <si>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</si>
  <si>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</si>
  <si>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</si>
  <si>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</si>
  <si>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</si>
  <si>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</si>
  <si>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</si>
  <si>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</si>
  <si>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</si>
  <si>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</si>
  <si>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</si>
  <si>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</si>
  <si>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</si>
  <si>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</si>
  <si>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</si>
  <si>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</si>
  <si>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</si>
  <si>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</si>
  <si>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</si>
  <si>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</si>
  <si>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</si>
  <si>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</si>
  <si>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</si>
  <si>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</si>
  <si>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</si>
  <si>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</si>
  <si>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</si>
  <si>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</si>
  <si>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</si>
  <si>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</si>
  <si>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</si>
  <si>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</si>
  <si>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</si>
  <si>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</si>
  <si>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</si>
  <si>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</si>
  <si>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</si>
  <si>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</si>
  <si>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</si>
  <si>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</si>
  <si>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</si>
  <si>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</si>
  <si>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</si>
  <si>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</si>
  <si>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</si>
  <si>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</si>
  <si>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</si>
  <si>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</si>
  <si>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</si>
  <si>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</si>
  <si>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</si>
  <si>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</si>
  <si>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</si>
  <si>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</si>
  <si>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</si>
  <si>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</si>
  <si>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</si>
  <si>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</si>
  <si>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</si>
  <si>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</si>
  <si>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</si>
  <si>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</si>
  <si>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</si>
  <si>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</si>
  <si>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</si>
  <si>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</si>
  <si>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</si>
  <si>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</si>
  <si>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</si>
  <si>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</si>
  <si>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</si>
  <si>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</si>
  <si>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</si>
  <si>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</si>
  <si>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</si>
  <si>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</si>
  <si>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</si>
  <si>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</si>
  <si>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</si>
  <si>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</si>
  <si>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</si>
  <si>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</si>
  <si>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</si>
  <si>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</si>
  <si>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</si>
  <si>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</si>
  <si>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</si>
  <si>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</si>
  <si>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</si>
  <si>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</si>
  <si>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</si>
  <si>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</si>
  <si>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</si>
  <si>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</si>
  <si>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</si>
  <si>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</si>
  <si>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</si>
  <si>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</si>
  <si>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</si>
  <si>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</si>
  <si>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</si>
  <si>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</si>
  <si>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</si>
  <si>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</si>
  <si>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</si>
  <si>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</si>
  <si>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</si>
  <si>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</si>
  <si>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</si>
  <si>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</si>
  <si>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</si>
  <si>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</si>
  <si>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</si>
  <si>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</si>
  <si>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</si>
  <si>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</si>
  <si>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</si>
  <si>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</si>
  <si>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</si>
  <si>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</si>
  <si>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</si>
  <si>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</si>
  <si>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</si>
  <si>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</si>
  <si>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</si>
  <si>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</si>
  <si>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</si>
  <si>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</si>
  <si>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</si>
  <si>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</si>
  <si>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</si>
  <si>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</si>
  <si>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</si>
  <si>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</si>
  <si>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</si>
  <si>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</si>
  <si>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</si>
  <si>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</si>
  <si>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</si>
  <si>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</si>
  <si>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</si>
  <si>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</si>
  <si>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</si>
  <si>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</si>
  <si>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</si>
  <si>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</si>
  <si>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</si>
  <si>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</si>
  <si>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</si>
  <si>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</si>
  <si>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</si>
  <si>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</si>
  <si>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</si>
  <si>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</si>
  <si>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</si>
  <si>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</si>
  <si>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</si>
  <si>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</si>
  <si>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</si>
  <si>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</si>
  <si>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</si>
  <si>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</si>
  <si>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</si>
  <si>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</si>
  <si>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</si>
  <si>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</si>
  <si>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</si>
  <si>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 xml:space="preserve"> พ.ศ.</t>
  </si>
  <si>
    <t>ม.ค.</t>
  </si>
  <si>
    <t>ก.พ.</t>
  </si>
  <si>
    <t>มี.ค.</t>
  </si>
  <si>
    <t>เม.ย.</t>
  </si>
  <si>
    <t>อุณหภูมิเฉลี่ย</t>
  </si>
  <si>
    <t>ชื่อ</t>
  </si>
  <si>
    <t>คะแนนความประพฤติ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</si>
  <si>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</si>
  <si>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</si>
  <si>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</si>
  <si>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</si>
  <si>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</si>
  <si>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</si>
  <si>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</si>
  <si>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</si>
  <si>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</si>
  <si>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</si>
  <si>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</si>
  <si>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</si>
  <si>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</si>
  <si>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</si>
  <si>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</si>
  <si>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</si>
  <si>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</si>
  <si>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</si>
  <si>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</si>
  <si>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</si>
  <si>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คะแนนการส่งทำงาน</t>
  </si>
  <si>
    <t>ปี2524</t>
  </si>
  <si>
    <t>วันที่/เดือน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</si>
  <si>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</si>
  <si>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</si>
  <si>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</si>
  <si>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</si>
  <si>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</si>
  <si>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</si>
  <si>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</si>
  <si>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</si>
  <si>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ปริมาณฝนรวม</t>
  </si>
  <si>
    <t>วันที่ฝนตก</t>
  </si>
  <si>
    <t>วันที่ฝนไม่ตก</t>
  </si>
  <si>
    <t>รวมจำนวนวันมีฝน/ไม่มี</t>
  </si>
  <si>
    <t>ฝนตกเล็กน้อย  0.1-10</t>
  </si>
  <si>
    <t>ฝนตกหนัก       35.1-90</t>
  </si>
  <si>
    <t>ฝนตกสูงสุดรายเดือน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</si>
  <si>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</si>
  <si>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</si>
  <si>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</si>
  <si>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</si>
  <si>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</si>
  <si>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</si>
  <si>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100.524123</t>
  </si>
  <si>
    <t>100.514352</t>
  </si>
  <si>
    <t>100.525027</t>
  </si>
  <si>
    <t>100.568959</t>
  </si>
  <si>
    <t>100.455052</t>
  </si>
  <si>
    <t>100.653370</t>
  </si>
  <si>
    <t>100.396731</t>
  </si>
  <si>
    <t>จังหวัด</t>
  </si>
  <si>
    <t>3º 54' 18.809" S</t>
  </si>
  <si>
    <t>6º 54' 8.209" S</t>
  </si>
  <si>
    <t>6º 54' 8.119" S</t>
  </si>
  <si>
    <t>7º 14' 10.809" S</t>
  </si>
  <si>
    <t>3º 7' 55.911" S</t>
  </si>
  <si>
    <t>80º 42' 34.119" S</t>
  </si>
  <si>
    <t>คะแนนก่อนสอบ</t>
  </si>
  <si>
    <t>รวมคะแนน</t>
  </si>
  <si>
    <t>Student</t>
  </si>
  <si>
    <t>T1</t>
  </si>
  <si>
    <t>T2</t>
  </si>
  <si>
    <t>T3</t>
  </si>
  <si>
    <t>T4</t>
  </si>
  <si>
    <t>T5</t>
  </si>
  <si>
    <t>T6</t>
  </si>
  <si>
    <t>T7</t>
  </si>
  <si>
    <t>D</t>
  </si>
  <si>
    <t>M</t>
  </si>
  <si>
    <t>S</t>
  </si>
  <si>
    <t>DDD</t>
  </si>
  <si>
    <t>คะแนนรวม</t>
  </si>
  <si>
    <t>ตัดเกรด</t>
  </si>
  <si>
    <t>ผ่าน/ไม่ผ่าน</t>
  </si>
  <si>
    <t>ระดับ</t>
  </si>
  <si>
    <t>คะแนนหลังสอบ</t>
  </si>
  <si>
    <t>ปริมาณฝนเฉลี่ยรายเดือน</t>
  </si>
  <si>
    <t>ปริมาณฝนรายปี</t>
  </si>
  <si>
    <t>min</t>
  </si>
  <si>
    <t>max</t>
  </si>
  <si>
    <t>จำนวนเดือนทั้งหมด</t>
  </si>
  <si>
    <t>ค่าลบ</t>
  </si>
  <si>
    <t>ค่าบวก</t>
  </si>
  <si>
    <t>Column2</t>
  </si>
  <si>
    <t>Column3</t>
  </si>
  <si>
    <t>Column10</t>
  </si>
  <si>
    <t>Column11</t>
  </si>
  <si>
    <t>Column12</t>
  </si>
  <si>
    <t>Column13</t>
  </si>
  <si>
    <t xml:space="preserve">จังหวัดสมุทรปราการ </t>
  </si>
  <si>
    <t xml:space="preserve">จังหวัดนนทบุรี </t>
  </si>
  <si>
    <t xml:space="preserve">จังหวัดปทุมธานี </t>
  </si>
  <si>
    <t xml:space="preserve">จังหวัดพระนครศรีอยุธยา </t>
  </si>
  <si>
    <t xml:space="preserve">จังหวัดอ่างทอง </t>
  </si>
  <si>
    <t xml:space="preserve">จังหวัดลพบุรี </t>
  </si>
  <si>
    <t xml:space="preserve">จังหวัดสิงห์บุรี </t>
  </si>
  <si>
    <t xml:space="preserve">จังหวัดชัยนาท </t>
  </si>
  <si>
    <t xml:space="preserve">จังหวัดสระบุรี </t>
  </si>
  <si>
    <t xml:space="preserve">จังหวัดชลบุรี </t>
  </si>
  <si>
    <t xml:space="preserve">จังหวัดระยอง </t>
  </si>
  <si>
    <t xml:space="preserve">จังหวัดจันทบุรี </t>
  </si>
  <si>
    <t xml:space="preserve">จังหวัดตราด </t>
  </si>
  <si>
    <t xml:space="preserve">จังหวัดฉะเชิงเทรา </t>
  </si>
  <si>
    <t xml:space="preserve">จังหวัดปราจีนบุรี </t>
  </si>
  <si>
    <t xml:space="preserve">จังหวัดนครนายก </t>
  </si>
  <si>
    <t xml:space="preserve">จังหวัดสระแก้ว </t>
  </si>
  <si>
    <t xml:space="preserve">จังหวัดนครราชสีมา </t>
  </si>
  <si>
    <t xml:space="preserve">จังหวัดบุรีรัมย์ </t>
  </si>
  <si>
    <t xml:space="preserve">จังหวัดสุรินทร์ </t>
  </si>
  <si>
    <t xml:space="preserve">จังหวัดศรีสะเกษ </t>
  </si>
  <si>
    <t xml:space="preserve">จังหวัดอุบลราชธานี </t>
  </si>
  <si>
    <t xml:space="preserve">จังหวัดยโสธร </t>
  </si>
  <si>
    <t xml:space="preserve">จังหวัดชัยภูมิ </t>
  </si>
  <si>
    <t xml:space="preserve">จังหวัดอำนาจเจริญ </t>
  </si>
  <si>
    <t xml:space="preserve">จังหวัดบึงกาฬ </t>
  </si>
  <si>
    <t xml:space="preserve">จังหวัดหนองบัวลำภู </t>
  </si>
  <si>
    <t xml:space="preserve">จังหวัดขอนแก่น </t>
  </si>
  <si>
    <t xml:space="preserve">จังหวัดอุดรธานี </t>
  </si>
  <si>
    <t xml:space="preserve">จังหวัดเลย </t>
  </si>
  <si>
    <t xml:space="preserve">จังหวัดหนองคาย </t>
  </si>
  <si>
    <t xml:space="preserve">จังหวัดมหาสารคาม </t>
  </si>
  <si>
    <t xml:space="preserve">จังหวัดร้อยเอ็ด </t>
  </si>
  <si>
    <t xml:space="preserve">จังหวัดกาฬสินธุ์ </t>
  </si>
  <si>
    <t xml:space="preserve">จังหวัดสกลนคร </t>
  </si>
  <si>
    <t xml:space="preserve">จังหวัดนครพนม </t>
  </si>
  <si>
    <t xml:space="preserve">จังหวัดมุกดาหาร </t>
  </si>
  <si>
    <t xml:space="preserve">จังหวัดเชียงใหม่ </t>
  </si>
  <si>
    <t xml:space="preserve">จังหวัดลำพูน </t>
  </si>
  <si>
    <t xml:space="preserve">จังหวัดลำปาง </t>
  </si>
  <si>
    <t xml:space="preserve">จังหวัดอุตรดิตถ์ </t>
  </si>
  <si>
    <t xml:space="preserve">จังหวัดแพร่ </t>
  </si>
  <si>
    <t xml:space="preserve">จังหวัดน่าน </t>
  </si>
  <si>
    <t xml:space="preserve">จังหวัดพะเยา </t>
  </si>
  <si>
    <t xml:space="preserve">จังหวัดเชียงราย </t>
  </si>
  <si>
    <t xml:space="preserve">จังหวัดแม่ฮ่องสอน </t>
  </si>
  <si>
    <t xml:space="preserve">จังหวัดนครสวรรค์ </t>
  </si>
  <si>
    <t xml:space="preserve">จังหวัดอุทัยธานี </t>
  </si>
  <si>
    <t xml:space="preserve">จังหวัดกำแพงเพชร </t>
  </si>
  <si>
    <t xml:space="preserve">จังหวัดตาก </t>
  </si>
  <si>
    <t xml:space="preserve">จังหวัดสุโขทัย </t>
  </si>
  <si>
    <t xml:space="preserve">จังหวัดพิษณุโลก </t>
  </si>
  <si>
    <t xml:space="preserve">จังหวัดพิจิตร </t>
  </si>
  <si>
    <t xml:space="preserve">จังหวัดเพชรบูรณ์ </t>
  </si>
  <si>
    <t xml:space="preserve">จังหวัดราชบุรี </t>
  </si>
  <si>
    <t xml:space="preserve">จังหวัดกาญจนบุรี </t>
  </si>
  <si>
    <t xml:space="preserve">จังหวัดสุพรรณบุรี </t>
  </si>
  <si>
    <t xml:space="preserve">จังหวัดนครปฐม </t>
  </si>
  <si>
    <t xml:space="preserve">จังหวัดสมุทรสาคร </t>
  </si>
  <si>
    <t xml:space="preserve">จังหวัดสมุทรสงคราม </t>
  </si>
  <si>
    <t xml:space="preserve">จังหวัดเพชรบุรี </t>
  </si>
  <si>
    <t xml:space="preserve">จังหวัดประจวบคีรีขันธ์ </t>
  </si>
  <si>
    <t xml:space="preserve">จังหวัดนครศรีธรรมราช </t>
  </si>
  <si>
    <t xml:space="preserve">จังหวัดกระบี่ </t>
  </si>
  <si>
    <t xml:space="preserve">จังหวัดพังงา </t>
  </si>
  <si>
    <t xml:space="preserve">จังหวัดภูเก็ต </t>
  </si>
  <si>
    <t xml:space="preserve">จังหวัดสุราษฎร์ธานี </t>
  </si>
  <si>
    <t xml:space="preserve">จังหวัดระนอง </t>
  </si>
  <si>
    <t xml:space="preserve">จังหวัดชุมพร </t>
  </si>
  <si>
    <t xml:space="preserve">จังหวัดสงขลา </t>
  </si>
  <si>
    <t xml:space="preserve">จังหวัดสตูล </t>
  </si>
  <si>
    <t xml:space="preserve">จังหวัดตรัง </t>
  </si>
  <si>
    <t xml:space="preserve">จังหวัดพัทลุง </t>
  </si>
  <si>
    <t xml:space="preserve">จังหวัดปัตตานี </t>
  </si>
  <si>
    <t xml:space="preserve">จังหวัดยะลา </t>
  </si>
  <si>
    <t xml:space="preserve">จังหวัดนราธิวาส </t>
  </si>
  <si>
    <t>จำนวนประชากร</t>
  </si>
  <si>
    <t>จำนวนบ้าน(หลังคาเรือน)</t>
  </si>
  <si>
    <t>ภูมิภาค</t>
  </si>
  <si>
    <t>ป้ายชื่อแถว</t>
  </si>
  <si>
    <t>ผลรวมทั้งหมด</t>
  </si>
  <si>
    <t>ผลรวม ของ จำนวนประชากรทั้งหมด</t>
  </si>
  <si>
    <t>ผลรวม ของ จำนวนประชากรชาย</t>
  </si>
  <si>
    <t>ผลรวม ของ จำนวนประชากรหญิง</t>
  </si>
  <si>
    <t>ผลรวม ของ จำนวนบ้าน (หลังคาเรือน)</t>
  </si>
  <si>
    <t>ภาคกลาง</t>
  </si>
  <si>
    <t>ภาคตะวันออก</t>
  </si>
  <si>
    <t>ภาคตะวันออกเฉียงเหนือ</t>
  </si>
  <si>
    <t>ภาคเหนือ</t>
  </si>
  <si>
    <t>ภาคใต้</t>
  </si>
  <si>
    <t>ภาคกลาง/ตะวันตก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</si>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</sst>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sz val="16"/>
      <color rgb="FF000000"/>
      <name val="TH SarabunPSK"/>
      <family val="2"/>
    </font>
    <font>
      <b/>
      <sz val="10"/>
      <color indexed="48"/>
      <name val="Tahoma"/>
      <family val="2"/>
    </font>
    <font>
      <sz val="14"/>
      <color indexed="12"/>
      <name val="Cordia New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000000"/>
      <name val="TH SarabunPSK"/>
      <family val="2"/>
    </font>
    <font>
      <b/>
      <sz val="14"/>
      <color rgb="FF000000"/>
      <name val="TH SarabunPSK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3" xfId="0" applyNumberFormat="1" applyBorder="1"/>
    <xf numFmtId="0" fontId="1" fillId="0" borderId="0" xfId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0" fontId="8" fillId="2" borderId="4" xfId="1" applyFont="1" applyFill="1" applyBorder="1" applyAlignment="1">
      <alignment horizontal="center"/>
    </xf>
    <xf numFmtId="0" fontId="9" fillId="0" borderId="4" xfId="1" applyFont="1" applyBorder="1" applyAlignment="1">
      <alignment horizontal="center"/>
    </xf>
    <xf numFmtId="164" fontId="9" fillId="0" borderId="4" xfId="1" applyNumberFormat="1" applyFont="1" applyBorder="1" applyAlignment="1">
      <alignment horizontal="right"/>
    </xf>
    <xf numFmtId="2" fontId="9" fillId="0" borderId="4" xfId="1" applyNumberFormat="1" applyFont="1" applyBorder="1" applyAlignment="1">
      <alignment horizontal="right"/>
    </xf>
    <xf numFmtId="0" fontId="10" fillId="0" borderId="4" xfId="1" applyFont="1" applyBorder="1" applyAlignment="1">
      <alignment horizontal="righ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5" borderId="4" xfId="0" applyFill="1" applyBorder="1" applyAlignment="1">
      <alignment horizontal="center"/>
    </xf>
    <xf numFmtId="0" fontId="0" fillId="5" borderId="4" xfId="0" applyFill="1" applyBorder="1" applyAlignment="1">
      <alignment horizontal="right"/>
    </xf>
    <xf numFmtId="0" fontId="0" fillId="0" borderId="5" xfId="0" applyBorder="1"/>
    <xf numFmtId="0" fontId="0" fillId="6" borderId="6" xfId="0" applyFill="1" applyBorder="1"/>
    <xf numFmtId="0" fontId="0" fillId="0" borderId="6" xfId="0" applyBorder="1"/>
    <xf numFmtId="0" fontId="0" fillId="7" borderId="4" xfId="0" applyFill="1" applyBorder="1" applyAlignment="1">
      <alignment horizontal="right"/>
    </xf>
    <xf numFmtId="0" fontId="13" fillId="0" borderId="4" xfId="0" applyFont="1" applyBorder="1"/>
    <xf numFmtId="0" fontId="13" fillId="8" borderId="4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5" fillId="0" borderId="0" xfId="2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18" fillId="0" borderId="0" xfId="0" applyFont="1"/>
    <xf numFmtId="0" fontId="19" fillId="0" borderId="4" xfId="1" applyFont="1" applyBorder="1" applyAlignment="1">
      <alignment horizontal="center"/>
    </xf>
    <xf numFmtId="0" fontId="20" fillId="2" borderId="7" xfId="1" applyFont="1" applyFill="1" applyBorder="1" applyAlignment="1">
      <alignment horizontal="center"/>
    </xf>
    <xf numFmtId="164" fontId="0" fillId="0" borderId="0" xfId="0" applyNumberFormat="1"/>
    <xf numFmtId="0" fontId="7" fillId="0" borderId="0" xfId="0" applyFont="1"/>
    <xf numFmtId="0" fontId="0" fillId="9" borderId="8" xfId="0" applyFill="1" applyBorder="1"/>
    <xf numFmtId="0" fontId="0" fillId="9" borderId="9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0" xfId="0" applyFill="1" applyBorder="1"/>
    <xf numFmtId="0" fontId="0" fillId="9" borderId="10" xfId="0" applyFill="1" applyBorder="1"/>
    <xf numFmtId="0" fontId="0" fillId="10" borderId="11" xfId="0" applyFill="1" applyBorder="1"/>
    <xf numFmtId="0" fontId="0" fillId="10" borderId="12" xfId="0" applyFill="1" applyBorder="1"/>
    <xf numFmtId="0" fontId="0" fillId="10" borderId="13" xfId="0" applyFill="1" applyBorder="1"/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3" fontId="0" fillId="0" borderId="0" xfId="0" applyNumberFormat="1"/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3">
    <cellStyle name="Normal 4" xfId="1" xr:uid="{2F7F5015-314A-415E-B050-117ED820CA19}"/>
    <cellStyle name="Normal_DERIVADORES" xfId="2" xr:uid="{6F0E226B-C987-47A0-B18C-E63A6D0D5092}"/>
    <cellStyle name="ปกติ" xfId="0" builtinId="0"/>
  </cellStyles>
  <dxfs count="11">
    <dxf>
      <font>
        <color rgb="FFFF0000"/>
      </font>
    </dxf>
    <dxf>
      <font>
        <color rgb="FF0070C0"/>
      </font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1" defaultTableStyle="TableStyleMedium2" defaultPivotStyle="PivotStyleLight16">
    <tableStyle name="Invisible" pivot="0" table="0" count="0" xr9:uid="{FD6A918F-3378-4DA4-8E37-3535A1C40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[Nawwas.geo.xlsx]pivot!PivotTable6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b="1"/>
              <a:t>สัดส่วนประชากรแต่ละภูมิภาค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pivot!$B$1</c:f>
              <c:strCache>
                <c:ptCount val="1"/>
                <c:pt idx="0">
                  <c:v>ผลรวม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38-4FF0-B1D3-8A44537AA7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38-4FF0-B1D3-8A44537AA74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38-4FF0-B1D3-8A44537AA748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38-4FF0-B1D3-8A44537AA7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38-4FF0-B1D3-8A44537AA748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38-4FF0-B1D3-8A44537AA7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pivot!$A$2:$A$8</c:f>
              <c:strCache>
                <c:ptCount val="6"/>
                <c:pt idx="0">
                  <c:v>ภาคกลาง</c:v>
                </c:pt>
                <c:pt idx="1">
                  <c:v>ภาคกลาง/ตะวันตก</c:v>
                </c:pt>
                <c:pt idx="2">
                  <c:v>ภาคตะวันออก</c:v>
                </c:pt>
                <c:pt idx="3">
                  <c:v>ภาคตะวันออกเฉียงเหนือ</c:v>
                </c:pt>
                <c:pt idx="4">
                  <c:v>ภาคใต้</c:v>
                </c:pt>
                <c:pt idx="5">
                  <c:v>ภาคเหนือ</c:v>
                </c:pt>
              </c:strCache>
            </c:strRef>
          </c:cat>
          <c:val>
            <c:numRef>
              <c:f>pivot!$B$2:$B$8</c:f>
              <c:numCache>
                <c:formatCode>#,##0</c:formatCode>
                <c:ptCount val="6"/>
                <c:pt idx="0">
                  <c:v>24719648</c:v>
                </c:pt>
                <c:pt idx="1">
                  <c:v>21893514</c:v>
                </c:pt>
                <c:pt idx="2">
                  <c:v>10472702</c:v>
                </c:pt>
                <c:pt idx="3">
                  <c:v>43238100</c:v>
                </c:pt>
                <c:pt idx="4">
                  <c:v>19040584</c:v>
                </c:pt>
                <c:pt idx="5">
                  <c:v>12537872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138-4FF0-B1D3-8A44537AA7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[Nawwas.geo.xlsx]pivot!PivotTable7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b="1"/>
              <a:t>ลำดับจังหวัดที่มีประชากรเยอะที่สุด 10 อันดับ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50814814814815"/>
          <c:y val="0.14532111111111112"/>
          <c:w val="0.72875111111111113"/>
          <c:h val="0.802938148148148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pivot!$D$2:$D$12</c:f>
              <c:strCache>
                <c:ptCount val="10"/>
                <c:pt idx="0">
                  <c:v>กรุงเทพมหานคร</c:v>
                </c:pt>
                <c:pt idx="1">
                  <c:v>จังหวัดนครราชสีมา</c:v>
                </c:pt>
                <c:pt idx="2">
                  <c:v>จังหวัดอุบลราชธานี</c:v>
                </c:pt>
                <c:pt idx="3">
                  <c:v>จังหวัดเชียงใหม่</c:v>
                </c:pt>
                <c:pt idx="4">
                  <c:v>จังหวัดขอนแก่น</c:v>
                </c:pt>
                <c:pt idx="5">
                  <c:v>จังหวัดชลบุรี</c:v>
                </c:pt>
                <c:pt idx="6">
                  <c:v>จังหวัดบุรีรัมย์</c:v>
                </c:pt>
                <c:pt idx="7">
                  <c:v>จังหวัดอุดรธานี</c:v>
                </c:pt>
                <c:pt idx="8">
                  <c:v>จังหวัดนครศรีธรรมราช</c:v>
                </c:pt>
                <c:pt idx="9">
                  <c:v>จังหวัดศรีสะเกษ</c:v>
                </c:pt>
              </c:strCache>
            </c:strRef>
          </c:cat>
          <c:val>
            <c:numRef>
              <c:f>pivot!$E$2:$E$12</c:f>
              <c:numCache>
                <c:formatCode>#,##0</c:formatCode>
                <c:ptCount val="10"/>
                <c:pt idx="0">
                  <c:v>10910040</c:v>
                </c:pt>
                <c:pt idx="1">
                  <c:v>5240344</c:v>
                </c:pt>
                <c:pt idx="2">
                  <c:v>3735884</c:v>
                </c:pt>
                <c:pt idx="3">
                  <c:v>3598038</c:v>
                </c:pt>
                <c:pt idx="4">
                  <c:v>3544762</c:v>
                </c:pt>
                <c:pt idx="5">
                  <c:v>3271050</c:v>
                </c:pt>
                <c:pt idx="6">
                  <c:v>3132616</c:v>
                </c:pt>
                <c:pt idx="7">
                  <c:v>3104270</c:v>
                </c:pt>
                <c:pt idx="8">
                  <c:v>3069306</c:v>
                </c:pt>
                <c:pt idx="9">
                  <c:v>2884026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B-468C-9E1C-7F4DE8B910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95649583"/>
        <c:axId val="1300619759"/>
      </c:barChart>
      <c:catAx>
        <c:axId val="4956495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619759"/>
        <c:crosses val="autoZero"/>
        <c:auto val="1"/>
        <c:lblAlgn val="ctr"/>
        <c:lblOffset val="100"/>
        <c:noMultiLvlLbl val="0"/>
      </c:catAx>
      <c:valAx>
        <c:axId val="1300619759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49564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[Nawwas.geo.xlsx]pivot!PivotTable8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b="1"/>
              <a:t>เปรียบเทียบจำนวนประชากรชายและหญิง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pivot!$H$1</c:f>
              <c:strCache>
                <c:ptCount val="1"/>
                <c:pt idx="0">
                  <c:v>ผลรวม ของ จำนวนประชากรชาย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pivot!$G$2:$G$8</c:f>
              <c:strCache>
                <c:ptCount val="6"/>
                <c:pt idx="0">
                  <c:v>ภาคกลาง</c:v>
                </c:pt>
                <c:pt idx="1">
                  <c:v>ภาคกลาง/ตะวันตก</c:v>
                </c:pt>
                <c:pt idx="2">
                  <c:v>ภาคตะวันออก</c:v>
                </c:pt>
                <c:pt idx="3">
                  <c:v>ภาคตะวันออกเฉียงเหนือ</c:v>
                </c:pt>
                <c:pt idx="4">
                  <c:v>ภาคใต้</c:v>
                </c:pt>
                <c:pt idx="5">
                  <c:v>ภาคเหนือ</c:v>
                </c:pt>
              </c:strCache>
            </c:strRef>
          </c:cat>
          <c:val>
            <c:numRef>
              <c:f>pivot!$H$2:$H$8</c:f>
              <c:numCache>
                <c:formatCode>#,##0</c:formatCode>
                <c:ptCount val="6"/>
                <c:pt idx="0">
                  <c:v>11667634</c:v>
                </c:pt>
                <c:pt idx="1">
                  <c:v>10679458</c:v>
                </c:pt>
                <c:pt idx="2">
                  <c:v>5131182</c:v>
                </c:pt>
                <c:pt idx="3">
                  <c:v>21375060</c:v>
                </c:pt>
                <c:pt idx="4">
                  <c:v>9355754</c:v>
                </c:pt>
                <c:pt idx="5">
                  <c:v>6081476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B-4B1C-A8D1-56B9702196F5}"/>
            </c:ext>
          </c:extLst>
        </c:ser>
        <c:ser>
          <c:idx val="1"/>
          <c:order val="1"/>
          <c:tx>
            <c:strRef>
              <c:f>pivot!$I$1</c:f>
              <c:strCache>
                <c:ptCount val="1"/>
                <c:pt idx="0">
                  <c:v>ผลรวม ของ จำนวนประชากรหญิง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pivot!$G$2:$G$8</c:f>
              <c:strCache>
                <c:ptCount val="6"/>
                <c:pt idx="0">
                  <c:v>ภาคกลาง</c:v>
                </c:pt>
                <c:pt idx="1">
                  <c:v>ภาคกลาง/ตะวันตก</c:v>
                </c:pt>
                <c:pt idx="2">
                  <c:v>ภาคตะวันออก</c:v>
                </c:pt>
                <c:pt idx="3">
                  <c:v>ภาคตะวันออกเฉียงเหนือ</c:v>
                </c:pt>
                <c:pt idx="4">
                  <c:v>ภาคใต้</c:v>
                </c:pt>
                <c:pt idx="5">
                  <c:v>ภาคเหนือ</c:v>
                </c:pt>
              </c:strCache>
            </c:strRef>
          </c:cat>
          <c:val>
            <c:numRef>
              <c:f>pivot!$I$2:$I$8</c:f>
              <c:numCache>
                <c:formatCode>#,##0</c:formatCode>
                <c:ptCount val="6"/>
                <c:pt idx="0">
                  <c:v>13052014</c:v>
                </c:pt>
                <c:pt idx="1">
                  <c:v>11214056</c:v>
                </c:pt>
                <c:pt idx="2">
                  <c:v>5341520</c:v>
                </c:pt>
                <c:pt idx="3">
                  <c:v>21863040</c:v>
                </c:pt>
                <c:pt idx="4">
                  <c:v>9684830</c:v>
                </c:pt>
                <c:pt idx="5">
                  <c:v>6456396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B-4B1C-A8D1-56B97021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573311"/>
        <c:axId val="1300632719"/>
      </c:barChart>
      <c:catAx>
        <c:axId val="205657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632719"/>
        <c:crosses val="autoZero"/>
        <c:auto val="1"/>
        <c:lblAlgn val="ctr"/>
        <c:lblOffset val="100"/>
        <c:noMultiLvlLbl val="0"/>
      </c:catAx>
      <c:valAx>
        <c:axId val="130063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57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[Nawwas.geo.xlsx]pivot!PivotTable9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b="1"/>
              <a:t>จำนวนครัวเรือนในแต่ละภูมิภาค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pivot!$K$1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pivot!$J$2:$J$8</c:f>
              <c:strCache>
                <c:ptCount val="6"/>
                <c:pt idx="0">
                  <c:v>ภาคกลาง</c:v>
                </c:pt>
                <c:pt idx="1">
                  <c:v>ภาคกลาง/ตะวันตก</c:v>
                </c:pt>
                <c:pt idx="2">
                  <c:v>ภาคตะวันออก</c:v>
                </c:pt>
                <c:pt idx="3">
                  <c:v>ภาคตะวันออกเฉียงเหนือ</c:v>
                </c:pt>
                <c:pt idx="4">
                  <c:v>ภาคใต้</c:v>
                </c:pt>
                <c:pt idx="5">
                  <c:v>ภาคเหนือ</c:v>
                </c:pt>
              </c:strCache>
            </c:strRef>
          </c:cat>
          <c:val>
            <c:numRef>
              <c:f>pivot!$K$2:$K$8</c:f>
              <c:numCache>
                <c:formatCode>#,##0</c:formatCode>
                <c:ptCount val="6"/>
                <c:pt idx="0">
                  <c:v>13733722</c:v>
                </c:pt>
                <c:pt idx="1">
                  <c:v>9425528</c:v>
                </c:pt>
                <c:pt idx="2">
                  <c:v>6119908</c:v>
                </c:pt>
                <c:pt idx="3">
                  <c:v>15373678</c:v>
                </c:pt>
                <c:pt idx="4">
                  <c:v>7862984</c:v>
                </c:pt>
                <c:pt idx="5">
                  <c:v>5741218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A-4DED-917F-E99A9F5C0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631327"/>
        <c:axId val="1300548719"/>
      </c:barChart>
      <c:catAx>
        <c:axId val="49463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48719"/>
        <c:crosses val="autoZero"/>
        <c:auto val="1"/>
        <c:lblAlgn val="ctr"/>
        <c:lblOffset val="100"/>
        <c:noMultiLvlLbl val="0"/>
      </c:catAx>
      <c:valAx>
        <c:axId val="13005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3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ข้อมูลดัชนีเอลนีโญและลานีญา ในช่วงปี ค.ศ</a:t>
            </a:r>
            <a:r>
              <a:rPr lang="en-US"/>
              <a:t>.2000-2012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ENSO_data!$Q$1</c:f>
              <c:strCache>
                <c:ptCount val="1"/>
                <c:pt idx="0">
                  <c:v>ค่าลบ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cat>
            <c:numRef>
              <c:f>ENSO_data!$O$2:$O$146</c:f>
              <c:numCache>
                <c:formatCode>General</c:formatCode>
                <c:ptCount val="145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</c:numCache>
            </c:numRef>
          </c:cat>
          <c:val>
            <c:numRef>
              <c:f>ENSO_data!$Q$2:$Q$157</c:f>
              <c:numCache>
                <c:formatCode>General</c:formatCode>
                <c:ptCount val="156"/>
                <c:pt idx="0">
                  <c:v>-1.7</c:v>
                </c:pt>
                <c:pt idx="1">
                  <c:v>-1.4</c:v>
                </c:pt>
                <c:pt idx="2">
                  <c:v>-1.1000000000000001</c:v>
                </c:pt>
                <c:pt idx="3">
                  <c:v>-0.8</c:v>
                </c:pt>
                <c:pt idx="4">
                  <c:v>-0.7</c:v>
                </c:pt>
                <c:pt idx="5">
                  <c:v>-0.6</c:v>
                </c:pt>
                <c:pt idx="6">
                  <c:v>-0.6</c:v>
                </c:pt>
                <c:pt idx="7">
                  <c:v>-0.5</c:v>
                </c:pt>
                <c:pt idx="8">
                  <c:v>-0.5</c:v>
                </c:pt>
                <c:pt idx="9">
                  <c:v>-0.6</c:v>
                </c:pt>
                <c:pt idx="10">
                  <c:v>-0.7</c:v>
                </c:pt>
                <c:pt idx="11">
                  <c:v>-0.7</c:v>
                </c:pt>
                <c:pt idx="12">
                  <c:v>-0.7</c:v>
                </c:pt>
                <c:pt idx="13">
                  <c:v>-0.5</c:v>
                </c:pt>
                <c:pt idx="14">
                  <c:v>-0.4</c:v>
                </c:pt>
                <c:pt idx="15">
                  <c:v>-0.3</c:v>
                </c:pt>
                <c:pt idx="16">
                  <c:v>-0.3</c:v>
                </c:pt>
                <c:pt idx="17">
                  <c:v>-0.1</c:v>
                </c:pt>
                <c:pt idx="18">
                  <c:v>-0.1</c:v>
                </c:pt>
                <c:pt idx="19">
                  <c:v>-0.1</c:v>
                </c:pt>
                <c:pt idx="20">
                  <c:v>-0.2</c:v>
                </c:pt>
                <c:pt idx="21">
                  <c:v>-0.3</c:v>
                </c:pt>
                <c:pt idx="22">
                  <c:v>-0.3</c:v>
                </c:pt>
                <c:pt idx="23">
                  <c:v>-0.3</c:v>
                </c:pt>
                <c:pt idx="24">
                  <c:v>-0.1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-0.3</c:v>
                </c:pt>
                <c:pt idx="41">
                  <c:v>-0.2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-0.1</c:v>
                </c:pt>
                <c:pt idx="67">
                  <c:v>-0.1</c:v>
                </c:pt>
                <c:pt idx="68">
                  <c:v>-0.1</c:v>
                </c:pt>
                <c:pt idx="69">
                  <c:v>-0.3</c:v>
                </c:pt>
                <c:pt idx="70">
                  <c:v>-0.6</c:v>
                </c:pt>
                <c:pt idx="71">
                  <c:v>-0.8</c:v>
                </c:pt>
                <c:pt idx="72">
                  <c:v>-0.9</c:v>
                </c:pt>
                <c:pt idx="73">
                  <c:v>-0.8</c:v>
                </c:pt>
                <c:pt idx="74">
                  <c:v>-0.6</c:v>
                </c:pt>
                <c:pt idx="75">
                  <c:v>-0.4</c:v>
                </c:pt>
                <c:pt idx="76">
                  <c:v>-0.1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-0.1</c:v>
                </c:pt>
                <c:pt idx="87">
                  <c:v>-0.3</c:v>
                </c:pt>
                <c:pt idx="88">
                  <c:v>-0.4</c:v>
                </c:pt>
                <c:pt idx="89">
                  <c:v>-0.5</c:v>
                </c:pt>
                <c:pt idx="90">
                  <c:v>-0.6</c:v>
                </c:pt>
                <c:pt idx="91">
                  <c:v>-0.8</c:v>
                </c:pt>
                <c:pt idx="92">
                  <c:v>-1.1000000000000001</c:v>
                </c:pt>
                <c:pt idx="93">
                  <c:v>-1.3</c:v>
                </c:pt>
                <c:pt idx="94">
                  <c:v>-1.5</c:v>
                </c:pt>
                <c:pt idx="95">
                  <c:v>-1.6</c:v>
                </c:pt>
                <c:pt idx="96">
                  <c:v>-1.6</c:v>
                </c:pt>
                <c:pt idx="97">
                  <c:v>-1.5</c:v>
                </c:pt>
                <c:pt idx="98">
                  <c:v>-1.3</c:v>
                </c:pt>
                <c:pt idx="99">
                  <c:v>-1</c:v>
                </c:pt>
                <c:pt idx="100">
                  <c:v>-0.8</c:v>
                </c:pt>
                <c:pt idx="101">
                  <c:v>-0.6</c:v>
                </c:pt>
                <c:pt idx="102">
                  <c:v>-0.4</c:v>
                </c:pt>
                <c:pt idx="103">
                  <c:v>-0.2</c:v>
                </c:pt>
                <c:pt idx="104">
                  <c:v>-0.2</c:v>
                </c:pt>
                <c:pt idx="105">
                  <c:v>-0.4</c:v>
                </c:pt>
                <c:pt idx="106">
                  <c:v>-0.6</c:v>
                </c:pt>
                <c:pt idx="107">
                  <c:v>-0.7</c:v>
                </c:pt>
                <c:pt idx="108">
                  <c:v>-0.8</c:v>
                </c:pt>
                <c:pt idx="109">
                  <c:v>-0.8</c:v>
                </c:pt>
                <c:pt idx="110">
                  <c:v>-0.6</c:v>
                </c:pt>
                <c:pt idx="111">
                  <c:v>-0.3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-0.2</c:v>
                </c:pt>
                <c:pt idx="125">
                  <c:v>-0.7</c:v>
                </c:pt>
                <c:pt idx="126">
                  <c:v>-1</c:v>
                </c:pt>
                <c:pt idx="127">
                  <c:v>-1.3</c:v>
                </c:pt>
                <c:pt idx="128">
                  <c:v>-1.6</c:v>
                </c:pt>
                <c:pt idx="129">
                  <c:v>-1.6</c:v>
                </c:pt>
                <c:pt idx="130">
                  <c:v>-1.6</c:v>
                </c:pt>
                <c:pt idx="131">
                  <c:v>-1.6</c:v>
                </c:pt>
                <c:pt idx="132">
                  <c:v>-1.4</c:v>
                </c:pt>
                <c:pt idx="133">
                  <c:v>-1.2</c:v>
                </c:pt>
                <c:pt idx="134">
                  <c:v>-0.9</c:v>
                </c:pt>
                <c:pt idx="135">
                  <c:v>-0.7</c:v>
                </c:pt>
                <c:pt idx="136">
                  <c:v>-0.6</c:v>
                </c:pt>
                <c:pt idx="137">
                  <c:v>-0.4</c:v>
                </c:pt>
                <c:pt idx="138">
                  <c:v>-0.5</c:v>
                </c:pt>
                <c:pt idx="139">
                  <c:v>-0.6</c:v>
                </c:pt>
                <c:pt idx="140">
                  <c:v>-0.8</c:v>
                </c:pt>
                <c:pt idx="141">
                  <c:v>-1</c:v>
                </c:pt>
                <c:pt idx="142">
                  <c:v>-1.1000000000000001</c:v>
                </c:pt>
                <c:pt idx="143">
                  <c:v>-1</c:v>
                </c:pt>
                <c:pt idx="144">
                  <c:v>-0.9</c:v>
                </c:pt>
                <c:pt idx="145">
                  <c:v>-0.7</c:v>
                </c:pt>
                <c:pt idx="146">
                  <c:v>-0.6</c:v>
                </c:pt>
                <c:pt idx="147">
                  <c:v>-0.5</c:v>
                </c:pt>
                <c:pt idx="148">
                  <c:v>-0.3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-0.2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A-489D-94AD-08B910B1E447}"/>
            </c:ext>
          </c:extLst>
        </c:ser>
        <c:ser>
          <c:idx val="1"/>
          <c:order val="1"/>
          <c:tx>
            <c:strRef>
              <c:f>ENSO_data!$R$1</c:f>
              <c:strCache>
                <c:ptCount val="1"/>
                <c:pt idx="0">
                  <c:v>ค่าบวก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ENSO_data!$O$2:$O$146</c:f>
              <c:numCache>
                <c:formatCode>General</c:formatCode>
                <c:ptCount val="145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</c:numCache>
            </c:numRef>
          </c:cat>
          <c:val>
            <c:numRef>
              <c:f>ENSO_data!$R$2:$R$157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</c:v>
                </c:pt>
                <c:pt idx="27">
                  <c:v>0.2</c:v>
                </c:pt>
                <c:pt idx="28">
                  <c:v>0.4</c:v>
                </c:pt>
                <c:pt idx="29">
                  <c:v>0.7</c:v>
                </c:pt>
                <c:pt idx="30">
                  <c:v>0.8</c:v>
                </c:pt>
                <c:pt idx="31">
                  <c:v>0.9</c:v>
                </c:pt>
                <c:pt idx="32">
                  <c:v>1</c:v>
                </c:pt>
                <c:pt idx="33">
                  <c:v>1.2</c:v>
                </c:pt>
                <c:pt idx="34">
                  <c:v>1.3</c:v>
                </c:pt>
                <c:pt idx="35">
                  <c:v>1.1000000000000001</c:v>
                </c:pt>
                <c:pt idx="36">
                  <c:v>0.9</c:v>
                </c:pt>
                <c:pt idx="37">
                  <c:v>0.6</c:v>
                </c:pt>
                <c:pt idx="38">
                  <c:v>0.4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</c:v>
                </c:pt>
                <c:pt idx="43">
                  <c:v>0.2</c:v>
                </c:pt>
                <c:pt idx="44">
                  <c:v>0.3</c:v>
                </c:pt>
                <c:pt idx="45">
                  <c:v>0.3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0.3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0.3</c:v>
                </c:pt>
                <c:pt idx="54">
                  <c:v>0.5</c:v>
                </c:pt>
                <c:pt idx="55">
                  <c:v>0.6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0.6</c:v>
                </c:pt>
                <c:pt idx="61">
                  <c:v>0.6</c:v>
                </c:pt>
                <c:pt idx="62">
                  <c:v>0.4</c:v>
                </c:pt>
                <c:pt idx="63">
                  <c:v>0.4</c:v>
                </c:pt>
                <c:pt idx="64">
                  <c:v>0.3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</c:v>
                </c:pt>
                <c:pt idx="79">
                  <c:v>0.3</c:v>
                </c:pt>
                <c:pt idx="80">
                  <c:v>0.5</c:v>
                </c:pt>
                <c:pt idx="81">
                  <c:v>0.8</c:v>
                </c:pt>
                <c:pt idx="82">
                  <c:v>0.9</c:v>
                </c:pt>
                <c:pt idx="83">
                  <c:v>0.9</c:v>
                </c:pt>
                <c:pt idx="84">
                  <c:v>0.7</c:v>
                </c:pt>
                <c:pt idx="85">
                  <c:v>0.2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0.3</c:v>
                </c:pt>
                <c:pt idx="114">
                  <c:v>0.5</c:v>
                </c:pt>
                <c:pt idx="115">
                  <c:v>0.6</c:v>
                </c:pt>
                <c:pt idx="116">
                  <c:v>0.7</c:v>
                </c:pt>
                <c:pt idx="117">
                  <c:v>1</c:v>
                </c:pt>
                <c:pt idx="118">
                  <c:v>1.4</c:v>
                </c:pt>
                <c:pt idx="119">
                  <c:v>1.6</c:v>
                </c:pt>
                <c:pt idx="120">
                  <c:v>1.5</c:v>
                </c:pt>
                <c:pt idx="121">
                  <c:v>1.2</c:v>
                </c:pt>
                <c:pt idx="122">
                  <c:v>0.8</c:v>
                </c:pt>
                <c:pt idx="123">
                  <c:v>0.4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0.2</c:v>
                </c:pt>
                <c:pt idx="151">
                  <c:v>0.4</c:v>
                </c:pt>
                <c:pt idx="152">
                  <c:v>0.4</c:v>
                </c:pt>
                <c:pt idx="153">
                  <c:v>0.3</c:v>
                </c:pt>
                <c:pt idx="154">
                  <c:v>0.1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A-489D-94AD-08B910B1E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56047"/>
        <c:axId val="109255567"/>
      </c:areaChart>
      <c:catAx>
        <c:axId val="10925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5567"/>
        <c:crosses val="autoZero"/>
        <c:auto val="1"/>
        <c:lblAlgn val="ctr"/>
        <c:lblOffset val="100"/>
        <c:noMultiLvlLbl val="0"/>
      </c:catAx>
      <c:valAx>
        <c:axId val="10925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6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198552519064615"/>
          <c:y val="0.94287050325605848"/>
          <c:w val="0.13602894961870773"/>
          <c:h val="4.6182589245309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h-TH"/>
              <a:t>ข้อมูลภูมิอากาศสถานีจังหวัดปัตตานี ในช่วงพ.ศ.2551-2560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84924140579989"/>
          <c:y val="0.18887399210233854"/>
          <c:w val="0.76392379306245262"/>
          <c:h val="0.66700172613558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Temperature_graph!$A$13</c:f>
              <c:strCache>
                <c:ptCount val="1"/>
                <c:pt idx="0">
                  <c:v>ปริมาณฝนเฉลี่ยรายเดือน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Temperature_graph!$B$1:$M$1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Temperature_graph!$B$12:$M$12</c:f>
              <c:numCache>
                <c:formatCode>General</c:formatCode>
                <c:ptCount val="12"/>
                <c:pt idx="0">
                  <c:v>21.3</c:v>
                </c:pt>
                <c:pt idx="1">
                  <c:v>23.5</c:v>
                </c:pt>
                <c:pt idx="2">
                  <c:v>26.7</c:v>
                </c:pt>
                <c:pt idx="3">
                  <c:v>28.7</c:v>
                </c:pt>
                <c:pt idx="4">
                  <c:v>27.9</c:v>
                </c:pt>
                <c:pt idx="5">
                  <c:v>23.6</c:v>
                </c:pt>
                <c:pt idx="6">
                  <c:v>24.5</c:v>
                </c:pt>
                <c:pt idx="7">
                  <c:v>21.2</c:v>
                </c:pt>
                <c:pt idx="8">
                  <c:v>24.8</c:v>
                </c:pt>
                <c:pt idx="9">
                  <c:v>22.4</c:v>
                </c:pt>
                <c:pt idx="10">
                  <c:v>21.3</c:v>
                </c:pt>
                <c:pt idx="11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6-4538-B526-31F00783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1621279392"/>
        <c:axId val="1621278912"/>
      </c:barChart>
      <c:lineChart>
        <c:grouping val="standard"/>
        <c:varyColors val="0"/>
        <c:ser>
          <c:idx val="1"/>
          <c:order val="1"/>
          <c:tx>
            <c:strRef>
              <c:f>Temperature_graph!$A$12</c:f>
              <c:strCache>
                <c:ptCount val="1"/>
                <c:pt idx="0">
                  <c:v>อุณหภูมิเฉลี่ย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Temperature_graph!$B$13:$M$13</c:f>
              <c:numCache>
                <c:formatCode>0.0</c:formatCode>
                <c:ptCount val="12"/>
                <c:pt idx="0">
                  <c:v>42.563636363636363</c:v>
                </c:pt>
                <c:pt idx="1">
                  <c:v>17.872727272727271</c:v>
                </c:pt>
                <c:pt idx="2">
                  <c:v>55.981818181818191</c:v>
                </c:pt>
                <c:pt idx="3">
                  <c:v>84.181818181818187</c:v>
                </c:pt>
                <c:pt idx="4">
                  <c:v>169.27272727272728</c:v>
                </c:pt>
                <c:pt idx="5">
                  <c:v>174.31818181818178</c:v>
                </c:pt>
                <c:pt idx="6">
                  <c:v>216.82727272727271</c:v>
                </c:pt>
                <c:pt idx="7">
                  <c:v>220.14545454545453</c:v>
                </c:pt>
                <c:pt idx="8">
                  <c:v>246.14545454545458</c:v>
                </c:pt>
                <c:pt idx="9">
                  <c:v>174.10909090909092</c:v>
                </c:pt>
                <c:pt idx="10">
                  <c:v>97.854545454545445</c:v>
                </c:pt>
                <c:pt idx="11">
                  <c:v>58.181818181818194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6-4538-B526-31F00783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376288"/>
        <c:axId val="386377248"/>
      </c:lineChart>
      <c:catAx>
        <c:axId val="162127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278912"/>
        <c:crosses val="autoZero"/>
        <c:auto val="1"/>
        <c:lblAlgn val="ctr"/>
        <c:lblOffset val="100"/>
        <c:noMultiLvlLbl val="0"/>
      </c:catAx>
      <c:valAx>
        <c:axId val="16212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279392"/>
        <c:crosses val="autoZero"/>
        <c:crossBetween val="between"/>
      </c:valAx>
      <c:valAx>
        <c:axId val="386377248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76288"/>
        <c:crosses val="max"/>
        <c:crossBetween val="between"/>
      </c:valAx>
      <c:catAx>
        <c:axId val="386376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386377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335280</xdr:colOff>
      <xdr:row>0</xdr:row>
      <xdr:rowOff>68580</xdr:rowOff>
    </xdr:from>
    <xdr:to>
      <xdr:col>6</xdr:col>
      <xdr:colOff>495300</xdr:colOff>
      <xdr:row>4</xdr:row>
      <xdr:rowOff>106680</xdr:rowOff>
    </xdr:to>
    <xdr:pic>
      <xdr:nvPicPr>
        <xdr:cNvPr id="3" name="กราฟิก 2" descr="กลุ่มบุคคล ด้วยสีเติมแบบทึบ">
          <a:extLst>
            <a:ext uri="{FF2B5EF4-FFF2-40B4-BE49-F238E27FC236}">
              <a16:creationId xmlns:a16="http://schemas.microsoft.com/office/drawing/2014/main" id="{A1C27C28-FD31-A66A-EB2F-8C2ECB437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3280" y="68580"/>
          <a:ext cx="769620" cy="769620"/>
        </a:xfrm>
        <a:prstGeom prst="rect">
          <a:avLst/>
        </a:prstGeom>
      </xdr:spPr>
    </xdr:pic>
    <xdr:clientData/>
  </xdr:twoCellAnchor>
  <xdr:oneCellAnchor>
    <xdr:from>
      <xdr:col>6</xdr:col>
      <xdr:colOff>449580</xdr:colOff>
      <xdr:row>1</xdr:row>
      <xdr:rowOff>22860</xdr:rowOff>
    </xdr:from>
    <xdr:ext cx="8648700" cy="486928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4BDD13BF-1B19-5365-CBA9-628597A507BF}"/>
            </a:ext>
          </a:extLst>
        </xdr:cNvPr>
        <xdr:cNvSpPr txBox="1"/>
      </xdr:nvSpPr>
      <xdr:spPr>
        <a:xfrm>
          <a:off x="4107180" y="205740"/>
          <a:ext cx="8648700" cy="486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th-TH" sz="2400" b="1">
              <a:solidFill>
                <a:schemeClr val="tx1"/>
              </a:solidFill>
            </a:rPr>
            <a:t>จำนวนประชากรทั้งชายและหญิง</a:t>
          </a:r>
          <a:r>
            <a:rPr lang="th-TH" sz="2400" b="1" baseline="0">
              <a:solidFill>
                <a:schemeClr val="tx1"/>
              </a:solidFill>
            </a:rPr>
            <a:t>และครัวเรือนในประเทศไทย</a:t>
          </a:r>
          <a:endParaRPr lang="en-US" sz="2400" b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373380</xdr:colOff>
      <xdr:row>6</xdr:row>
      <xdr:rowOff>76200</xdr:rowOff>
    </xdr:from>
    <xdr:to>
      <xdr:col>8</xdr:col>
      <xdr:colOff>454980</xdr:colOff>
      <xdr:row>11</xdr:row>
      <xdr:rowOff>107520</xdr:rowOff>
    </xdr:to>
    <xdr:grpSp>
      <xdr:nvGrpSpPr>
        <xdr:cNvPr id="23" name="กลุ่ม 22">
          <a:extLst>
            <a:ext uri="{FF2B5EF4-FFF2-40B4-BE49-F238E27FC236}">
              <a16:creationId xmlns:a16="http://schemas.microsoft.com/office/drawing/2014/main" id="{DC9CF94C-6F54-030E-A6C3-B0349ABB88DD}"/>
            </a:ext>
          </a:extLst>
        </xdr:cNvPr>
        <xdr:cNvGrpSpPr/>
      </xdr:nvGrpSpPr>
      <xdr:grpSpPr>
        <a:xfrm>
          <a:off x="2811780" y="1173480"/>
          <a:ext cx="2520000" cy="945720"/>
          <a:chOff x="3063240" y="1104900"/>
          <a:chExt cx="2520000" cy="945720"/>
        </a:xfrm>
      </xdr:grpSpPr>
      <xdr:sp macro="" textlink="">
        <xdr:nvSpPr>
          <xdr:cNvPr id="6" name="สี่เหลี่ยมผืนผ้า: มุมมน 5">
            <a:extLst>
              <a:ext uri="{FF2B5EF4-FFF2-40B4-BE49-F238E27FC236}">
                <a16:creationId xmlns:a16="http://schemas.microsoft.com/office/drawing/2014/main" id="{F00544B0-93DA-3FEE-E1FD-B826E2463EE1}"/>
              </a:ext>
            </a:extLst>
          </xdr:cNvPr>
          <xdr:cNvSpPr/>
        </xdr:nvSpPr>
        <xdr:spPr>
          <a:xfrm>
            <a:off x="3063240" y="1150620"/>
            <a:ext cx="2520000" cy="900000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กล่องข้อความ 6">
            <a:extLst>
              <a:ext uri="{FF2B5EF4-FFF2-40B4-BE49-F238E27FC236}">
                <a16:creationId xmlns:a16="http://schemas.microsoft.com/office/drawing/2014/main" id="{A925E597-A8B4-8DCE-7CF6-B68FBC66238C}"/>
              </a:ext>
            </a:extLst>
          </xdr:cNvPr>
          <xdr:cNvSpPr txBox="1"/>
        </xdr:nvSpPr>
        <xdr:spPr>
          <a:xfrm>
            <a:off x="3387635" y="1104900"/>
            <a:ext cx="1825500" cy="322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th-TH" sz="1400" b="1"/>
              <a:t>จำนวนประชากรชาย</a:t>
            </a:r>
            <a:endParaRPr lang="en-US" sz="1400" b="1"/>
          </a:p>
        </xdr:txBody>
      </xdr:sp>
      <xdr:sp macro="" textlink="pivot!M2">
        <xdr:nvSpPr>
          <xdr:cNvPr id="8" name="กล่องข้อความ 7">
            <a:extLst>
              <a:ext uri="{FF2B5EF4-FFF2-40B4-BE49-F238E27FC236}">
                <a16:creationId xmlns:a16="http://schemas.microsoft.com/office/drawing/2014/main" id="{A577FDFA-814F-FDEC-ED3D-05A4763FF88F}"/>
              </a:ext>
            </a:extLst>
          </xdr:cNvPr>
          <xdr:cNvSpPr txBox="1"/>
        </xdr:nvSpPr>
        <xdr:spPr>
          <a:xfrm>
            <a:off x="3573780" y="1432560"/>
            <a:ext cx="1478280" cy="4343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1EE05837-106B-40BE-BDEF-FDCAF580796C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 algn="ctr"/>
              <a:t>64,290,564</a:t>
            </a:fld>
            <a:endParaRPr lang="en-US" sz="2000" b="1"/>
          </a:p>
        </xdr:txBody>
      </xdr:sp>
    </xdr:grpSp>
    <xdr:clientData/>
  </xdr:twoCellAnchor>
  <xdr:twoCellAnchor>
    <xdr:from>
      <xdr:col>9</xdr:col>
      <xdr:colOff>185420</xdr:colOff>
      <xdr:row>6</xdr:row>
      <xdr:rowOff>76200</xdr:rowOff>
    </xdr:from>
    <xdr:to>
      <xdr:col>13</xdr:col>
      <xdr:colOff>267020</xdr:colOff>
      <xdr:row>11</xdr:row>
      <xdr:rowOff>107520</xdr:rowOff>
    </xdr:to>
    <xdr:grpSp>
      <xdr:nvGrpSpPr>
        <xdr:cNvPr id="24" name="กลุ่ม 23">
          <a:extLst>
            <a:ext uri="{FF2B5EF4-FFF2-40B4-BE49-F238E27FC236}">
              <a16:creationId xmlns:a16="http://schemas.microsoft.com/office/drawing/2014/main" id="{73F7E43A-55AF-4BD9-ADF6-F13EC2C90645}"/>
            </a:ext>
          </a:extLst>
        </xdr:cNvPr>
        <xdr:cNvGrpSpPr/>
      </xdr:nvGrpSpPr>
      <xdr:grpSpPr>
        <a:xfrm>
          <a:off x="5671820" y="1173480"/>
          <a:ext cx="2520000" cy="945720"/>
          <a:chOff x="3063240" y="1104900"/>
          <a:chExt cx="2520000" cy="945720"/>
        </a:xfrm>
      </xdr:grpSpPr>
      <xdr:sp macro="" textlink="">
        <xdr:nvSpPr>
          <xdr:cNvPr id="25" name="สี่เหลี่ยมผืนผ้า: มุมมน 24">
            <a:extLst>
              <a:ext uri="{FF2B5EF4-FFF2-40B4-BE49-F238E27FC236}">
                <a16:creationId xmlns:a16="http://schemas.microsoft.com/office/drawing/2014/main" id="{98257C48-92DA-FAD6-04F1-ED28468C2455}"/>
              </a:ext>
            </a:extLst>
          </xdr:cNvPr>
          <xdr:cNvSpPr/>
        </xdr:nvSpPr>
        <xdr:spPr>
          <a:xfrm>
            <a:off x="3063240" y="1150620"/>
            <a:ext cx="2520000" cy="900000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กล่องข้อความ 25">
            <a:extLst>
              <a:ext uri="{FF2B5EF4-FFF2-40B4-BE49-F238E27FC236}">
                <a16:creationId xmlns:a16="http://schemas.microsoft.com/office/drawing/2014/main" id="{AD1B746A-13AC-954C-3B6B-CC5707F2007B}"/>
              </a:ext>
            </a:extLst>
          </xdr:cNvPr>
          <xdr:cNvSpPr txBox="1"/>
        </xdr:nvSpPr>
        <xdr:spPr>
          <a:xfrm>
            <a:off x="3482340" y="1104900"/>
            <a:ext cx="1874167" cy="322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400" b="1"/>
              <a:t>จำนวนประชากรหญิง</a:t>
            </a:r>
            <a:endParaRPr lang="en-US" sz="1400" b="1"/>
          </a:p>
        </xdr:txBody>
      </xdr:sp>
      <xdr:sp macro="" textlink="pivot!N2">
        <xdr:nvSpPr>
          <xdr:cNvPr id="27" name="กล่องข้อความ 26">
            <a:extLst>
              <a:ext uri="{FF2B5EF4-FFF2-40B4-BE49-F238E27FC236}">
                <a16:creationId xmlns:a16="http://schemas.microsoft.com/office/drawing/2014/main" id="{2E743429-AB64-58FE-36DF-2D6308F45673}"/>
              </a:ext>
            </a:extLst>
          </xdr:cNvPr>
          <xdr:cNvSpPr txBox="1"/>
        </xdr:nvSpPr>
        <xdr:spPr>
          <a:xfrm>
            <a:off x="3672840" y="1455420"/>
            <a:ext cx="1361142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A7942DF6-DDC8-4C52-B9CC-AD7D4D7B5AA1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/>
              <a:t>67,611,856</a:t>
            </a:fld>
            <a:endParaRPr lang="en-US" sz="2000" b="1"/>
          </a:p>
        </xdr:txBody>
      </xdr:sp>
    </xdr:grpSp>
    <xdr:clientData/>
  </xdr:twoCellAnchor>
  <xdr:twoCellAnchor>
    <xdr:from>
      <xdr:col>18</xdr:col>
      <xdr:colOff>419100</xdr:colOff>
      <xdr:row>6</xdr:row>
      <xdr:rowOff>53340</xdr:rowOff>
    </xdr:from>
    <xdr:to>
      <xdr:col>22</xdr:col>
      <xdr:colOff>500700</xdr:colOff>
      <xdr:row>11</xdr:row>
      <xdr:rowOff>84660</xdr:rowOff>
    </xdr:to>
    <xdr:grpSp>
      <xdr:nvGrpSpPr>
        <xdr:cNvPr id="28" name="กลุ่ม 27">
          <a:extLst>
            <a:ext uri="{FF2B5EF4-FFF2-40B4-BE49-F238E27FC236}">
              <a16:creationId xmlns:a16="http://schemas.microsoft.com/office/drawing/2014/main" id="{13F23DE7-79B5-4066-91A8-0517F8D78A0F}"/>
            </a:ext>
          </a:extLst>
        </xdr:cNvPr>
        <xdr:cNvGrpSpPr/>
      </xdr:nvGrpSpPr>
      <xdr:grpSpPr>
        <a:xfrm>
          <a:off x="11391900" y="1150620"/>
          <a:ext cx="2520000" cy="945720"/>
          <a:chOff x="3063240" y="1104900"/>
          <a:chExt cx="2520000" cy="945720"/>
        </a:xfrm>
      </xdr:grpSpPr>
      <xdr:sp macro="" textlink="">
        <xdr:nvSpPr>
          <xdr:cNvPr id="29" name="สี่เหลี่ยมผืนผ้า: มุมมน 28">
            <a:extLst>
              <a:ext uri="{FF2B5EF4-FFF2-40B4-BE49-F238E27FC236}">
                <a16:creationId xmlns:a16="http://schemas.microsoft.com/office/drawing/2014/main" id="{B23A6481-0EB0-7134-7C3A-CF08CDF242BD}"/>
              </a:ext>
            </a:extLst>
          </xdr:cNvPr>
          <xdr:cNvSpPr/>
        </xdr:nvSpPr>
        <xdr:spPr>
          <a:xfrm>
            <a:off x="3063240" y="1150620"/>
            <a:ext cx="2520000" cy="900000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กล่องข้อความ 29">
            <a:extLst>
              <a:ext uri="{FF2B5EF4-FFF2-40B4-BE49-F238E27FC236}">
                <a16:creationId xmlns:a16="http://schemas.microsoft.com/office/drawing/2014/main" id="{C2B8A4AF-0CB3-BC0E-08CB-5711EECA5133}"/>
              </a:ext>
            </a:extLst>
          </xdr:cNvPr>
          <xdr:cNvSpPr txBox="1"/>
        </xdr:nvSpPr>
        <xdr:spPr>
          <a:xfrm>
            <a:off x="3482340" y="1104900"/>
            <a:ext cx="1680653" cy="322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400" b="1"/>
              <a:t>จำนวนหลังคาเรือน</a:t>
            </a:r>
            <a:endParaRPr lang="en-US" sz="1400" b="1"/>
          </a:p>
        </xdr:txBody>
      </xdr:sp>
      <xdr:sp macro="" textlink="pivot!P2">
        <xdr:nvSpPr>
          <xdr:cNvPr id="31" name="กล่องข้อความ 30">
            <a:extLst>
              <a:ext uri="{FF2B5EF4-FFF2-40B4-BE49-F238E27FC236}">
                <a16:creationId xmlns:a16="http://schemas.microsoft.com/office/drawing/2014/main" id="{BBDF3032-8A13-6EC7-F128-531CA506FD82}"/>
              </a:ext>
            </a:extLst>
          </xdr:cNvPr>
          <xdr:cNvSpPr txBox="1"/>
        </xdr:nvSpPr>
        <xdr:spPr>
          <a:xfrm>
            <a:off x="3634740" y="1455420"/>
            <a:ext cx="1361142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612D48EE-03BB-45D0-B0C1-7EE66BC2EF9F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/>
              <a:t>58,257,038</a:t>
            </a:fld>
            <a:endParaRPr lang="en-US" sz="2000" b="1"/>
          </a:p>
        </xdr:txBody>
      </xdr:sp>
    </xdr:grpSp>
    <xdr:clientData/>
  </xdr:twoCellAnchor>
  <xdr:twoCellAnchor>
    <xdr:from>
      <xdr:col>13</xdr:col>
      <xdr:colOff>607060</xdr:colOff>
      <xdr:row>6</xdr:row>
      <xdr:rowOff>83820</xdr:rowOff>
    </xdr:from>
    <xdr:to>
      <xdr:col>18</xdr:col>
      <xdr:colOff>118576</xdr:colOff>
      <xdr:row>11</xdr:row>
      <xdr:rowOff>107520</xdr:rowOff>
    </xdr:to>
    <xdr:grpSp>
      <xdr:nvGrpSpPr>
        <xdr:cNvPr id="32" name="กลุ่ม 31">
          <a:extLst>
            <a:ext uri="{FF2B5EF4-FFF2-40B4-BE49-F238E27FC236}">
              <a16:creationId xmlns:a16="http://schemas.microsoft.com/office/drawing/2014/main" id="{846C4AA9-2ECD-A7D3-FC08-FD214EDB8D7B}"/>
            </a:ext>
          </a:extLst>
        </xdr:cNvPr>
        <xdr:cNvGrpSpPr/>
      </xdr:nvGrpSpPr>
      <xdr:grpSpPr>
        <a:xfrm>
          <a:off x="8531860" y="1181100"/>
          <a:ext cx="2559516" cy="938100"/>
          <a:chOff x="3063240" y="1112520"/>
          <a:chExt cx="2559516" cy="938100"/>
        </a:xfrm>
      </xdr:grpSpPr>
      <xdr:sp macro="" textlink="">
        <xdr:nvSpPr>
          <xdr:cNvPr id="33" name="สี่เหลี่ยมผืนผ้า: มุมมน 32">
            <a:extLst>
              <a:ext uri="{FF2B5EF4-FFF2-40B4-BE49-F238E27FC236}">
                <a16:creationId xmlns:a16="http://schemas.microsoft.com/office/drawing/2014/main" id="{5A81344E-67D7-8DFE-E4E6-90FEBCE5F7EB}"/>
              </a:ext>
            </a:extLst>
          </xdr:cNvPr>
          <xdr:cNvSpPr/>
        </xdr:nvSpPr>
        <xdr:spPr>
          <a:xfrm>
            <a:off x="3063240" y="1150620"/>
            <a:ext cx="2520000" cy="900000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กล่องข้อความ 33">
            <a:extLst>
              <a:ext uri="{FF2B5EF4-FFF2-40B4-BE49-F238E27FC236}">
                <a16:creationId xmlns:a16="http://schemas.microsoft.com/office/drawing/2014/main" id="{D88ADAEC-706F-4E9D-743B-1DDF1F91A15B}"/>
              </a:ext>
            </a:extLst>
          </xdr:cNvPr>
          <xdr:cNvSpPr txBox="1"/>
        </xdr:nvSpPr>
        <xdr:spPr>
          <a:xfrm>
            <a:off x="3086100" y="1112520"/>
            <a:ext cx="2536656" cy="3225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400" b="1"/>
              <a:t>จำนวนประชากรชายและหญิง</a:t>
            </a:r>
            <a:endParaRPr lang="en-US" sz="1400" b="1"/>
          </a:p>
        </xdr:txBody>
      </xdr:sp>
      <xdr:sp macro="" textlink="pivot!O2">
        <xdr:nvSpPr>
          <xdr:cNvPr id="35" name="กล่องข้อความ 34">
            <a:extLst>
              <a:ext uri="{FF2B5EF4-FFF2-40B4-BE49-F238E27FC236}">
                <a16:creationId xmlns:a16="http://schemas.microsoft.com/office/drawing/2014/main" id="{F5F060D5-6097-722E-F1F6-461685D4FC7C}"/>
              </a:ext>
            </a:extLst>
          </xdr:cNvPr>
          <xdr:cNvSpPr txBox="1"/>
        </xdr:nvSpPr>
        <xdr:spPr>
          <a:xfrm>
            <a:off x="3642360" y="1447800"/>
            <a:ext cx="164084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E71ADED2-2D6C-4008-B283-8970AF363B57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/>
              <a:t>131,902,420</a:t>
            </a:fld>
            <a:endParaRPr lang="en-US" sz="2000" b="1"/>
          </a:p>
        </xdr:txBody>
      </xdr:sp>
    </xdr:grpSp>
    <xdr:clientData/>
  </xdr:twoCellAnchor>
  <xdr:twoCellAnchor>
    <xdr:from>
      <xdr:col>5</xdr:col>
      <xdr:colOff>38100</xdr:colOff>
      <xdr:row>13</xdr:row>
      <xdr:rowOff>137160</xdr:rowOff>
    </xdr:from>
    <xdr:to>
      <xdr:col>13</xdr:col>
      <xdr:colOff>561300</xdr:colOff>
      <xdr:row>28</xdr:row>
      <xdr:rowOff>93960</xdr:rowOff>
    </xdr:to>
    <xdr:graphicFrame macro="">
      <xdr:nvGraphicFramePr>
        <xdr:cNvPr id="36" name="แผนภูมิ 35">
          <a:extLst>
            <a:ext uri="{FF2B5EF4-FFF2-40B4-BE49-F238E27FC236}">
              <a16:creationId xmlns:a16="http://schemas.microsoft.com/office/drawing/2014/main" id="{581A8C25-094D-4E09-A548-F1FF20721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556260</xdr:colOff>
      <xdr:row>13</xdr:row>
      <xdr:rowOff>137160</xdr:rowOff>
    </xdr:from>
    <xdr:to>
      <xdr:col>23</xdr:col>
      <xdr:colOff>469860</xdr:colOff>
      <xdr:row>28</xdr:row>
      <xdr:rowOff>93960</xdr:rowOff>
    </xdr:to>
    <xdr:graphicFrame macro="">
      <xdr:nvGraphicFramePr>
        <xdr:cNvPr id="37" name="แผนภูมิ 36">
          <a:extLst>
            <a:ext uri="{FF2B5EF4-FFF2-40B4-BE49-F238E27FC236}">
              <a16:creationId xmlns:a16="http://schemas.microsoft.com/office/drawing/2014/main" id="{2BABC34F-D7C8-47E4-A8F7-A596C2F82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38100</xdr:colOff>
      <xdr:row>31</xdr:row>
      <xdr:rowOff>102870</xdr:rowOff>
    </xdr:from>
    <xdr:to>
      <xdr:col>13</xdr:col>
      <xdr:colOff>561300</xdr:colOff>
      <xdr:row>46</xdr:row>
      <xdr:rowOff>59670</xdr:rowOff>
    </xdr:to>
    <xdr:graphicFrame macro="">
      <xdr:nvGraphicFramePr>
        <xdr:cNvPr id="38" name="แผนภูมิ 37">
          <a:extLst>
            <a:ext uri="{FF2B5EF4-FFF2-40B4-BE49-F238E27FC236}">
              <a16:creationId xmlns:a16="http://schemas.microsoft.com/office/drawing/2014/main" id="{B89E4886-2350-42B6-A62C-A37AD9E87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579120</xdr:colOff>
      <xdr:row>31</xdr:row>
      <xdr:rowOff>102870</xdr:rowOff>
    </xdr:from>
    <xdr:to>
      <xdr:col>23</xdr:col>
      <xdr:colOff>492720</xdr:colOff>
      <xdr:row>46</xdr:row>
      <xdr:rowOff>59670</xdr:rowOff>
    </xdr:to>
    <xdr:graphicFrame macro="">
      <xdr:nvGraphicFramePr>
        <xdr:cNvPr id="39" name="แผนภูมิ 38">
          <a:extLst>
            <a:ext uri="{FF2B5EF4-FFF2-40B4-BE49-F238E27FC236}">
              <a16:creationId xmlns:a16="http://schemas.microsoft.com/office/drawing/2014/main" id="{8ABF19F2-94E3-479F-823C-4C31D9DBB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211454</xdr:colOff>
      <xdr:row>5</xdr:row>
      <xdr:rowOff>152824</xdr:rowOff>
    </xdr:from>
    <xdr:to>
      <xdr:col>3</xdr:col>
      <xdr:colOff>285749</xdr:colOff>
      <xdr:row>16</xdr:row>
      <xdr:rowOff>150255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6" name="ภูมิภาค">
              <a:extLst>
                <a:ext uri="{FF2B5EF4-FFF2-40B4-BE49-F238E27FC236}">
                  <a16:creationId xmlns:a16="http://schemas.microsoft.com/office/drawing/2014/main" id="{A41F3318-5508-6205-8102-E21D6FC8D0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ภูมิภา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4" y="1067224"/>
              <a:ext cx="1903095" cy="2009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รูปร่างนี้แสดงถึงตัวแบ่งส่วนข้อมูล ซึ่งสนับสนุนใน Excel 2010 หรือเวอร์ชันที่ใหม่กว่า
ถ้ารูปร่างถูกปรับเปลี่ยนใน Excel เวอร์ชันก่อนหน้า หรือถ้าเวิร์กบุ๊กถูกบันทึกใน Excel 2003 หรือเวอร์ชันก่อนหน้า จะไม่สามารถใช้ตัวแบ่งส่วนข้อมูลได้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228600</xdr:colOff>
      <xdr:row>17</xdr:row>
      <xdr:rowOff>68580</xdr:rowOff>
    </xdr:from>
    <xdr:to>
      <xdr:col>3</xdr:col>
      <xdr:colOff>297180</xdr:colOff>
      <xdr:row>31</xdr:row>
      <xdr:rowOff>89535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7" name="ชื่อจังหวัด">
              <a:extLst>
                <a:ext uri="{FF2B5EF4-FFF2-40B4-BE49-F238E27FC236}">
                  <a16:creationId xmlns:a16="http://schemas.microsoft.com/office/drawing/2014/main" id="{74D346E4-3DB2-176C-ED09-5EB54EBAFE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ชื่อจังหวัด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3177540"/>
              <a:ext cx="189738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รูปร่างนี้แสดงถึงตัวแบ่งส่วนข้อมูล ซึ่งสนับสนุนใน Excel 2010 หรือเวอร์ชันที่ใหม่กว่า
ถ้ารูปร่างถูกปรับเปลี่ยนใน Excel เวอร์ชันก่อนหน้า หรือถ้าเวิร์กบุ๊กถูกบันทึกใน Excel 2003 หรือเวอร์ชันก่อนหน้า จะไม่สามารถใช้ตัวแบ่งส่วนข้อมูลได้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26</xdr:row>
      <xdr:rowOff>53340</xdr:rowOff>
    </xdr:from>
    <xdr:to>
      <xdr:col>13</xdr:col>
      <xdr:colOff>335280</xdr:colOff>
      <xdr:row>51</xdr:row>
      <xdr:rowOff>121920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31D426D6-200A-B324-4B25-62427C7A3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251460</xdr:colOff>
      <xdr:row>1</xdr:row>
      <xdr:rowOff>175260</xdr:rowOff>
    </xdr:from>
    <xdr:to>
      <xdr:col>29</xdr:col>
      <xdr:colOff>464820</xdr:colOff>
      <xdr:row>17</xdr:row>
      <xdr:rowOff>53340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E1CB0F4E-2DB6-A9FF-142D-B1447EB63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0.03684</cdr:x>
      <cdr:y>0.28829</cdr:y>
    </cdr:from>
    <cdr:to>
      <cdr:x>0.0743</cdr:x>
      <cdr:y>0.66661</cdr:y>
    </cdr:to>
    <cdr:sp macro="" textlink="">
      <cdr:nvSpPr>
        <cdr:cNvPr id="2" name="กล่องข้อความ 1">
          <a:extLst xmlns:a="http://schemas.openxmlformats.org/drawingml/2006/main">
            <a:ext uri="{FF2B5EF4-FFF2-40B4-BE49-F238E27FC236}">
              <a16:creationId xmlns:a16="http://schemas.microsoft.com/office/drawing/2014/main" id="{31DC6C24-AFE0-7B2D-3E77-D6E470AC05C0}"/>
            </a:ext>
          </a:extLst>
        </cdr:cNvPr>
        <cdr:cNvSpPr txBox="1"/>
      </cdr:nvSpPr>
      <cdr:spPr>
        <a:xfrm xmlns:a="http://schemas.openxmlformats.org/drawingml/2006/main" rot="16200000">
          <a:off x="-313858" y="1855347"/>
          <a:ext cx="1599953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th-TH" sz="1100" kern="1200">
              <a:solidFill>
                <a:schemeClr val="bg1"/>
              </a:solidFill>
            </a:rPr>
            <a:t>อุณหภูมิเฉลี่ย(เซลเซียส)</a:t>
          </a:r>
          <a:endParaRPr lang="en-US" sz="1100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0.9081</cdr:x>
      <cdr:y>0.31351</cdr:y>
    </cdr:from>
    <cdr:to>
      <cdr:x>0.95775</cdr:x>
      <cdr:y>0.76667</cdr:y>
    </cdr:to>
    <cdr:sp macro="" textlink="">
      <cdr:nvSpPr>
        <cdr:cNvPr id="3" name="กล่องข้อความ 2">
          <a:extLst xmlns:a="http://schemas.openxmlformats.org/drawingml/2006/main">
            <a:ext uri="{FF2B5EF4-FFF2-40B4-BE49-F238E27FC236}">
              <a16:creationId xmlns:a16="http://schemas.microsoft.com/office/drawing/2014/main" id="{AB358FED-9E23-1EC4-4AC5-18D863D35154}"/>
            </a:ext>
          </a:extLst>
        </cdr:cNvPr>
        <cdr:cNvSpPr txBox="1"/>
      </cdr:nvSpPr>
      <cdr:spPr>
        <a:xfrm xmlns:a="http://schemas.openxmlformats.org/drawingml/2006/main" rot="5400000">
          <a:off x="7202805" y="2066925"/>
          <a:ext cx="1916430" cy="434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th-TH" sz="1100" kern="1200">
              <a:solidFill>
                <a:schemeClr val="bg1"/>
              </a:solidFill>
            </a:rPr>
            <a:t>ปริมาณน้ำฝน(มม.)</a:t>
          </a:r>
          <a:endParaRPr lang="en-US" sz="1100" kern="1200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26;&#3606;&#3634;&#3609;&#3637;-&#3609;&#3619;&#3634;&#3608;&#3636;&#3623;&#3634;&#362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05;&#3632;&#3585;&#3633;&#3656;&#3623;&#3611;&#3656;&#3634;Ra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nalykopp"/>
      <sheetName val="sumrainYear"/>
      <sheetName val="วันฝนหนัก&gt;90"/>
      <sheetName val="ขนาดฝนรายวัน"/>
      <sheetName val="ปริมาณน้ำฝน"/>
      <sheetName val="วันฝนไม่ตก"/>
      <sheetName val="ฝนแต่ละเดื่อน"/>
      <sheetName val="ฝนเล็กน้อย&lt;10"/>
      <sheetName val="ฝนปานกลาง 10.1-35"/>
      <sheetName val="ฝนตกหนัก 35.5-90"/>
      <sheetName val="วันฝนตก"/>
      <sheetName val="t-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>
            <v>90.399999999999991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ปริมาณน้ำฝน"/>
      <sheetName val="จำแนกเซลล์ปีนั้นๆ"/>
      <sheetName val="วันฝนตก"/>
      <sheetName val="วันฝนไม่ตก"/>
      <sheetName val="ฝนตกเล็กน้อย  0.1-10"/>
      <sheetName val="ฝนตกปานกลาง"/>
      <sheetName val="ฝนตกหนัก"/>
      <sheetName val="ฝนตกหนักมาก"/>
      <sheetName val="ปริมาณน้ำฝนรวม"/>
      <sheetName val="T-test"/>
      <sheetName val="SumrainYear"/>
      <sheetName val="เส้นแนวโน้ม"/>
    </sheetNames>
    <sheetDataSet>
      <sheetData sheetId="0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1">
          <cell r="D31">
            <v>0</v>
          </cell>
        </row>
        <row r="32">
          <cell r="D32">
            <v>18</v>
          </cell>
        </row>
        <row r="33">
          <cell r="D33">
            <v>15.2</v>
          </cell>
        </row>
        <row r="34">
          <cell r="D34">
            <v>17.5</v>
          </cell>
        </row>
        <row r="35">
          <cell r="D35">
            <v>15.3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0.3</v>
          </cell>
        </row>
        <row r="44">
          <cell r="D44">
            <v>1.1000000000000001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11.8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9.4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1.6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13.8</v>
          </cell>
        </row>
        <row r="122">
          <cell r="D122">
            <v>1.6</v>
          </cell>
        </row>
        <row r="123">
          <cell r="D123">
            <v>11.1</v>
          </cell>
        </row>
        <row r="124">
          <cell r="D124">
            <v>23.9</v>
          </cell>
        </row>
        <row r="125">
          <cell r="D125">
            <v>19.899999999999999</v>
          </cell>
        </row>
        <row r="126">
          <cell r="D126">
            <v>24.8</v>
          </cell>
        </row>
        <row r="127">
          <cell r="D127">
            <v>6.9</v>
          </cell>
        </row>
        <row r="128">
          <cell r="D128">
            <v>0</v>
          </cell>
        </row>
        <row r="129">
          <cell r="D129">
            <v>6.7</v>
          </cell>
        </row>
        <row r="130">
          <cell r="D130">
            <v>0</v>
          </cell>
        </row>
        <row r="131">
          <cell r="D131">
            <v>2.6</v>
          </cell>
        </row>
        <row r="132">
          <cell r="D132">
            <v>3.8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25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79.8</v>
          </cell>
        </row>
        <row r="139">
          <cell r="D139">
            <v>39.5</v>
          </cell>
        </row>
        <row r="140">
          <cell r="D140">
            <v>45.3</v>
          </cell>
        </row>
        <row r="141">
          <cell r="D141">
            <v>42.4</v>
          </cell>
        </row>
        <row r="142">
          <cell r="D142">
            <v>24.1</v>
          </cell>
        </row>
        <row r="143">
          <cell r="D143">
            <v>6.3</v>
          </cell>
        </row>
        <row r="144">
          <cell r="D144">
            <v>4.8</v>
          </cell>
        </row>
        <row r="145">
          <cell r="D145">
            <v>1</v>
          </cell>
        </row>
        <row r="146">
          <cell r="D146">
            <v>0.6</v>
          </cell>
        </row>
        <row r="147">
          <cell r="D147">
            <v>17.3</v>
          </cell>
        </row>
        <row r="148">
          <cell r="D148">
            <v>14</v>
          </cell>
        </row>
        <row r="149">
          <cell r="D149">
            <v>19.100000000000001</v>
          </cell>
        </row>
        <row r="150">
          <cell r="D150">
            <v>0</v>
          </cell>
        </row>
        <row r="151">
          <cell r="D151">
            <v>0</v>
          </cell>
        </row>
        <row r="152">
          <cell r="D152">
            <v>22</v>
          </cell>
        </row>
        <row r="153">
          <cell r="D153">
            <v>0.1</v>
          </cell>
        </row>
        <row r="154">
          <cell r="D154">
            <v>6.5</v>
          </cell>
        </row>
        <row r="155">
          <cell r="D155">
            <v>7.7</v>
          </cell>
        </row>
        <row r="156">
          <cell r="D156">
            <v>0</v>
          </cell>
        </row>
        <row r="157">
          <cell r="D157">
            <v>2.6</v>
          </cell>
        </row>
        <row r="158">
          <cell r="D158">
            <v>10.4</v>
          </cell>
        </row>
        <row r="159">
          <cell r="D159">
            <v>39.9</v>
          </cell>
        </row>
        <row r="160">
          <cell r="D160">
            <v>18.8</v>
          </cell>
        </row>
        <row r="161">
          <cell r="D161">
            <v>29.7</v>
          </cell>
        </row>
        <row r="162">
          <cell r="D162">
            <v>36.299999999999997</v>
          </cell>
        </row>
        <row r="163">
          <cell r="D163">
            <v>12.6</v>
          </cell>
        </row>
        <row r="164">
          <cell r="D164">
            <v>10.6</v>
          </cell>
        </row>
        <row r="165">
          <cell r="D165">
            <v>34.799999999999997</v>
          </cell>
        </row>
        <row r="166">
          <cell r="D166">
            <v>45</v>
          </cell>
        </row>
        <row r="167">
          <cell r="D167">
            <v>43.9</v>
          </cell>
        </row>
        <row r="168">
          <cell r="D168">
            <v>57.8</v>
          </cell>
        </row>
        <row r="169">
          <cell r="D169">
            <v>7.3</v>
          </cell>
        </row>
        <row r="170">
          <cell r="D170">
            <v>62.1</v>
          </cell>
        </row>
        <row r="171">
          <cell r="D171">
            <v>11.5</v>
          </cell>
        </row>
        <row r="172">
          <cell r="D172">
            <v>9.3000000000000007</v>
          </cell>
        </row>
        <row r="173">
          <cell r="D173">
            <v>0</v>
          </cell>
        </row>
        <row r="174">
          <cell r="D174">
            <v>0</v>
          </cell>
        </row>
        <row r="175">
          <cell r="D175">
            <v>0</v>
          </cell>
        </row>
        <row r="176">
          <cell r="D176">
            <v>21.6</v>
          </cell>
        </row>
        <row r="177">
          <cell r="D177">
            <v>13.5</v>
          </cell>
        </row>
        <row r="178">
          <cell r="D178">
            <v>19.8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0</v>
          </cell>
        </row>
        <row r="184">
          <cell r="D184">
            <v>4.7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4</v>
          </cell>
        </row>
        <row r="189">
          <cell r="D189">
            <v>1.3</v>
          </cell>
        </row>
        <row r="190">
          <cell r="D190">
            <v>0.2</v>
          </cell>
        </row>
        <row r="191">
          <cell r="D191">
            <v>45.4</v>
          </cell>
        </row>
        <row r="192">
          <cell r="D192">
            <v>61.2</v>
          </cell>
        </row>
        <row r="193">
          <cell r="D193">
            <v>37.4</v>
          </cell>
        </row>
        <row r="194">
          <cell r="D194">
            <v>33.700000000000003</v>
          </cell>
        </row>
        <row r="195">
          <cell r="D195">
            <v>37.6</v>
          </cell>
        </row>
        <row r="196">
          <cell r="D196">
            <v>43.1</v>
          </cell>
        </row>
        <row r="197">
          <cell r="D197">
            <v>7.1</v>
          </cell>
        </row>
        <row r="198">
          <cell r="D198">
            <v>39.4</v>
          </cell>
        </row>
        <row r="199">
          <cell r="D199">
            <v>17</v>
          </cell>
        </row>
        <row r="200">
          <cell r="D200">
            <v>3.5</v>
          </cell>
        </row>
        <row r="201">
          <cell r="D201">
            <v>15.1</v>
          </cell>
        </row>
        <row r="202">
          <cell r="D202">
            <v>13.7</v>
          </cell>
        </row>
        <row r="203">
          <cell r="D203">
            <v>3.3</v>
          </cell>
        </row>
        <row r="204">
          <cell r="D204">
            <v>0</v>
          </cell>
        </row>
        <row r="205">
          <cell r="D205">
            <v>10.7</v>
          </cell>
        </row>
        <row r="206">
          <cell r="D206">
            <v>5.0999999999999996</v>
          </cell>
        </row>
        <row r="207">
          <cell r="D207">
            <v>0</v>
          </cell>
        </row>
        <row r="208">
          <cell r="D208">
            <v>8.9</v>
          </cell>
        </row>
        <row r="209">
          <cell r="D209">
            <v>6.8</v>
          </cell>
        </row>
        <row r="210">
          <cell r="D210">
            <v>0</v>
          </cell>
        </row>
        <row r="211">
          <cell r="D211">
            <v>0.1</v>
          </cell>
        </row>
        <row r="212">
          <cell r="D212">
            <v>0</v>
          </cell>
        </row>
        <row r="213">
          <cell r="D213">
            <v>0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D216">
            <v>0</v>
          </cell>
        </row>
        <row r="217">
          <cell r="D217">
            <v>1</v>
          </cell>
        </row>
        <row r="218">
          <cell r="D218">
            <v>11.8</v>
          </cell>
        </row>
        <row r="219">
          <cell r="D219">
            <v>0.4</v>
          </cell>
        </row>
        <row r="220">
          <cell r="D220">
            <v>1.6</v>
          </cell>
        </row>
        <row r="221">
          <cell r="D221">
            <v>0</v>
          </cell>
        </row>
        <row r="222">
          <cell r="D222">
            <v>0.8</v>
          </cell>
        </row>
        <row r="223">
          <cell r="D223">
            <v>0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0</v>
          </cell>
        </row>
        <row r="227">
          <cell r="D227">
            <v>0</v>
          </cell>
        </row>
        <row r="228">
          <cell r="D228">
            <v>0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0</v>
          </cell>
        </row>
        <row r="232">
          <cell r="D232">
            <v>2.7</v>
          </cell>
        </row>
        <row r="233">
          <cell r="D233">
            <v>12.4</v>
          </cell>
        </row>
        <row r="234">
          <cell r="D234">
            <v>1</v>
          </cell>
        </row>
        <row r="235">
          <cell r="D235">
            <v>0</v>
          </cell>
        </row>
        <row r="236">
          <cell r="D236">
            <v>33.200000000000003</v>
          </cell>
        </row>
        <row r="237">
          <cell r="D237">
            <v>97.2</v>
          </cell>
        </row>
        <row r="238">
          <cell r="D238">
            <v>19.399999999999999</v>
          </cell>
        </row>
        <row r="239">
          <cell r="D239">
            <v>41.8</v>
          </cell>
        </row>
        <row r="240">
          <cell r="D240">
            <v>2.2000000000000002</v>
          </cell>
        </row>
        <row r="241">
          <cell r="D241">
            <v>35.9</v>
          </cell>
        </row>
        <row r="242">
          <cell r="D242">
            <v>4.3</v>
          </cell>
        </row>
        <row r="243">
          <cell r="D243">
            <v>0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1.2</v>
          </cell>
        </row>
        <row r="248">
          <cell r="D248">
            <v>21</v>
          </cell>
        </row>
        <row r="249">
          <cell r="D249">
            <v>0.3</v>
          </cell>
        </row>
        <row r="250">
          <cell r="D250">
            <v>10.9</v>
          </cell>
        </row>
        <row r="251">
          <cell r="D251">
            <v>0.1</v>
          </cell>
        </row>
        <row r="252">
          <cell r="D252">
            <v>77.8</v>
          </cell>
        </row>
        <row r="253">
          <cell r="D253">
            <v>0.2</v>
          </cell>
        </row>
        <row r="254">
          <cell r="D254">
            <v>9.1999999999999993</v>
          </cell>
        </row>
        <row r="255">
          <cell r="D255">
            <v>10.4</v>
          </cell>
        </row>
        <row r="256">
          <cell r="D256">
            <v>13.4</v>
          </cell>
        </row>
        <row r="257">
          <cell r="D257">
            <v>3.9</v>
          </cell>
        </row>
        <row r="258">
          <cell r="D258">
            <v>0.4</v>
          </cell>
        </row>
        <row r="259">
          <cell r="D259">
            <v>1.1000000000000001</v>
          </cell>
        </row>
        <row r="260">
          <cell r="D260">
            <v>1.4</v>
          </cell>
        </row>
        <row r="261">
          <cell r="D261">
            <v>29.1</v>
          </cell>
        </row>
        <row r="262">
          <cell r="D262">
            <v>10.9</v>
          </cell>
        </row>
        <row r="263">
          <cell r="D263">
            <v>38.1</v>
          </cell>
        </row>
        <row r="264">
          <cell r="D264">
            <v>18.399999999999999</v>
          </cell>
        </row>
        <row r="265">
          <cell r="D265">
            <v>13.5</v>
          </cell>
        </row>
        <row r="266">
          <cell r="D266">
            <v>0</v>
          </cell>
        </row>
        <row r="267">
          <cell r="D267">
            <v>1.2</v>
          </cell>
        </row>
        <row r="268">
          <cell r="D268">
            <v>5.0999999999999996</v>
          </cell>
        </row>
        <row r="269">
          <cell r="D269">
            <v>2.1</v>
          </cell>
        </row>
        <row r="270">
          <cell r="D270">
            <v>0</v>
          </cell>
        </row>
        <row r="271">
          <cell r="D271">
            <v>88.8</v>
          </cell>
        </row>
        <row r="272">
          <cell r="D272">
            <v>24</v>
          </cell>
        </row>
        <row r="273">
          <cell r="D273">
            <v>6</v>
          </cell>
        </row>
        <row r="274">
          <cell r="D274">
            <v>0.2</v>
          </cell>
        </row>
        <row r="275">
          <cell r="D275">
            <v>4.4000000000000004</v>
          </cell>
        </row>
        <row r="276">
          <cell r="D276">
            <v>2.9</v>
          </cell>
        </row>
        <row r="277">
          <cell r="D277">
            <v>0.2</v>
          </cell>
        </row>
        <row r="278">
          <cell r="D278">
            <v>0</v>
          </cell>
        </row>
        <row r="279">
          <cell r="D279">
            <v>5</v>
          </cell>
        </row>
        <row r="280">
          <cell r="D280">
            <v>0</v>
          </cell>
        </row>
        <row r="281">
          <cell r="D281">
            <v>0</v>
          </cell>
        </row>
        <row r="282">
          <cell r="D282">
            <v>0</v>
          </cell>
        </row>
        <row r="283">
          <cell r="D283">
            <v>0</v>
          </cell>
        </row>
        <row r="284">
          <cell r="D284">
            <v>0</v>
          </cell>
        </row>
        <row r="285">
          <cell r="D285">
            <v>6.4</v>
          </cell>
        </row>
        <row r="286">
          <cell r="D286">
            <v>0</v>
          </cell>
        </row>
        <row r="287">
          <cell r="D287">
            <v>0</v>
          </cell>
        </row>
        <row r="288">
          <cell r="D288">
            <v>0</v>
          </cell>
        </row>
        <row r="289">
          <cell r="D289">
            <v>100.8</v>
          </cell>
        </row>
        <row r="290">
          <cell r="D290">
            <v>134.1</v>
          </cell>
        </row>
        <row r="291">
          <cell r="D291">
            <v>5.2</v>
          </cell>
        </row>
        <row r="292">
          <cell r="D292">
            <v>0</v>
          </cell>
        </row>
        <row r="293">
          <cell r="D293">
            <v>14.7</v>
          </cell>
        </row>
        <row r="294">
          <cell r="D294">
            <v>0.2</v>
          </cell>
        </row>
        <row r="295">
          <cell r="D295">
            <v>0</v>
          </cell>
        </row>
        <row r="296">
          <cell r="D296">
            <v>0</v>
          </cell>
        </row>
        <row r="297">
          <cell r="D297">
            <v>1.2</v>
          </cell>
        </row>
        <row r="298">
          <cell r="D298">
            <v>0</v>
          </cell>
        </row>
        <row r="299">
          <cell r="D299">
            <v>42.2</v>
          </cell>
        </row>
        <row r="300">
          <cell r="D300">
            <v>3.3</v>
          </cell>
        </row>
        <row r="301">
          <cell r="D301">
            <v>10.7</v>
          </cell>
        </row>
        <row r="302">
          <cell r="D302">
            <v>12.6</v>
          </cell>
        </row>
        <row r="303">
          <cell r="D303">
            <v>6.6</v>
          </cell>
        </row>
        <row r="304">
          <cell r="D304">
            <v>4.0999999999999996</v>
          </cell>
        </row>
        <row r="305">
          <cell r="D305">
            <v>0</v>
          </cell>
        </row>
        <row r="306">
          <cell r="D306">
            <v>38.799999999999997</v>
          </cell>
        </row>
        <row r="307">
          <cell r="D307">
            <v>161.80000000000001</v>
          </cell>
        </row>
        <row r="308">
          <cell r="D308">
            <v>11.1</v>
          </cell>
        </row>
        <row r="309">
          <cell r="D309">
            <v>0.4</v>
          </cell>
        </row>
        <row r="310">
          <cell r="D310">
            <v>3.6</v>
          </cell>
        </row>
        <row r="311">
          <cell r="D311">
            <v>68.7</v>
          </cell>
        </row>
        <row r="312">
          <cell r="D312">
            <v>3.5</v>
          </cell>
        </row>
        <row r="313">
          <cell r="D313">
            <v>0.1</v>
          </cell>
        </row>
        <row r="314">
          <cell r="D314">
            <v>0</v>
          </cell>
        </row>
        <row r="315">
          <cell r="D315">
            <v>0</v>
          </cell>
        </row>
        <row r="316">
          <cell r="D316">
            <v>0</v>
          </cell>
        </row>
        <row r="317">
          <cell r="D317">
            <v>0</v>
          </cell>
        </row>
        <row r="318">
          <cell r="D318">
            <v>2</v>
          </cell>
        </row>
        <row r="319">
          <cell r="D319">
            <v>23.2</v>
          </cell>
        </row>
        <row r="320">
          <cell r="D320">
            <v>0.9</v>
          </cell>
        </row>
        <row r="321">
          <cell r="D321">
            <v>17.100000000000001</v>
          </cell>
        </row>
        <row r="322">
          <cell r="D322">
            <v>0.6</v>
          </cell>
        </row>
        <row r="323">
          <cell r="D323">
            <v>0.1</v>
          </cell>
        </row>
        <row r="324">
          <cell r="D324">
            <v>7.4</v>
          </cell>
        </row>
        <row r="325">
          <cell r="D325">
            <v>2.6</v>
          </cell>
        </row>
        <row r="326">
          <cell r="D326">
            <v>0.1</v>
          </cell>
        </row>
        <row r="327">
          <cell r="D327">
            <v>0</v>
          </cell>
        </row>
        <row r="328">
          <cell r="D328">
            <v>0</v>
          </cell>
        </row>
        <row r="329">
          <cell r="D329">
            <v>0</v>
          </cell>
        </row>
        <row r="330">
          <cell r="D330">
            <v>0</v>
          </cell>
        </row>
        <row r="331">
          <cell r="D331">
            <v>0</v>
          </cell>
        </row>
        <row r="332">
          <cell r="D332">
            <v>3</v>
          </cell>
        </row>
        <row r="333">
          <cell r="D333">
            <v>30.2</v>
          </cell>
        </row>
        <row r="334">
          <cell r="D334">
            <v>0.9</v>
          </cell>
        </row>
        <row r="335">
          <cell r="D335">
            <v>1.8</v>
          </cell>
        </row>
        <row r="336">
          <cell r="D336">
            <v>0.5</v>
          </cell>
        </row>
        <row r="337">
          <cell r="D337">
            <v>0.7</v>
          </cell>
        </row>
        <row r="338">
          <cell r="D338">
            <v>18.7</v>
          </cell>
        </row>
        <row r="339">
          <cell r="D339">
            <v>0</v>
          </cell>
        </row>
        <row r="340">
          <cell r="D340">
            <v>61.5</v>
          </cell>
        </row>
        <row r="341">
          <cell r="D341">
            <v>0</v>
          </cell>
        </row>
        <row r="342">
          <cell r="D342">
            <v>0</v>
          </cell>
        </row>
        <row r="343">
          <cell r="D343">
            <v>0</v>
          </cell>
        </row>
        <row r="344">
          <cell r="D344">
            <v>0</v>
          </cell>
        </row>
        <row r="345">
          <cell r="D345">
            <v>0</v>
          </cell>
        </row>
        <row r="346">
          <cell r="D346">
            <v>22.9</v>
          </cell>
        </row>
        <row r="347">
          <cell r="D347">
            <v>2.7</v>
          </cell>
        </row>
        <row r="348">
          <cell r="D348">
            <v>0.2</v>
          </cell>
        </row>
        <row r="349">
          <cell r="D349">
            <v>0</v>
          </cell>
        </row>
        <row r="350">
          <cell r="D350">
            <v>0</v>
          </cell>
        </row>
        <row r="351">
          <cell r="D351">
            <v>0</v>
          </cell>
        </row>
        <row r="352">
          <cell r="D352">
            <v>0</v>
          </cell>
        </row>
        <row r="353">
          <cell r="D353">
            <v>0</v>
          </cell>
        </row>
        <row r="354">
          <cell r="D354">
            <v>0</v>
          </cell>
        </row>
        <row r="355">
          <cell r="D355">
            <v>0</v>
          </cell>
        </row>
        <row r="356">
          <cell r="D356">
            <v>0</v>
          </cell>
        </row>
        <row r="357">
          <cell r="D357">
            <v>0</v>
          </cell>
        </row>
        <row r="358">
          <cell r="D358">
            <v>0</v>
          </cell>
        </row>
        <row r="359">
          <cell r="D359">
            <v>0</v>
          </cell>
        </row>
        <row r="360">
          <cell r="D360">
            <v>0</v>
          </cell>
        </row>
        <row r="361">
          <cell r="D361">
            <v>0</v>
          </cell>
        </row>
        <row r="362">
          <cell r="D362">
            <v>0</v>
          </cell>
        </row>
        <row r="363">
          <cell r="D363">
            <v>0</v>
          </cell>
        </row>
        <row r="364">
          <cell r="D364">
            <v>0</v>
          </cell>
        </row>
        <row r="365">
          <cell r="D365">
            <v>0</v>
          </cell>
        </row>
        <row r="366">
          <cell r="D3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26.493838194445" createdVersion="8" refreshedVersion="8" minRefreshableVersion="3" recordCount="2529" xr:uid="{3F659233-875D-46A8-BC73-AC247679A488}">
  <cacheSource type="worksheet">
    <worksheetSource ref="A1:I2530" sheet="ตารางประชากร "/>
  </cacheSource>
  <cacheFields count="13">
    <cacheField name="ปีเดือน" numFmtId="0">
      <sharedItems containsSemiMixedTypes="0" containsString="0" containsNumber="1" containsInteger="1" minValue="6712" maxValue="6712"/>
    </cacheField>
    <cacheField name="รหัสจังหวัด" numFmtId="0">
      <sharedItems containsSemiMixedTypes="0" containsString="0" containsNumber="1" containsInteger="1" minValue="10" maxValue="96"/>
    </cacheField>
    <cacheField name="ชื่อจังหวัด" numFmtId="0">
      <sharedItems count="77">
        <s v="กรุงเทพมหานคร"/>
        <s v="จังหวัดสมุทรปราการ"/>
        <s v="จังหวัดนนทบุรี"/>
        <s v="จังหวัดปทุมธานี"/>
        <s v="จังหวัดพระนครศรีอยุธยา"/>
        <s v="จังหวัดอ่างทอง"/>
        <s v="จังหวัดลพบุรี"/>
        <s v="จังหวัดสิงห์บุรี"/>
        <s v="จังหวัดชัยนาท"/>
        <s v="จังหวัดสระบุรี"/>
        <s v="จังหวัดชลบุรี"/>
        <s v="จังหวัดระยอง"/>
        <s v="จังหวัดจันทบุรี"/>
        <s v="จังหวัดตราด"/>
        <s v="จังหวัดฉะเชิงเทรา"/>
        <s v="จังหวัดปราจีนบุรี"/>
        <s v="จังหวัดนครนายก"/>
        <s v="จังหวัดสระแก้ว"/>
        <s v="จังหวัดนครราชสีมา"/>
        <s v="จังหวัดบุรีรัมย์"/>
        <s v="จังหวัดสุรินทร์"/>
        <s v="จังหวัดศรีสะเกษ"/>
        <s v="จังหวัดอุบลราชธานี"/>
        <s v="จังหวัดยโสธร"/>
        <s v="จังหวัดชัยภูมิ"/>
        <s v="จังหวัดอำนาจเจริญ"/>
        <s v="จังหวัดบึงกาฬ"/>
        <s v="จังหวัดหนองบัวลำภู"/>
        <s v="จังหวัดขอนแก่น"/>
        <s v="จังหวัดอุดรธานี"/>
        <s v="จังหวัดเลย"/>
        <s v="จังหวัดหนองคาย"/>
        <s v="จังหวัดมหาสารคาม"/>
        <s v="จังหวัดร้อยเอ็ด"/>
        <s v="จังหวัดกาฬสินธุ์"/>
        <s v="จังหวัดสกลนคร"/>
        <s v="จังหวัดนครพนม"/>
        <s v="จังหวัดมุกดาหาร"/>
        <s v="จังหวัดเชียงใหม่"/>
        <s v="จังหวัดลำพูน"/>
        <s v="จังหวัดลำปาง"/>
        <s v="จังหวัดอุตรดิตถ์"/>
        <s v="จังหวัดแพร่"/>
        <s v="จังหวัดน่าน"/>
        <s v="จังหวัดพะเยา"/>
        <s v="จังหวัดเชียงราย"/>
        <s v="จังหวัดแม่ฮ่องสอน"/>
        <s v="จังหวัดนครสวรรค์"/>
        <s v="จังหวัดอุทัยธานี"/>
        <s v="จังหวัดกำแพงเพชร"/>
        <s v="จังหวัดตาก"/>
        <s v="จังหวัดสุโขทัย"/>
        <s v="จังหวัดพิษณุโลก"/>
        <s v="จังหวัดพิจิตร"/>
        <s v="จังหวัดเพชรบูรณ์"/>
        <s v="จังหวัดราชบุรี"/>
        <s v="จังหวัดกาญจนบุรี"/>
        <s v="จังหวัดสุพรรณบุรี"/>
        <s v="จังหวัดนครปฐม"/>
        <s v="จังหวัดสมุทรสาคร"/>
        <s v="จังหวัดสมุทรสงคราม"/>
        <s v="จังหวัดเพชรบุรี"/>
        <s v="จังหวัดประจวบคีรีขันธ์"/>
        <s v="จังหวัดนครศรีธรรมราช"/>
        <s v="จังหวัดกระบี่"/>
        <s v="จังหวัดพังงา"/>
        <s v="จังหวัดภูเก็ต"/>
        <s v="จังหวัดสุราษฎร์ธานี"/>
        <s v="จังหวัดระนอง"/>
        <s v="จังหวัดชุมพร"/>
        <s v="จังหวัดสงขลา"/>
        <s v="จังหวัดสตูล"/>
        <s v="จังหวัดตรัง"/>
        <s v="จังหวัดพัทลุง"/>
        <s v="จังหวัดปัตตานี"/>
        <s v="จังหวัดยะลา"/>
        <s v="จังหวัดนราธิวาส"/>
      </sharedItems>
    </cacheField>
    <cacheField name="รหัสสำนักทะเบียน" numFmtId="0">
      <sharedItems containsSemiMixedTypes="0" containsString="0" containsNumber="1" containsInteger="1" minValue="0" maxValue="9699"/>
    </cacheField>
    <cacheField name="ชื่อสำนักทะเบียน" numFmtId="0">
      <sharedItems/>
    </cacheField>
    <cacheField name="รหัสตำบล" numFmtId="0">
      <sharedItems containsSemiMixedTypes="0" containsString="0" containsNumber="1" containsInteger="1" minValue="0" maxValue="0"/>
    </cacheField>
    <cacheField name="ชื่อตำบล" numFmtId="0">
      <sharedItems/>
    </cacheField>
    <cacheField name="รหัสหมู่บ้าน" numFmtId="0">
      <sharedItems containsSemiMixedTypes="0" containsString="0" containsNumber="1" containsInteger="1" minValue="0" maxValue="0"/>
    </cacheField>
    <cacheField name="ชื่อหมู่บ้าน" numFmtId="0">
      <sharedItems/>
    </cacheField>
    <cacheField name="จำนวนประชากรชาย" numFmtId="0">
      <sharedItems containsSemiMixedTypes="0" containsString="0" containsNumber="1" containsInteger="1" minValue="204" maxValue="2544400"/>
    </cacheField>
    <cacheField name="จำนวนประชากรหญิง" numFmtId="0">
      <sharedItems containsSemiMixedTypes="0" containsString="0" containsNumber="1" containsInteger="1" minValue="189" maxValue="2910620"/>
    </cacheField>
    <cacheField name="จำนวนประชากรทั้งหมด" numFmtId="0">
      <sharedItems containsSemiMixedTypes="0" containsString="0" containsNumber="1" containsInteger="1" minValue="393" maxValue="5455020"/>
    </cacheField>
    <cacheField name="จำนวนบ้าน (หลังคาเรือน)" numFmtId="0">
      <sharedItems containsSemiMixedTypes="0" containsString="0" containsNumber="1" containsInteger="1" minValue="317" maxValue="33044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37.997132060184" createdVersion="8" refreshedVersion="8" minRefreshableVersion="3" recordCount="2530" xr:uid="{8C537542-DD02-4100-B4E8-B391EC600E3E}">
  <cacheSource type="worksheet">
    <worksheetSource ref="A1:I1048576" sheet="ตารางประชากร "/>
  </cacheSource>
  <cacheFields count="7">
    <cacheField name="รหัสจังหวัด" numFmtId="0">
      <sharedItems containsString="0" containsBlank="1" containsNumber="1" containsInteger="1" minValue="10" maxValue="96"/>
    </cacheField>
    <cacheField name="ชื่อจังหวัด" numFmtId="0">
      <sharedItems containsBlank="1" count="78">
        <s v="กรุงเทพมหานคร"/>
        <s v="จังหวัดสมุทรปราการ"/>
        <s v="จังหวัดนนทบุรี"/>
        <s v="จังหวัดปทุมธานี"/>
        <s v="จังหวัดพระนครศรีอยุธยา"/>
        <s v="จังหวัดอ่างทอง"/>
        <s v="จังหวัดลพบุรี"/>
        <s v="จังหวัดสิงห์บุรี"/>
        <s v="จังหวัดชัยนาท"/>
        <s v="จังหวัดสระบุรี"/>
        <s v="จังหวัดชลบุรี"/>
        <s v="จังหวัดระยอง"/>
        <s v="จังหวัดจันทบุรี"/>
        <s v="จังหวัดตราด"/>
        <s v="จังหวัดฉะเชิงเทรา"/>
        <s v="จังหวัดปราจีนบุรี"/>
        <s v="จังหวัดนครนายก"/>
        <s v="จังหวัดสระแก้ว"/>
        <s v="จังหวัดนครราชสีมา"/>
        <s v="จังหวัดบุรีรัมย์"/>
        <s v="จังหวัดสุรินทร์"/>
        <s v="จังหวัดศรีสะเกษ"/>
        <s v="จังหวัดอุบลราชธานี"/>
        <s v="จังหวัดยโสธร"/>
        <s v="จังหวัดชัยภูมิ"/>
        <s v="จังหวัดอำนาจเจริญ"/>
        <s v="จังหวัดบึงกาฬ"/>
        <s v="จังหวัดหนองบัวลำภู"/>
        <s v="จังหวัดขอนแก่น"/>
        <s v="จังหวัดอุดรธานี"/>
        <s v="จังหวัดเลย"/>
        <s v="จังหวัดหนองคาย"/>
        <s v="จังหวัดมหาสารคาม"/>
        <s v="จังหวัดร้อยเอ็ด"/>
        <s v="จังหวัดกาฬสินธุ์"/>
        <s v="จังหวัดสกลนคร"/>
        <s v="จังหวัดนครพนม"/>
        <s v="จังหวัดมุกดาหาร"/>
        <s v="จังหวัดเชียงใหม่"/>
        <s v="จังหวัดลำพูน"/>
        <s v="จังหวัดลำปาง"/>
        <s v="จังหวัดอุตรดิตถ์"/>
        <s v="จังหวัดแพร่"/>
        <s v="จังหวัดน่าน"/>
        <s v="จังหวัดพะเยา"/>
        <s v="จังหวัดเชียงราย"/>
        <s v="จังหวัดแม่ฮ่องสอน"/>
        <s v="จังหวัดนครสวรรค์"/>
        <s v="จังหวัดอุทัยธานี"/>
        <s v="จังหวัดกำแพงเพชร"/>
        <s v="จังหวัดตาก"/>
        <s v="จังหวัดสุโขทัย"/>
        <s v="จังหวัดพิษณุโลก"/>
        <s v="จังหวัดพิจิตร"/>
        <s v="จังหวัดเพชรบูรณ์"/>
        <s v="จังหวัดราชบุรี"/>
        <s v="จังหวัดกาญจนบุรี"/>
        <s v="จังหวัดสุพรรณบุรี"/>
        <s v="จังหวัดนครปฐม"/>
        <s v="จังหวัดสมุทรสาคร"/>
        <s v="จังหวัดสมุทรสงคราม"/>
        <s v="จังหวัดเพชรบุรี"/>
        <s v="จังหวัดประจวบคีรีขันธ์"/>
        <s v="จังหวัดนครศรีธรรมราช"/>
        <s v="จังหวัดกระบี่"/>
        <s v="จังหวัดพังงา"/>
        <s v="จังหวัดภูเก็ต"/>
        <s v="จังหวัดสุราษฎร์ธานี"/>
        <s v="จังหวัดระนอง"/>
        <s v="จังหวัดชุมพร"/>
        <s v="จังหวัดสงขลา"/>
        <s v="จังหวัดสตูล"/>
        <s v="จังหวัดตรัง"/>
        <s v="จังหวัดพัทลุง"/>
        <s v="จังหวัดปัตตานี"/>
        <s v="จังหวัดยะลา"/>
        <s v="จังหวัดนราธิวาส"/>
        <m/>
      </sharedItems>
    </cacheField>
    <cacheField name="ภูมิภาค" numFmtId="0">
      <sharedItems containsBlank="1" count="7">
        <s v="ภาคกลาง"/>
        <s v="ภาคตะวันออก"/>
        <s v="ภาคตะวันออกเฉียงเหนือ"/>
        <s v="ภาคเหนือ"/>
        <s v="ภาคกลาง/ตะวันตก"/>
        <s v="ภาคใต้"/>
        <m/>
      </sharedItems>
    </cacheField>
    <cacheField name="จำนวนประชากรชาย" numFmtId="0">
      <sharedItems containsString="0" containsBlank="1" containsNumber="1" containsInteger="1" minValue="204" maxValue="2544400"/>
    </cacheField>
    <cacheField name="จำนวนประชากรหญิง" numFmtId="0">
      <sharedItems containsString="0" containsBlank="1" containsNumber="1" containsInteger="1" minValue="189" maxValue="2910620"/>
    </cacheField>
    <cacheField name="จำนวนประชากรทั้งหมด" numFmtId="0">
      <sharedItems containsString="0" containsBlank="1" containsNumber="1" containsInteger="1" minValue="393" maxValue="5455020"/>
    </cacheField>
    <cacheField name="จำนวนบ้าน (หลังคาเรือน)" numFmtId="0">
      <sharedItems containsString="0" containsBlank="1" containsNumber="1" containsInteger="1" minValue="317" maxValue="3304462"/>
    </cacheField>
  </cacheFields>
  <extLst>
    <ext xmlns:x14="http://schemas.microsoft.com/office/spreadsheetml/2009/9/main" uri="{725AE2AE-9491-48be-B2B4-4EB974FC3084}">
      <x14:pivotCacheDefinition pivotCacheId="11819380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9">
  <r>
    <n v="6712"/>
    <n v="10"/>
    <x v="0"/>
    <n v="0"/>
    <s v="-"/>
    <n v="0"/>
    <s v="-"/>
    <n v="0"/>
    <s v="-"/>
    <n v="2544400"/>
    <n v="2910620"/>
    <n v="5455020"/>
    <n v="3304462"/>
  </r>
  <r>
    <n v="6712"/>
    <n v="10"/>
    <x v="0"/>
    <n v="1001"/>
    <s v="ท้องถิ่นเขตพระนคร"/>
    <n v="0"/>
    <s v="-"/>
    <n v="0"/>
    <s v="-"/>
    <n v="19110"/>
    <n v="20235"/>
    <n v="39345"/>
    <n v="19016"/>
  </r>
  <r>
    <n v="6712"/>
    <n v="10"/>
    <x v="0"/>
    <n v="1002"/>
    <s v="ท้องถิ่นเขตดุสิต"/>
    <n v="0"/>
    <s v="-"/>
    <n v="0"/>
    <s v="-"/>
    <n v="39732"/>
    <n v="34852"/>
    <n v="74584"/>
    <n v="32869"/>
  </r>
  <r>
    <n v="6712"/>
    <n v="10"/>
    <x v="0"/>
    <n v="1003"/>
    <s v="ท้องถิ่นเขตหนองจอก"/>
    <n v="0"/>
    <s v="-"/>
    <n v="0"/>
    <s v="-"/>
    <n v="90282"/>
    <n v="95945"/>
    <n v="186227"/>
    <n v="74844"/>
  </r>
  <r>
    <n v="6712"/>
    <n v="10"/>
    <x v="0"/>
    <n v="1004"/>
    <s v="ท้องถิ่นเขตบางรัก"/>
    <n v="0"/>
    <s v="-"/>
    <n v="0"/>
    <s v="-"/>
    <n v="19497"/>
    <n v="22204"/>
    <n v="41701"/>
    <n v="36025"/>
  </r>
  <r>
    <n v="6712"/>
    <n v="10"/>
    <x v="0"/>
    <n v="1005"/>
    <s v="ท้องถิ่นเขตบางเขน"/>
    <n v="0"/>
    <s v="-"/>
    <n v="0"/>
    <s v="-"/>
    <n v="85680"/>
    <n v="98551"/>
    <n v="184231"/>
    <n v="119489"/>
  </r>
  <r>
    <n v="6712"/>
    <n v="10"/>
    <x v="0"/>
    <n v="1006"/>
    <s v="ท้องถิ่นเขตบางกะปิ"/>
    <n v="0"/>
    <s v="-"/>
    <n v="0"/>
    <s v="-"/>
    <n v="63927"/>
    <n v="77485"/>
    <n v="141412"/>
    <n v="117821"/>
  </r>
  <r>
    <n v="6712"/>
    <n v="10"/>
    <x v="0"/>
    <n v="1007"/>
    <s v="ท้องถิ่นเขตปทุมวัน"/>
    <n v="0"/>
    <s v="-"/>
    <n v="0"/>
    <s v="-"/>
    <n v="18530"/>
    <n v="20869"/>
    <n v="39399"/>
    <n v="32452"/>
  </r>
  <r>
    <n v="6712"/>
    <n v="10"/>
    <x v="0"/>
    <n v="1008"/>
    <s v="ท้องถิ่นเขตป้อมปราบศัตรูพ่าย"/>
    <n v="0"/>
    <s v="-"/>
    <n v="0"/>
    <s v="-"/>
    <n v="18021"/>
    <n v="18884"/>
    <n v="36905"/>
    <n v="19623"/>
  </r>
  <r>
    <n v="6712"/>
    <n v="10"/>
    <x v="0"/>
    <n v="1009"/>
    <s v="ท้องถิ่นเขตพระโขนง"/>
    <n v="0"/>
    <s v="-"/>
    <n v="0"/>
    <s v="-"/>
    <n v="37951"/>
    <n v="47119"/>
    <n v="85070"/>
    <n v="65282"/>
  </r>
  <r>
    <n v="6712"/>
    <n v="10"/>
    <x v="0"/>
    <n v="1010"/>
    <s v="ท้องถิ่นเขตมีนบุรี"/>
    <n v="0"/>
    <s v="-"/>
    <n v="0"/>
    <s v="-"/>
    <n v="66126"/>
    <n v="74626"/>
    <n v="140752"/>
    <n v="66394"/>
  </r>
  <r>
    <n v="6712"/>
    <n v="10"/>
    <x v="0"/>
    <n v="1011"/>
    <s v="ท้องถิ่นเขตลาดกระบัง"/>
    <n v="0"/>
    <s v="-"/>
    <n v="0"/>
    <s v="-"/>
    <n v="85480"/>
    <n v="95773"/>
    <n v="181253"/>
    <n v="108362"/>
  </r>
  <r>
    <n v="6712"/>
    <n v="10"/>
    <x v="0"/>
    <n v="1012"/>
    <s v="ท้องถิ่นเขตยานนาวา"/>
    <n v="0"/>
    <s v="-"/>
    <n v="0"/>
    <s v="-"/>
    <n v="33567"/>
    <n v="39266"/>
    <n v="72833"/>
    <n v="54412"/>
  </r>
  <r>
    <n v="6712"/>
    <n v="10"/>
    <x v="0"/>
    <n v="1013"/>
    <s v="ท้องถิ่นเขตสัมพันธวงศ์"/>
    <n v="0"/>
    <s v="-"/>
    <n v="0"/>
    <s v="-"/>
    <n v="9144"/>
    <n v="9701"/>
    <n v="18845"/>
    <n v="13160"/>
  </r>
  <r>
    <n v="6712"/>
    <n v="10"/>
    <x v="0"/>
    <n v="1014"/>
    <s v="ท้องถิ่นเขตพญาไท"/>
    <n v="0"/>
    <s v="-"/>
    <n v="0"/>
    <s v="-"/>
    <n v="30205"/>
    <n v="32820"/>
    <n v="63025"/>
    <n v="46536"/>
  </r>
  <r>
    <n v="6712"/>
    <n v="10"/>
    <x v="0"/>
    <n v="1015"/>
    <s v="ท้องถิ่นเขตธนบุรี"/>
    <n v="0"/>
    <s v="-"/>
    <n v="0"/>
    <s v="-"/>
    <n v="45180"/>
    <n v="51989"/>
    <n v="97169"/>
    <n v="65530"/>
  </r>
  <r>
    <n v="6712"/>
    <n v="10"/>
    <x v="0"/>
    <n v="1016"/>
    <s v="ท้องถิ่นเขตบางกอกใหญ่"/>
    <n v="0"/>
    <s v="-"/>
    <n v="0"/>
    <s v="-"/>
    <n v="27759"/>
    <n v="32038"/>
    <n v="59797"/>
    <n v="32954"/>
  </r>
  <r>
    <n v="6712"/>
    <n v="10"/>
    <x v="0"/>
    <n v="1017"/>
    <s v="ท้องถิ่นเขตห้วยขวาง"/>
    <n v="0"/>
    <s v="-"/>
    <n v="0"/>
    <s v="-"/>
    <n v="37334"/>
    <n v="46624"/>
    <n v="83958"/>
    <n v="95001"/>
  </r>
  <r>
    <n v="6712"/>
    <n v="10"/>
    <x v="0"/>
    <n v="1018"/>
    <s v="ท้องถิ่นเขตคลองสาน"/>
    <n v="0"/>
    <s v="-"/>
    <n v="0"/>
    <s v="-"/>
    <n v="29066"/>
    <n v="34291"/>
    <n v="63357"/>
    <n v="42956"/>
  </r>
  <r>
    <n v="6712"/>
    <n v="10"/>
    <x v="0"/>
    <n v="1019"/>
    <s v="ท้องถิ่นเขตตลิ่งชัน"/>
    <n v="0"/>
    <s v="-"/>
    <n v="0"/>
    <s v="-"/>
    <n v="46929"/>
    <n v="53958"/>
    <n v="100887"/>
    <n v="45173"/>
  </r>
  <r>
    <n v="6712"/>
    <n v="10"/>
    <x v="0"/>
    <n v="1020"/>
    <s v="ท้องถิ่นเขตบางกอกน้อย"/>
    <n v="0"/>
    <s v="-"/>
    <n v="0"/>
    <s v="-"/>
    <n v="44877"/>
    <n v="51868"/>
    <n v="96745"/>
    <n v="55591"/>
  </r>
  <r>
    <n v="6712"/>
    <n v="10"/>
    <x v="0"/>
    <n v="1021"/>
    <s v="ท้องถิ่นเขตบางขุนเทียน"/>
    <n v="0"/>
    <s v="-"/>
    <n v="0"/>
    <s v="-"/>
    <n v="87025"/>
    <n v="98570"/>
    <n v="185595"/>
    <n v="95111"/>
  </r>
  <r>
    <n v="6712"/>
    <n v="10"/>
    <x v="0"/>
    <n v="1022"/>
    <s v="ท้องถิ่นเขตภาษีเจริญ"/>
    <n v="0"/>
    <s v="-"/>
    <n v="0"/>
    <s v="-"/>
    <n v="56096"/>
    <n v="65620"/>
    <n v="121716"/>
    <n v="69711"/>
  </r>
  <r>
    <n v="6712"/>
    <n v="10"/>
    <x v="0"/>
    <n v="1023"/>
    <s v="ท้องถิ่นเขตหนองแขม"/>
    <n v="0"/>
    <s v="-"/>
    <n v="0"/>
    <s v="-"/>
    <n v="71814"/>
    <n v="83142"/>
    <n v="154956"/>
    <n v="66262"/>
  </r>
  <r>
    <n v="6712"/>
    <n v="10"/>
    <x v="0"/>
    <n v="1024"/>
    <s v="ท้องถิ่นเขตราษฎร์บูรณะ"/>
    <n v="0"/>
    <s v="-"/>
    <n v="0"/>
    <s v="-"/>
    <n v="35669"/>
    <n v="39308"/>
    <n v="74977"/>
    <n v="39190"/>
  </r>
  <r>
    <n v="6712"/>
    <n v="10"/>
    <x v="0"/>
    <n v="1025"/>
    <s v="ท้องถิ่นเขตบางพลัด"/>
    <n v="0"/>
    <s v="-"/>
    <n v="0"/>
    <s v="-"/>
    <n v="39053"/>
    <n v="47518"/>
    <n v="86571"/>
    <n v="60745"/>
  </r>
  <r>
    <n v="6712"/>
    <n v="10"/>
    <x v="0"/>
    <n v="1026"/>
    <s v="ท้องถิ่นเขตดินแดง"/>
    <n v="0"/>
    <s v="-"/>
    <n v="0"/>
    <s v="-"/>
    <n v="50731"/>
    <n v="60049"/>
    <n v="110780"/>
    <n v="65046"/>
  </r>
  <r>
    <n v="6712"/>
    <n v="10"/>
    <x v="0"/>
    <n v="1027"/>
    <s v="ท้องถิ่นเขตบึงกุ่ม"/>
    <n v="0"/>
    <s v="-"/>
    <n v="0"/>
    <s v="-"/>
    <n v="61733"/>
    <n v="74375"/>
    <n v="136108"/>
    <n v="77441"/>
  </r>
  <r>
    <n v="6712"/>
    <n v="10"/>
    <x v="0"/>
    <n v="1028"/>
    <s v="ท้องถิ่นเขตสาทร"/>
    <n v="0"/>
    <s v="-"/>
    <n v="0"/>
    <s v="-"/>
    <n v="33209"/>
    <n v="37111"/>
    <n v="70320"/>
    <n v="45256"/>
  </r>
  <r>
    <n v="6712"/>
    <n v="10"/>
    <x v="0"/>
    <n v="1029"/>
    <s v="ท้องถิ่นเขตบางซื่อ"/>
    <n v="0"/>
    <s v="-"/>
    <n v="0"/>
    <s v="-"/>
    <n v="54023"/>
    <n v="63483"/>
    <n v="117506"/>
    <n v="78559"/>
  </r>
  <r>
    <n v="6712"/>
    <n v="10"/>
    <x v="0"/>
    <n v="1030"/>
    <s v="ท้องถิ่นเขตจตุจักร"/>
    <n v="0"/>
    <s v="-"/>
    <n v="0"/>
    <s v="-"/>
    <n v="70502"/>
    <n v="83998"/>
    <n v="154500"/>
    <n v="140621"/>
  </r>
  <r>
    <n v="6712"/>
    <n v="10"/>
    <x v="0"/>
    <n v="1031"/>
    <s v="ท้องถิ่นเขตบางคอแหลม"/>
    <n v="0"/>
    <s v="-"/>
    <n v="0"/>
    <s v="-"/>
    <n v="35777"/>
    <n v="40447"/>
    <n v="76224"/>
    <n v="40867"/>
  </r>
  <r>
    <n v="6712"/>
    <n v="10"/>
    <x v="0"/>
    <n v="1032"/>
    <s v="ท้องถิ่นเขตประเวศ"/>
    <n v="0"/>
    <s v="-"/>
    <n v="0"/>
    <s v="-"/>
    <n v="86073"/>
    <n v="98282"/>
    <n v="184355"/>
    <n v="97910"/>
  </r>
  <r>
    <n v="6712"/>
    <n v="10"/>
    <x v="0"/>
    <n v="1033"/>
    <s v="ท้องถิ่นเขตคลองเตย"/>
    <n v="0"/>
    <s v="-"/>
    <n v="0"/>
    <s v="-"/>
    <n v="41969"/>
    <n v="47044"/>
    <n v="89013"/>
    <n v="83803"/>
  </r>
  <r>
    <n v="6712"/>
    <n v="10"/>
    <x v="0"/>
    <n v="1034"/>
    <s v="ท้องถิ่นเขตสวนหลวง"/>
    <n v="0"/>
    <s v="-"/>
    <n v="0"/>
    <s v="-"/>
    <n v="56013"/>
    <n v="67392"/>
    <n v="123405"/>
    <n v="85646"/>
  </r>
  <r>
    <n v="6712"/>
    <n v="10"/>
    <x v="0"/>
    <n v="1035"/>
    <s v="ท้องถิ่นเขตจอมทอง"/>
    <n v="0"/>
    <s v="-"/>
    <n v="0"/>
    <s v="-"/>
    <n v="65638"/>
    <n v="73789"/>
    <n v="139427"/>
    <n v="74595"/>
  </r>
  <r>
    <n v="6712"/>
    <n v="10"/>
    <x v="0"/>
    <n v="1036"/>
    <s v="ท้องถิ่นเขตดอนเมือง"/>
    <n v="0"/>
    <s v="-"/>
    <n v="0"/>
    <s v="-"/>
    <n v="82415"/>
    <n v="83632"/>
    <n v="166047"/>
    <n v="83308"/>
  </r>
  <r>
    <n v="6712"/>
    <n v="10"/>
    <x v="0"/>
    <n v="1037"/>
    <s v="ท้องถิ่นเขตราชเทวี"/>
    <n v="0"/>
    <s v="-"/>
    <n v="0"/>
    <s v="-"/>
    <n v="29553"/>
    <n v="33079"/>
    <n v="62632"/>
    <n v="58075"/>
  </r>
  <r>
    <n v="6712"/>
    <n v="10"/>
    <x v="0"/>
    <n v="1038"/>
    <s v="ท้องถิ่นเขตลาดพร้าว"/>
    <n v="0"/>
    <s v="-"/>
    <n v="0"/>
    <s v="-"/>
    <n v="50667"/>
    <n v="61419"/>
    <n v="112086"/>
    <n v="60732"/>
  </r>
  <r>
    <n v="6712"/>
    <n v="10"/>
    <x v="0"/>
    <n v="1039"/>
    <s v="ท้องถิ่นเขตวัฒนา"/>
    <n v="0"/>
    <s v="-"/>
    <n v="0"/>
    <s v="-"/>
    <n v="37206"/>
    <n v="43066"/>
    <n v="80272"/>
    <n v="87305"/>
  </r>
  <r>
    <n v="6712"/>
    <n v="10"/>
    <x v="0"/>
    <n v="1040"/>
    <s v="ท้องถิ่นเขตบางแค"/>
    <n v="0"/>
    <s v="-"/>
    <n v="0"/>
    <s v="-"/>
    <n v="88757"/>
    <n v="103724"/>
    <n v="192481"/>
    <n v="97890"/>
  </r>
  <r>
    <n v="6712"/>
    <n v="10"/>
    <x v="0"/>
    <n v="1041"/>
    <s v="ท้องถิ่นเขตหลักสี่"/>
    <n v="0"/>
    <s v="-"/>
    <n v="0"/>
    <s v="-"/>
    <n v="46653"/>
    <n v="51524"/>
    <n v="98177"/>
    <n v="62353"/>
  </r>
  <r>
    <n v="6712"/>
    <n v="10"/>
    <x v="0"/>
    <n v="1042"/>
    <s v="ท้องถิ่นเขตสายไหม"/>
    <n v="0"/>
    <s v="-"/>
    <n v="0"/>
    <s v="-"/>
    <n v="99098"/>
    <n v="113477"/>
    <n v="212575"/>
    <n v="112297"/>
  </r>
  <r>
    <n v="6712"/>
    <n v="10"/>
    <x v="0"/>
    <n v="1043"/>
    <s v="ท้องถิ่นเขตคันนายาว"/>
    <n v="0"/>
    <s v="-"/>
    <n v="0"/>
    <s v="-"/>
    <n v="43668"/>
    <n v="50526"/>
    <n v="94194"/>
    <n v="48118"/>
  </r>
  <r>
    <n v="6712"/>
    <n v="10"/>
    <x v="0"/>
    <n v="1044"/>
    <s v="ท้องถิ่นเขตสะพานสูง"/>
    <n v="0"/>
    <s v="-"/>
    <n v="0"/>
    <s v="-"/>
    <n v="44684"/>
    <n v="52975"/>
    <n v="97659"/>
    <n v="43914"/>
  </r>
  <r>
    <n v="6712"/>
    <n v="10"/>
    <x v="0"/>
    <n v="1045"/>
    <s v="ท้องถิ่นเขตวังทองหลาง"/>
    <n v="0"/>
    <s v="-"/>
    <n v="0"/>
    <s v="-"/>
    <n v="46600"/>
    <n v="56456"/>
    <n v="103056"/>
    <n v="65168"/>
  </r>
  <r>
    <n v="6712"/>
    <n v="10"/>
    <x v="0"/>
    <n v="1046"/>
    <s v="ท้องถิ่นเขตคลองสามวา"/>
    <n v="0"/>
    <s v="-"/>
    <n v="0"/>
    <s v="-"/>
    <n v="100401"/>
    <n v="113910"/>
    <n v="214311"/>
    <n v="93955"/>
  </r>
  <r>
    <n v="6712"/>
    <n v="10"/>
    <x v="0"/>
    <n v="1047"/>
    <s v="ท้องถิ่นเขตบางนา"/>
    <n v="0"/>
    <s v="-"/>
    <n v="0"/>
    <s v="-"/>
    <n v="39112"/>
    <n v="45889"/>
    <n v="85001"/>
    <n v="78445"/>
  </r>
  <r>
    <n v="6712"/>
    <n v="10"/>
    <x v="0"/>
    <n v="1048"/>
    <s v="ท้องถิ่นเขตทวีวัฒนา"/>
    <n v="0"/>
    <s v="-"/>
    <n v="0"/>
    <s v="-"/>
    <n v="37026"/>
    <n v="43323"/>
    <n v="80349"/>
    <n v="37042"/>
  </r>
  <r>
    <n v="6712"/>
    <n v="10"/>
    <x v="0"/>
    <n v="1049"/>
    <s v="ท้องถิ่นเขตทุ่งครุ"/>
    <n v="0"/>
    <s v="-"/>
    <n v="0"/>
    <s v="-"/>
    <n v="57702"/>
    <n v="66362"/>
    <n v="124064"/>
    <n v="57688"/>
  </r>
  <r>
    <n v="6712"/>
    <n v="10"/>
    <x v="0"/>
    <n v="1050"/>
    <s v="ท้องถิ่นเขตบางบอน"/>
    <n v="0"/>
    <s v="-"/>
    <n v="0"/>
    <s v="-"/>
    <n v="47136"/>
    <n v="52032"/>
    <n v="99168"/>
    <n v="53919"/>
  </r>
  <r>
    <n v="6712"/>
    <n v="11"/>
    <x v="1"/>
    <n v="0"/>
    <s v="-"/>
    <n v="0"/>
    <s v="-"/>
    <n v="0"/>
    <s v="-"/>
    <n v="654057"/>
    <n v="726769"/>
    <n v="1380826"/>
    <n v="783230"/>
  </r>
  <r>
    <n v="6712"/>
    <n v="11"/>
    <x v="1"/>
    <n v="1101"/>
    <s v="อำเภอเมืองสมุทรปราการ"/>
    <n v="0"/>
    <s v="-"/>
    <n v="0"/>
    <s v="-"/>
    <n v="61166"/>
    <n v="68415"/>
    <n v="129581"/>
    <n v="61601"/>
  </r>
  <r>
    <n v="6712"/>
    <n v="11"/>
    <x v="1"/>
    <n v="1102"/>
    <s v="อำเภอบางบ่อ"/>
    <n v="0"/>
    <s v="-"/>
    <n v="0"/>
    <s v="-"/>
    <n v="48301"/>
    <n v="51734"/>
    <n v="100035"/>
    <n v="52769"/>
  </r>
  <r>
    <n v="6712"/>
    <n v="11"/>
    <x v="1"/>
    <n v="1103"/>
    <s v="อำเภอบางพลี"/>
    <n v="0"/>
    <s v="-"/>
    <n v="0"/>
    <s v="-"/>
    <n v="133427"/>
    <n v="152067"/>
    <n v="285494"/>
    <n v="192624"/>
  </r>
  <r>
    <n v="6712"/>
    <n v="11"/>
    <x v="1"/>
    <n v="1104"/>
    <s v="อำเภอพระประแดง"/>
    <n v="0"/>
    <s v="-"/>
    <n v="0"/>
    <s v="-"/>
    <n v="17857"/>
    <n v="19426"/>
    <n v="37283"/>
    <n v="13733"/>
  </r>
  <r>
    <n v="6712"/>
    <n v="11"/>
    <x v="1"/>
    <n v="1105"/>
    <s v="อำเภอพระสมุทรเจดีย์"/>
    <n v="0"/>
    <s v="-"/>
    <n v="0"/>
    <s v="-"/>
    <n v="60736"/>
    <n v="66527"/>
    <n v="127263"/>
    <n v="61264"/>
  </r>
  <r>
    <n v="6712"/>
    <n v="11"/>
    <x v="1"/>
    <n v="1106"/>
    <s v="อำเภอบางเสาธง"/>
    <n v="0"/>
    <s v="-"/>
    <n v="0"/>
    <s v="-"/>
    <n v="30437"/>
    <n v="33064"/>
    <n v="63501"/>
    <n v="48202"/>
  </r>
  <r>
    <n v="6712"/>
    <n v="11"/>
    <x v="1"/>
    <n v="1183"/>
    <s v="ท้องถิ่นเทศบาลเมืองปากน้ำสมุทรปราการ"/>
    <n v="0"/>
    <s v="-"/>
    <n v="0"/>
    <s v="-"/>
    <n v="19139"/>
    <n v="22020"/>
    <n v="41159"/>
    <n v="17887"/>
  </r>
  <r>
    <n v="6712"/>
    <n v="11"/>
    <x v="1"/>
    <n v="1184"/>
    <s v="ท้องถิ่นเทศบาลตำบลบางเสาธง"/>
    <n v="0"/>
    <s v="-"/>
    <n v="0"/>
    <s v="-"/>
    <n v="9566"/>
    <n v="10654"/>
    <n v="20220"/>
    <n v="18771"/>
  </r>
  <r>
    <n v="6712"/>
    <n v="11"/>
    <x v="1"/>
    <n v="1185"/>
    <s v="ท้องถิ่นเทศบาลตำบลแหลมฟ้าผ่า"/>
    <n v="0"/>
    <s v="-"/>
    <n v="0"/>
    <s v="-"/>
    <n v="10700"/>
    <n v="11358"/>
    <n v="22058"/>
    <n v="9612"/>
  </r>
  <r>
    <n v="6712"/>
    <n v="11"/>
    <x v="1"/>
    <n v="1186"/>
    <s v="ท้องถิ่นเทศบาลตำบลพระสมุทรเจดีย์"/>
    <n v="0"/>
    <s v="-"/>
    <n v="0"/>
    <s v="-"/>
    <n v="5441"/>
    <n v="5681"/>
    <n v="11122"/>
    <n v="5764"/>
  </r>
  <r>
    <n v="6712"/>
    <n v="11"/>
    <x v="1"/>
    <n v="1187"/>
    <s v="ท้องถิ่นเทศบาลตำบลบางพลี"/>
    <n v="0"/>
    <s v="-"/>
    <n v="0"/>
    <s v="-"/>
    <n v="5358"/>
    <n v="5382"/>
    <n v="10740"/>
    <n v="2252"/>
  </r>
  <r>
    <n v="6712"/>
    <n v="11"/>
    <x v="1"/>
    <n v="1188"/>
    <s v="ท้องถิ่นเทศบาลตำบลบางบ่อ"/>
    <n v="0"/>
    <s v="-"/>
    <n v="0"/>
    <s v="-"/>
    <n v="3087"/>
    <n v="3393"/>
    <n v="6480"/>
    <n v="2520"/>
  </r>
  <r>
    <n v="6712"/>
    <n v="11"/>
    <x v="1"/>
    <n v="1189"/>
    <s v="ท้องถิ่นเทศบาลตำบลคลองสวน"/>
    <n v="0"/>
    <s v="-"/>
    <n v="0"/>
    <s v="-"/>
    <n v="1368"/>
    <n v="1420"/>
    <n v="2788"/>
    <n v="928"/>
  </r>
  <r>
    <n v="6712"/>
    <n v="11"/>
    <x v="1"/>
    <n v="1190"/>
    <s v="ท้องถิ่นเทศบาลตำบลคลองด่าน"/>
    <n v="0"/>
    <s v="-"/>
    <n v="0"/>
    <s v="-"/>
    <n v="5388"/>
    <n v="5663"/>
    <n v="11051"/>
    <n v="3327"/>
  </r>
  <r>
    <n v="6712"/>
    <n v="11"/>
    <x v="1"/>
    <n v="1191"/>
    <s v="ท้องถิ่นเทศบาลตำบลบางปู"/>
    <n v="0"/>
    <s v="-"/>
    <n v="0"/>
    <s v="-"/>
    <n v="57311"/>
    <n v="62508"/>
    <n v="119819"/>
    <n v="62862"/>
  </r>
  <r>
    <n v="6712"/>
    <n v="11"/>
    <x v="1"/>
    <n v="1192"/>
    <s v="ท้องถิ่นเทศบาลตำบลแพรกษา"/>
    <n v="0"/>
    <s v="-"/>
    <n v="0"/>
    <s v="-"/>
    <n v="12070"/>
    <n v="13823"/>
    <n v="25893"/>
    <n v="15843"/>
  </r>
  <r>
    <n v="6712"/>
    <n v="11"/>
    <x v="1"/>
    <n v="1193"/>
    <s v="ท้องถิ่นเทศบาลตำบลบางเมือง"/>
    <n v="0"/>
    <s v="-"/>
    <n v="0"/>
    <s v="-"/>
    <n v="44467"/>
    <n v="51284"/>
    <n v="95751"/>
    <n v="50820"/>
  </r>
  <r>
    <n v="6712"/>
    <n v="11"/>
    <x v="1"/>
    <n v="1194"/>
    <s v="ท้องถิ่นเทศบาลตำบลด่านสำโรง"/>
    <n v="0"/>
    <s v="-"/>
    <n v="0"/>
    <s v="-"/>
    <n v="24941"/>
    <n v="28638"/>
    <n v="53579"/>
    <n v="29381"/>
  </r>
  <r>
    <n v="6712"/>
    <n v="11"/>
    <x v="1"/>
    <n v="1195"/>
    <s v="ท้องถิ่นเทศบาลเมืองปู่เจ้าสมิงพราย"/>
    <n v="0"/>
    <s v="-"/>
    <n v="0"/>
    <s v="-"/>
    <n v="32662"/>
    <n v="34961"/>
    <n v="67623"/>
    <n v="36471"/>
  </r>
  <r>
    <n v="6712"/>
    <n v="11"/>
    <x v="1"/>
    <n v="1196"/>
    <s v="ท้องถิ่นเทศบาลตำบลสำโรงเหนือ"/>
    <n v="0"/>
    <s v="-"/>
    <n v="0"/>
    <s v="-"/>
    <n v="13772"/>
    <n v="16775"/>
    <n v="30547"/>
    <n v="31575"/>
  </r>
  <r>
    <n v="6712"/>
    <n v="11"/>
    <x v="1"/>
    <n v="1197"/>
    <s v="ท้องถิ่นเทศบาลเมืองลัดหลวง"/>
    <n v="0"/>
    <s v="-"/>
    <n v="0"/>
    <s v="-"/>
    <n v="31356"/>
    <n v="34584"/>
    <n v="65940"/>
    <n v="38716"/>
  </r>
  <r>
    <n v="6712"/>
    <n v="11"/>
    <x v="1"/>
    <n v="1198"/>
    <s v="ท้องถิ่นเทศบาลเมืองพระประแดง"/>
    <n v="0"/>
    <s v="-"/>
    <n v="0"/>
    <s v="-"/>
    <n v="3836"/>
    <n v="4128"/>
    <n v="7964"/>
    <n v="2187"/>
  </r>
  <r>
    <n v="6712"/>
    <n v="11"/>
    <x v="1"/>
    <n v="1199"/>
    <s v="ท้องถิ่นเทศบาลนครสมุทรปราการ"/>
    <n v="0"/>
    <s v="-"/>
    <n v="0"/>
    <s v="-"/>
    <n v="21671"/>
    <n v="23264"/>
    <n v="44935"/>
    <n v="24121"/>
  </r>
  <r>
    <n v="6712"/>
    <n v="12"/>
    <x v="2"/>
    <n v="0"/>
    <s v="-"/>
    <n v="0"/>
    <s v="-"/>
    <n v="0"/>
    <s v="-"/>
    <n v="609722"/>
    <n v="708197"/>
    <n v="1317919"/>
    <n v="768221"/>
  </r>
  <r>
    <n v="6712"/>
    <n v="12"/>
    <x v="2"/>
    <n v="1201"/>
    <s v="อำเภอเมืองนนทบุรี"/>
    <n v="0"/>
    <s v="-"/>
    <n v="0"/>
    <s v="-"/>
    <n v="27551"/>
    <n v="32083"/>
    <n v="59634"/>
    <n v="32547"/>
  </r>
  <r>
    <n v="6712"/>
    <n v="12"/>
    <x v="2"/>
    <n v="1202"/>
    <s v="อำเภอบางกรวย"/>
    <n v="0"/>
    <s v="-"/>
    <n v="0"/>
    <s v="-"/>
    <n v="16983"/>
    <n v="20085"/>
    <n v="37068"/>
    <n v="21583"/>
  </r>
  <r>
    <n v="6712"/>
    <n v="12"/>
    <x v="2"/>
    <n v="1203"/>
    <s v="อำเภอบางใหญ่"/>
    <n v="0"/>
    <s v="-"/>
    <n v="0"/>
    <s v="-"/>
    <n v="52035"/>
    <n v="60762"/>
    <n v="112797"/>
    <n v="57746"/>
  </r>
  <r>
    <n v="6712"/>
    <n v="12"/>
    <x v="2"/>
    <n v="1204"/>
    <s v="อำเภอบางบัวทอง"/>
    <n v="0"/>
    <s v="-"/>
    <n v="0"/>
    <s v="-"/>
    <n v="71049"/>
    <n v="81309"/>
    <n v="152358"/>
    <n v="87928"/>
  </r>
  <r>
    <n v="6712"/>
    <n v="12"/>
    <x v="2"/>
    <n v="1205"/>
    <s v="อำเภอไทรน้อย"/>
    <n v="0"/>
    <s v="-"/>
    <n v="0"/>
    <s v="-"/>
    <n v="35700"/>
    <n v="39636"/>
    <n v="75336"/>
    <n v="37897"/>
  </r>
  <r>
    <n v="6712"/>
    <n v="12"/>
    <x v="2"/>
    <n v="1206"/>
    <s v="อำเภอปากเกร็ด"/>
    <n v="0"/>
    <s v="-"/>
    <n v="0"/>
    <s v="-"/>
    <n v="25423"/>
    <n v="28622"/>
    <n v="54045"/>
    <n v="27816"/>
  </r>
  <r>
    <n v="6712"/>
    <n v="12"/>
    <x v="2"/>
    <n v="1285"/>
    <s v="ท้องถิ่นเทศบาลเมืองบางคูรัด"/>
    <n v="0"/>
    <s v="-"/>
    <n v="0"/>
    <s v="-"/>
    <n v="19010"/>
    <n v="22221"/>
    <n v="41231"/>
    <n v="17483"/>
  </r>
  <r>
    <n v="6712"/>
    <n v="12"/>
    <x v="2"/>
    <n v="1286"/>
    <s v="ท้องถิ่นเทศบาลตำบลเสาธงหิน"/>
    <n v="0"/>
    <s v="-"/>
    <n v="0"/>
    <s v="-"/>
    <n v="18241"/>
    <n v="22123"/>
    <n v="40364"/>
    <n v="27183"/>
  </r>
  <r>
    <n v="6712"/>
    <n v="12"/>
    <x v="2"/>
    <n v="1287"/>
    <s v="ท้องถิ่นเทศบาลตำบลบางพลับ"/>
    <n v="0"/>
    <s v="-"/>
    <n v="0"/>
    <s v="-"/>
    <n v="5654"/>
    <n v="6530"/>
    <n v="12184"/>
    <n v="7024"/>
  </r>
  <r>
    <n v="6712"/>
    <n v="12"/>
    <x v="2"/>
    <n v="1288"/>
    <s v="ท้องถิ่นเทศบาลเมืองพิมลราช"/>
    <n v="0"/>
    <s v="-"/>
    <n v="0"/>
    <s v="-"/>
    <n v="23889"/>
    <n v="28185"/>
    <n v="52074"/>
    <n v="25259"/>
  </r>
  <r>
    <n v="6712"/>
    <n v="12"/>
    <x v="2"/>
    <n v="1289"/>
    <s v="ท้องถิ่นเทศบาลตำบลศาลากลาง"/>
    <n v="0"/>
    <s v="-"/>
    <n v="0"/>
    <s v="-"/>
    <n v="11408"/>
    <n v="13521"/>
    <n v="24929"/>
    <n v="13668"/>
  </r>
  <r>
    <n v="6712"/>
    <n v="12"/>
    <x v="2"/>
    <n v="1290"/>
    <s v="ท้องถิ่นเทศบาลเมืองไทรม้า"/>
    <n v="0"/>
    <s v="-"/>
    <n v="0"/>
    <s v="-"/>
    <n v="11264"/>
    <n v="13370"/>
    <n v="24634"/>
    <n v="16101"/>
  </r>
  <r>
    <n v="6712"/>
    <n v="12"/>
    <x v="2"/>
    <n v="1291"/>
    <s v="ท้องถิ่นเทศบาลตำบลไทรน้อย"/>
    <n v="0"/>
    <s v="-"/>
    <n v="0"/>
    <s v="-"/>
    <n v="1294"/>
    <n v="1305"/>
    <n v="2599"/>
    <n v="1237"/>
  </r>
  <r>
    <n v="6712"/>
    <n v="12"/>
    <x v="2"/>
    <n v="1292"/>
    <s v="ท้องถิ่นเทศบาลตำบลบางใหญ่"/>
    <n v="0"/>
    <s v="-"/>
    <n v="0"/>
    <s v="-"/>
    <n v="6621"/>
    <n v="7376"/>
    <n v="13997"/>
    <n v="6572"/>
  </r>
  <r>
    <n v="6712"/>
    <n v="12"/>
    <x v="2"/>
    <n v="1293"/>
    <s v="ท้องถิ่นเทศบาลตำบลบางม่วง"/>
    <n v="0"/>
    <s v="-"/>
    <n v="0"/>
    <s v="-"/>
    <n v="2932"/>
    <n v="3071"/>
    <n v="6003"/>
    <n v="2847"/>
  </r>
  <r>
    <n v="6712"/>
    <n v="12"/>
    <x v="2"/>
    <n v="1294"/>
    <s v="ท้องถิ่นเทศบาลตำบลปลายบาง"/>
    <n v="0"/>
    <s v="-"/>
    <n v="0"/>
    <s v="-"/>
    <n v="22198"/>
    <n v="26310"/>
    <n v="48508"/>
    <n v="24758"/>
  </r>
  <r>
    <n v="6712"/>
    <n v="12"/>
    <x v="2"/>
    <n v="1295"/>
    <s v="ท้องถิ่นเทศบาลเมืองบางศรีเมือง"/>
    <n v="0"/>
    <s v="-"/>
    <n v="0"/>
    <s v="-"/>
    <n v="15241"/>
    <n v="17920"/>
    <n v="33161"/>
    <n v="13922"/>
  </r>
  <r>
    <n v="6712"/>
    <n v="12"/>
    <x v="2"/>
    <n v="1296"/>
    <s v="ท้องถิ่นเทศบาลเมืองบางกรวย"/>
    <n v="0"/>
    <s v="-"/>
    <n v="0"/>
    <s v="-"/>
    <n v="20294"/>
    <n v="24158"/>
    <n v="44452"/>
    <n v="23084"/>
  </r>
  <r>
    <n v="6712"/>
    <n v="12"/>
    <x v="2"/>
    <n v="1297"/>
    <s v="ท้องถิ่นเทศบาลนครปากเกร็ด"/>
    <n v="0"/>
    <s v="-"/>
    <n v="0"/>
    <s v="-"/>
    <n v="86885"/>
    <n v="101978"/>
    <n v="188863"/>
    <n v="141775"/>
  </r>
  <r>
    <n v="6712"/>
    <n v="12"/>
    <x v="2"/>
    <n v="1298"/>
    <s v="ท้องถิ่นเทศบาลเมืองบางบัวทอง"/>
    <n v="0"/>
    <s v="-"/>
    <n v="0"/>
    <s v="-"/>
    <n v="23979"/>
    <n v="28520"/>
    <n v="52499"/>
    <n v="27957"/>
  </r>
  <r>
    <n v="6712"/>
    <n v="12"/>
    <x v="2"/>
    <n v="1299"/>
    <s v="ท้องถิ่นเทศบาลนครนนทบุรี"/>
    <n v="0"/>
    <s v="-"/>
    <n v="0"/>
    <s v="-"/>
    <n v="112071"/>
    <n v="129112"/>
    <n v="241183"/>
    <n v="153834"/>
  </r>
  <r>
    <n v="6712"/>
    <n v="13"/>
    <x v="3"/>
    <n v="0"/>
    <s v="-"/>
    <n v="0"/>
    <s v="-"/>
    <n v="0"/>
    <s v="-"/>
    <n v="584170"/>
    <n v="652301"/>
    <n v="1236471"/>
    <n v="716096"/>
  </r>
  <r>
    <n v="6712"/>
    <n v="13"/>
    <x v="3"/>
    <n v="1301"/>
    <s v="อำเภอเมืองปทุมธานี"/>
    <n v="0"/>
    <s v="-"/>
    <n v="0"/>
    <s v="-"/>
    <n v="49341"/>
    <n v="54354"/>
    <n v="103695"/>
    <n v="53829"/>
  </r>
  <r>
    <n v="6712"/>
    <n v="13"/>
    <x v="3"/>
    <n v="1302"/>
    <s v="อำเภอคลองหลวง"/>
    <n v="0"/>
    <s v="-"/>
    <n v="0"/>
    <s v="-"/>
    <n v="74503"/>
    <n v="82914"/>
    <n v="157417"/>
    <n v="79158"/>
  </r>
  <r>
    <n v="6712"/>
    <n v="13"/>
    <x v="3"/>
    <n v="1304"/>
    <s v="อำเภอหนองเสือ"/>
    <n v="0"/>
    <s v="-"/>
    <n v="0"/>
    <s v="-"/>
    <n v="26334"/>
    <n v="26896"/>
    <n v="53230"/>
    <n v="18370"/>
  </r>
  <r>
    <n v="6712"/>
    <n v="13"/>
    <x v="3"/>
    <n v="1305"/>
    <s v="อำเภอลาดหลุมแก้ว"/>
    <n v="0"/>
    <s v="-"/>
    <n v="0"/>
    <s v="-"/>
    <n v="30143"/>
    <n v="31837"/>
    <n v="61980"/>
    <n v="32552"/>
  </r>
  <r>
    <n v="6712"/>
    <n v="13"/>
    <x v="3"/>
    <n v="1306"/>
    <s v="อำเภอลำลูกกา"/>
    <n v="0"/>
    <s v="-"/>
    <n v="0"/>
    <s v="-"/>
    <n v="44499"/>
    <n v="47784"/>
    <n v="92283"/>
    <n v="47687"/>
  </r>
  <r>
    <n v="6712"/>
    <n v="13"/>
    <x v="3"/>
    <n v="1307"/>
    <s v="อำเภอสามโคก"/>
    <n v="0"/>
    <s v="-"/>
    <n v="0"/>
    <s v="-"/>
    <n v="22500"/>
    <n v="24085"/>
    <n v="46585"/>
    <n v="21923"/>
  </r>
  <r>
    <n v="6712"/>
    <n v="13"/>
    <x v="3"/>
    <n v="1379"/>
    <s v="ท้องถิ่นเทศบาลเมืองลาดสวาย"/>
    <n v="0"/>
    <s v="-"/>
    <n v="0"/>
    <s v="-"/>
    <n v="34392"/>
    <n v="39735"/>
    <n v="74127"/>
    <n v="43060"/>
  </r>
  <r>
    <n v="6712"/>
    <n v="13"/>
    <x v="3"/>
    <n v="1380"/>
    <s v="ท้องถิ่นเทศบาลตำบลบางพูน"/>
    <n v="0"/>
    <s v="-"/>
    <n v="0"/>
    <s v="-"/>
    <n v="12562"/>
    <n v="14183"/>
    <n v="26745"/>
    <n v="22598"/>
  </r>
  <r>
    <n v="6712"/>
    <n v="13"/>
    <x v="3"/>
    <n v="1381"/>
    <s v="ท้องถิ่นเทศบาลตำบลบ้านกลาง"/>
    <n v="0"/>
    <s v="-"/>
    <n v="0"/>
    <s v="-"/>
    <n v="6278"/>
    <n v="7143"/>
    <n v="13421"/>
    <n v="7614"/>
  </r>
  <r>
    <n v="6712"/>
    <n v="13"/>
    <x v="3"/>
    <n v="1382"/>
    <s v="ท้องถิ่นเทศบาลเมืองลำสามแก้ว"/>
    <n v="0"/>
    <s v="-"/>
    <n v="0"/>
    <s v="-"/>
    <n v="30376"/>
    <n v="35368"/>
    <n v="65744"/>
    <n v="34215"/>
  </r>
  <r>
    <n v="6712"/>
    <n v="13"/>
    <x v="3"/>
    <n v="1383"/>
    <s v="ท้องถิ่นเทศบาลเมืองบางคูวัด"/>
    <n v="0"/>
    <s v="-"/>
    <n v="0"/>
    <s v="-"/>
    <n v="15493"/>
    <n v="17926"/>
    <n v="33419"/>
    <n v="21232"/>
  </r>
  <r>
    <n v="6712"/>
    <n v="13"/>
    <x v="3"/>
    <n v="1384"/>
    <s v="ท้องถิ่นเทศบาลเมืองบึงยี่โถ"/>
    <n v="0"/>
    <s v="-"/>
    <n v="0"/>
    <s v="-"/>
    <n v="15807"/>
    <n v="18801"/>
    <n v="34608"/>
    <n v="16961"/>
  </r>
  <r>
    <n v="6712"/>
    <n v="13"/>
    <x v="3"/>
    <n v="1386"/>
    <s v="ท้องถิ่นเทศบาลเมืองบางกะดี"/>
    <n v="0"/>
    <s v="-"/>
    <n v="0"/>
    <s v="-"/>
    <n v="7665"/>
    <n v="8824"/>
    <n v="16489"/>
    <n v="9185"/>
  </r>
  <r>
    <n v="6712"/>
    <n v="13"/>
    <x v="3"/>
    <n v="1387"/>
    <s v="ท้องถิ่นเทศบาลตำบลบางเตย"/>
    <n v="0"/>
    <s v="-"/>
    <n v="0"/>
    <s v="-"/>
    <n v="5540"/>
    <n v="5929"/>
    <n v="11469"/>
    <n v="5209"/>
  </r>
  <r>
    <n v="6712"/>
    <n v="13"/>
    <x v="3"/>
    <n v="1388"/>
    <s v="ท้องถิ่นเทศบาลตำบลลำลูกกา"/>
    <n v="0"/>
    <s v="-"/>
    <n v="0"/>
    <s v="-"/>
    <n v="10211"/>
    <n v="11422"/>
    <n v="21633"/>
    <n v="11782"/>
  </r>
  <r>
    <n v="6712"/>
    <n v="13"/>
    <x v="3"/>
    <n v="1389"/>
    <s v="ท้องถิ่นเทศบาลตำบลลำไทร"/>
    <n v="0"/>
    <s v="-"/>
    <n v="0"/>
    <s v="-"/>
    <n v="1334"/>
    <n v="1399"/>
    <n v="2733"/>
    <n v="1088"/>
  </r>
  <r>
    <n v="6712"/>
    <n v="13"/>
    <x v="3"/>
    <n v="1390"/>
    <s v="ท้องถิ่นเทศบาลตำบลระแหง"/>
    <n v="0"/>
    <s v="-"/>
    <n v="0"/>
    <s v="-"/>
    <n v="5387"/>
    <n v="5788"/>
    <n v="11175"/>
    <n v="6073"/>
  </r>
  <r>
    <n v="6712"/>
    <n v="13"/>
    <x v="3"/>
    <n v="1391"/>
    <s v="ท้องถิ่นเทศบาลตำบลหนองเสือ"/>
    <n v="0"/>
    <s v="-"/>
    <n v="0"/>
    <s v="-"/>
    <n v="1995"/>
    <n v="2067"/>
    <n v="4062"/>
    <n v="2019"/>
  </r>
  <r>
    <n v="6712"/>
    <n v="13"/>
    <x v="3"/>
    <n v="1392"/>
    <s v="ท้องถิ่นเทศบาลเมืองสนั่นรักษ์"/>
    <n v="0"/>
    <s v="-"/>
    <n v="0"/>
    <s v="-"/>
    <n v="15645"/>
    <n v="17542"/>
    <n v="33187"/>
    <n v="18204"/>
  </r>
  <r>
    <n v="6712"/>
    <n v="13"/>
    <x v="3"/>
    <n v="1393"/>
    <s v="ท้องถิ่นเทศบาลตำบลธัญบุรี"/>
    <n v="0"/>
    <s v="-"/>
    <n v="0"/>
    <s v="-"/>
    <n v="31208"/>
    <n v="34678"/>
    <n v="65886"/>
    <n v="35018"/>
  </r>
  <r>
    <n v="6712"/>
    <n v="13"/>
    <x v="3"/>
    <n v="1394"/>
    <s v="ท้องถิ่นเทศบาลเมืองคลองหลวง"/>
    <n v="0"/>
    <s v="-"/>
    <n v="0"/>
    <s v="-"/>
    <n v="34625"/>
    <n v="39684"/>
    <n v="74309"/>
    <n v="65588"/>
  </r>
  <r>
    <n v="6712"/>
    <n v="13"/>
    <x v="3"/>
    <n v="1395"/>
    <s v="ท้องถิ่นเทศบาลตำบลบางหลวง"/>
    <n v="0"/>
    <s v="-"/>
    <n v="0"/>
    <s v="-"/>
    <n v="3751"/>
    <n v="4220"/>
    <n v="7971"/>
    <n v="4625"/>
  </r>
  <r>
    <n v="6712"/>
    <n v="13"/>
    <x v="3"/>
    <n v="1396"/>
    <s v="ท้องถิ่นเทศบาลเมืองท่าโขลง"/>
    <n v="0"/>
    <s v="-"/>
    <n v="0"/>
    <s v="-"/>
    <n v="34959"/>
    <n v="39828"/>
    <n v="74787"/>
    <n v="60771"/>
  </r>
  <r>
    <n v="6712"/>
    <n v="13"/>
    <x v="3"/>
    <n v="1397"/>
    <s v="ท้องถิ่นเทศบาลเมืองคูคต"/>
    <n v="0"/>
    <s v="-"/>
    <n v="0"/>
    <s v="-"/>
    <n v="19829"/>
    <n v="22243"/>
    <n v="42072"/>
    <n v="29248"/>
  </r>
  <r>
    <n v="6712"/>
    <n v="13"/>
    <x v="3"/>
    <n v="1398"/>
    <s v="ท้องถิ่นเทศบาลนครรังสิต"/>
    <n v="0"/>
    <s v="-"/>
    <n v="0"/>
    <s v="-"/>
    <n v="39418"/>
    <n v="45906"/>
    <n v="85324"/>
    <n v="58403"/>
  </r>
  <r>
    <n v="6712"/>
    <n v="13"/>
    <x v="3"/>
    <n v="1399"/>
    <s v="ท้องถิ่นเทศบาลเมืองปทุมธานี"/>
    <n v="0"/>
    <s v="-"/>
    <n v="0"/>
    <s v="-"/>
    <n v="10375"/>
    <n v="11745"/>
    <n v="22120"/>
    <n v="9684"/>
  </r>
  <r>
    <n v="6712"/>
    <n v="14"/>
    <x v="4"/>
    <n v="0"/>
    <s v="-"/>
    <n v="0"/>
    <s v="-"/>
    <n v="0"/>
    <s v="-"/>
    <n v="394331"/>
    <n v="428389"/>
    <n v="822720"/>
    <n v="362285"/>
  </r>
  <r>
    <n v="6712"/>
    <n v="14"/>
    <x v="4"/>
    <n v="1401"/>
    <s v="อำเภอพระนครศรีอยุธยา"/>
    <n v="0"/>
    <s v="-"/>
    <n v="0"/>
    <s v="-"/>
    <n v="34471"/>
    <n v="37891"/>
    <n v="72362"/>
    <n v="27558"/>
  </r>
  <r>
    <n v="6712"/>
    <n v="14"/>
    <x v="4"/>
    <n v="1402"/>
    <s v="อำเภอท่าเรือ"/>
    <n v="0"/>
    <s v="-"/>
    <n v="0"/>
    <s v="-"/>
    <n v="14680"/>
    <n v="16177"/>
    <n v="30857"/>
    <n v="12016"/>
  </r>
  <r>
    <n v="6712"/>
    <n v="14"/>
    <x v="4"/>
    <n v="1403"/>
    <s v="อำเภอนครหลวง"/>
    <n v="0"/>
    <s v="-"/>
    <n v="0"/>
    <s v="-"/>
    <n v="10547"/>
    <n v="11571"/>
    <n v="22118"/>
    <n v="12395"/>
  </r>
  <r>
    <n v="6712"/>
    <n v="14"/>
    <x v="4"/>
    <n v="1404"/>
    <s v="อำเภอบางไทร"/>
    <n v="0"/>
    <s v="-"/>
    <n v="0"/>
    <s v="-"/>
    <n v="15281"/>
    <n v="16112"/>
    <n v="31393"/>
    <n v="11241"/>
  </r>
  <r>
    <n v="6712"/>
    <n v="14"/>
    <x v="4"/>
    <n v="1405"/>
    <s v="อำเภอบางบาล"/>
    <n v="0"/>
    <s v="-"/>
    <n v="0"/>
    <s v="-"/>
    <n v="6817"/>
    <n v="7399"/>
    <n v="14216"/>
    <n v="5639"/>
  </r>
  <r>
    <n v="6712"/>
    <n v="14"/>
    <x v="4"/>
    <n v="1406"/>
    <s v="อำเภอบางปะอิน"/>
    <n v="0"/>
    <s v="-"/>
    <n v="0"/>
    <s v="-"/>
    <n v="19043"/>
    <n v="20931"/>
    <n v="39974"/>
    <n v="19079"/>
  </r>
  <r>
    <n v="6712"/>
    <n v="14"/>
    <x v="4"/>
    <n v="1407"/>
    <s v="อำเภอบางปะหัน"/>
    <n v="0"/>
    <s v="-"/>
    <n v="0"/>
    <s v="-"/>
    <n v="17399"/>
    <n v="18569"/>
    <n v="35968"/>
    <n v="13122"/>
  </r>
  <r>
    <n v="6712"/>
    <n v="14"/>
    <x v="4"/>
    <n v="1408"/>
    <s v="อำเภอผักไห่"/>
    <n v="0"/>
    <s v="-"/>
    <n v="0"/>
    <s v="-"/>
    <n v="10398"/>
    <n v="11217"/>
    <n v="21615"/>
    <n v="7573"/>
  </r>
  <r>
    <n v="6712"/>
    <n v="14"/>
    <x v="4"/>
    <n v="1409"/>
    <s v="อำเภอภาชี"/>
    <n v="0"/>
    <s v="-"/>
    <n v="0"/>
    <s v="-"/>
    <n v="12548"/>
    <n v="13293"/>
    <n v="25841"/>
    <n v="8876"/>
  </r>
  <r>
    <n v="6712"/>
    <n v="14"/>
    <x v="4"/>
    <n v="1410"/>
    <s v="อำเภอลาดบัวหลวง"/>
    <n v="0"/>
    <s v="-"/>
    <n v="0"/>
    <s v="-"/>
    <n v="14649"/>
    <n v="15025"/>
    <n v="29674"/>
    <n v="10235"/>
  </r>
  <r>
    <n v="6712"/>
    <n v="14"/>
    <x v="4"/>
    <n v="1411"/>
    <s v="อำเภอวังน้อย"/>
    <n v="0"/>
    <s v="-"/>
    <n v="0"/>
    <s v="-"/>
    <n v="28592"/>
    <n v="30246"/>
    <n v="58838"/>
    <n v="28560"/>
  </r>
  <r>
    <n v="6712"/>
    <n v="14"/>
    <x v="4"/>
    <n v="1412"/>
    <s v="อำเภอเสนา"/>
    <n v="0"/>
    <s v="-"/>
    <n v="0"/>
    <s v="-"/>
    <n v="14780"/>
    <n v="15677"/>
    <n v="30457"/>
    <n v="10296"/>
  </r>
  <r>
    <n v="6712"/>
    <n v="14"/>
    <x v="4"/>
    <n v="1413"/>
    <s v="อำเภอบางซ้าย"/>
    <n v="0"/>
    <s v="-"/>
    <n v="0"/>
    <s v="-"/>
    <n v="6745"/>
    <n v="6895"/>
    <n v="13640"/>
    <n v="4652"/>
  </r>
  <r>
    <n v="6712"/>
    <n v="14"/>
    <x v="4"/>
    <n v="1414"/>
    <s v="อำเภออุทัย"/>
    <n v="0"/>
    <s v="-"/>
    <n v="0"/>
    <s v="-"/>
    <n v="22617"/>
    <n v="24526"/>
    <n v="47143"/>
    <n v="23369"/>
  </r>
  <r>
    <n v="6712"/>
    <n v="14"/>
    <x v="4"/>
    <n v="1415"/>
    <s v="อำเภอมหาราช"/>
    <n v="0"/>
    <s v="-"/>
    <n v="0"/>
    <s v="-"/>
    <n v="6364"/>
    <n v="6984"/>
    <n v="13348"/>
    <n v="5342"/>
  </r>
  <r>
    <n v="6712"/>
    <n v="14"/>
    <x v="4"/>
    <n v="1416"/>
    <s v="อำเภอบ้านแพรก"/>
    <n v="0"/>
    <s v="-"/>
    <n v="0"/>
    <s v="-"/>
    <n v="3121"/>
    <n v="3568"/>
    <n v="6689"/>
    <n v="2766"/>
  </r>
  <r>
    <n v="6712"/>
    <n v="14"/>
    <x v="4"/>
    <n v="1465"/>
    <s v="ท้องถิ่นเทศบาลเมืองบ้านกรด"/>
    <n v="0"/>
    <s v="-"/>
    <n v="0"/>
    <s v="-"/>
    <n v="6931"/>
    <n v="8122"/>
    <n v="15053"/>
    <n v="10719"/>
  </r>
  <r>
    <n v="6712"/>
    <n v="14"/>
    <x v="4"/>
    <n v="1466"/>
    <s v="ท้องถิ่นเทศบาลตำบลสามเมือง"/>
    <n v="0"/>
    <s v="-"/>
    <n v="0"/>
    <s v="-"/>
    <n v="3670"/>
    <n v="3823"/>
    <n v="7493"/>
    <n v="3061"/>
  </r>
  <r>
    <n v="6712"/>
    <n v="14"/>
    <x v="4"/>
    <n v="1467"/>
    <s v="ท้องถิ่นเทศบาลตำบลสามกอ"/>
    <n v="0"/>
    <s v="-"/>
    <n v="0"/>
    <s v="-"/>
    <n v="3199"/>
    <n v="3550"/>
    <n v="6749"/>
    <n v="3047"/>
  </r>
  <r>
    <n v="6712"/>
    <n v="14"/>
    <x v="4"/>
    <n v="1468"/>
    <s v="ท้องถิ่นเทศบาลตำบลบางนมโค"/>
    <n v="0"/>
    <s v="-"/>
    <n v="0"/>
    <s v="-"/>
    <n v="3673"/>
    <n v="4150"/>
    <n v="7823"/>
    <n v="4352"/>
  </r>
  <r>
    <n v="6712"/>
    <n v="14"/>
    <x v="4"/>
    <n v="1469"/>
    <s v="ท้องถิ่นเทศบาลตำบลบางกระสั้น"/>
    <n v="0"/>
    <s v="-"/>
    <n v="0"/>
    <s v="-"/>
    <n v="6321"/>
    <n v="7321"/>
    <n v="13642"/>
    <n v="6045"/>
  </r>
  <r>
    <n v="6712"/>
    <n v="14"/>
    <x v="4"/>
    <n v="1470"/>
    <s v="ท้องถิ่นเทศบาลตำบลเชียงรากน้อย"/>
    <n v="0"/>
    <s v="-"/>
    <n v="0"/>
    <s v="-"/>
    <n v="4982"/>
    <n v="5303"/>
    <n v="10285"/>
    <n v="4727"/>
  </r>
  <r>
    <n v="6712"/>
    <n v="14"/>
    <x v="4"/>
    <n v="1471"/>
    <s v="ท้องถิ่นเทศบาลตำบลคลองจิก"/>
    <n v="0"/>
    <s v="-"/>
    <n v="0"/>
    <s v="-"/>
    <n v="4598"/>
    <n v="5163"/>
    <n v="9761"/>
    <n v="6103"/>
  </r>
  <r>
    <n v="6712"/>
    <n v="14"/>
    <x v="4"/>
    <n v="1472"/>
    <s v="ท้องถิ่นเทศบาลตำบลปราสาททอง"/>
    <n v="0"/>
    <s v="-"/>
    <n v="0"/>
    <s v="-"/>
    <n v="2487"/>
    <n v="2823"/>
    <n v="5310"/>
    <n v="3511"/>
  </r>
  <r>
    <n v="6712"/>
    <n v="14"/>
    <x v="4"/>
    <n v="1473"/>
    <s v="ท้องถิ่นเทศบาลตำบลบ้านแพรก"/>
    <n v="0"/>
    <s v="-"/>
    <n v="0"/>
    <s v="-"/>
    <n v="921"/>
    <n v="1000"/>
    <n v="1921"/>
    <n v="892"/>
  </r>
  <r>
    <n v="6712"/>
    <n v="14"/>
    <x v="4"/>
    <n v="1474"/>
    <s v="ท้องถิ่นเทศบาลตำบลโรงช้าง"/>
    <n v="0"/>
    <s v="-"/>
    <n v="0"/>
    <s v="-"/>
    <n v="2913"/>
    <n v="3180"/>
    <n v="6093"/>
    <n v="2573"/>
  </r>
  <r>
    <n v="6712"/>
    <n v="14"/>
    <x v="4"/>
    <n v="1475"/>
    <s v="ท้องถิ่นเทศบาลตำบลมหาราช"/>
    <n v="0"/>
    <s v="-"/>
    <n v="0"/>
    <s v="-"/>
    <n v="1541"/>
    <n v="1631"/>
    <n v="3172"/>
    <n v="1506"/>
  </r>
  <r>
    <n v="6712"/>
    <n v="14"/>
    <x v="4"/>
    <n v="1476"/>
    <s v="ท้องถิ่นเทศบาลตำบลอุทัย"/>
    <n v="0"/>
    <s v="-"/>
    <n v="0"/>
    <s v="-"/>
    <n v="3461"/>
    <n v="3980"/>
    <n v="7441"/>
    <n v="4734"/>
  </r>
  <r>
    <n v="6712"/>
    <n v="14"/>
    <x v="4"/>
    <n v="1477"/>
    <s v="ท้องถิ่นเทศบาลตำบลบางซ้าย"/>
    <n v="0"/>
    <s v="-"/>
    <n v="0"/>
    <s v="-"/>
    <n v="2507"/>
    <n v="2679"/>
    <n v="5186"/>
    <n v="1957"/>
  </r>
  <r>
    <n v="6712"/>
    <n v="14"/>
    <x v="4"/>
    <n v="1478"/>
    <s v="ท้องถิ่นเทศบาลตำบลหัวเวียง"/>
    <n v="0"/>
    <s v="-"/>
    <n v="0"/>
    <s v="-"/>
    <n v="2710"/>
    <n v="2955"/>
    <n v="5665"/>
    <n v="1860"/>
  </r>
  <r>
    <n v="6712"/>
    <n v="14"/>
    <x v="4"/>
    <n v="1479"/>
    <s v="ท้องถิ่นเทศบาลเมืองลำตาเสา"/>
    <n v="0"/>
    <s v="-"/>
    <n v="0"/>
    <s v="-"/>
    <n v="10705"/>
    <n v="11338"/>
    <n v="22043"/>
    <n v="10322"/>
  </r>
  <r>
    <n v="6712"/>
    <n v="14"/>
    <x v="4"/>
    <n v="1480"/>
    <s v="ท้องถิ่นเทศบาลตำบลลาดบัวหลวง"/>
    <n v="0"/>
    <s v="-"/>
    <n v="0"/>
    <s v="-"/>
    <n v="1264"/>
    <n v="1308"/>
    <n v="2572"/>
    <n v="1459"/>
  </r>
  <r>
    <n v="6712"/>
    <n v="14"/>
    <x v="4"/>
    <n v="1481"/>
    <s v="ท้องถิ่นเทศบาลตำบลภาชี"/>
    <n v="0"/>
    <s v="-"/>
    <n v="0"/>
    <s v="-"/>
    <n v="2417"/>
    <n v="2758"/>
    <n v="5175"/>
    <n v="2642"/>
  </r>
  <r>
    <n v="6712"/>
    <n v="14"/>
    <x v="4"/>
    <n v="1482"/>
    <s v="ท้องถิ่นเทศบาลตำบลลาดชะโด"/>
    <n v="0"/>
    <s v="-"/>
    <n v="0"/>
    <s v="-"/>
    <n v="3530"/>
    <n v="3701"/>
    <n v="7231"/>
    <n v="2858"/>
  </r>
  <r>
    <n v="6712"/>
    <n v="14"/>
    <x v="4"/>
    <n v="1483"/>
    <s v="ท้องถิ่นเทศบาลเมืองผักไห่"/>
    <n v="0"/>
    <s v="-"/>
    <n v="0"/>
    <s v="-"/>
    <n v="4401"/>
    <n v="4688"/>
    <n v="9089"/>
    <n v="4451"/>
  </r>
  <r>
    <n v="6712"/>
    <n v="14"/>
    <x v="4"/>
    <n v="1484"/>
    <s v="ท้องถิ่นเทศบาลตำบลพระอินทราชา"/>
    <n v="0"/>
    <s v="-"/>
    <n v="0"/>
    <s v="-"/>
    <n v="4436"/>
    <n v="5032"/>
    <n v="9468"/>
    <n v="6919"/>
  </r>
  <r>
    <n v="6712"/>
    <n v="14"/>
    <x v="4"/>
    <n v="1485"/>
    <s v="ท้องถิ่นเทศบาลตำบลบ้านสร้าง"/>
    <n v="0"/>
    <s v="-"/>
    <n v="0"/>
    <s v="-"/>
    <n v="5322"/>
    <n v="6152"/>
    <n v="11474"/>
    <n v="7605"/>
  </r>
  <r>
    <n v="6712"/>
    <n v="14"/>
    <x v="4"/>
    <n v="1486"/>
    <s v="ท้องถิ่นเทศบาลตำบลบางปะอิน"/>
    <n v="0"/>
    <s v="-"/>
    <n v="0"/>
    <s v="-"/>
    <n v="3124"/>
    <n v="3222"/>
    <n v="6346"/>
    <n v="2210"/>
  </r>
  <r>
    <n v="6712"/>
    <n v="14"/>
    <x v="4"/>
    <n v="1487"/>
    <s v="ท้องถิ่นเทศบาลตำบลบางปะหัน"/>
    <n v="0"/>
    <s v="-"/>
    <n v="0"/>
    <s v="-"/>
    <n v="2413"/>
    <n v="2707"/>
    <n v="5120"/>
    <n v="2280"/>
  </r>
  <r>
    <n v="6712"/>
    <n v="14"/>
    <x v="4"/>
    <n v="1488"/>
    <s v="ท้องถิ่นเทศบาลตำบลมหาพราหมณ์"/>
    <n v="0"/>
    <s v="-"/>
    <n v="0"/>
    <s v="-"/>
    <n v="4037"/>
    <n v="4286"/>
    <n v="8323"/>
    <n v="3426"/>
  </r>
  <r>
    <n v="6712"/>
    <n v="14"/>
    <x v="4"/>
    <n v="1489"/>
    <s v="ท้องถิ่นเทศบาลตำบลบางบาล"/>
    <n v="0"/>
    <s v="-"/>
    <n v="0"/>
    <s v="-"/>
    <n v="5094"/>
    <n v="5592"/>
    <n v="10686"/>
    <n v="3851"/>
  </r>
  <r>
    <n v="6712"/>
    <n v="14"/>
    <x v="4"/>
    <n v="1490"/>
    <s v="ท้องถิ่นเทศบาลตำบลราชคราม"/>
    <n v="0"/>
    <s v="-"/>
    <n v="0"/>
    <s v="-"/>
    <n v="3011"/>
    <n v="3090"/>
    <n v="6101"/>
    <n v="1900"/>
  </r>
  <r>
    <n v="6712"/>
    <n v="14"/>
    <x v="4"/>
    <n v="1491"/>
    <s v="ท้องถิ่นเทศบาลตำบลบางไทร"/>
    <n v="0"/>
    <s v="-"/>
    <n v="0"/>
    <s v="-"/>
    <n v="4910"/>
    <n v="5127"/>
    <n v="10037"/>
    <n v="4048"/>
  </r>
  <r>
    <n v="6712"/>
    <n v="14"/>
    <x v="4"/>
    <n v="1492"/>
    <s v="ท้องถิ่นเทศบาลตำบลอรัญญิก"/>
    <n v="0"/>
    <s v="-"/>
    <n v="0"/>
    <s v="-"/>
    <n v="3653"/>
    <n v="3907"/>
    <n v="7560"/>
    <n v="2910"/>
  </r>
  <r>
    <n v="6712"/>
    <n v="14"/>
    <x v="4"/>
    <n v="1493"/>
    <s v="ท้องถิ่นเทศบาลตำบลนครหลวง"/>
    <n v="0"/>
    <s v="-"/>
    <n v="0"/>
    <s v="-"/>
    <n v="3229"/>
    <n v="3520"/>
    <n v="6749"/>
    <n v="3079"/>
  </r>
  <r>
    <n v="6712"/>
    <n v="14"/>
    <x v="4"/>
    <n v="1494"/>
    <s v="ท้องถิ่นเทศบาลตำบลท่าหลวง"/>
    <n v="0"/>
    <s v="-"/>
    <n v="0"/>
    <s v="-"/>
    <n v="3793"/>
    <n v="4241"/>
    <n v="8034"/>
    <n v="4190"/>
  </r>
  <r>
    <n v="6712"/>
    <n v="14"/>
    <x v="4"/>
    <n v="1495"/>
    <s v="ท้องถิ่นเทศบาลเมืองอโยธยา"/>
    <n v="0"/>
    <s v="-"/>
    <n v="0"/>
    <s v="-"/>
    <n v="9053"/>
    <n v="10645"/>
    <n v="19698"/>
    <n v="11524"/>
  </r>
  <r>
    <n v="6712"/>
    <n v="14"/>
    <x v="4"/>
    <n v="1496"/>
    <s v="ท้องถิ่นเทศบาลตำบลเจ้าเจ็ด"/>
    <n v="0"/>
    <s v="-"/>
    <n v="0"/>
    <s v="-"/>
    <n v="5066"/>
    <n v="5525"/>
    <n v="10591"/>
    <n v="3362"/>
  </r>
  <r>
    <n v="6712"/>
    <n v="14"/>
    <x v="4"/>
    <n v="1497"/>
    <s v="ท้องถิ่นเทศบาลตำบลท่าเรือ"/>
    <n v="0"/>
    <s v="-"/>
    <n v="0"/>
    <s v="-"/>
    <n v="2910"/>
    <n v="3318"/>
    <n v="6228"/>
    <n v="3261"/>
  </r>
  <r>
    <n v="6712"/>
    <n v="14"/>
    <x v="4"/>
    <n v="1498"/>
    <s v="ท้องถิ่นเทศบาลเมืองเสนา"/>
    <n v="0"/>
    <s v="-"/>
    <n v="0"/>
    <s v="-"/>
    <n v="1615"/>
    <n v="1794"/>
    <n v="3409"/>
    <n v="1500"/>
  </r>
  <r>
    <n v="6712"/>
    <n v="14"/>
    <x v="4"/>
    <n v="1499"/>
    <s v="ท้องถิ่นเทศบาลนครพระนครศรีอยุธยา"/>
    <n v="0"/>
    <s v="-"/>
    <n v="0"/>
    <s v="-"/>
    <n v="22382"/>
    <n v="24677"/>
    <n v="47059"/>
    <n v="20682"/>
  </r>
  <r>
    <n v="6712"/>
    <n v="15"/>
    <x v="5"/>
    <n v="0"/>
    <s v="-"/>
    <n v="0"/>
    <s v="-"/>
    <n v="0"/>
    <s v="-"/>
    <n v="128445"/>
    <n v="140430"/>
    <n v="268875"/>
    <n v="105354"/>
  </r>
  <r>
    <n v="6712"/>
    <n v="15"/>
    <x v="5"/>
    <n v="1501"/>
    <s v="อำเภอเมืองอ่างทอง"/>
    <n v="0"/>
    <s v="-"/>
    <n v="0"/>
    <s v="-"/>
    <n v="20501"/>
    <n v="22698"/>
    <n v="43199"/>
    <n v="17828"/>
  </r>
  <r>
    <n v="6712"/>
    <n v="15"/>
    <x v="5"/>
    <n v="1502"/>
    <s v="อำเภอไชโย"/>
    <n v="0"/>
    <s v="-"/>
    <n v="0"/>
    <s v="-"/>
    <n v="3383"/>
    <n v="3604"/>
    <n v="6987"/>
    <n v="2535"/>
  </r>
  <r>
    <n v="6712"/>
    <n v="15"/>
    <x v="5"/>
    <n v="1503"/>
    <s v="อำเภอป่าโมก"/>
    <n v="0"/>
    <s v="-"/>
    <n v="0"/>
    <s v="-"/>
    <n v="8767"/>
    <n v="9637"/>
    <n v="18404"/>
    <n v="6972"/>
  </r>
  <r>
    <n v="6712"/>
    <n v="15"/>
    <x v="5"/>
    <n v="1504"/>
    <s v="อำเภอโพธิ์ทอง"/>
    <n v="0"/>
    <s v="-"/>
    <n v="0"/>
    <s v="-"/>
    <n v="20382"/>
    <n v="22485"/>
    <n v="42867"/>
    <n v="15483"/>
  </r>
  <r>
    <n v="6712"/>
    <n v="15"/>
    <x v="5"/>
    <n v="1505"/>
    <s v="อำเภอแสวงหา"/>
    <n v="0"/>
    <s v="-"/>
    <n v="0"/>
    <s v="-"/>
    <n v="14659"/>
    <n v="15391"/>
    <n v="30050"/>
    <n v="10515"/>
  </r>
  <r>
    <n v="6712"/>
    <n v="15"/>
    <x v="5"/>
    <n v="1506"/>
    <s v="อำเภอวิเศษชัยชาญ"/>
    <n v="0"/>
    <s v="-"/>
    <n v="0"/>
    <s v="-"/>
    <n v="23882"/>
    <n v="25891"/>
    <n v="49773"/>
    <n v="19007"/>
  </r>
  <r>
    <n v="6712"/>
    <n v="15"/>
    <x v="5"/>
    <n v="1507"/>
    <s v="อำเภอสามโก้"/>
    <n v="0"/>
    <s v="-"/>
    <n v="0"/>
    <s v="-"/>
    <n v="3985"/>
    <n v="4246"/>
    <n v="8231"/>
    <n v="2957"/>
  </r>
  <r>
    <n v="6712"/>
    <n v="15"/>
    <x v="5"/>
    <n v="1590"/>
    <s v="ท้องถิ่นเทศบาลตำบลสามโก้"/>
    <n v="0"/>
    <s v="-"/>
    <n v="0"/>
    <s v="-"/>
    <n v="4955"/>
    <n v="5467"/>
    <n v="10422"/>
    <n v="3734"/>
  </r>
  <r>
    <n v="6712"/>
    <n v="15"/>
    <x v="5"/>
    <n v="1591"/>
    <s v="ท้องถิ่นเทศบาลตำบลวิเศษไชยชาญ"/>
    <n v="0"/>
    <s v="-"/>
    <n v="0"/>
    <s v="-"/>
    <n v="2539"/>
    <n v="3081"/>
    <n v="5620"/>
    <n v="3067"/>
  </r>
  <r>
    <n v="6712"/>
    <n v="15"/>
    <x v="5"/>
    <n v="1592"/>
    <s v="ท้องถิ่นเทศบาลตำบลบางจัก"/>
    <n v="0"/>
    <s v="-"/>
    <n v="0"/>
    <s v="-"/>
    <n v="3519"/>
    <n v="3867"/>
    <n v="7386"/>
    <n v="2914"/>
  </r>
  <r>
    <n v="6712"/>
    <n v="15"/>
    <x v="5"/>
    <n v="1593"/>
    <s v="ท้องถิ่นเทศบาลตำบลแสวงหา"/>
    <n v="0"/>
    <s v="-"/>
    <n v="0"/>
    <s v="-"/>
    <n v="1490"/>
    <n v="1611"/>
    <n v="3101"/>
    <n v="1292"/>
  </r>
  <r>
    <n v="6712"/>
    <n v="15"/>
    <x v="5"/>
    <n v="1594"/>
    <s v="ท้องถิ่นเทศบาลตำบลรำมะสัก"/>
    <n v="0"/>
    <s v="-"/>
    <n v="0"/>
    <s v="-"/>
    <n v="1946"/>
    <n v="2140"/>
    <n v="4086"/>
    <n v="1536"/>
  </r>
  <r>
    <n v="6712"/>
    <n v="15"/>
    <x v="5"/>
    <n v="1595"/>
    <s v="ท้องถิ่นเทศบาลตำบลโพธิ์ทอง"/>
    <n v="0"/>
    <s v="-"/>
    <n v="0"/>
    <s v="-"/>
    <n v="1923"/>
    <n v="2158"/>
    <n v="4081"/>
    <n v="1766"/>
  </r>
  <r>
    <n v="6712"/>
    <n v="15"/>
    <x v="5"/>
    <n v="1596"/>
    <s v="ท้องถิ่นเทศบาลตำบลไชโย"/>
    <n v="0"/>
    <s v="-"/>
    <n v="0"/>
    <s v="-"/>
    <n v="5925"/>
    <n v="6380"/>
    <n v="12305"/>
    <n v="4352"/>
  </r>
  <r>
    <n v="6712"/>
    <n v="15"/>
    <x v="5"/>
    <n v="1597"/>
    <s v="ท้องถิ่นเทศบาลตำบลเกษไชโย"/>
    <n v="0"/>
    <s v="-"/>
    <n v="0"/>
    <s v="-"/>
    <n v="1305"/>
    <n v="1398"/>
    <n v="2703"/>
    <n v="1047"/>
  </r>
  <r>
    <n v="6712"/>
    <n v="15"/>
    <x v="5"/>
    <n v="1598"/>
    <s v="ท้องถิ่นเทศบาลตำบลป่าโมก"/>
    <n v="0"/>
    <s v="-"/>
    <n v="0"/>
    <s v="-"/>
    <n v="4001"/>
    <n v="4436"/>
    <n v="8437"/>
    <n v="3645"/>
  </r>
  <r>
    <n v="6712"/>
    <n v="15"/>
    <x v="5"/>
    <n v="1599"/>
    <s v="ท้องถิ่นเทศบาลเมืองอ่างทอง"/>
    <n v="0"/>
    <s v="-"/>
    <n v="0"/>
    <s v="-"/>
    <n v="5283"/>
    <n v="5940"/>
    <n v="11223"/>
    <n v="6704"/>
  </r>
  <r>
    <n v="6712"/>
    <n v="16"/>
    <x v="6"/>
    <n v="0"/>
    <s v="-"/>
    <n v="0"/>
    <s v="-"/>
    <n v="0"/>
    <s v="-"/>
    <n v="360040"/>
    <n v="365226"/>
    <n v="725266"/>
    <n v="306787"/>
  </r>
  <r>
    <n v="6712"/>
    <n v="16"/>
    <x v="6"/>
    <n v="1601"/>
    <s v="อำเภอเมืองลพบุรี"/>
    <n v="0"/>
    <s v="-"/>
    <n v="0"/>
    <s v="-"/>
    <n v="48899"/>
    <n v="50068"/>
    <n v="98967"/>
    <n v="42967"/>
  </r>
  <r>
    <n v="6712"/>
    <n v="16"/>
    <x v="6"/>
    <n v="1602"/>
    <s v="อำเภอพัฒนานิคม"/>
    <n v="0"/>
    <s v="-"/>
    <n v="0"/>
    <s v="-"/>
    <n v="27092"/>
    <n v="28062"/>
    <n v="55154"/>
    <n v="24942"/>
  </r>
  <r>
    <n v="6712"/>
    <n v="16"/>
    <x v="6"/>
    <n v="1603"/>
    <s v="อำเภอโคกสำโรง"/>
    <n v="0"/>
    <s v="-"/>
    <n v="0"/>
    <s v="-"/>
    <n v="36982"/>
    <n v="37818"/>
    <n v="74800"/>
    <n v="29980"/>
  </r>
  <r>
    <n v="6712"/>
    <n v="16"/>
    <x v="6"/>
    <n v="1604"/>
    <s v="อำเภอชัยบาดาล"/>
    <n v="0"/>
    <s v="-"/>
    <n v="0"/>
    <s v="-"/>
    <n v="36093"/>
    <n v="36928"/>
    <n v="73021"/>
    <n v="29362"/>
  </r>
  <r>
    <n v="6712"/>
    <n v="16"/>
    <x v="6"/>
    <n v="1605"/>
    <s v="อำเภอท่าวุ้ง"/>
    <n v="0"/>
    <s v="-"/>
    <n v="0"/>
    <s v="-"/>
    <n v="20612"/>
    <n v="22431"/>
    <n v="43043"/>
    <n v="14624"/>
  </r>
  <r>
    <n v="6712"/>
    <n v="16"/>
    <x v="6"/>
    <n v="1606"/>
    <s v="อำเภอบ้านหมี่"/>
    <n v="0"/>
    <s v="-"/>
    <n v="0"/>
    <s v="-"/>
    <n v="32006"/>
    <n v="34773"/>
    <n v="66779"/>
    <n v="24176"/>
  </r>
  <r>
    <n v="6712"/>
    <n v="16"/>
    <x v="6"/>
    <n v="1607"/>
    <s v="อำเภอท่าหลวง"/>
    <n v="0"/>
    <s v="-"/>
    <n v="0"/>
    <s v="-"/>
    <n v="12697"/>
    <n v="13021"/>
    <n v="25718"/>
    <n v="8933"/>
  </r>
  <r>
    <n v="6712"/>
    <n v="16"/>
    <x v="6"/>
    <n v="1608"/>
    <s v="อำเภอสระโบสถ์"/>
    <n v="0"/>
    <s v="-"/>
    <n v="0"/>
    <s v="-"/>
    <n v="7034"/>
    <n v="6901"/>
    <n v="13935"/>
    <n v="5500"/>
  </r>
  <r>
    <n v="6712"/>
    <n v="16"/>
    <x v="6"/>
    <n v="1609"/>
    <s v="อำเภอโคกเจริญ"/>
    <n v="0"/>
    <s v="-"/>
    <n v="0"/>
    <s v="-"/>
    <n v="12049"/>
    <n v="12080"/>
    <n v="24129"/>
    <n v="8178"/>
  </r>
  <r>
    <n v="6712"/>
    <n v="16"/>
    <x v="6"/>
    <n v="1610"/>
    <s v="อำเภอลำสนธิ"/>
    <n v="0"/>
    <s v="-"/>
    <n v="0"/>
    <s v="-"/>
    <n v="13320"/>
    <n v="13602"/>
    <n v="26922"/>
    <n v="9872"/>
  </r>
  <r>
    <n v="6712"/>
    <n v="16"/>
    <x v="6"/>
    <n v="1611"/>
    <s v="อำเภอหนองม่วง"/>
    <n v="0"/>
    <s v="-"/>
    <n v="0"/>
    <s v="-"/>
    <n v="13460"/>
    <n v="13956"/>
    <n v="27416"/>
    <n v="10512"/>
  </r>
  <r>
    <n v="6712"/>
    <n v="16"/>
    <x v="6"/>
    <n v="1681"/>
    <s v="ท้องถิ่นเทศบาลตำบลกกโก"/>
    <n v="0"/>
    <s v="-"/>
    <n v="0"/>
    <s v="-"/>
    <n v="5180"/>
    <n v="6093"/>
    <n v="11273"/>
    <n v="6169"/>
  </r>
  <r>
    <n v="6712"/>
    <n v="16"/>
    <x v="6"/>
    <n v="1682"/>
    <s v="ท้องถิ่นเทศบาลตำบลถนนใหญ่"/>
    <n v="0"/>
    <s v="-"/>
    <n v="0"/>
    <s v="-"/>
    <n v="6044"/>
    <n v="5086"/>
    <n v="11130"/>
    <n v="5000"/>
  </r>
  <r>
    <n v="6712"/>
    <n v="16"/>
    <x v="6"/>
    <n v="1683"/>
    <s v="ท้องถิ่นเทศบาลเมืองเขาสามยอด"/>
    <n v="0"/>
    <s v="-"/>
    <n v="0"/>
    <s v="-"/>
    <n v="15304"/>
    <n v="12993"/>
    <n v="28297"/>
    <n v="13166"/>
  </r>
  <r>
    <n v="6712"/>
    <n v="16"/>
    <x v="6"/>
    <n v="1684"/>
    <s v="ท้องถิ่นเทศบาลตำบลท่าศาลา"/>
    <n v="0"/>
    <s v="-"/>
    <n v="0"/>
    <s v="-"/>
    <n v="6730"/>
    <n v="7628"/>
    <n v="14358"/>
    <n v="7340"/>
  </r>
  <r>
    <n v="6712"/>
    <n v="16"/>
    <x v="6"/>
    <n v="1685"/>
    <s v="ท้องถิ่นเทศบาลตำบลดีลัง"/>
    <n v="0"/>
    <s v="-"/>
    <n v="0"/>
    <s v="-"/>
    <n v="3889"/>
    <n v="4167"/>
    <n v="8056"/>
    <n v="3955"/>
  </r>
  <r>
    <n v="6712"/>
    <n v="16"/>
    <x v="6"/>
    <n v="1686"/>
    <s v="ท้องถิ่นเทศบาลตำบลเขาพระงาม"/>
    <n v="0"/>
    <s v="-"/>
    <n v="0"/>
    <s v="-"/>
    <n v="14600"/>
    <n v="8666"/>
    <n v="23266"/>
    <n v="12062"/>
  </r>
  <r>
    <n v="6712"/>
    <n v="16"/>
    <x v="6"/>
    <n v="1688"/>
    <s v="ท้องถิ่นเทศบาลตำบลสระโบสถ์"/>
    <n v="0"/>
    <s v="-"/>
    <n v="0"/>
    <s v="-"/>
    <n v="3337"/>
    <n v="3610"/>
    <n v="6947"/>
    <n v="3246"/>
  </r>
  <r>
    <n v="6712"/>
    <n v="16"/>
    <x v="6"/>
    <n v="1689"/>
    <s v="ท้องถิ่นเทศบาลตำบลบ้านท่าหลวง"/>
    <n v="0"/>
    <s v="-"/>
    <n v="0"/>
    <s v="-"/>
    <n v="1853"/>
    <n v="1882"/>
    <n v="3735"/>
    <n v="2222"/>
  </r>
  <r>
    <n v="6712"/>
    <n v="16"/>
    <x v="6"/>
    <n v="1690"/>
    <s v="ท้องถิ่นเทศบาลตำบลท่าวุ้ง"/>
    <n v="0"/>
    <s v="-"/>
    <n v="0"/>
    <s v="-"/>
    <n v="992"/>
    <n v="1053"/>
    <n v="2045"/>
    <n v="916"/>
  </r>
  <r>
    <n v="6712"/>
    <n v="16"/>
    <x v="6"/>
    <n v="1691"/>
    <s v="ท้องถิ่นเทศบาลตำบลท่าโขลง"/>
    <n v="0"/>
    <s v="-"/>
    <n v="0"/>
    <s v="-"/>
    <n v="1017"/>
    <n v="1181"/>
    <n v="2198"/>
    <n v="1044"/>
  </r>
  <r>
    <n v="6712"/>
    <n v="16"/>
    <x v="6"/>
    <n v="1692"/>
    <s v="ท้องถิ่นเทศบาลตำบลลำนารายณ์"/>
    <n v="0"/>
    <s v="-"/>
    <n v="0"/>
    <s v="-"/>
    <n v="7288"/>
    <n v="7844"/>
    <n v="15132"/>
    <n v="8808"/>
  </r>
  <r>
    <n v="6712"/>
    <n v="16"/>
    <x v="6"/>
    <n v="1693"/>
    <s v="ท้องถิ่นเทศบาลตำบลหนองม่วง"/>
    <n v="0"/>
    <s v="-"/>
    <n v="0"/>
    <s v="-"/>
    <n v="2298"/>
    <n v="2454"/>
    <n v="4752"/>
    <n v="2181"/>
  </r>
  <r>
    <n v="6712"/>
    <n v="16"/>
    <x v="6"/>
    <n v="1694"/>
    <s v="ท้องถิ่นเทศบาลตำบลพัฒนานิคม"/>
    <n v="0"/>
    <s v="-"/>
    <n v="0"/>
    <s v="-"/>
    <n v="1430"/>
    <n v="1608"/>
    <n v="3038"/>
    <n v="1485"/>
  </r>
  <r>
    <n v="6712"/>
    <n v="16"/>
    <x v="6"/>
    <n v="1695"/>
    <s v="ท้องถิ่นเทศบาลตำบลแก่งเสือเต้น"/>
    <n v="0"/>
    <s v="-"/>
    <n v="0"/>
    <s v="-"/>
    <n v="1382"/>
    <n v="1424"/>
    <n v="2806"/>
    <n v="1151"/>
  </r>
  <r>
    <n v="6712"/>
    <n v="16"/>
    <x v="6"/>
    <n v="1696"/>
    <s v="ท้องถิ่นเทศบาลตำบลโคกตูม"/>
    <n v="0"/>
    <s v="-"/>
    <n v="0"/>
    <s v="-"/>
    <n v="14913"/>
    <n v="15304"/>
    <n v="30217"/>
    <n v="12398"/>
  </r>
  <r>
    <n v="6712"/>
    <n v="16"/>
    <x v="6"/>
    <n v="1697"/>
    <s v="ท้องถิ่นเทศบาลตำบลโคกสำโรง"/>
    <n v="0"/>
    <s v="-"/>
    <n v="0"/>
    <s v="-"/>
    <n v="2636"/>
    <n v="2855"/>
    <n v="5491"/>
    <n v="2445"/>
  </r>
  <r>
    <n v="6712"/>
    <n v="16"/>
    <x v="6"/>
    <n v="1698"/>
    <s v="ท้องถิ่นเทศบาลเมืองบ้านหมี่"/>
    <n v="0"/>
    <s v="-"/>
    <n v="0"/>
    <s v="-"/>
    <n v="1410"/>
    <n v="1572"/>
    <n v="2982"/>
    <n v="1345"/>
  </r>
  <r>
    <n v="6712"/>
    <n v="16"/>
    <x v="6"/>
    <n v="1699"/>
    <s v="ท้องถิ่นเทศบาลเมืองลพบุรี"/>
    <n v="0"/>
    <s v="-"/>
    <n v="0"/>
    <s v="-"/>
    <n v="9493"/>
    <n v="10166"/>
    <n v="19659"/>
    <n v="12808"/>
  </r>
  <r>
    <n v="6712"/>
    <n v="17"/>
    <x v="7"/>
    <n v="0"/>
    <s v="-"/>
    <n v="0"/>
    <s v="-"/>
    <n v="0"/>
    <s v="-"/>
    <n v="94895"/>
    <n v="104908"/>
    <n v="199803"/>
    <n v="81992"/>
  </r>
  <r>
    <n v="6712"/>
    <n v="17"/>
    <x v="7"/>
    <n v="1701"/>
    <s v="อำเภอเมืองสิงห์บุรี"/>
    <n v="0"/>
    <s v="-"/>
    <n v="0"/>
    <s v="-"/>
    <n v="16819"/>
    <n v="19331"/>
    <n v="36150"/>
    <n v="14194"/>
  </r>
  <r>
    <n v="6712"/>
    <n v="17"/>
    <x v="7"/>
    <n v="1702"/>
    <s v="อำเภอบางระจัน"/>
    <n v="0"/>
    <s v="-"/>
    <n v="0"/>
    <s v="-"/>
    <n v="9154"/>
    <n v="9773"/>
    <n v="18927"/>
    <n v="7396"/>
  </r>
  <r>
    <n v="6712"/>
    <n v="17"/>
    <x v="7"/>
    <n v="1703"/>
    <s v="อำเภอค่ายบางระจัน"/>
    <n v="0"/>
    <s v="-"/>
    <n v="0"/>
    <s v="-"/>
    <n v="12264"/>
    <n v="13165"/>
    <n v="25429"/>
    <n v="9318"/>
  </r>
  <r>
    <n v="6712"/>
    <n v="17"/>
    <x v="7"/>
    <n v="1704"/>
    <s v="อำเภอพรหมบุรี"/>
    <n v="0"/>
    <s v="-"/>
    <n v="0"/>
    <s v="-"/>
    <n v="7587"/>
    <n v="8421"/>
    <n v="16008"/>
    <n v="6153"/>
  </r>
  <r>
    <n v="6712"/>
    <n v="17"/>
    <x v="7"/>
    <n v="1705"/>
    <s v="อำเภอท่าช้าง"/>
    <n v="0"/>
    <s v="-"/>
    <n v="0"/>
    <s v="-"/>
    <n v="2482"/>
    <n v="2803"/>
    <n v="5285"/>
    <n v="1928"/>
  </r>
  <r>
    <n v="6712"/>
    <n v="17"/>
    <x v="7"/>
    <n v="1706"/>
    <s v="อำเภออินทร์บุรี"/>
    <n v="0"/>
    <s v="-"/>
    <n v="0"/>
    <s v="-"/>
    <n v="22738"/>
    <n v="24680"/>
    <n v="47418"/>
    <n v="18239"/>
  </r>
  <r>
    <n v="6712"/>
    <n v="17"/>
    <x v="7"/>
    <n v="1793"/>
    <s v="ท้องถิ่นเทศบาลตำบลอินทร์บุรี"/>
    <n v="0"/>
    <s v="-"/>
    <n v="0"/>
    <s v="-"/>
    <n v="1998"/>
    <n v="2195"/>
    <n v="4193"/>
    <n v="2304"/>
  </r>
  <r>
    <n v="6712"/>
    <n v="17"/>
    <x v="7"/>
    <n v="1794"/>
    <s v="ท้องถิ่นเทศบาลตำบลถอนสมอ"/>
    <n v="0"/>
    <s v="-"/>
    <n v="0"/>
    <s v="-"/>
    <n v="4017"/>
    <n v="4374"/>
    <n v="8391"/>
    <n v="3544"/>
  </r>
  <r>
    <n v="6712"/>
    <n v="17"/>
    <x v="7"/>
    <n v="1795"/>
    <s v="ท้องถิ่นเทศบาลตำบลพรหมบุรี"/>
    <n v="0"/>
    <s v="-"/>
    <n v="0"/>
    <s v="-"/>
    <n v="1479"/>
    <n v="1582"/>
    <n v="3061"/>
    <n v="1335"/>
  </r>
  <r>
    <n v="6712"/>
    <n v="17"/>
    <x v="7"/>
    <n v="1796"/>
    <s v="ท้องถิ่นเทศบาลตำบลบางน้ำเชี่ยว"/>
    <n v="0"/>
    <s v="-"/>
    <n v="0"/>
    <s v="-"/>
    <n v="1561"/>
    <n v="1709"/>
    <n v="3270"/>
    <n v="1426"/>
  </r>
  <r>
    <n v="6712"/>
    <n v="17"/>
    <x v="7"/>
    <n v="1797"/>
    <s v="ท้องถิ่นเทศบาลตำบลโพสังโฆ"/>
    <n v="0"/>
    <s v="-"/>
    <n v="0"/>
    <s v="-"/>
    <n v="910"/>
    <n v="1015"/>
    <n v="1925"/>
    <n v="868"/>
  </r>
  <r>
    <n v="6712"/>
    <n v="17"/>
    <x v="7"/>
    <n v="1798"/>
    <s v="ท้องถิ่นเทศบาลเมืองบางระจัน"/>
    <n v="0"/>
    <s v="-"/>
    <n v="0"/>
    <s v="-"/>
    <n v="6289"/>
    <n v="7093"/>
    <n v="13382"/>
    <n v="5839"/>
  </r>
  <r>
    <n v="6712"/>
    <n v="17"/>
    <x v="7"/>
    <n v="1799"/>
    <s v="ท้องถิ่นเทศบาลเมืองสิงห์บุรี"/>
    <n v="0"/>
    <s v="-"/>
    <n v="0"/>
    <s v="-"/>
    <n v="7597"/>
    <n v="8767"/>
    <n v="16364"/>
    <n v="9448"/>
  </r>
  <r>
    <n v="6712"/>
    <n v="18"/>
    <x v="8"/>
    <n v="0"/>
    <s v="-"/>
    <n v="0"/>
    <s v="-"/>
    <n v="0"/>
    <s v="-"/>
    <n v="150495"/>
    <n v="163264"/>
    <n v="313759"/>
    <n v="132908"/>
  </r>
  <r>
    <n v="6712"/>
    <n v="18"/>
    <x v="8"/>
    <n v="1801"/>
    <s v="อำเภอเมืองชัยนาท"/>
    <n v="0"/>
    <s v="-"/>
    <n v="0"/>
    <s v="-"/>
    <n v="10954"/>
    <n v="11729"/>
    <n v="22683"/>
    <n v="9117"/>
  </r>
  <r>
    <n v="6712"/>
    <n v="18"/>
    <x v="8"/>
    <n v="1802"/>
    <s v="อำเภอมโนรมย์"/>
    <n v="0"/>
    <s v="-"/>
    <n v="0"/>
    <s v="-"/>
    <n v="11065"/>
    <n v="12139"/>
    <n v="23204"/>
    <n v="9341"/>
  </r>
  <r>
    <n v="6712"/>
    <n v="18"/>
    <x v="8"/>
    <n v="1803"/>
    <s v="อำเภอวัดสิงห์"/>
    <n v="0"/>
    <s v="-"/>
    <n v="0"/>
    <s v="-"/>
    <n v="10487"/>
    <n v="11203"/>
    <n v="21690"/>
    <n v="9659"/>
  </r>
  <r>
    <n v="6712"/>
    <n v="18"/>
    <x v="8"/>
    <n v="1804"/>
    <s v="อำเภอสรรพยา"/>
    <n v="0"/>
    <s v="-"/>
    <n v="0"/>
    <s v="-"/>
    <n v="14409"/>
    <n v="15479"/>
    <n v="29888"/>
    <n v="12121"/>
  </r>
  <r>
    <n v="6712"/>
    <n v="18"/>
    <x v="8"/>
    <n v="1805"/>
    <s v="อำเภอสรรคบุรี"/>
    <n v="0"/>
    <s v="-"/>
    <n v="0"/>
    <s v="-"/>
    <n v="28442"/>
    <n v="30956"/>
    <n v="59398"/>
    <n v="22886"/>
  </r>
  <r>
    <n v="6712"/>
    <n v="18"/>
    <x v="8"/>
    <n v="1806"/>
    <s v="อำเภอหันคา"/>
    <n v="0"/>
    <s v="-"/>
    <n v="0"/>
    <s v="-"/>
    <n v="19462"/>
    <n v="20748"/>
    <n v="40210"/>
    <n v="15267"/>
  </r>
  <r>
    <n v="6712"/>
    <n v="18"/>
    <x v="8"/>
    <n v="1807"/>
    <s v="อำเภอหนองมะโมง"/>
    <n v="0"/>
    <s v="-"/>
    <n v="0"/>
    <s v="-"/>
    <n v="6199"/>
    <n v="6426"/>
    <n v="12625"/>
    <n v="5316"/>
  </r>
  <r>
    <n v="6712"/>
    <n v="18"/>
    <x v="8"/>
    <n v="1808"/>
    <s v="อำเภอเนินขาม"/>
    <n v="0"/>
    <s v="-"/>
    <n v="0"/>
    <s v="-"/>
    <n v="5241"/>
    <n v="5436"/>
    <n v="10677"/>
    <n v="4139"/>
  </r>
  <r>
    <n v="6712"/>
    <n v="18"/>
    <x v="8"/>
    <n v="1880"/>
    <s v="ท้องถิ่นเทศบาลตำบลบางหลวง"/>
    <n v="0"/>
    <s v="-"/>
    <n v="0"/>
    <s v="-"/>
    <n v="2396"/>
    <n v="2684"/>
    <n v="5080"/>
    <n v="2670"/>
  </r>
  <r>
    <n v="6712"/>
    <n v="18"/>
    <x v="8"/>
    <n v="1881"/>
    <s v="ท้องถิ่นเทศบาลตำบลนางลือ"/>
    <n v="0"/>
    <s v="-"/>
    <n v="0"/>
    <s v="-"/>
    <n v="3469"/>
    <n v="3879"/>
    <n v="7348"/>
    <n v="2656"/>
  </r>
  <r>
    <n v="6712"/>
    <n v="18"/>
    <x v="8"/>
    <n v="1882"/>
    <s v="ท้องถิ่นเทศบาลตำบลเสือโฮก"/>
    <n v="0"/>
    <s v="-"/>
    <n v="0"/>
    <s v="-"/>
    <n v="3604"/>
    <n v="3787"/>
    <n v="7391"/>
    <n v="2559"/>
  </r>
  <r>
    <n v="6712"/>
    <n v="18"/>
    <x v="8"/>
    <n v="1883"/>
    <s v="ท้องถิ่นเทศบาลตำบลหาดท่าเสา"/>
    <n v="0"/>
    <s v="-"/>
    <n v="0"/>
    <s v="-"/>
    <n v="2391"/>
    <n v="2539"/>
    <n v="4930"/>
    <n v="1886"/>
  </r>
  <r>
    <n v="6712"/>
    <n v="18"/>
    <x v="8"/>
    <n v="1884"/>
    <s v="ท้องถิ่นเทศบาลตำบลชัยนาท"/>
    <n v="0"/>
    <s v="-"/>
    <n v="0"/>
    <s v="-"/>
    <n v="3511"/>
    <n v="4250"/>
    <n v="7761"/>
    <n v="2794"/>
  </r>
  <r>
    <n v="6712"/>
    <n v="18"/>
    <x v="8"/>
    <n v="1885"/>
    <s v="ท้องถิ่นเทศบาลตำบลบ้านกล้วย"/>
    <n v="0"/>
    <s v="-"/>
    <n v="0"/>
    <s v="-"/>
    <n v="3322"/>
    <n v="3775"/>
    <n v="7097"/>
    <n v="3800"/>
  </r>
  <r>
    <n v="6712"/>
    <n v="18"/>
    <x v="8"/>
    <n v="1887"/>
    <s v="ท้องถิ่นเทศบาลตำบลหนองแซง"/>
    <n v="0"/>
    <s v="-"/>
    <n v="0"/>
    <s v="-"/>
    <n v="3682"/>
    <n v="3844"/>
    <n v="7526"/>
    <n v="2908"/>
  </r>
  <r>
    <n v="6712"/>
    <n v="18"/>
    <x v="8"/>
    <n v="1889"/>
    <s v="ท้องถิ่นเทศบาลตำบลวังตะเคียน"/>
    <n v="0"/>
    <s v="-"/>
    <n v="0"/>
    <s v="-"/>
    <n v="3212"/>
    <n v="3381"/>
    <n v="6593"/>
    <n v="2587"/>
  </r>
  <r>
    <n v="6712"/>
    <n v="18"/>
    <x v="8"/>
    <n v="1890"/>
    <s v="ท้องถิ่นเทศบาลตำบลเนินขาม"/>
    <n v="0"/>
    <s v="-"/>
    <n v="0"/>
    <s v="-"/>
    <n v="2799"/>
    <n v="3095"/>
    <n v="5894"/>
    <n v="2800"/>
  </r>
  <r>
    <n v="6712"/>
    <n v="18"/>
    <x v="8"/>
    <n v="1891"/>
    <s v="ท้องถิ่นเทศบาลตำบลหันคา"/>
    <n v="0"/>
    <s v="-"/>
    <n v="0"/>
    <s v="-"/>
    <n v="1845"/>
    <n v="2070"/>
    <n v="3915"/>
    <n v="2504"/>
  </r>
  <r>
    <n v="6712"/>
    <n v="18"/>
    <x v="8"/>
    <n v="1892"/>
    <s v="ท้องถิ่นเทศบาลตำบลสามง่ามท่าโบสถ์"/>
    <n v="0"/>
    <s v="-"/>
    <n v="0"/>
    <s v="-"/>
    <n v="597"/>
    <n v="644"/>
    <n v="1241"/>
    <n v="492"/>
  </r>
  <r>
    <n v="6712"/>
    <n v="18"/>
    <x v="8"/>
    <n v="1893"/>
    <s v="ท้องถิ่นเทศบาลตำบลแพรกศรีราชา"/>
    <n v="0"/>
    <s v="-"/>
    <n v="0"/>
    <s v="-"/>
    <n v="1110"/>
    <n v="1264"/>
    <n v="2374"/>
    <n v="1401"/>
  </r>
  <r>
    <n v="6712"/>
    <n v="18"/>
    <x v="8"/>
    <n v="1894"/>
    <s v="ท้องถิ่นเทศบาลตำบลสรรพยา"/>
    <n v="0"/>
    <s v="-"/>
    <n v="0"/>
    <s v="-"/>
    <n v="1421"/>
    <n v="1509"/>
    <n v="2930"/>
    <n v="1399"/>
  </r>
  <r>
    <n v="6712"/>
    <n v="18"/>
    <x v="8"/>
    <n v="1895"/>
    <s v="ท้องถิ่นเทศบาลตำบลโพธิ์พิทักษ์"/>
    <n v="0"/>
    <s v="-"/>
    <n v="0"/>
    <s v="-"/>
    <n v="689"/>
    <n v="781"/>
    <n v="1470"/>
    <n v="585"/>
  </r>
  <r>
    <n v="6712"/>
    <n v="18"/>
    <x v="8"/>
    <n v="1896"/>
    <s v="ท้องถิ่นเทศบาลตำบลหางน้ำสาคร"/>
    <n v="0"/>
    <s v="-"/>
    <n v="0"/>
    <s v="-"/>
    <n v="2886"/>
    <n v="3140"/>
    <n v="6026"/>
    <n v="3329"/>
  </r>
  <r>
    <n v="6712"/>
    <n v="18"/>
    <x v="8"/>
    <n v="1897"/>
    <s v="ท้องถิ่นเทศบาลตำบลคุ้งสำเภา"/>
    <n v="0"/>
    <s v="-"/>
    <n v="0"/>
    <s v="-"/>
    <n v="845"/>
    <n v="929"/>
    <n v="1774"/>
    <n v="1015"/>
  </r>
  <r>
    <n v="6712"/>
    <n v="18"/>
    <x v="8"/>
    <n v="1898"/>
    <s v="ท้องถิ่นเทศบาลตำบลวัดสิงห์"/>
    <n v="0"/>
    <s v="-"/>
    <n v="0"/>
    <s v="-"/>
    <n v="1418"/>
    <n v="1587"/>
    <n v="3005"/>
    <n v="1989"/>
  </r>
  <r>
    <n v="6712"/>
    <n v="18"/>
    <x v="8"/>
    <n v="1899"/>
    <s v="ท้องถิ่นเทศบาลเมืองชัยนาท"/>
    <n v="0"/>
    <s v="-"/>
    <n v="0"/>
    <s v="-"/>
    <n v="5039"/>
    <n v="5990"/>
    <n v="11029"/>
    <n v="7688"/>
  </r>
  <r>
    <n v="6712"/>
    <n v="19"/>
    <x v="9"/>
    <n v="0"/>
    <s v="-"/>
    <n v="0"/>
    <s v="-"/>
    <n v="0"/>
    <s v="-"/>
    <n v="313262"/>
    <n v="325903"/>
    <n v="639165"/>
    <n v="305526"/>
  </r>
  <r>
    <n v="6712"/>
    <n v="19"/>
    <x v="9"/>
    <n v="1901"/>
    <s v="อำเภอเมืองสระบุรี"/>
    <n v="0"/>
    <s v="-"/>
    <n v="0"/>
    <s v="-"/>
    <n v="26031"/>
    <n v="22612"/>
    <n v="48643"/>
    <n v="21717"/>
  </r>
  <r>
    <n v="6712"/>
    <n v="19"/>
    <x v="9"/>
    <n v="1902"/>
    <s v="อำเภอแก่งคอย"/>
    <n v="0"/>
    <s v="-"/>
    <n v="0"/>
    <s v="-"/>
    <n v="34838"/>
    <n v="35823"/>
    <n v="70661"/>
    <n v="33528"/>
  </r>
  <r>
    <n v="6712"/>
    <n v="19"/>
    <x v="9"/>
    <n v="1903"/>
    <s v="อำเภอหนองแค"/>
    <n v="0"/>
    <s v="-"/>
    <n v="0"/>
    <s v="-"/>
    <n v="33161"/>
    <n v="35329"/>
    <n v="68490"/>
    <n v="36588"/>
  </r>
  <r>
    <n v="6712"/>
    <n v="19"/>
    <x v="9"/>
    <n v="1904"/>
    <s v="อำเภอวิหารแดง"/>
    <n v="0"/>
    <s v="-"/>
    <n v="0"/>
    <s v="-"/>
    <n v="16252"/>
    <n v="17001"/>
    <n v="33253"/>
    <n v="12991"/>
  </r>
  <r>
    <n v="6712"/>
    <n v="19"/>
    <x v="9"/>
    <n v="1905"/>
    <s v="อำเภอหนองแซง"/>
    <n v="0"/>
    <s v="-"/>
    <n v="0"/>
    <s v="-"/>
    <n v="6158"/>
    <n v="6875"/>
    <n v="13033"/>
    <n v="4803"/>
  </r>
  <r>
    <n v="6712"/>
    <n v="19"/>
    <x v="9"/>
    <n v="1906"/>
    <s v="อำเภอบ้านหมอ"/>
    <n v="0"/>
    <s v="-"/>
    <n v="0"/>
    <s v="-"/>
    <n v="15150"/>
    <n v="16198"/>
    <n v="31348"/>
    <n v="13085"/>
  </r>
  <r>
    <n v="6712"/>
    <n v="19"/>
    <x v="9"/>
    <n v="1907"/>
    <s v="อำเภอดอนพุด"/>
    <n v="0"/>
    <s v="-"/>
    <n v="0"/>
    <s v="-"/>
    <n v="977"/>
    <n v="1072"/>
    <n v="2049"/>
    <n v="685"/>
  </r>
  <r>
    <n v="6712"/>
    <n v="19"/>
    <x v="9"/>
    <n v="1908"/>
    <s v="อำเภอหนองโดน"/>
    <n v="0"/>
    <s v="-"/>
    <n v="0"/>
    <s v="-"/>
    <n v="5497"/>
    <n v="5825"/>
    <n v="11322"/>
    <n v="4811"/>
  </r>
  <r>
    <n v="6712"/>
    <n v="19"/>
    <x v="9"/>
    <n v="1909"/>
    <s v="อำเภอพระพุทธบาท"/>
    <n v="0"/>
    <s v="-"/>
    <n v="0"/>
    <s v="-"/>
    <n v="12169"/>
    <n v="12970"/>
    <n v="25139"/>
    <n v="10928"/>
  </r>
  <r>
    <n v="6712"/>
    <n v="19"/>
    <x v="9"/>
    <n v="1910"/>
    <s v="อำเภอเสาไห้"/>
    <n v="0"/>
    <s v="-"/>
    <n v="0"/>
    <s v="-"/>
    <n v="10617"/>
    <n v="11643"/>
    <n v="22260"/>
    <n v="9050"/>
  </r>
  <r>
    <n v="6712"/>
    <n v="19"/>
    <x v="9"/>
    <n v="1911"/>
    <s v="อำเภอมวกเหล็ก"/>
    <n v="0"/>
    <s v="-"/>
    <n v="0"/>
    <s v="-"/>
    <n v="24982"/>
    <n v="24992"/>
    <n v="49974"/>
    <n v="23406"/>
  </r>
  <r>
    <n v="6712"/>
    <n v="19"/>
    <x v="9"/>
    <n v="1912"/>
    <s v="อำเภอวังม่วง"/>
    <n v="0"/>
    <s v="-"/>
    <n v="0"/>
    <s v="-"/>
    <n v="5638"/>
    <n v="5929"/>
    <n v="11567"/>
    <n v="4845"/>
  </r>
  <r>
    <n v="6712"/>
    <n v="19"/>
    <x v="9"/>
    <n v="1913"/>
    <s v="อำเภอเฉลิมพระเกียรติ"/>
    <n v="0"/>
    <s v="-"/>
    <n v="0"/>
    <s v="-"/>
    <n v="14832"/>
    <n v="15760"/>
    <n v="30592"/>
    <n v="13862"/>
  </r>
  <r>
    <n v="6712"/>
    <n v="19"/>
    <x v="9"/>
    <n v="1974"/>
    <s v="ท้องถิ่นเทศบาลตำบลพุกร่าง"/>
    <n v="0"/>
    <s v="-"/>
    <n v="0"/>
    <s v="-"/>
    <n v="3295"/>
    <n v="3502"/>
    <n v="6797"/>
    <n v="2581"/>
  </r>
  <r>
    <n v="6712"/>
    <n v="19"/>
    <x v="9"/>
    <n v="1975"/>
    <s v="ท้องถิ่นเทศบาลตำบลคำพราน"/>
    <n v="0"/>
    <s v="-"/>
    <n v="0"/>
    <s v="-"/>
    <n v="2099"/>
    <n v="2182"/>
    <n v="4281"/>
    <n v="2230"/>
  </r>
  <r>
    <n v="6712"/>
    <n v="19"/>
    <x v="9"/>
    <n v="1976"/>
    <s v="ท้องถิ่นเทศบาลตำบลไผ่ต่ำ"/>
    <n v="0"/>
    <s v="-"/>
    <n v="0"/>
    <s v="-"/>
    <n v="2084"/>
    <n v="2129"/>
    <n v="4213"/>
    <n v="2425"/>
  </r>
  <r>
    <n v="6712"/>
    <n v="19"/>
    <x v="9"/>
    <n v="1977"/>
    <s v="ท้องถิ่นเทศบาลตำบลตะกุด"/>
    <n v="0"/>
    <s v="-"/>
    <n v="0"/>
    <s v="-"/>
    <n v="2375"/>
    <n v="2527"/>
    <n v="4902"/>
    <n v="2445"/>
  </r>
  <r>
    <n v="6712"/>
    <n v="19"/>
    <x v="9"/>
    <n v="1978"/>
    <s v="ท้องถิ่นเทศบาลตำบลกุดนกเปล้า"/>
    <n v="0"/>
    <s v="-"/>
    <n v="0"/>
    <s v="-"/>
    <n v="3053"/>
    <n v="3251"/>
    <n v="6304"/>
    <n v="2863"/>
  </r>
  <r>
    <n v="6712"/>
    <n v="19"/>
    <x v="9"/>
    <n v="1979"/>
    <s v="ท้องถิ่นเทศบาลตำบลหน้าพระลาน"/>
    <n v="0"/>
    <s v="-"/>
    <n v="0"/>
    <s v="-"/>
    <n v="3717"/>
    <n v="3730"/>
    <n v="7447"/>
    <n v="3414"/>
  </r>
  <r>
    <n v="6712"/>
    <n v="19"/>
    <x v="9"/>
    <n v="1980"/>
    <s v="ท้องถิ่นเทศบาลตำบลวังม่วง"/>
    <n v="0"/>
    <s v="-"/>
    <n v="0"/>
    <s v="-"/>
    <n v="2095"/>
    <n v="2215"/>
    <n v="4310"/>
    <n v="2723"/>
  </r>
  <r>
    <n v="6712"/>
    <n v="19"/>
    <x v="9"/>
    <n v="1981"/>
    <s v="ท้องถิ่นเทศบาลตำบลมวกเหล็ก"/>
    <n v="0"/>
    <s v="-"/>
    <n v="0"/>
    <s v="-"/>
    <n v="3179"/>
    <n v="3410"/>
    <n v="6589"/>
    <n v="4531"/>
  </r>
  <r>
    <n v="6712"/>
    <n v="19"/>
    <x v="9"/>
    <n v="1982"/>
    <s v="ท้องถิ่นเทศบาลตำบลเสาไห้"/>
    <n v="0"/>
    <s v="-"/>
    <n v="0"/>
    <s v="-"/>
    <n v="1441"/>
    <n v="1583"/>
    <n v="3024"/>
    <n v="1581"/>
  </r>
  <r>
    <n v="6712"/>
    <n v="19"/>
    <x v="9"/>
    <n v="1983"/>
    <s v="ท้องถิ่นเทศบาลตำบลสวนดอกไม้"/>
    <n v="0"/>
    <s v="-"/>
    <n v="0"/>
    <s v="-"/>
    <n v="3748"/>
    <n v="4176"/>
    <n v="7924"/>
    <n v="4461"/>
  </r>
  <r>
    <n v="6712"/>
    <n v="19"/>
    <x v="9"/>
    <n v="1984"/>
    <s v="ท้องถิ่นเทศบาลตำบลบ้านยาง"/>
    <n v="0"/>
    <s v="-"/>
    <n v="0"/>
    <s v="-"/>
    <n v="721"/>
    <n v="766"/>
    <n v="1487"/>
    <n v="419"/>
  </r>
  <r>
    <n v="6712"/>
    <n v="19"/>
    <x v="9"/>
    <n v="1985"/>
    <s v="ท้องถิ่นเทศบาลตำบลหนองโดน"/>
    <n v="0"/>
    <s v="-"/>
    <n v="0"/>
    <s v="-"/>
    <n v="1104"/>
    <n v="1227"/>
    <n v="2331"/>
    <n v="1063"/>
  </r>
  <r>
    <n v="6712"/>
    <n v="19"/>
    <x v="9"/>
    <n v="1986"/>
    <s v="ท้องถิ่นเทศบาลตำบลดอนพุด"/>
    <n v="0"/>
    <s v="-"/>
    <n v="0"/>
    <s v="-"/>
    <n v="2260"/>
    <n v="2312"/>
    <n v="4572"/>
    <n v="1918"/>
  </r>
  <r>
    <n v="6712"/>
    <n v="19"/>
    <x v="9"/>
    <n v="1987"/>
    <s v="ท้องถิ่นเทศบาลตำบลบ้านหมอ"/>
    <n v="0"/>
    <s v="-"/>
    <n v="0"/>
    <s v="-"/>
    <n v="1177"/>
    <n v="1282"/>
    <n v="2459"/>
    <n v="1352"/>
  </r>
  <r>
    <n v="6712"/>
    <n v="19"/>
    <x v="9"/>
    <n v="1988"/>
    <s v="ท้องถิ่นเทศบาลตำบลท่าลาน"/>
    <n v="0"/>
    <s v="-"/>
    <n v="0"/>
    <s v="-"/>
    <n v="3573"/>
    <n v="3832"/>
    <n v="7405"/>
    <n v="4072"/>
  </r>
  <r>
    <n v="6712"/>
    <n v="19"/>
    <x v="9"/>
    <n v="1989"/>
    <s v="ท้องถิ่นเทศบาลตำบลหนองแซง"/>
    <n v="0"/>
    <s v="-"/>
    <n v="0"/>
    <s v="-"/>
    <n v="1342"/>
    <n v="1464"/>
    <n v="2806"/>
    <n v="1067"/>
  </r>
  <r>
    <n v="6712"/>
    <n v="19"/>
    <x v="9"/>
    <n v="1990"/>
    <s v="ท้องถิ่นเทศบาลตำบลหนองหมู"/>
    <n v="0"/>
    <s v="-"/>
    <n v="0"/>
    <s v="-"/>
    <n v="812"/>
    <n v="858"/>
    <n v="1670"/>
    <n v="511"/>
  </r>
  <r>
    <n v="6712"/>
    <n v="19"/>
    <x v="9"/>
    <n v="1991"/>
    <s v="ท้องถิ่นเทศบาลตำบลวิหารแดง"/>
    <n v="0"/>
    <s v="-"/>
    <n v="0"/>
    <s v="-"/>
    <n v="1814"/>
    <n v="1999"/>
    <n v="3813"/>
    <n v="2016"/>
  </r>
  <r>
    <n v="6712"/>
    <n v="19"/>
    <x v="9"/>
    <n v="1992"/>
    <s v="ท้องถิ่นเทศบาลตำบลหินกอง"/>
    <n v="0"/>
    <s v="-"/>
    <n v="0"/>
    <s v="-"/>
    <n v="4415"/>
    <n v="4893"/>
    <n v="9308"/>
    <n v="5847"/>
  </r>
  <r>
    <n v="6712"/>
    <n v="19"/>
    <x v="9"/>
    <n v="1993"/>
    <s v="ท้องถิ่นเทศบาลตำบลคชสิทธิ์"/>
    <n v="0"/>
    <s v="-"/>
    <n v="0"/>
    <s v="-"/>
    <n v="626"/>
    <n v="697"/>
    <n v="1323"/>
    <n v="694"/>
  </r>
  <r>
    <n v="6712"/>
    <n v="19"/>
    <x v="9"/>
    <n v="1994"/>
    <s v="ท้องถิ่นเทศบาลเมืองทับกวาง"/>
    <n v="0"/>
    <s v="-"/>
    <n v="0"/>
    <s v="-"/>
    <n v="10275"/>
    <n v="10274"/>
    <n v="20549"/>
    <n v="10521"/>
  </r>
  <r>
    <n v="6712"/>
    <n v="19"/>
    <x v="9"/>
    <n v="1995"/>
    <s v="ท้องถิ่นเทศบาลตำบลป๊อกแป๊ก"/>
    <n v="0"/>
    <s v="-"/>
    <n v="0"/>
    <s v="-"/>
    <n v="356"/>
    <n v="400"/>
    <n v="756"/>
    <n v="450"/>
  </r>
  <r>
    <n v="6712"/>
    <n v="19"/>
    <x v="9"/>
    <n v="1996"/>
    <s v="ท้องถิ่นเทศบาลเมืองพระพุทธบาท"/>
    <n v="0"/>
    <s v="-"/>
    <n v="0"/>
    <s v="-"/>
    <n v="12826"/>
    <n v="14861"/>
    <n v="27687"/>
    <n v="13868"/>
  </r>
  <r>
    <n v="6712"/>
    <n v="19"/>
    <x v="9"/>
    <n v="1997"/>
    <s v="ท้องถิ่นเทศบาลตำบลหนองแค"/>
    <n v="0"/>
    <s v="-"/>
    <n v="0"/>
    <s v="-"/>
    <n v="5841"/>
    <n v="6182"/>
    <n v="12023"/>
    <n v="6594"/>
  </r>
  <r>
    <n v="6712"/>
    <n v="19"/>
    <x v="9"/>
    <n v="1998"/>
    <s v="ท้องถิ่นเทศบาลเมืองแก่งคอย"/>
    <n v="0"/>
    <s v="-"/>
    <n v="0"/>
    <s v="-"/>
    <n v="4972"/>
    <n v="5406"/>
    <n v="10378"/>
    <n v="6305"/>
  </r>
  <r>
    <n v="6712"/>
    <n v="19"/>
    <x v="9"/>
    <n v="1999"/>
    <s v="ท้องถิ่นเทศบาลเมืองสระบุรี"/>
    <n v="0"/>
    <s v="-"/>
    <n v="0"/>
    <s v="-"/>
    <n v="27760"/>
    <n v="28716"/>
    <n v="56476"/>
    <n v="29276"/>
  </r>
  <r>
    <n v="6712"/>
    <n v="20"/>
    <x v="10"/>
    <n v="0"/>
    <s v="-"/>
    <n v="0"/>
    <s v="-"/>
    <n v="0"/>
    <s v="-"/>
    <n v="794783"/>
    <n v="840742"/>
    <n v="1635525"/>
    <n v="1172425"/>
  </r>
  <r>
    <n v="6712"/>
    <n v="20"/>
    <x v="10"/>
    <n v="2001"/>
    <s v="อำเภอเมืองชลบุรี"/>
    <n v="0"/>
    <s v="-"/>
    <n v="0"/>
    <s v="-"/>
    <n v="22493"/>
    <n v="24077"/>
    <n v="46570"/>
    <n v="29911"/>
  </r>
  <r>
    <n v="6712"/>
    <n v="20"/>
    <x v="10"/>
    <n v="2002"/>
    <s v="อำเภอบ้านบึง"/>
    <n v="0"/>
    <s v="-"/>
    <n v="0"/>
    <s v="-"/>
    <n v="42638"/>
    <n v="44181"/>
    <n v="86819"/>
    <n v="51018"/>
  </r>
  <r>
    <n v="6712"/>
    <n v="20"/>
    <x v="10"/>
    <n v="2003"/>
    <s v="อำเภอหนองใหญ่"/>
    <n v="0"/>
    <s v="-"/>
    <n v="0"/>
    <s v="-"/>
    <n v="7656"/>
    <n v="7659"/>
    <n v="15315"/>
    <n v="7378"/>
  </r>
  <r>
    <n v="6712"/>
    <n v="20"/>
    <x v="10"/>
    <n v="2004"/>
    <s v="อำเภอบางละมุง"/>
    <n v="0"/>
    <s v="-"/>
    <n v="0"/>
    <s v="-"/>
    <n v="15347"/>
    <n v="17433"/>
    <n v="32780"/>
    <n v="20786"/>
  </r>
  <r>
    <n v="6712"/>
    <n v="20"/>
    <x v="10"/>
    <n v="2005"/>
    <s v="อำเภอพานทอง"/>
    <n v="0"/>
    <s v="-"/>
    <n v="0"/>
    <s v="-"/>
    <n v="25755"/>
    <n v="26832"/>
    <n v="52587"/>
    <n v="46495"/>
  </r>
  <r>
    <n v="6712"/>
    <n v="20"/>
    <x v="10"/>
    <n v="2006"/>
    <s v="อำเภอพนัสนิคม"/>
    <n v="0"/>
    <s v="-"/>
    <n v="0"/>
    <s v="-"/>
    <n v="49977"/>
    <n v="53110"/>
    <n v="103087"/>
    <n v="41090"/>
  </r>
  <r>
    <n v="6712"/>
    <n v="20"/>
    <x v="10"/>
    <n v="2007"/>
    <s v="อำเภอศรีราชา"/>
    <n v="0"/>
    <s v="-"/>
    <n v="0"/>
    <s v="-"/>
    <n v="29401"/>
    <n v="29925"/>
    <n v="59326"/>
    <n v="52114"/>
  </r>
  <r>
    <n v="6712"/>
    <n v="20"/>
    <x v="10"/>
    <n v="2009"/>
    <s v="อำเภอสัตหีบ"/>
    <n v="0"/>
    <s v="-"/>
    <n v="0"/>
    <s v="-"/>
    <n v="27158"/>
    <n v="26846"/>
    <n v="54004"/>
    <n v="31247"/>
  </r>
  <r>
    <n v="6712"/>
    <n v="20"/>
    <x v="10"/>
    <n v="2010"/>
    <s v="อำเภอบ่อทอง"/>
    <n v="0"/>
    <s v="-"/>
    <n v="0"/>
    <s v="-"/>
    <n v="19056"/>
    <n v="18862"/>
    <n v="37918"/>
    <n v="14367"/>
  </r>
  <r>
    <n v="6712"/>
    <n v="20"/>
    <x v="10"/>
    <n v="2011"/>
    <s v="อำเภอเกาะจันทร์"/>
    <n v="0"/>
    <s v="-"/>
    <n v="0"/>
    <s v="-"/>
    <n v="14153"/>
    <n v="13166"/>
    <n v="27319"/>
    <n v="9435"/>
  </r>
  <r>
    <n v="6712"/>
    <n v="20"/>
    <x v="10"/>
    <n v="2060"/>
    <s v="ท้องถิ่นเทศบาลตำบลเกล็ดแก้ว"/>
    <n v="0"/>
    <s v="-"/>
    <n v="0"/>
    <s v="-"/>
    <n v="7165"/>
    <n v="5894"/>
    <n v="13059"/>
    <n v="6917"/>
  </r>
  <r>
    <n v="6712"/>
    <n v="20"/>
    <x v="10"/>
    <n v="2061"/>
    <s v="ท้องถิ่นเทศบาลตำบลเขตรอุดมศักดิ์"/>
    <n v="0"/>
    <s v="-"/>
    <n v="0"/>
    <s v="-"/>
    <n v="33905"/>
    <n v="22232"/>
    <n v="56137"/>
    <n v="28758"/>
  </r>
  <r>
    <n v="6712"/>
    <n v="20"/>
    <x v="10"/>
    <n v="2063"/>
    <s v="ท้องถิ่นเทศบาลตำบลหมอนนาง"/>
    <n v="0"/>
    <s v="-"/>
    <n v="0"/>
    <s v="-"/>
    <n v="6514"/>
    <n v="6976"/>
    <n v="13490"/>
    <n v="4920"/>
  </r>
  <r>
    <n v="6712"/>
    <n v="20"/>
    <x v="10"/>
    <n v="2064"/>
    <s v="ท้องถิ่นเทศบาลตำบลตะเคียนเตี้ย"/>
    <n v="0"/>
    <s v="-"/>
    <n v="0"/>
    <s v="-"/>
    <n v="13459"/>
    <n v="14689"/>
    <n v="28148"/>
    <n v="14857"/>
  </r>
  <r>
    <n v="6712"/>
    <n v="20"/>
    <x v="10"/>
    <n v="2065"/>
    <s v="ท้องถิ่นเทศบาลตำบลเสม็ด"/>
    <n v="0"/>
    <s v="-"/>
    <n v="0"/>
    <s v="-"/>
    <n v="10486"/>
    <n v="12746"/>
    <n v="23232"/>
    <n v="17967"/>
  </r>
  <r>
    <n v="6712"/>
    <n v="20"/>
    <x v="10"/>
    <n v="2066"/>
    <s v="ท้องถิ่นเทศบาลตำบลดอนหัวฬ่อ"/>
    <n v="0"/>
    <s v="-"/>
    <n v="0"/>
    <s v="-"/>
    <n v="7086"/>
    <n v="7331"/>
    <n v="14417"/>
    <n v="17176"/>
  </r>
  <r>
    <n v="6712"/>
    <n v="20"/>
    <x v="10"/>
    <n v="2067"/>
    <s v="ท้องถิ่นเทศบาลตำบลห้วยกะปิ"/>
    <n v="0"/>
    <s v="-"/>
    <n v="0"/>
    <s v="-"/>
    <n v="8328"/>
    <n v="9558"/>
    <n v="17886"/>
    <n v="12341"/>
  </r>
  <r>
    <n v="6712"/>
    <n v="20"/>
    <x v="10"/>
    <n v="2068"/>
    <s v="ท้องถิ่นเทศบาลตำบลนาป่า"/>
    <n v="0"/>
    <s v="-"/>
    <n v="0"/>
    <s v="-"/>
    <n v="21229"/>
    <n v="22455"/>
    <n v="43684"/>
    <n v="28247"/>
  </r>
  <r>
    <n v="6712"/>
    <n v="20"/>
    <x v="10"/>
    <n v="2069"/>
    <s v="ท้องถิ่นเทศบาลตำบลหนองไม้แดง"/>
    <n v="0"/>
    <s v="-"/>
    <n v="0"/>
    <s v="-"/>
    <n v="6943"/>
    <n v="6581"/>
    <n v="13524"/>
    <n v="11613"/>
  </r>
  <r>
    <n v="6712"/>
    <n v="20"/>
    <x v="10"/>
    <n v="2070"/>
    <s v="ท้องถิ่นเทศบาลตำบลธาตุทอง"/>
    <n v="0"/>
    <s v="-"/>
    <n v="0"/>
    <s v="-"/>
    <n v="3840"/>
    <n v="3979"/>
    <n v="7819"/>
    <n v="2908"/>
  </r>
  <r>
    <n v="6712"/>
    <n v="20"/>
    <x v="10"/>
    <n v="2071"/>
    <s v="ท้องถิ่นเทศบาลตำบลโป่ง"/>
    <n v="0"/>
    <s v="-"/>
    <n v="0"/>
    <s v="-"/>
    <n v="5858"/>
    <n v="6435"/>
    <n v="12293"/>
    <n v="7634"/>
  </r>
  <r>
    <n v="6712"/>
    <n v="20"/>
    <x v="10"/>
    <n v="2072"/>
    <s v="ท้องถิ่นเทศบาลเมืองหนองปรือ"/>
    <n v="0"/>
    <s v="-"/>
    <n v="0"/>
    <s v="-"/>
    <n v="42168"/>
    <n v="51957"/>
    <n v="94125"/>
    <n v="53868"/>
  </r>
  <r>
    <n v="6712"/>
    <n v="20"/>
    <x v="10"/>
    <n v="2073"/>
    <s v="ท้องถิ่นเทศบาลตำบลท่าบุญมี"/>
    <n v="0"/>
    <s v="-"/>
    <n v="0"/>
    <s v="-"/>
    <n v="3203"/>
    <n v="3417"/>
    <n v="6620"/>
    <n v="4290"/>
  </r>
  <r>
    <n v="6712"/>
    <n v="20"/>
    <x v="10"/>
    <n v="2074"/>
    <s v="ท้องถิ่นเทศบาลตำบลเกาะจันทร์"/>
    <n v="0"/>
    <s v="-"/>
    <n v="0"/>
    <s v="-"/>
    <n v="4307"/>
    <n v="1834"/>
    <n v="6141"/>
    <n v="2211"/>
  </r>
  <r>
    <n v="6712"/>
    <n v="20"/>
    <x v="10"/>
    <n v="2075"/>
    <s v="ท้องถิ่นเทศบาลตำบลบ่อทอง"/>
    <n v="0"/>
    <s v="-"/>
    <n v="0"/>
    <s v="-"/>
    <n v="1956"/>
    <n v="2046"/>
    <n v="4002"/>
    <n v="2230"/>
  </r>
  <r>
    <n v="6712"/>
    <n v="20"/>
    <x v="10"/>
    <n v="2076"/>
    <s v="ท้องถิ่นเทศบาลเมืองสัตหีบ"/>
    <n v="0"/>
    <s v="-"/>
    <n v="0"/>
    <s v="-"/>
    <n v="9895"/>
    <n v="11161"/>
    <n v="21056"/>
    <n v="12297"/>
  </r>
  <r>
    <n v="6712"/>
    <n v="20"/>
    <x v="10"/>
    <n v="2077"/>
    <s v="ท้องถิ่นเทศบาลตำบลบางเสร่"/>
    <n v="0"/>
    <s v="-"/>
    <n v="0"/>
    <s v="-"/>
    <n v="5383"/>
    <n v="6415"/>
    <n v="11798"/>
    <n v="9793"/>
  </r>
  <r>
    <n v="6712"/>
    <n v="20"/>
    <x v="10"/>
    <n v="2078"/>
    <s v="ท้องถิ่นเทศบาลตำบลนาจอมเทียน"/>
    <n v="0"/>
    <s v="-"/>
    <n v="0"/>
    <s v="-"/>
    <n v="3735"/>
    <n v="4112"/>
    <n v="7847"/>
    <n v="17025"/>
  </r>
  <r>
    <n v="6712"/>
    <n v="20"/>
    <x v="10"/>
    <n v="2079"/>
    <s v="ท้องถิ่นเทศบาลตำบลเกาะสีชัง"/>
    <n v="0"/>
    <s v="-"/>
    <n v="0"/>
    <s v="-"/>
    <n v="2298"/>
    <n v="2380"/>
    <n v="4678"/>
    <n v="2317"/>
  </r>
  <r>
    <n v="6712"/>
    <n v="20"/>
    <x v="10"/>
    <n v="2080"/>
    <s v="ท้องถิ่นเทศบาลนครเจ้าพระยาสุรศักดิ์"/>
    <n v="0"/>
    <s v="-"/>
    <n v="0"/>
    <s v="-"/>
    <n v="77981"/>
    <n v="82601"/>
    <n v="160582"/>
    <n v="113075"/>
  </r>
  <r>
    <n v="6712"/>
    <n v="20"/>
    <x v="10"/>
    <n v="2081"/>
    <s v="ท้องถิ่นเทศบาลตำบลบางพระ"/>
    <n v="0"/>
    <s v="-"/>
    <n v="0"/>
    <s v="-"/>
    <n v="6432"/>
    <n v="7125"/>
    <n v="13557"/>
    <n v="8355"/>
  </r>
  <r>
    <n v="6712"/>
    <n v="20"/>
    <x v="10"/>
    <n v="2082"/>
    <s v="ท้องถิ่นเทศบาลตำบลหนองตำลึง"/>
    <n v="0"/>
    <s v="-"/>
    <n v="0"/>
    <s v="-"/>
    <n v="11668"/>
    <n v="12072"/>
    <n v="23740"/>
    <n v="18588"/>
  </r>
  <r>
    <n v="6712"/>
    <n v="20"/>
    <x v="10"/>
    <n v="2083"/>
    <s v="ท้องถิ่นเทศบาลตำบลพานทอง"/>
    <n v="0"/>
    <s v="-"/>
    <n v="0"/>
    <s v="-"/>
    <n v="3170"/>
    <n v="3387"/>
    <n v="6557"/>
    <n v="3906"/>
  </r>
  <r>
    <n v="6712"/>
    <n v="20"/>
    <x v="10"/>
    <n v="2084"/>
    <s v="ท้องถิ่นเทศบาลตำบลห้วยใหญ่"/>
    <n v="0"/>
    <s v="-"/>
    <n v="0"/>
    <s v="-"/>
    <n v="15127"/>
    <n v="17155"/>
    <n v="32282"/>
    <n v="20033"/>
  </r>
  <r>
    <n v="6712"/>
    <n v="20"/>
    <x v="10"/>
    <n v="2085"/>
    <s v="ท้องถิ่นเทศบาลตำบลบางละมุง"/>
    <n v="0"/>
    <s v="-"/>
    <n v="0"/>
    <s v="-"/>
    <n v="6429"/>
    <n v="7139"/>
    <n v="13568"/>
    <n v="9373"/>
  </r>
  <r>
    <n v="6712"/>
    <n v="20"/>
    <x v="10"/>
    <n v="2086"/>
    <s v="ท้องถิ่นเทศบาลตำบลหนองใหญ่"/>
    <n v="0"/>
    <s v="-"/>
    <n v="0"/>
    <s v="-"/>
    <n v="4426"/>
    <n v="4245"/>
    <n v="8671"/>
    <n v="3999"/>
  </r>
  <r>
    <n v="6712"/>
    <n v="20"/>
    <x v="10"/>
    <n v="2087"/>
    <s v="ท้องถิ่นเทศบาลตำบลหัวกุญแจ"/>
    <n v="0"/>
    <s v="-"/>
    <n v="0"/>
    <s v="-"/>
    <n v="1612"/>
    <n v="1820"/>
    <n v="3432"/>
    <n v="2221"/>
  </r>
  <r>
    <n v="6712"/>
    <n v="20"/>
    <x v="10"/>
    <n v="2088"/>
    <s v="ท้องถิ่นเทศบาลตำบลหนองไผ่แก้ว"/>
    <n v="0"/>
    <s v="-"/>
    <n v="0"/>
    <s v="-"/>
    <n v="1089"/>
    <n v="1168"/>
    <n v="2257"/>
    <n v="1662"/>
  </r>
  <r>
    <n v="6712"/>
    <n v="20"/>
    <x v="10"/>
    <n v="2089"/>
    <s v="ท้องถิ่นเทศบาลเมืองอ่างศิลา"/>
    <n v="0"/>
    <s v="-"/>
    <n v="0"/>
    <s v="-"/>
    <n v="17287"/>
    <n v="20307"/>
    <n v="37594"/>
    <n v="23259"/>
  </r>
  <r>
    <n v="6712"/>
    <n v="20"/>
    <x v="10"/>
    <n v="2090"/>
    <s v="ท้องถิ่นเทศบาลเมืองบ้านสวน"/>
    <n v="0"/>
    <s v="-"/>
    <n v="0"/>
    <s v="-"/>
    <n v="34340"/>
    <n v="34817"/>
    <n v="69157"/>
    <n v="46736"/>
  </r>
  <r>
    <n v="6712"/>
    <n v="20"/>
    <x v="10"/>
    <n v="2091"/>
    <s v="ท้องถิ่นเทศบาลตำบลบางทราย"/>
    <n v="0"/>
    <s v="-"/>
    <n v="0"/>
    <s v="-"/>
    <n v="6043"/>
    <n v="4893"/>
    <n v="10936"/>
    <n v="7492"/>
  </r>
  <r>
    <n v="6712"/>
    <n v="20"/>
    <x v="10"/>
    <n v="2092"/>
    <s v="ท้องถิ่นเทศบาลตำบลคลองตำหรุ"/>
    <n v="0"/>
    <s v="-"/>
    <n v="0"/>
    <s v="-"/>
    <n v="2200"/>
    <n v="2480"/>
    <n v="4680"/>
    <n v="7403"/>
  </r>
  <r>
    <n v="6712"/>
    <n v="20"/>
    <x v="10"/>
    <n v="2093"/>
    <s v="ท้องถิ่นเทศบาลนครแหลมฉบัง"/>
    <n v="0"/>
    <s v="-"/>
    <n v="0"/>
    <s v="-"/>
    <n v="45951"/>
    <n v="47715"/>
    <n v="93666"/>
    <n v="86790"/>
  </r>
  <r>
    <n v="6712"/>
    <n v="20"/>
    <x v="10"/>
    <n v="2094"/>
    <s v="ท้องถิ่นเทศบาลเมืองแสนสุข"/>
    <n v="0"/>
    <s v="-"/>
    <n v="0"/>
    <s v="-"/>
    <n v="21544"/>
    <n v="24848"/>
    <n v="46392"/>
    <n v="41230"/>
  </r>
  <r>
    <n v="6712"/>
    <n v="20"/>
    <x v="10"/>
    <n v="2095"/>
    <s v="ท้องถิ่นเทศบาลเมืองบ้านบึง"/>
    <n v="0"/>
    <s v="-"/>
    <n v="0"/>
    <s v="-"/>
    <n v="9017"/>
    <n v="10324"/>
    <n v="19341"/>
    <n v="10935"/>
  </r>
  <r>
    <n v="6712"/>
    <n v="20"/>
    <x v="10"/>
    <n v="2096"/>
    <s v="ท้องถิ่นเมืองพัทยา"/>
    <n v="0"/>
    <s v="-"/>
    <n v="0"/>
    <s v="-"/>
    <n v="53005"/>
    <n v="63499"/>
    <n v="116504"/>
    <n v="179568"/>
  </r>
  <r>
    <n v="6712"/>
    <n v="20"/>
    <x v="10"/>
    <n v="2097"/>
    <s v="ท้องถิ่นเทศบาลเมืองศรีราชา"/>
    <n v="0"/>
    <s v="-"/>
    <n v="0"/>
    <s v="-"/>
    <n v="10949"/>
    <n v="13692"/>
    <n v="24641"/>
    <n v="8991"/>
  </r>
  <r>
    <n v="6712"/>
    <n v="20"/>
    <x v="10"/>
    <n v="2098"/>
    <s v="ท้องถิ่นเทศบาลเมืองพนัสนิคม"/>
    <n v="0"/>
    <s v="-"/>
    <n v="0"/>
    <s v="-"/>
    <n v="4453"/>
    <n v="5271"/>
    <n v="9724"/>
    <n v="5093"/>
  </r>
  <r>
    <n v="6712"/>
    <n v="20"/>
    <x v="10"/>
    <n v="2099"/>
    <s v="ท้องถิ่นเทศบาลเมืองชลบุรี"/>
    <n v="0"/>
    <s v="-"/>
    <n v="0"/>
    <s v="-"/>
    <n v="10668"/>
    <n v="11895"/>
    <n v="22563"/>
    <n v="12506"/>
  </r>
  <r>
    <n v="6712"/>
    <n v="21"/>
    <x v="11"/>
    <n v="0"/>
    <s v="-"/>
    <n v="0"/>
    <s v="-"/>
    <n v="0"/>
    <s v="-"/>
    <n v="382979"/>
    <n v="399192"/>
    <n v="782171"/>
    <n v="578414"/>
  </r>
  <r>
    <n v="6712"/>
    <n v="21"/>
    <x v="11"/>
    <n v="2101"/>
    <s v="อำเภอเมืองระยอง"/>
    <n v="0"/>
    <s v="-"/>
    <n v="0"/>
    <s v="-"/>
    <n v="51178"/>
    <n v="53322"/>
    <n v="104500"/>
    <n v="70408"/>
  </r>
  <r>
    <n v="6712"/>
    <n v="21"/>
    <x v="11"/>
    <n v="2102"/>
    <s v="อำเภอบ้านฉาง"/>
    <n v="0"/>
    <s v="-"/>
    <n v="0"/>
    <s v="-"/>
    <n v="5662"/>
    <n v="5371"/>
    <n v="11033"/>
    <n v="5459"/>
  </r>
  <r>
    <n v="6712"/>
    <n v="21"/>
    <x v="11"/>
    <n v="2103"/>
    <s v="อำเภอแกลง"/>
    <n v="0"/>
    <s v="-"/>
    <n v="0"/>
    <s v="-"/>
    <n v="32450"/>
    <n v="35036"/>
    <n v="67486"/>
    <n v="33340"/>
  </r>
  <r>
    <n v="6712"/>
    <n v="21"/>
    <x v="11"/>
    <n v="2104"/>
    <s v="อำเภอวังจันทร์"/>
    <n v="0"/>
    <s v="-"/>
    <n v="0"/>
    <s v="-"/>
    <n v="11121"/>
    <n v="11172"/>
    <n v="22293"/>
    <n v="11834"/>
  </r>
  <r>
    <n v="6712"/>
    <n v="21"/>
    <x v="11"/>
    <n v="2105"/>
    <s v="อำเภอบ้านค่าย"/>
    <n v="0"/>
    <s v="-"/>
    <n v="0"/>
    <s v="-"/>
    <n v="34112"/>
    <n v="35903"/>
    <n v="70015"/>
    <n v="39451"/>
  </r>
  <r>
    <n v="6712"/>
    <n v="21"/>
    <x v="11"/>
    <n v="2106"/>
    <s v="อำเภอปลวกแดง"/>
    <n v="0"/>
    <s v="-"/>
    <n v="0"/>
    <s v="-"/>
    <n v="42285"/>
    <n v="41383"/>
    <n v="83668"/>
    <n v="116865"/>
  </r>
  <r>
    <n v="6712"/>
    <n v="21"/>
    <x v="11"/>
    <n v="2107"/>
    <s v="อำเภอเขาชะเมา"/>
    <n v="0"/>
    <s v="-"/>
    <n v="0"/>
    <s v="-"/>
    <n v="11672"/>
    <n v="11906"/>
    <n v="23578"/>
    <n v="11651"/>
  </r>
  <r>
    <n v="6712"/>
    <n v="21"/>
    <x v="11"/>
    <n v="2108"/>
    <s v="อำเภอนิคมพัฒนา"/>
    <n v="0"/>
    <s v="-"/>
    <n v="0"/>
    <s v="-"/>
    <n v="13056"/>
    <n v="13119"/>
    <n v="26175"/>
    <n v="23199"/>
  </r>
  <r>
    <n v="6712"/>
    <n v="21"/>
    <x v="11"/>
    <n v="2177"/>
    <s v="ท้องถิ่นเทศบาลตำบลพลา"/>
    <n v="0"/>
    <s v="-"/>
    <n v="0"/>
    <s v="-"/>
    <n v="4372"/>
    <n v="4360"/>
    <n v="8732"/>
    <n v="5900"/>
  </r>
  <r>
    <n v="6712"/>
    <n v="21"/>
    <x v="11"/>
    <n v="2178"/>
    <s v="ท้องถิ่นเทศบาลตำบลเนินฆ้อ"/>
    <n v="0"/>
    <s v="-"/>
    <n v="0"/>
    <s v="-"/>
    <n v="2216"/>
    <n v="2345"/>
    <n v="4561"/>
    <n v="2084"/>
  </r>
  <r>
    <n v="6712"/>
    <n v="21"/>
    <x v="11"/>
    <n v="2179"/>
    <s v="ท้องถิ่นเทศบาลตำบลทับมา"/>
    <n v="0"/>
    <s v="-"/>
    <n v="0"/>
    <s v="-"/>
    <n v="12917"/>
    <n v="13219"/>
    <n v="26136"/>
    <n v="18648"/>
  </r>
  <r>
    <n v="6712"/>
    <n v="21"/>
    <x v="11"/>
    <n v="2180"/>
    <s v="ท้องถิ่นเทศบาลตำบลบ้านนา"/>
    <n v="0"/>
    <s v="-"/>
    <n v="0"/>
    <s v="-"/>
    <n v="4213"/>
    <n v="4435"/>
    <n v="8648"/>
    <n v="3640"/>
  </r>
  <r>
    <n v="6712"/>
    <n v="21"/>
    <x v="11"/>
    <n v="2181"/>
    <s v="ท้องถิ่นเทศบาลตำบลมาบข่าพัฒนา"/>
    <n v="0"/>
    <s v="-"/>
    <n v="0"/>
    <s v="-"/>
    <n v="6037"/>
    <n v="6055"/>
    <n v="12092"/>
    <n v="8827"/>
  </r>
  <r>
    <n v="6712"/>
    <n v="21"/>
    <x v="11"/>
    <n v="2182"/>
    <s v="ท้องถิ่นเทศบาลตำบลบ้านฉาง"/>
    <n v="0"/>
    <s v="-"/>
    <n v="0"/>
    <s v="-"/>
    <n v="8261"/>
    <n v="8675"/>
    <n v="16936"/>
    <n v="10242"/>
  </r>
  <r>
    <n v="6712"/>
    <n v="21"/>
    <x v="11"/>
    <n v="2183"/>
    <s v="ท้องถิ่นเทศบาลตำบลมะขามคู่"/>
    <n v="0"/>
    <s v="-"/>
    <n v="0"/>
    <s v="-"/>
    <n v="7660"/>
    <n v="7729"/>
    <n v="15389"/>
    <n v="14410"/>
  </r>
  <r>
    <n v="6712"/>
    <n v="21"/>
    <x v="11"/>
    <n v="2184"/>
    <s v="ท้องถิ่นเทศบาลตำบลนิคมพัฒนา"/>
    <n v="0"/>
    <s v="-"/>
    <n v="0"/>
    <s v="-"/>
    <n v="5742"/>
    <n v="5698"/>
    <n v="11440"/>
    <n v="9067"/>
  </r>
  <r>
    <n v="6712"/>
    <n v="21"/>
    <x v="11"/>
    <n v="2185"/>
    <s v="ท้องถิ่นเทศบาลตำบลบ้านปลวกแดง"/>
    <n v="0"/>
    <s v="-"/>
    <n v="0"/>
    <s v="-"/>
    <n v="2601"/>
    <n v="2969"/>
    <n v="5570"/>
    <n v="4609"/>
  </r>
  <r>
    <n v="6712"/>
    <n v="21"/>
    <x v="11"/>
    <n v="2186"/>
    <s v="ท้องถิ่นเทศบาลตำบลจอมพลเจ้าพระยา"/>
    <n v="0"/>
    <s v="-"/>
    <n v="0"/>
    <s v="-"/>
    <n v="204"/>
    <n v="189"/>
    <n v="393"/>
    <n v="620"/>
  </r>
  <r>
    <n v="6712"/>
    <n v="21"/>
    <x v="11"/>
    <n v="2187"/>
    <s v="ท้องถิ่นเทศบาลตำบลบ้านค่าย"/>
    <n v="0"/>
    <s v="-"/>
    <n v="0"/>
    <s v="-"/>
    <n v="1621"/>
    <n v="1768"/>
    <n v="3389"/>
    <n v="2183"/>
  </r>
  <r>
    <n v="6712"/>
    <n v="21"/>
    <x v="11"/>
    <n v="2188"/>
    <s v="ท้องถิ่นเทศบาลตำบลชุมแสง"/>
    <n v="0"/>
    <s v="-"/>
    <n v="0"/>
    <s v="-"/>
    <n v="1820"/>
    <n v="1896"/>
    <n v="3716"/>
    <n v="2499"/>
  </r>
  <r>
    <n v="6712"/>
    <n v="21"/>
    <x v="11"/>
    <n v="2189"/>
    <s v="ท้องถิ่นเทศบาลตำบลสุนทรภู่"/>
    <n v="0"/>
    <s v="-"/>
    <n v="0"/>
    <s v="-"/>
    <n v="7189"/>
    <n v="7983"/>
    <n v="15172"/>
    <n v="10601"/>
  </r>
  <r>
    <n v="6712"/>
    <n v="21"/>
    <x v="11"/>
    <n v="2190"/>
    <s v="ท้องถิ่นเทศบาลตำบลปากน้ำประแส"/>
    <n v="0"/>
    <s v="-"/>
    <n v="0"/>
    <s v="-"/>
    <n v="2242"/>
    <n v="2378"/>
    <n v="4620"/>
    <n v="2113"/>
  </r>
  <r>
    <n v="6712"/>
    <n v="21"/>
    <x v="11"/>
    <n v="2191"/>
    <s v="ท้องถิ่นเทศบาลตำบลทุ่งควายกิน"/>
    <n v="0"/>
    <s v="-"/>
    <n v="0"/>
    <s v="-"/>
    <n v="3075"/>
    <n v="3418"/>
    <n v="6493"/>
    <n v="4223"/>
  </r>
  <r>
    <n v="6712"/>
    <n v="21"/>
    <x v="11"/>
    <n v="2192"/>
    <s v="ท้องถิ่นเทศบาลตำบลกองดิน"/>
    <n v="0"/>
    <s v="-"/>
    <n v="0"/>
    <s v="-"/>
    <n v="2322"/>
    <n v="2368"/>
    <n v="4690"/>
    <n v="1919"/>
  </r>
  <r>
    <n v="6712"/>
    <n v="21"/>
    <x v="11"/>
    <n v="2193"/>
    <s v="ท้องถิ่นเทศบาลตำบลสำนักท้อน"/>
    <n v="0"/>
    <s v="-"/>
    <n v="0"/>
    <s v="-"/>
    <n v="5589"/>
    <n v="5791"/>
    <n v="11380"/>
    <n v="6402"/>
  </r>
  <r>
    <n v="6712"/>
    <n v="21"/>
    <x v="11"/>
    <n v="2194"/>
    <s v="ท้องถิ่นเทศบาลเมืองบ้านฉาง"/>
    <n v="0"/>
    <s v="-"/>
    <n v="0"/>
    <s v="-"/>
    <n v="15485"/>
    <n v="16505"/>
    <n v="31990"/>
    <n v="22168"/>
  </r>
  <r>
    <n v="6712"/>
    <n v="21"/>
    <x v="11"/>
    <n v="2195"/>
    <s v="ท้องถิ่นเทศบาลตำบลบ้านเพ"/>
    <n v="0"/>
    <s v="-"/>
    <n v="0"/>
    <s v="-"/>
    <n v="8625"/>
    <n v="9571"/>
    <n v="18196"/>
    <n v="12698"/>
  </r>
  <r>
    <n v="6712"/>
    <n v="21"/>
    <x v="11"/>
    <n v="2196"/>
    <s v="ท้องถิ่นเทศบาลตำบลแกลงกะเฉด"/>
    <n v="0"/>
    <s v="-"/>
    <n v="0"/>
    <s v="-"/>
    <n v="3427"/>
    <n v="3724"/>
    <n v="7151"/>
    <n v="3567"/>
  </r>
  <r>
    <n v="6712"/>
    <n v="21"/>
    <x v="11"/>
    <n v="2197"/>
    <s v="ท้องถิ่นเทศบาลเมืองมาบตาพุด"/>
    <n v="0"/>
    <s v="-"/>
    <n v="0"/>
    <s v="-"/>
    <n v="39769"/>
    <n v="40004"/>
    <n v="79773"/>
    <n v="69179"/>
  </r>
  <r>
    <n v="6712"/>
    <n v="21"/>
    <x v="11"/>
    <n v="2198"/>
    <s v="ท้องถิ่นเทศบาลตำบลเมืองแกลง"/>
    <n v="0"/>
    <s v="-"/>
    <n v="0"/>
    <s v="-"/>
    <n v="8647"/>
    <n v="9695"/>
    <n v="18342"/>
    <n v="12071"/>
  </r>
  <r>
    <n v="6712"/>
    <n v="21"/>
    <x v="11"/>
    <n v="2199"/>
    <s v="ท้องถิ่นเทศบาลนครระยอง"/>
    <n v="0"/>
    <s v="-"/>
    <n v="0"/>
    <s v="-"/>
    <n v="27409"/>
    <n v="31205"/>
    <n v="58614"/>
    <n v="38537"/>
  </r>
  <r>
    <n v="6712"/>
    <n v="22"/>
    <x v="12"/>
    <n v="0"/>
    <s v="-"/>
    <n v="0"/>
    <s v="-"/>
    <n v="0"/>
    <s v="-"/>
    <n v="261555"/>
    <n v="274833"/>
    <n v="536388"/>
    <n v="261649"/>
  </r>
  <r>
    <n v="6712"/>
    <n v="22"/>
    <x v="12"/>
    <n v="2201"/>
    <s v="อำเภอเมืองจันทบุรี"/>
    <n v="0"/>
    <s v="-"/>
    <n v="0"/>
    <s v="-"/>
    <n v="23026"/>
    <n v="25609"/>
    <n v="48635"/>
    <n v="24450"/>
  </r>
  <r>
    <n v="6712"/>
    <n v="22"/>
    <x v="12"/>
    <n v="2202"/>
    <s v="อำเภอขลุง"/>
    <n v="0"/>
    <s v="-"/>
    <n v="0"/>
    <s v="-"/>
    <n v="12459"/>
    <n v="13001"/>
    <n v="25460"/>
    <n v="10815"/>
  </r>
  <r>
    <n v="6712"/>
    <n v="22"/>
    <x v="12"/>
    <n v="2203"/>
    <s v="อำเภอท่าใหม่"/>
    <n v="0"/>
    <s v="-"/>
    <n v="0"/>
    <s v="-"/>
    <n v="23241"/>
    <n v="24302"/>
    <n v="47543"/>
    <n v="19239"/>
  </r>
  <r>
    <n v="6712"/>
    <n v="22"/>
    <x v="12"/>
    <n v="2204"/>
    <s v="อำเภอโป่งน้ำร้อน"/>
    <n v="0"/>
    <s v="-"/>
    <n v="0"/>
    <s v="-"/>
    <n v="11005"/>
    <n v="10527"/>
    <n v="21532"/>
    <n v="9196"/>
  </r>
  <r>
    <n v="6712"/>
    <n v="22"/>
    <x v="12"/>
    <n v="2205"/>
    <s v="อำเภอมะขาม"/>
    <n v="0"/>
    <s v="-"/>
    <n v="0"/>
    <s v="-"/>
    <n v="15269"/>
    <n v="15915"/>
    <n v="31184"/>
    <n v="14383"/>
  </r>
  <r>
    <n v="6712"/>
    <n v="22"/>
    <x v="12"/>
    <n v="2206"/>
    <s v="อำเภอแหลมสิงห์"/>
    <n v="0"/>
    <s v="-"/>
    <n v="0"/>
    <s v="-"/>
    <n v="6763"/>
    <n v="7084"/>
    <n v="13847"/>
    <n v="5522"/>
  </r>
  <r>
    <n v="6712"/>
    <n v="22"/>
    <x v="12"/>
    <n v="2207"/>
    <s v="อำเภอสอยดาว"/>
    <n v="0"/>
    <s v="-"/>
    <n v="0"/>
    <s v="-"/>
    <n v="18607"/>
    <n v="18346"/>
    <n v="36953"/>
    <n v="15547"/>
  </r>
  <r>
    <n v="6712"/>
    <n v="22"/>
    <x v="12"/>
    <n v="2208"/>
    <s v="อำเภอแก่งหางแมว"/>
    <n v="0"/>
    <s v="-"/>
    <n v="0"/>
    <s v="-"/>
    <n v="21455"/>
    <n v="21366"/>
    <n v="42821"/>
    <n v="22728"/>
  </r>
  <r>
    <n v="6712"/>
    <n v="22"/>
    <x v="12"/>
    <n v="2209"/>
    <s v="อำเภอนายายอาม"/>
    <n v="0"/>
    <s v="-"/>
    <n v="0"/>
    <s v="-"/>
    <n v="14890"/>
    <n v="15938"/>
    <n v="30828"/>
    <n v="12712"/>
  </r>
  <r>
    <n v="6712"/>
    <n v="22"/>
    <x v="12"/>
    <n v="2210"/>
    <s v="อำเภอเขาคิชฌกูฏ"/>
    <n v="0"/>
    <s v="-"/>
    <n v="0"/>
    <s v="-"/>
    <n v="6325"/>
    <n v="6530"/>
    <n v="12855"/>
    <n v="5863"/>
  </r>
  <r>
    <n v="6712"/>
    <n v="22"/>
    <x v="12"/>
    <n v="2272"/>
    <s v="ท้องถิ่นเทศบาลตำบลเขาบายศรี"/>
    <n v="0"/>
    <s v="-"/>
    <n v="0"/>
    <s v="-"/>
    <n v="3061"/>
    <n v="3218"/>
    <n v="6279"/>
    <n v="2658"/>
  </r>
  <r>
    <n v="6712"/>
    <n v="22"/>
    <x v="12"/>
    <n v="2273"/>
    <s v="ท้องถิ่นเทศบาลตำบลคลองใหญ่"/>
    <n v="0"/>
    <s v="-"/>
    <n v="0"/>
    <s v="-"/>
    <n v="2698"/>
    <n v="2710"/>
    <n v="5408"/>
    <n v="2192"/>
  </r>
  <r>
    <n v="6712"/>
    <n v="22"/>
    <x v="12"/>
    <n v="2274"/>
    <s v="ท้องถิ่นเทศบาลตำบลหนองตาคง"/>
    <n v="0"/>
    <s v="-"/>
    <n v="0"/>
    <s v="-"/>
    <n v="5206"/>
    <n v="4960"/>
    <n v="10166"/>
    <n v="4188"/>
  </r>
  <r>
    <n v="6712"/>
    <n v="22"/>
    <x v="12"/>
    <n v="2275"/>
    <s v="ท้องถิ่นเทศบาลตำบลตกพรม"/>
    <n v="0"/>
    <s v="-"/>
    <n v="0"/>
    <s v="-"/>
    <n v="1980"/>
    <n v="2143"/>
    <n v="4123"/>
    <n v="1710"/>
  </r>
  <r>
    <n v="6712"/>
    <n v="22"/>
    <x v="12"/>
    <n v="2276"/>
    <s v="ท้องถิ่นเทศบาลตำบลเกวียนหัก"/>
    <n v="0"/>
    <s v="-"/>
    <n v="0"/>
    <s v="-"/>
    <n v="2152"/>
    <n v="2503"/>
    <n v="4655"/>
    <n v="2384"/>
  </r>
  <r>
    <n v="6712"/>
    <n v="22"/>
    <x v="12"/>
    <n v="2277"/>
    <s v="ท้องถิ่นเทศบาลตำบลบ่อ"/>
    <n v="0"/>
    <s v="-"/>
    <n v="0"/>
    <s v="-"/>
    <n v="3443"/>
    <n v="3621"/>
    <n v="7064"/>
    <n v="2912"/>
  </r>
  <r>
    <n v="6712"/>
    <n v="22"/>
    <x v="12"/>
    <n v="2278"/>
    <s v="ท้องถิ่นเทศบาลตำบลชากไทย"/>
    <n v="0"/>
    <s v="-"/>
    <n v="0"/>
    <s v="-"/>
    <n v="2133"/>
    <n v="2259"/>
    <n v="4392"/>
    <n v="1974"/>
  </r>
  <r>
    <n v="6712"/>
    <n v="22"/>
    <x v="12"/>
    <n v="2279"/>
    <s v="ท้องถิ่นเทศบาลตำบลตะเคียนทอง"/>
    <n v="0"/>
    <s v="-"/>
    <n v="0"/>
    <s v="-"/>
    <n v="2388"/>
    <n v="2354"/>
    <n v="4742"/>
    <n v="1931"/>
  </r>
  <r>
    <n v="6712"/>
    <n v="22"/>
    <x v="12"/>
    <n v="2280"/>
    <s v="ท้องถิ่นเทศบาลตำบลเกาะขวาง"/>
    <n v="0"/>
    <s v="-"/>
    <n v="0"/>
    <s v="-"/>
    <n v="8557"/>
    <n v="9548"/>
    <n v="18105"/>
    <n v="9022"/>
  </r>
  <r>
    <n v="6712"/>
    <n v="22"/>
    <x v="12"/>
    <n v="2281"/>
    <s v="ท้องถิ่นเทศบาลตำบลบ่อเวฬุ"/>
    <n v="0"/>
    <s v="-"/>
    <n v="0"/>
    <s v="-"/>
    <n v="2269"/>
    <n v="2118"/>
    <n v="4387"/>
    <n v="2720"/>
  </r>
  <r>
    <n v="6712"/>
    <n v="22"/>
    <x v="12"/>
    <n v="2282"/>
    <s v="ท้องถิ่นเทศบาลตำบลพลวง"/>
    <n v="0"/>
    <s v="-"/>
    <n v="0"/>
    <s v="-"/>
    <n v="3576"/>
    <n v="3776"/>
    <n v="7352"/>
    <n v="4364"/>
  </r>
  <r>
    <n v="6712"/>
    <n v="22"/>
    <x v="12"/>
    <n v="2283"/>
    <s v="ท้องถิ่นเทศบาลตำบลทับช้าง"/>
    <n v="0"/>
    <s v="-"/>
    <n v="0"/>
    <s v="-"/>
    <n v="8098"/>
    <n v="8078"/>
    <n v="16176"/>
    <n v="6331"/>
  </r>
  <r>
    <n v="6712"/>
    <n v="22"/>
    <x v="12"/>
    <n v="2284"/>
    <s v="ท้องถิ่นเทศบาลตำบลนายายอาม"/>
    <n v="0"/>
    <s v="-"/>
    <n v="0"/>
    <s v="-"/>
    <n v="1605"/>
    <n v="1796"/>
    <n v="3401"/>
    <n v="2034"/>
  </r>
  <r>
    <n v="6712"/>
    <n v="22"/>
    <x v="12"/>
    <n v="2285"/>
    <s v="ท้องถิ่นเทศบาลตำบลสอยดาว"/>
    <n v="0"/>
    <s v="-"/>
    <n v="0"/>
    <s v="-"/>
    <n v="5505"/>
    <n v="5703"/>
    <n v="11208"/>
    <n v="6611"/>
  </r>
  <r>
    <n v="6712"/>
    <n v="22"/>
    <x v="12"/>
    <n v="2286"/>
    <s v="ท้องถิ่นเทศบาลตำบลพลิ้ว"/>
    <n v="0"/>
    <s v="-"/>
    <n v="0"/>
    <s v="-"/>
    <n v="3198"/>
    <n v="3687"/>
    <n v="6885"/>
    <n v="3243"/>
  </r>
  <r>
    <n v="6712"/>
    <n v="22"/>
    <x v="12"/>
    <n v="2287"/>
    <s v="ท้องถิ่นเทศบาลตำบลปากน้ำแหลมสิงห์"/>
    <n v="0"/>
    <s v="-"/>
    <n v="0"/>
    <s v="-"/>
    <n v="4108"/>
    <n v="4368"/>
    <n v="8476"/>
    <n v="3543"/>
  </r>
  <r>
    <n v="6712"/>
    <n v="22"/>
    <x v="12"/>
    <n v="2288"/>
    <s v="ท้องถิ่นเทศบาลตำบลมะขาม"/>
    <n v="0"/>
    <s v="-"/>
    <n v="0"/>
    <s v="-"/>
    <n v="784"/>
    <n v="897"/>
    <n v="1681"/>
    <n v="1041"/>
  </r>
  <r>
    <n v="6712"/>
    <n v="22"/>
    <x v="12"/>
    <n v="2289"/>
    <s v="ท้องถิ่นเทศบาลตำบลโป่งน้ำร้อน"/>
    <n v="0"/>
    <s v="-"/>
    <n v="0"/>
    <s v="-"/>
    <n v="5129"/>
    <n v="4292"/>
    <n v="9421"/>
    <n v="4492"/>
  </r>
  <r>
    <n v="6712"/>
    <n v="22"/>
    <x v="12"/>
    <n v="2290"/>
    <s v="ท้องถิ่นเทศบาลตำบลหนองคล้า"/>
    <n v="0"/>
    <s v="-"/>
    <n v="0"/>
    <s v="-"/>
    <n v="1752"/>
    <n v="1963"/>
    <n v="3715"/>
    <n v="2249"/>
  </r>
  <r>
    <n v="6712"/>
    <n v="22"/>
    <x v="12"/>
    <n v="2291"/>
    <s v="ท้องถิ่นเทศบาลตำบลเนินสูง"/>
    <n v="0"/>
    <s v="-"/>
    <n v="0"/>
    <s v="-"/>
    <n v="1481"/>
    <n v="1567"/>
    <n v="3048"/>
    <n v="1789"/>
  </r>
  <r>
    <n v="6712"/>
    <n v="22"/>
    <x v="12"/>
    <n v="2292"/>
    <s v="ท้องถิ่นเทศบาลตำบลหนองบัว"/>
    <n v="0"/>
    <s v="-"/>
    <n v="0"/>
    <s v="-"/>
    <n v="998"/>
    <n v="1152"/>
    <n v="2150"/>
    <n v="992"/>
  </r>
  <r>
    <n v="6712"/>
    <n v="22"/>
    <x v="12"/>
    <n v="2293"/>
    <s v="ท้องถิ่นเทศบาลตำบลพลับพลานารายณ์"/>
    <n v="0"/>
    <s v="-"/>
    <n v="0"/>
    <s v="-"/>
    <n v="4859"/>
    <n v="5430"/>
    <n v="10289"/>
    <n v="6832"/>
  </r>
  <r>
    <n v="6712"/>
    <n v="22"/>
    <x v="12"/>
    <n v="2294"/>
    <s v="ท้องถิ่นเทศบาลตำบลบางกะจะ"/>
    <n v="0"/>
    <s v="-"/>
    <n v="0"/>
    <s v="-"/>
    <n v="2474"/>
    <n v="2669"/>
    <n v="5143"/>
    <n v="2333"/>
  </r>
  <r>
    <n v="6712"/>
    <n v="22"/>
    <x v="12"/>
    <n v="2295"/>
    <s v="ท้องถิ่นเทศบาลเมืองท่าช้าง"/>
    <n v="0"/>
    <s v="-"/>
    <n v="0"/>
    <s v="-"/>
    <n v="6468"/>
    <n v="7637"/>
    <n v="14105"/>
    <n v="11403"/>
  </r>
  <r>
    <n v="6712"/>
    <n v="22"/>
    <x v="12"/>
    <n v="2296"/>
    <s v="ท้องถิ่นเทศบาลเมืองจันทนิมิต"/>
    <n v="0"/>
    <s v="-"/>
    <n v="0"/>
    <s v="-"/>
    <n v="5342"/>
    <n v="6103"/>
    <n v="11445"/>
    <n v="8015"/>
  </r>
  <r>
    <n v="6712"/>
    <n v="22"/>
    <x v="12"/>
    <n v="2297"/>
    <s v="ท้องถิ่นเทศบาลเมืองขลุง"/>
    <n v="0"/>
    <s v="-"/>
    <n v="0"/>
    <s v="-"/>
    <n v="4701"/>
    <n v="5359"/>
    <n v="10060"/>
    <n v="4339"/>
  </r>
  <r>
    <n v="6712"/>
    <n v="22"/>
    <x v="12"/>
    <n v="2298"/>
    <s v="ท้องถิ่นเทศบาลเมืองท่าใหม่"/>
    <n v="0"/>
    <s v="-"/>
    <n v="0"/>
    <s v="-"/>
    <n v="4611"/>
    <n v="5299"/>
    <n v="9910"/>
    <n v="4826"/>
  </r>
  <r>
    <n v="6712"/>
    <n v="22"/>
    <x v="12"/>
    <n v="2299"/>
    <s v="ท้องถิ่นเทศบาลเมืองจันทบุรี"/>
    <n v="0"/>
    <s v="-"/>
    <n v="0"/>
    <s v="-"/>
    <n v="9939"/>
    <n v="11005"/>
    <n v="20944"/>
    <n v="15066"/>
  </r>
  <r>
    <n v="6712"/>
    <n v="23"/>
    <x v="13"/>
    <n v="0"/>
    <s v="-"/>
    <n v="0"/>
    <s v="-"/>
    <n v="0"/>
    <s v="-"/>
    <n v="111893"/>
    <n v="114624"/>
    <n v="226517"/>
    <n v="114393"/>
  </r>
  <r>
    <n v="6712"/>
    <n v="23"/>
    <x v="13"/>
    <n v="2301"/>
    <s v="อำเภอเมืองตราด"/>
    <n v="0"/>
    <s v="-"/>
    <n v="0"/>
    <s v="-"/>
    <n v="36036"/>
    <n v="38610"/>
    <n v="74646"/>
    <n v="37597"/>
  </r>
  <r>
    <n v="6712"/>
    <n v="23"/>
    <x v="13"/>
    <n v="2302"/>
    <s v="อำเภอคลองใหญ่"/>
    <n v="0"/>
    <s v="-"/>
    <n v="0"/>
    <s v="-"/>
    <n v="7294"/>
    <n v="7120"/>
    <n v="14414"/>
    <n v="5664"/>
  </r>
  <r>
    <n v="6712"/>
    <n v="23"/>
    <x v="13"/>
    <n v="2303"/>
    <s v="อำเภอเขาสมิง"/>
    <n v="0"/>
    <s v="-"/>
    <n v="0"/>
    <s v="-"/>
    <n v="19764"/>
    <n v="20058"/>
    <n v="39822"/>
    <n v="18700"/>
  </r>
  <r>
    <n v="6712"/>
    <n v="23"/>
    <x v="13"/>
    <n v="2304"/>
    <s v="อำเภอบ่อไร่"/>
    <n v="0"/>
    <s v="-"/>
    <n v="0"/>
    <s v="-"/>
    <n v="9508"/>
    <n v="9034"/>
    <n v="18542"/>
    <n v="7901"/>
  </r>
  <r>
    <n v="6712"/>
    <n v="23"/>
    <x v="13"/>
    <n v="2305"/>
    <s v="อำเภอแหลมงอบ"/>
    <n v="0"/>
    <s v="-"/>
    <n v="0"/>
    <s v="-"/>
    <n v="7335"/>
    <n v="7031"/>
    <n v="14366"/>
    <n v="6172"/>
  </r>
  <r>
    <n v="6712"/>
    <n v="23"/>
    <x v="13"/>
    <n v="2306"/>
    <s v="อำเภอเกาะกูด"/>
    <n v="0"/>
    <s v="-"/>
    <n v="0"/>
    <s v="-"/>
    <n v="1547"/>
    <n v="1415"/>
    <n v="2962"/>
    <n v="2214"/>
  </r>
  <r>
    <n v="6712"/>
    <n v="23"/>
    <x v="13"/>
    <n v="2307"/>
    <s v="อำเภอเกาะช้าง"/>
    <n v="0"/>
    <s v="-"/>
    <n v="0"/>
    <s v="-"/>
    <n v="4344"/>
    <n v="4384"/>
    <n v="8728"/>
    <n v="6392"/>
  </r>
  <r>
    <n v="6712"/>
    <n v="23"/>
    <x v="13"/>
    <n v="2389"/>
    <s v="ท้องถิ่นเทศบาลตำบลตะกาง"/>
    <n v="0"/>
    <s v="-"/>
    <n v="0"/>
    <s v="-"/>
    <n v="1252"/>
    <n v="1350"/>
    <n v="2602"/>
    <n v="1416"/>
  </r>
  <r>
    <n v="6712"/>
    <n v="23"/>
    <x v="13"/>
    <n v="2390"/>
    <s v="ท้องถิ่นเทศบาลตำบลหนองบอน"/>
    <n v="0"/>
    <s v="-"/>
    <n v="0"/>
    <s v="-"/>
    <n v="3655"/>
    <n v="3568"/>
    <n v="7223"/>
    <n v="4009"/>
  </r>
  <r>
    <n v="6712"/>
    <n v="23"/>
    <x v="13"/>
    <n v="2391"/>
    <s v="ท้องถิ่นเทศบาลตำบลแหลมงอบ"/>
    <n v="0"/>
    <s v="-"/>
    <n v="0"/>
    <s v="-"/>
    <n v="833"/>
    <n v="850"/>
    <n v="1683"/>
    <n v="764"/>
  </r>
  <r>
    <n v="6712"/>
    <n v="23"/>
    <x v="13"/>
    <n v="2392"/>
    <s v="ท้องถิ่นเทศบาลตำบลน้ำเชี่ยว"/>
    <n v="0"/>
    <s v="-"/>
    <n v="0"/>
    <s v="-"/>
    <n v="1494"/>
    <n v="1603"/>
    <n v="3097"/>
    <n v="1350"/>
  </r>
  <r>
    <n v="6712"/>
    <n v="23"/>
    <x v="13"/>
    <n v="2393"/>
    <s v="ท้องถิ่นเทศบาลตำบลบ่อพลอย"/>
    <n v="0"/>
    <s v="-"/>
    <n v="0"/>
    <s v="-"/>
    <n v="4224"/>
    <n v="4298"/>
    <n v="8522"/>
    <n v="5867"/>
  </r>
  <r>
    <n v="6712"/>
    <n v="23"/>
    <x v="13"/>
    <n v="2394"/>
    <s v="ท้องถิ่นเทศบาลตำบลแสนตุ้ง"/>
    <n v="0"/>
    <s v="-"/>
    <n v="0"/>
    <s v="-"/>
    <n v="1525"/>
    <n v="1580"/>
    <n v="3105"/>
    <n v="2441"/>
  </r>
  <r>
    <n v="6712"/>
    <n v="23"/>
    <x v="13"/>
    <n v="2395"/>
    <s v="ท้องถิ่นเทศบาลตำบลเขาสมิง"/>
    <n v="0"/>
    <s v="-"/>
    <n v="0"/>
    <s v="-"/>
    <n v="769"/>
    <n v="748"/>
    <n v="1517"/>
    <n v="617"/>
  </r>
  <r>
    <n v="6712"/>
    <n v="23"/>
    <x v="13"/>
    <n v="2396"/>
    <s v="ท้องถิ่นเทศบาลตำบลหาดเล็ก"/>
    <n v="0"/>
    <s v="-"/>
    <n v="0"/>
    <s v="-"/>
    <n v="2681"/>
    <n v="2552"/>
    <n v="5233"/>
    <n v="2032"/>
  </r>
  <r>
    <n v="6712"/>
    <n v="23"/>
    <x v="13"/>
    <n v="2397"/>
    <s v="ท้องถิ่นเทศบาลตำบลคลองใหญ่"/>
    <n v="0"/>
    <s v="-"/>
    <n v="0"/>
    <s v="-"/>
    <n v="2525"/>
    <n v="2567"/>
    <n v="5092"/>
    <n v="2457"/>
  </r>
  <r>
    <n v="6712"/>
    <n v="23"/>
    <x v="13"/>
    <n v="2398"/>
    <s v="ท้องถิ่นเทศบาลตำบลท่าพริกเนินทราย"/>
    <n v="0"/>
    <s v="-"/>
    <n v="0"/>
    <s v="-"/>
    <n v="3122"/>
    <n v="3430"/>
    <n v="6552"/>
    <n v="3220"/>
  </r>
  <r>
    <n v="6712"/>
    <n v="23"/>
    <x v="13"/>
    <n v="2399"/>
    <s v="ท้องถิ่นเทศบาลเมืองตราด"/>
    <n v="0"/>
    <s v="-"/>
    <n v="0"/>
    <s v="-"/>
    <n v="3985"/>
    <n v="4426"/>
    <n v="8411"/>
    <n v="5580"/>
  </r>
  <r>
    <n v="6712"/>
    <n v="24"/>
    <x v="14"/>
    <n v="0"/>
    <s v="-"/>
    <n v="0"/>
    <s v="-"/>
    <n v="0"/>
    <s v="-"/>
    <n v="358556"/>
    <n v="374575"/>
    <n v="733131"/>
    <n v="345381"/>
  </r>
  <r>
    <n v="6712"/>
    <n v="24"/>
    <x v="14"/>
    <n v="2401"/>
    <s v="อำเภอเมืองฉะเชิงเทรา"/>
    <n v="0"/>
    <s v="-"/>
    <n v="0"/>
    <s v="-"/>
    <n v="61490"/>
    <n v="65257"/>
    <n v="126747"/>
    <n v="56559"/>
  </r>
  <r>
    <n v="6712"/>
    <n v="24"/>
    <x v="14"/>
    <n v="2402"/>
    <s v="อำเภอบางคล้า"/>
    <n v="0"/>
    <s v="-"/>
    <n v="0"/>
    <s v="-"/>
    <n v="14658"/>
    <n v="15685"/>
    <n v="30343"/>
    <n v="13395"/>
  </r>
  <r>
    <n v="6712"/>
    <n v="24"/>
    <x v="14"/>
    <n v="2403"/>
    <s v="อำเภอบางน้ำเปรี้ยว"/>
    <n v="0"/>
    <s v="-"/>
    <n v="0"/>
    <s v="-"/>
    <n v="36580"/>
    <n v="37215"/>
    <n v="73795"/>
    <n v="24009"/>
  </r>
  <r>
    <n v="6712"/>
    <n v="24"/>
    <x v="14"/>
    <n v="2404"/>
    <s v="อำเภอบางปะกง"/>
    <n v="0"/>
    <s v="-"/>
    <n v="0"/>
    <s v="-"/>
    <n v="29250"/>
    <n v="30344"/>
    <n v="59594"/>
    <n v="29826"/>
  </r>
  <r>
    <n v="6712"/>
    <n v="24"/>
    <x v="14"/>
    <n v="2405"/>
    <s v="อำเภอบ้านโพธิ์"/>
    <n v="0"/>
    <s v="-"/>
    <n v="0"/>
    <s v="-"/>
    <n v="22616"/>
    <n v="24533"/>
    <n v="47149"/>
    <n v="22943"/>
  </r>
  <r>
    <n v="6712"/>
    <n v="24"/>
    <x v="14"/>
    <n v="2406"/>
    <s v="อำเภอพนมสารคาม"/>
    <n v="0"/>
    <s v="-"/>
    <n v="0"/>
    <s v="-"/>
    <n v="34991"/>
    <n v="37071"/>
    <n v="72062"/>
    <n v="32344"/>
  </r>
  <r>
    <n v="6712"/>
    <n v="24"/>
    <x v="14"/>
    <n v="2407"/>
    <s v="อำเภอราชสาส์น"/>
    <n v="0"/>
    <s v="-"/>
    <n v="0"/>
    <s v="-"/>
    <n v="6130"/>
    <n v="6380"/>
    <n v="12510"/>
    <n v="5117"/>
  </r>
  <r>
    <n v="6712"/>
    <n v="24"/>
    <x v="14"/>
    <n v="2408"/>
    <s v="อำเภอสนามชัยเขต"/>
    <n v="0"/>
    <s v="-"/>
    <n v="0"/>
    <s v="-"/>
    <n v="35587"/>
    <n v="35574"/>
    <n v="71161"/>
    <n v="24441"/>
  </r>
  <r>
    <n v="6712"/>
    <n v="24"/>
    <x v="14"/>
    <n v="2409"/>
    <s v="อำเภอแปลงยาว"/>
    <n v="0"/>
    <s v="-"/>
    <n v="0"/>
    <s v="-"/>
    <n v="12020"/>
    <n v="11789"/>
    <n v="23809"/>
    <n v="14024"/>
  </r>
  <r>
    <n v="6712"/>
    <n v="24"/>
    <x v="14"/>
    <n v="2410"/>
    <s v="อำเภอท่าตะเกียบ"/>
    <n v="0"/>
    <s v="-"/>
    <n v="0"/>
    <s v="-"/>
    <n v="23547"/>
    <n v="23212"/>
    <n v="46759"/>
    <n v="18165"/>
  </r>
  <r>
    <n v="6712"/>
    <n v="24"/>
    <x v="14"/>
    <n v="2411"/>
    <s v="อำเภอคลองเขื่อน"/>
    <n v="0"/>
    <s v="-"/>
    <n v="0"/>
    <s v="-"/>
    <n v="6064"/>
    <n v="6328"/>
    <n v="12392"/>
    <n v="4788"/>
  </r>
  <r>
    <n v="6712"/>
    <n v="24"/>
    <x v="14"/>
    <n v="2474"/>
    <s v="ท้องถิ่นเทศบาลตำบลบางวัวคณารักษ์"/>
    <n v="0"/>
    <s v="-"/>
    <n v="0"/>
    <s v="-"/>
    <n v="5515"/>
    <n v="6006"/>
    <n v="11521"/>
    <n v="9761"/>
  </r>
  <r>
    <n v="6712"/>
    <n v="24"/>
    <x v="14"/>
    <n v="2475"/>
    <s v="ท้องถิ่นเทศบาลตำบลพิมพา"/>
    <n v="0"/>
    <s v="-"/>
    <n v="0"/>
    <s v="-"/>
    <n v="1823"/>
    <n v="1957"/>
    <n v="3780"/>
    <n v="4397"/>
  </r>
  <r>
    <n v="6712"/>
    <n v="24"/>
    <x v="14"/>
    <n v="2476"/>
    <s v="ท้องถิ่นเทศบาลตำบลวังเย็น"/>
    <n v="0"/>
    <s v="-"/>
    <n v="0"/>
    <s v="-"/>
    <n v="4902"/>
    <n v="4984"/>
    <n v="9886"/>
    <n v="3837"/>
  </r>
  <r>
    <n v="6712"/>
    <n v="24"/>
    <x v="14"/>
    <n v="2477"/>
    <s v="ท้องถิ่นเทศบาลตำบลดอนเกาะกา"/>
    <n v="0"/>
    <s v="-"/>
    <n v="0"/>
    <s v="-"/>
    <n v="4368"/>
    <n v="4252"/>
    <n v="8620"/>
    <n v="2524"/>
  </r>
  <r>
    <n v="6712"/>
    <n v="24"/>
    <x v="14"/>
    <n v="2478"/>
    <s v="ท้องถิ่นเทศบาลตำบลหัวสำโรง"/>
    <n v="0"/>
    <s v="-"/>
    <n v="0"/>
    <s v="-"/>
    <n v="3377"/>
    <n v="3538"/>
    <n v="6915"/>
    <n v="4250"/>
  </r>
  <r>
    <n v="6712"/>
    <n v="24"/>
    <x v="14"/>
    <n v="2479"/>
    <s v="ท้องถิ่นเทศบาลตำบลแปลงยาว"/>
    <n v="0"/>
    <s v="-"/>
    <n v="0"/>
    <s v="-"/>
    <n v="3062"/>
    <n v="3198"/>
    <n v="6260"/>
    <n v="3832"/>
  </r>
  <r>
    <n v="6712"/>
    <n v="24"/>
    <x v="14"/>
    <n v="2480"/>
    <s v="ท้องถิ่นเทศบาลตำบลทุ่งสะเดา"/>
    <n v="0"/>
    <s v="-"/>
    <n v="0"/>
    <s v="-"/>
    <n v="3064"/>
    <n v="2718"/>
    <n v="5782"/>
    <n v="4773"/>
  </r>
  <r>
    <n v="6712"/>
    <n v="24"/>
    <x v="14"/>
    <n v="2481"/>
    <s v="ท้องถิ่นเทศบาลตำบลสนามชัยเขต"/>
    <n v="0"/>
    <s v="-"/>
    <n v="0"/>
    <s v="-"/>
    <n v="1998"/>
    <n v="2233"/>
    <n v="4231"/>
    <n v="3064"/>
  </r>
  <r>
    <n v="6712"/>
    <n v="24"/>
    <x v="14"/>
    <n v="2482"/>
    <s v="ท้องถิ่นเทศบาลตำบลพนมสารคาม"/>
    <n v="0"/>
    <s v="-"/>
    <n v="0"/>
    <s v="-"/>
    <n v="2806"/>
    <n v="3295"/>
    <n v="6101"/>
    <n v="4310"/>
  </r>
  <r>
    <n v="6712"/>
    <n v="24"/>
    <x v="14"/>
    <n v="2483"/>
    <s v="ท้องถิ่นเทศบาลตำบลเขาหินซ้อน"/>
    <n v="0"/>
    <s v="-"/>
    <n v="0"/>
    <s v="-"/>
    <n v="1683"/>
    <n v="1764"/>
    <n v="3447"/>
    <n v="2743"/>
  </r>
  <r>
    <n v="6712"/>
    <n v="24"/>
    <x v="14"/>
    <n v="2484"/>
    <s v="ท้องถิ่นเทศบาลตำบลเกาะขนุน"/>
    <n v="0"/>
    <s v="-"/>
    <n v="0"/>
    <s v="-"/>
    <n v="967"/>
    <n v="1101"/>
    <n v="2068"/>
    <n v="1129"/>
  </r>
  <r>
    <n v="6712"/>
    <n v="24"/>
    <x v="14"/>
    <n v="2485"/>
    <s v="ท้องถิ่นเทศบาลตำบลบ้านโพธิ์"/>
    <n v="0"/>
    <s v="-"/>
    <n v="0"/>
    <s v="-"/>
    <n v="1402"/>
    <n v="1479"/>
    <n v="2881"/>
    <n v="1458"/>
  </r>
  <r>
    <n v="6712"/>
    <n v="24"/>
    <x v="14"/>
    <n v="2486"/>
    <s v="ท้องถิ่นเทศบาลตำบลเทพราช"/>
    <n v="0"/>
    <s v="-"/>
    <n v="0"/>
    <s v="-"/>
    <n v="1988"/>
    <n v="2117"/>
    <n v="4105"/>
    <n v="1313"/>
  </r>
  <r>
    <n v="6712"/>
    <n v="24"/>
    <x v="14"/>
    <n v="2487"/>
    <s v="ท้องถิ่นเทศบาลตำบลบางวัว"/>
    <n v="0"/>
    <s v="-"/>
    <n v="0"/>
    <s v="-"/>
    <n v="1198"/>
    <n v="1347"/>
    <n v="2545"/>
    <n v="2031"/>
  </r>
  <r>
    <n v="6712"/>
    <n v="24"/>
    <x v="14"/>
    <n v="2488"/>
    <s v="ท้องถิ่นเทศบาลตำบลบางปะกง"/>
    <n v="0"/>
    <s v="-"/>
    <n v="0"/>
    <s v="-"/>
    <n v="2822"/>
    <n v="3071"/>
    <n v="5893"/>
    <n v="2959"/>
  </r>
  <r>
    <n v="6712"/>
    <n v="24"/>
    <x v="14"/>
    <n v="2489"/>
    <s v="ท้องถิ่นเทศบาลตำบลหอมศีล"/>
    <n v="0"/>
    <s v="-"/>
    <n v="0"/>
    <s v="-"/>
    <n v="622"/>
    <n v="639"/>
    <n v="1261"/>
    <n v="327"/>
  </r>
  <r>
    <n v="6712"/>
    <n v="24"/>
    <x v="14"/>
    <n v="2490"/>
    <s v="ท้องถิ่นเทศบาลตำบลท่าสะอ้าน"/>
    <n v="0"/>
    <s v="-"/>
    <n v="0"/>
    <s v="-"/>
    <n v="1868"/>
    <n v="1988"/>
    <n v="3856"/>
    <n v="2837"/>
  </r>
  <r>
    <n v="6712"/>
    <n v="24"/>
    <x v="14"/>
    <n v="2491"/>
    <s v="ท้องถิ่นเทศบาลตำบลท่าข้าม"/>
    <n v="0"/>
    <s v="-"/>
    <n v="0"/>
    <s v="-"/>
    <n v="3555"/>
    <n v="3815"/>
    <n v="7370"/>
    <n v="9606"/>
  </r>
  <r>
    <n v="6712"/>
    <n v="24"/>
    <x v="14"/>
    <n v="2492"/>
    <s v="ท้องถิ่นเทศบาลตำบลศาลาแดง"/>
    <n v="0"/>
    <s v="-"/>
    <n v="0"/>
    <s v="-"/>
    <n v="713"/>
    <n v="761"/>
    <n v="1474"/>
    <n v="566"/>
  </r>
  <r>
    <n v="6712"/>
    <n v="24"/>
    <x v="14"/>
    <n v="2493"/>
    <s v="ท้องถิ่นเทศบาลตำบลบางน้ำเปรี้ยว"/>
    <n v="0"/>
    <s v="-"/>
    <n v="0"/>
    <s v="-"/>
    <n v="1097"/>
    <n v="1161"/>
    <n v="2258"/>
    <n v="1238"/>
  </r>
  <r>
    <n v="6712"/>
    <n v="24"/>
    <x v="14"/>
    <n v="2494"/>
    <s v="ท้องถิ่นเทศบาลตำบลบางขนาก"/>
    <n v="0"/>
    <s v="-"/>
    <n v="0"/>
    <s v="-"/>
    <n v="1067"/>
    <n v="1027"/>
    <n v="2094"/>
    <n v="818"/>
  </r>
  <r>
    <n v="6712"/>
    <n v="24"/>
    <x v="14"/>
    <n v="2495"/>
    <s v="ท้องถิ่นเทศบาลตำบลดอนฉิมพลี"/>
    <n v="0"/>
    <s v="-"/>
    <n v="0"/>
    <s v="-"/>
    <n v="756"/>
    <n v="764"/>
    <n v="1520"/>
    <n v="742"/>
  </r>
  <r>
    <n v="6712"/>
    <n v="24"/>
    <x v="14"/>
    <n v="2496"/>
    <s v="ท้องถิ่นเทศบาลตำบลปากน้ำ"/>
    <n v="0"/>
    <s v="-"/>
    <n v="0"/>
    <s v="-"/>
    <n v="2564"/>
    <n v="2800"/>
    <n v="5364"/>
    <n v="2789"/>
  </r>
  <r>
    <n v="6712"/>
    <n v="24"/>
    <x v="14"/>
    <n v="2497"/>
    <s v="ท้องถิ่นเทศบาลตำบลนครเนื่องเขต"/>
    <n v="0"/>
    <s v="-"/>
    <n v="0"/>
    <s v="-"/>
    <n v="621"/>
    <n v="726"/>
    <n v="1347"/>
    <n v="505"/>
  </r>
  <r>
    <n v="6712"/>
    <n v="24"/>
    <x v="14"/>
    <n v="2498"/>
    <s v="ท้องถิ่นเทศบาลตำบลบางคล้า"/>
    <n v="0"/>
    <s v="-"/>
    <n v="0"/>
    <s v="-"/>
    <n v="4579"/>
    <n v="5334"/>
    <n v="9913"/>
    <n v="5047"/>
  </r>
  <r>
    <n v="6712"/>
    <n v="24"/>
    <x v="14"/>
    <n v="2499"/>
    <s v="ท้องถิ่นเทศบาลเมืองฉะเชิงเทรา"/>
    <n v="0"/>
    <s v="-"/>
    <n v="0"/>
    <s v="-"/>
    <n v="17206"/>
    <n v="19112"/>
    <n v="36318"/>
    <n v="22914"/>
  </r>
  <r>
    <n v="6712"/>
    <n v="25"/>
    <x v="15"/>
    <n v="0"/>
    <s v="-"/>
    <n v="0"/>
    <s v="-"/>
    <n v="0"/>
    <s v="-"/>
    <n v="246835"/>
    <n v="253772"/>
    <n v="500607"/>
    <n v="242594"/>
  </r>
  <r>
    <n v="6712"/>
    <n v="25"/>
    <x v="15"/>
    <n v="2501"/>
    <s v="อำเภอเมืองปราจีนบุรี"/>
    <n v="0"/>
    <s v="-"/>
    <n v="0"/>
    <s v="-"/>
    <n v="45275"/>
    <n v="42736"/>
    <n v="88011"/>
    <n v="37954"/>
  </r>
  <r>
    <n v="6712"/>
    <n v="25"/>
    <x v="15"/>
    <n v="2502"/>
    <s v="อำเภอกบินทร์บุรี"/>
    <n v="0"/>
    <s v="-"/>
    <n v="0"/>
    <s v="-"/>
    <n v="67379"/>
    <n v="69718"/>
    <n v="137097"/>
    <n v="57049"/>
  </r>
  <r>
    <n v="6712"/>
    <n v="25"/>
    <x v="15"/>
    <n v="2503"/>
    <s v="อำเภอนาดี"/>
    <n v="0"/>
    <s v="-"/>
    <n v="0"/>
    <s v="-"/>
    <n v="21992"/>
    <n v="22299"/>
    <n v="44291"/>
    <n v="19209"/>
  </r>
  <r>
    <n v="6712"/>
    <n v="25"/>
    <x v="15"/>
    <n v="2506"/>
    <s v="อำเภอบ้านสร้าง"/>
    <n v="0"/>
    <s v="-"/>
    <n v="0"/>
    <s v="-"/>
    <n v="13291"/>
    <n v="13871"/>
    <n v="27162"/>
    <n v="9865"/>
  </r>
  <r>
    <n v="6712"/>
    <n v="25"/>
    <x v="15"/>
    <n v="2507"/>
    <s v="อำเภอประจันตคาม"/>
    <n v="0"/>
    <s v="-"/>
    <n v="0"/>
    <s v="-"/>
    <n v="24206"/>
    <n v="25474"/>
    <n v="49680"/>
    <n v="18499"/>
  </r>
  <r>
    <n v="6712"/>
    <n v="25"/>
    <x v="15"/>
    <n v="2508"/>
    <s v="อำเภอศรีมหาโพธิ"/>
    <n v="0"/>
    <s v="-"/>
    <n v="0"/>
    <s v="-"/>
    <n v="39177"/>
    <n v="41327"/>
    <n v="80504"/>
    <n v="60592"/>
  </r>
  <r>
    <n v="6712"/>
    <n v="25"/>
    <x v="15"/>
    <n v="2509"/>
    <s v="อำเภอศรีมโหสถ"/>
    <n v="0"/>
    <s v="-"/>
    <n v="0"/>
    <s v="-"/>
    <n v="6643"/>
    <n v="6869"/>
    <n v="13512"/>
    <n v="7003"/>
  </r>
  <r>
    <n v="6712"/>
    <n v="25"/>
    <x v="15"/>
    <n v="2587"/>
    <s v="ท้องถิ่นเทศบาลตำบลโคกมะกอก"/>
    <n v="0"/>
    <s v="-"/>
    <n v="0"/>
    <s v="-"/>
    <n v="1057"/>
    <n v="1174"/>
    <n v="2231"/>
    <n v="880"/>
  </r>
  <r>
    <n v="6712"/>
    <n v="25"/>
    <x v="15"/>
    <n v="2588"/>
    <s v="ท้องถิ่นเทศบาลตำบลโคกปีบ"/>
    <n v="0"/>
    <s v="-"/>
    <n v="0"/>
    <s v="-"/>
    <n v="2698"/>
    <n v="2937"/>
    <n v="5635"/>
    <n v="2414"/>
  </r>
  <r>
    <n v="6712"/>
    <n v="25"/>
    <x v="15"/>
    <n v="2589"/>
    <s v="ท้องถิ่นเทศบาลตำบลศรีมหาโพธิ"/>
    <n v="0"/>
    <s v="-"/>
    <n v="0"/>
    <s v="-"/>
    <n v="1724"/>
    <n v="1845"/>
    <n v="3569"/>
    <n v="2595"/>
  </r>
  <r>
    <n v="6712"/>
    <n v="25"/>
    <x v="15"/>
    <n v="2590"/>
    <s v="ท้องถิ่นเทศบาลตำบลกรอกสมบูรณ์"/>
    <n v="0"/>
    <s v="-"/>
    <n v="0"/>
    <s v="-"/>
    <n v="1764"/>
    <n v="1828"/>
    <n v="3592"/>
    <n v="1344"/>
  </r>
  <r>
    <n v="6712"/>
    <n v="25"/>
    <x v="15"/>
    <n v="2591"/>
    <s v="ท้องถิ่นเทศบาลตำบลประจันตคาม"/>
    <n v="0"/>
    <s v="-"/>
    <n v="0"/>
    <s v="-"/>
    <n v="2029"/>
    <n v="2243"/>
    <n v="4272"/>
    <n v="2433"/>
  </r>
  <r>
    <n v="6712"/>
    <n v="25"/>
    <x v="15"/>
    <n v="2592"/>
    <s v="ท้องถิ่นเทศบาลตำบลบ้านสร้าง"/>
    <n v="0"/>
    <s v="-"/>
    <n v="0"/>
    <s v="-"/>
    <n v="1581"/>
    <n v="1651"/>
    <n v="3232"/>
    <n v="1729"/>
  </r>
  <r>
    <n v="6712"/>
    <n v="25"/>
    <x v="15"/>
    <n v="2593"/>
    <s v="ท้องถิ่นเทศบาลตำบลนาดี"/>
    <n v="0"/>
    <s v="-"/>
    <n v="0"/>
    <s v="-"/>
    <n v="3879"/>
    <n v="4037"/>
    <n v="7916"/>
    <n v="3491"/>
  </r>
  <r>
    <n v="6712"/>
    <n v="25"/>
    <x v="15"/>
    <n v="2594"/>
    <s v="ท้องถิ่นเทศบาลตำบลสระบัว"/>
    <n v="0"/>
    <s v="-"/>
    <n v="0"/>
    <s v="-"/>
    <n v="865"/>
    <n v="908"/>
    <n v="1773"/>
    <n v="664"/>
  </r>
  <r>
    <n v="6712"/>
    <n v="25"/>
    <x v="15"/>
    <n v="2595"/>
    <s v="ท้องถิ่นเทศบาลตำบลเมืองเก่า"/>
    <n v="0"/>
    <s v="-"/>
    <n v="0"/>
    <s v="-"/>
    <n v="3241"/>
    <n v="3376"/>
    <n v="6617"/>
    <n v="4650"/>
  </r>
  <r>
    <n v="6712"/>
    <n v="25"/>
    <x v="15"/>
    <n v="2596"/>
    <s v="ท้องถิ่นเทศบาลตำบลบ้านนาปรือ"/>
    <n v="0"/>
    <s v="-"/>
    <n v="0"/>
    <s v="-"/>
    <n v="1102"/>
    <n v="1130"/>
    <n v="2232"/>
    <n v="837"/>
  </r>
  <r>
    <n v="6712"/>
    <n v="25"/>
    <x v="15"/>
    <n v="2598"/>
    <s v="ท้องถิ่นเทศบาลตำบลกบินทร์"/>
    <n v="0"/>
    <s v="-"/>
    <n v="0"/>
    <s v="-"/>
    <n v="1643"/>
    <n v="1868"/>
    <n v="3511"/>
    <n v="2216"/>
  </r>
  <r>
    <n v="6712"/>
    <n v="25"/>
    <x v="15"/>
    <n v="2599"/>
    <s v="ท้องถิ่นเทศบาลเมืองปราจีนบุรี"/>
    <n v="0"/>
    <s v="-"/>
    <n v="0"/>
    <s v="-"/>
    <n v="7289"/>
    <n v="8481"/>
    <n v="15770"/>
    <n v="9170"/>
  </r>
  <r>
    <n v="6712"/>
    <n v="26"/>
    <x v="16"/>
    <n v="0"/>
    <s v="-"/>
    <n v="0"/>
    <s v="-"/>
    <n v="0"/>
    <s v="-"/>
    <n v="128349"/>
    <n v="131421"/>
    <n v="259770"/>
    <n v="111246"/>
  </r>
  <r>
    <n v="6712"/>
    <n v="26"/>
    <x v="16"/>
    <n v="2601"/>
    <s v="อำเภอเมืองนครนายก"/>
    <n v="0"/>
    <s v="-"/>
    <n v="0"/>
    <s v="-"/>
    <n v="42555"/>
    <n v="42629"/>
    <n v="85184"/>
    <n v="38011"/>
  </r>
  <r>
    <n v="6712"/>
    <n v="26"/>
    <x v="16"/>
    <n v="2602"/>
    <s v="อำเภอปากพลี"/>
    <n v="0"/>
    <s v="-"/>
    <n v="0"/>
    <s v="-"/>
    <n v="10779"/>
    <n v="11382"/>
    <n v="22161"/>
    <n v="9215"/>
  </r>
  <r>
    <n v="6712"/>
    <n v="26"/>
    <x v="16"/>
    <n v="2603"/>
    <s v="อำเภอบ้านนา"/>
    <n v="0"/>
    <s v="-"/>
    <n v="0"/>
    <s v="-"/>
    <n v="32047"/>
    <n v="32160"/>
    <n v="64207"/>
    <n v="25935"/>
  </r>
  <r>
    <n v="6712"/>
    <n v="26"/>
    <x v="16"/>
    <n v="2604"/>
    <s v="อำเภอองครักษ์"/>
    <n v="0"/>
    <s v="-"/>
    <n v="0"/>
    <s v="-"/>
    <n v="30999"/>
    <n v="31982"/>
    <n v="62981"/>
    <n v="24023"/>
  </r>
  <r>
    <n v="6712"/>
    <n v="26"/>
    <x v="16"/>
    <n v="2695"/>
    <s v="ท้องถิ่นเทศบาลตำบลองครักษ์"/>
    <n v="0"/>
    <s v="-"/>
    <n v="0"/>
    <s v="-"/>
    <n v="1227"/>
    <n v="1347"/>
    <n v="2574"/>
    <n v="1394"/>
  </r>
  <r>
    <n v="6712"/>
    <n v="26"/>
    <x v="16"/>
    <n v="2696"/>
    <s v="ท้องถิ่นเทศบาลตำบลบ้านนา"/>
    <n v="0"/>
    <s v="-"/>
    <n v="0"/>
    <s v="-"/>
    <n v="2144"/>
    <n v="2415"/>
    <n v="4559"/>
    <n v="2605"/>
  </r>
  <r>
    <n v="6712"/>
    <n v="26"/>
    <x v="16"/>
    <n v="2697"/>
    <s v="ท้องถิ่นเทศบาลตำบลเกาะหวาย"/>
    <n v="0"/>
    <s v="-"/>
    <n v="0"/>
    <s v="-"/>
    <n v="795"/>
    <n v="905"/>
    <n v="1700"/>
    <n v="767"/>
  </r>
  <r>
    <n v="6712"/>
    <n v="26"/>
    <x v="16"/>
    <n v="2698"/>
    <s v="ท้องถิ่นเทศบาลตำบลท่าช้าง"/>
    <n v="0"/>
    <s v="-"/>
    <n v="0"/>
    <s v="-"/>
    <n v="498"/>
    <n v="529"/>
    <n v="1027"/>
    <n v="317"/>
  </r>
  <r>
    <n v="6712"/>
    <n v="26"/>
    <x v="16"/>
    <n v="2699"/>
    <s v="ท้องถิ่นเทศบาลเมืองนครนายก"/>
    <n v="0"/>
    <s v="-"/>
    <n v="0"/>
    <s v="-"/>
    <n v="7305"/>
    <n v="8072"/>
    <n v="15377"/>
    <n v="8979"/>
  </r>
  <r>
    <n v="6712"/>
    <n v="27"/>
    <x v="17"/>
    <n v="0"/>
    <s v="-"/>
    <n v="0"/>
    <s v="-"/>
    <n v="0"/>
    <s v="-"/>
    <n v="280641"/>
    <n v="281601"/>
    <n v="562242"/>
    <n v="233852"/>
  </r>
  <r>
    <n v="6712"/>
    <n v="27"/>
    <x v="17"/>
    <n v="2701"/>
    <s v="อำเภอเมืองสระแก้ว"/>
    <n v="0"/>
    <s v="-"/>
    <n v="0"/>
    <s v="-"/>
    <n v="43855"/>
    <n v="43035"/>
    <n v="86890"/>
    <n v="31565"/>
  </r>
  <r>
    <n v="6712"/>
    <n v="27"/>
    <x v="17"/>
    <n v="2702"/>
    <s v="อำเภอคลองหาด"/>
    <n v="0"/>
    <s v="-"/>
    <n v="0"/>
    <s v="-"/>
    <n v="19513"/>
    <n v="19512"/>
    <n v="39025"/>
    <n v="14443"/>
  </r>
  <r>
    <n v="6712"/>
    <n v="27"/>
    <x v="17"/>
    <n v="2703"/>
    <s v="อำเภอตาพระยา"/>
    <n v="0"/>
    <s v="-"/>
    <n v="0"/>
    <s v="-"/>
    <n v="27531"/>
    <n v="27366"/>
    <n v="54897"/>
    <n v="17397"/>
  </r>
  <r>
    <n v="6712"/>
    <n v="27"/>
    <x v="17"/>
    <n v="2704"/>
    <s v="อำเภอวังน้ำเย็น"/>
    <n v="0"/>
    <s v="-"/>
    <n v="0"/>
    <s v="-"/>
    <n v="20169"/>
    <n v="20167"/>
    <n v="40336"/>
    <n v="15723"/>
  </r>
  <r>
    <n v="6712"/>
    <n v="27"/>
    <x v="17"/>
    <n v="2705"/>
    <s v="อำเภอวัฒนานคร"/>
    <n v="0"/>
    <s v="-"/>
    <n v="0"/>
    <s v="-"/>
    <n v="38371"/>
    <n v="38083"/>
    <n v="76454"/>
    <n v="28513"/>
  </r>
  <r>
    <n v="6712"/>
    <n v="27"/>
    <x v="17"/>
    <n v="2706"/>
    <s v="อำเภออรัญประเทศ"/>
    <n v="0"/>
    <s v="-"/>
    <n v="0"/>
    <s v="-"/>
    <n v="37252"/>
    <n v="38574"/>
    <n v="75826"/>
    <n v="39533"/>
  </r>
  <r>
    <n v="6712"/>
    <n v="27"/>
    <x v="17"/>
    <n v="2707"/>
    <s v="อำเภอเขาฉกรรจ์"/>
    <n v="0"/>
    <s v="-"/>
    <n v="0"/>
    <s v="-"/>
    <n v="25387"/>
    <n v="25478"/>
    <n v="50865"/>
    <n v="17217"/>
  </r>
  <r>
    <n v="6712"/>
    <n v="27"/>
    <x v="17"/>
    <n v="2708"/>
    <s v="อำเภอโคกสูง"/>
    <n v="0"/>
    <s v="-"/>
    <n v="0"/>
    <s v="-"/>
    <n v="13463"/>
    <n v="13784"/>
    <n v="27247"/>
    <n v="8919"/>
  </r>
  <r>
    <n v="6712"/>
    <n v="27"/>
    <x v="17"/>
    <n v="2709"/>
    <s v="อำเภอวังสมบูรณ์"/>
    <n v="0"/>
    <s v="-"/>
    <n v="0"/>
    <s v="-"/>
    <n v="12642"/>
    <n v="12503"/>
    <n v="25145"/>
    <n v="10915"/>
  </r>
  <r>
    <n v="6712"/>
    <n v="27"/>
    <x v="17"/>
    <n v="2791"/>
    <s v="ท้องถิ่นเทศบาลตำบลวังสมบูรณ์"/>
    <n v="0"/>
    <s v="-"/>
    <n v="0"/>
    <s v="-"/>
    <n v="5159"/>
    <n v="5316"/>
    <n v="10475"/>
    <n v="5329"/>
  </r>
  <r>
    <n v="6712"/>
    <n v="27"/>
    <x v="17"/>
    <n v="2792"/>
    <s v="ท้องถิ่นเทศบาลตำบลเขาฉกรรจ์"/>
    <n v="0"/>
    <s v="-"/>
    <n v="0"/>
    <s v="-"/>
    <n v="2344"/>
    <n v="2412"/>
    <n v="4756"/>
    <n v="2484"/>
  </r>
  <r>
    <n v="6712"/>
    <n v="27"/>
    <x v="17"/>
    <n v="2793"/>
    <s v="ท้องถิ่นเทศบาลตำบลวัฒนานคร"/>
    <n v="0"/>
    <s v="-"/>
    <n v="0"/>
    <s v="-"/>
    <n v="2506"/>
    <n v="2973"/>
    <n v="5479"/>
    <n v="3154"/>
  </r>
  <r>
    <n v="6712"/>
    <n v="27"/>
    <x v="17"/>
    <n v="2794"/>
    <s v="ท้องถิ่นเทศบาลเมืองวังน้ำเย็น"/>
    <n v="0"/>
    <s v="-"/>
    <n v="0"/>
    <s v="-"/>
    <n v="9884"/>
    <n v="10404"/>
    <n v="20288"/>
    <n v="10328"/>
  </r>
  <r>
    <n v="6712"/>
    <n v="27"/>
    <x v="17"/>
    <n v="2795"/>
    <s v="ท้องถิ่นเทศบาลตำบลตาพระยา"/>
    <n v="0"/>
    <s v="-"/>
    <n v="0"/>
    <s v="-"/>
    <n v="1220"/>
    <n v="1252"/>
    <n v="2472"/>
    <n v="1209"/>
  </r>
  <r>
    <n v="6712"/>
    <n v="27"/>
    <x v="17"/>
    <n v="2796"/>
    <s v="ท้องถิ่นเทศบาลตำบลศาลาลำดวน"/>
    <n v="0"/>
    <s v="-"/>
    <n v="0"/>
    <s v="-"/>
    <n v="1311"/>
    <n v="1376"/>
    <n v="2687"/>
    <n v="1253"/>
  </r>
  <r>
    <n v="6712"/>
    <n v="27"/>
    <x v="17"/>
    <n v="2797"/>
    <s v="ท้องถิ่นเทศบาลตำบลท่าเกษม"/>
    <n v="0"/>
    <s v="-"/>
    <n v="0"/>
    <s v="-"/>
    <n v="2191"/>
    <n v="1871"/>
    <n v="4062"/>
    <n v="1723"/>
  </r>
  <r>
    <n v="6712"/>
    <n v="27"/>
    <x v="17"/>
    <n v="2798"/>
    <s v="ท้องถิ่นเทศบาลเมืองอรัญญประเทศ"/>
    <n v="0"/>
    <s v="-"/>
    <n v="0"/>
    <s v="-"/>
    <n v="9129"/>
    <n v="7941"/>
    <n v="17070"/>
    <n v="11857"/>
  </r>
  <r>
    <n v="6712"/>
    <n v="27"/>
    <x v="17"/>
    <n v="2799"/>
    <s v="ท้องถิ่นเทศบาลเมืองสระแก้ว"/>
    <n v="0"/>
    <s v="-"/>
    <n v="0"/>
    <s v="-"/>
    <n v="8714"/>
    <n v="9554"/>
    <n v="18268"/>
    <n v="12290"/>
  </r>
  <r>
    <n v="6712"/>
    <n v="30"/>
    <x v="18"/>
    <n v="0"/>
    <s v="-"/>
    <n v="0"/>
    <s v="-"/>
    <n v="0"/>
    <s v="-"/>
    <n v="1282763"/>
    <n v="1337409"/>
    <n v="2620172"/>
    <n v="1079582"/>
  </r>
  <r>
    <n v="6712"/>
    <n v="30"/>
    <x v="18"/>
    <n v="3001"/>
    <s v="อำเภอเมืองนครราชสีมา"/>
    <n v="0"/>
    <s v="-"/>
    <n v="0"/>
    <s v="-"/>
    <n v="108399"/>
    <n v="120739"/>
    <n v="229138"/>
    <n v="116113"/>
  </r>
  <r>
    <n v="6712"/>
    <n v="30"/>
    <x v="18"/>
    <n v="3002"/>
    <s v="อำเภอครบุรี"/>
    <n v="0"/>
    <s v="-"/>
    <n v="0"/>
    <s v="-"/>
    <n v="39574"/>
    <n v="40656"/>
    <n v="80230"/>
    <n v="32003"/>
  </r>
  <r>
    <n v="6712"/>
    <n v="30"/>
    <x v="18"/>
    <n v="3003"/>
    <s v="อำเภอเสิงสาง"/>
    <n v="0"/>
    <s v="-"/>
    <n v="0"/>
    <s v="-"/>
    <n v="28111"/>
    <n v="28556"/>
    <n v="56667"/>
    <n v="18150"/>
  </r>
  <r>
    <n v="6712"/>
    <n v="30"/>
    <x v="18"/>
    <n v="3004"/>
    <s v="อำเภอคง"/>
    <n v="0"/>
    <s v="-"/>
    <n v="0"/>
    <s v="-"/>
    <n v="36135"/>
    <n v="37162"/>
    <n v="73297"/>
    <n v="22682"/>
  </r>
  <r>
    <n v="6712"/>
    <n v="30"/>
    <x v="18"/>
    <n v="3005"/>
    <s v="อำเภอบ้านเหลื่อม"/>
    <n v="0"/>
    <s v="-"/>
    <n v="0"/>
    <s v="-"/>
    <n v="8406"/>
    <n v="8616"/>
    <n v="17022"/>
    <n v="5393"/>
  </r>
  <r>
    <n v="6712"/>
    <n v="30"/>
    <x v="18"/>
    <n v="3006"/>
    <s v="อำเภอจักราช"/>
    <n v="0"/>
    <s v="-"/>
    <n v="0"/>
    <s v="-"/>
    <n v="33437"/>
    <n v="33952"/>
    <n v="67389"/>
    <n v="20221"/>
  </r>
  <r>
    <n v="6712"/>
    <n v="30"/>
    <x v="18"/>
    <n v="3007"/>
    <s v="อำเภอโชคชัย"/>
    <n v="0"/>
    <s v="-"/>
    <n v="0"/>
    <s v="-"/>
    <n v="24460"/>
    <n v="26217"/>
    <n v="50677"/>
    <n v="20530"/>
  </r>
  <r>
    <n v="6712"/>
    <n v="30"/>
    <x v="18"/>
    <n v="3008"/>
    <s v="อำเภอด่านขุนทด"/>
    <n v="0"/>
    <s v="-"/>
    <n v="0"/>
    <s v="-"/>
    <n v="53845"/>
    <n v="55407"/>
    <n v="109252"/>
    <n v="36691"/>
  </r>
  <r>
    <n v="6712"/>
    <n v="30"/>
    <x v="18"/>
    <n v="3009"/>
    <s v="อำเภอโนนไทย"/>
    <n v="0"/>
    <s v="-"/>
    <n v="0"/>
    <s v="-"/>
    <n v="26399"/>
    <n v="27681"/>
    <n v="54080"/>
    <n v="17931"/>
  </r>
  <r>
    <n v="6712"/>
    <n v="30"/>
    <x v="18"/>
    <n v="3010"/>
    <s v="อำเภอโนนสูง"/>
    <n v="0"/>
    <s v="-"/>
    <n v="0"/>
    <s v="-"/>
    <n v="41140"/>
    <n v="42793"/>
    <n v="83933"/>
    <n v="26637"/>
  </r>
  <r>
    <n v="6712"/>
    <n v="30"/>
    <x v="18"/>
    <n v="3011"/>
    <s v="อำเภอขามสะแกแสง"/>
    <n v="0"/>
    <s v="-"/>
    <n v="0"/>
    <s v="-"/>
    <n v="16446"/>
    <n v="16614"/>
    <n v="33060"/>
    <n v="10502"/>
  </r>
  <r>
    <n v="6712"/>
    <n v="30"/>
    <x v="18"/>
    <n v="3012"/>
    <s v="อำเภอบัวใหญ่"/>
    <n v="0"/>
    <s v="-"/>
    <n v="0"/>
    <s v="-"/>
    <n v="33287"/>
    <n v="33337"/>
    <n v="66624"/>
    <n v="20304"/>
  </r>
  <r>
    <n v="6712"/>
    <n v="30"/>
    <x v="18"/>
    <n v="3013"/>
    <s v="อำเภอประทาย"/>
    <n v="0"/>
    <s v="-"/>
    <n v="0"/>
    <s v="-"/>
    <n v="34669"/>
    <n v="35404"/>
    <n v="70073"/>
    <n v="20701"/>
  </r>
  <r>
    <n v="6712"/>
    <n v="30"/>
    <x v="18"/>
    <n v="3014"/>
    <s v="อำเภอปักธงชัย"/>
    <n v="0"/>
    <s v="-"/>
    <n v="0"/>
    <s v="-"/>
    <n v="44724"/>
    <n v="47140"/>
    <n v="91864"/>
    <n v="34171"/>
  </r>
  <r>
    <n v="6712"/>
    <n v="30"/>
    <x v="18"/>
    <n v="3015"/>
    <s v="อำเภอพิมาย"/>
    <n v="0"/>
    <s v="-"/>
    <n v="0"/>
    <s v="-"/>
    <n v="58151"/>
    <n v="60356"/>
    <n v="118507"/>
    <n v="41333"/>
  </r>
  <r>
    <n v="6712"/>
    <n v="30"/>
    <x v="18"/>
    <n v="3016"/>
    <s v="อำเภอห้วยแถลง"/>
    <n v="0"/>
    <s v="-"/>
    <n v="0"/>
    <s v="-"/>
    <n v="34832"/>
    <n v="34796"/>
    <n v="69628"/>
    <n v="20736"/>
  </r>
  <r>
    <n v="6712"/>
    <n v="30"/>
    <x v="18"/>
    <n v="3017"/>
    <s v="อำเภอชุมพวง"/>
    <n v="0"/>
    <s v="-"/>
    <n v="0"/>
    <s v="-"/>
    <n v="36238"/>
    <n v="36781"/>
    <n v="73019"/>
    <n v="21234"/>
  </r>
  <r>
    <n v="6712"/>
    <n v="30"/>
    <x v="18"/>
    <n v="3018"/>
    <s v="อำเภอสูงเนิน"/>
    <n v="0"/>
    <s v="-"/>
    <n v="0"/>
    <s v="-"/>
    <n v="35651"/>
    <n v="37445"/>
    <n v="73096"/>
    <n v="31810"/>
  </r>
  <r>
    <n v="6712"/>
    <n v="30"/>
    <x v="18"/>
    <n v="3019"/>
    <s v="อำเภอขามทะเลสอ"/>
    <n v="0"/>
    <s v="-"/>
    <n v="0"/>
    <s v="-"/>
    <n v="12785"/>
    <n v="13358"/>
    <n v="26143"/>
    <n v="9239"/>
  </r>
  <r>
    <n v="6712"/>
    <n v="30"/>
    <x v="18"/>
    <n v="3020"/>
    <s v="อำเภอสีคิ้ว"/>
    <n v="0"/>
    <s v="-"/>
    <n v="0"/>
    <s v="-"/>
    <n v="43077"/>
    <n v="43778"/>
    <n v="86855"/>
    <n v="34142"/>
  </r>
  <r>
    <n v="6712"/>
    <n v="30"/>
    <x v="18"/>
    <n v="3021"/>
    <s v="อำเภอปากช่อง"/>
    <n v="0"/>
    <s v="-"/>
    <n v="0"/>
    <s v="-"/>
    <n v="62994"/>
    <n v="64563"/>
    <n v="127557"/>
    <n v="74213"/>
  </r>
  <r>
    <n v="6712"/>
    <n v="30"/>
    <x v="18"/>
    <n v="3022"/>
    <s v="อำเภอหนองบุญมาก"/>
    <n v="0"/>
    <s v="-"/>
    <n v="0"/>
    <s v="-"/>
    <n v="29934"/>
    <n v="30600"/>
    <n v="60534"/>
    <n v="19625"/>
  </r>
  <r>
    <n v="6712"/>
    <n v="30"/>
    <x v="18"/>
    <n v="3023"/>
    <s v="อำเภอแก้งสนามนาง"/>
    <n v="0"/>
    <s v="-"/>
    <n v="0"/>
    <s v="-"/>
    <n v="17766"/>
    <n v="18253"/>
    <n v="36019"/>
    <n v="11203"/>
  </r>
  <r>
    <n v="6712"/>
    <n v="30"/>
    <x v="18"/>
    <n v="3024"/>
    <s v="อำเภอโนนแดง"/>
    <n v="0"/>
    <s v="-"/>
    <n v="0"/>
    <s v="-"/>
    <n v="10069"/>
    <n v="10404"/>
    <n v="20473"/>
    <n v="6008"/>
  </r>
  <r>
    <n v="6712"/>
    <n v="30"/>
    <x v="18"/>
    <n v="3025"/>
    <s v="อำเภอวังน้ำเขียว"/>
    <n v="0"/>
    <s v="-"/>
    <n v="0"/>
    <s v="-"/>
    <n v="21848"/>
    <n v="22268"/>
    <n v="44116"/>
    <n v="21028"/>
  </r>
  <r>
    <n v="6712"/>
    <n v="30"/>
    <x v="18"/>
    <n v="3026"/>
    <s v="อำเภอเทพารักษ์"/>
    <n v="0"/>
    <s v="-"/>
    <n v="0"/>
    <s v="-"/>
    <n v="12742"/>
    <n v="12606"/>
    <n v="25348"/>
    <n v="9024"/>
  </r>
  <r>
    <n v="6712"/>
    <n v="30"/>
    <x v="18"/>
    <n v="3027"/>
    <s v="อำเภอเมืองยาง"/>
    <n v="0"/>
    <s v="-"/>
    <n v="0"/>
    <s v="-"/>
    <n v="9748"/>
    <n v="9623"/>
    <n v="19371"/>
    <n v="5785"/>
  </r>
  <r>
    <n v="6712"/>
    <n v="30"/>
    <x v="18"/>
    <n v="3028"/>
    <s v="อำเภอพระทองคำ"/>
    <n v="0"/>
    <s v="-"/>
    <n v="0"/>
    <s v="-"/>
    <n v="18257"/>
    <n v="18482"/>
    <n v="36739"/>
    <n v="12954"/>
  </r>
  <r>
    <n v="6712"/>
    <n v="30"/>
    <x v="18"/>
    <n v="3029"/>
    <s v="อำเภอลำทะเมนชัย"/>
    <n v="0"/>
    <s v="-"/>
    <n v="0"/>
    <s v="-"/>
    <n v="13805"/>
    <n v="13968"/>
    <n v="27773"/>
    <n v="7919"/>
  </r>
  <r>
    <n v="6712"/>
    <n v="30"/>
    <x v="18"/>
    <n v="3030"/>
    <s v="อำเภอบัวลาย"/>
    <n v="0"/>
    <s v="-"/>
    <n v="0"/>
    <s v="-"/>
    <n v="10457"/>
    <n v="10695"/>
    <n v="21152"/>
    <n v="6761"/>
  </r>
  <r>
    <n v="6712"/>
    <n v="30"/>
    <x v="18"/>
    <n v="3031"/>
    <s v="อำเภอสีดา"/>
    <n v="0"/>
    <s v="-"/>
    <n v="0"/>
    <s v="-"/>
    <n v="9793"/>
    <n v="9908"/>
    <n v="19701"/>
    <n v="6326"/>
  </r>
  <r>
    <n v="6712"/>
    <n v="30"/>
    <x v="18"/>
    <n v="3032"/>
    <s v="อำเภอเฉลิมพระเกียรติ"/>
    <n v="0"/>
    <s v="-"/>
    <n v="0"/>
    <s v="-"/>
    <n v="15158"/>
    <n v="15898"/>
    <n v="31056"/>
    <n v="9976"/>
  </r>
  <r>
    <n v="6712"/>
    <n v="30"/>
    <x v="18"/>
    <n v="3035"/>
    <s v="ท้องถิ่นเทศบาลตำบลเมืองใหม่โคกกรวด"/>
    <n v="0"/>
    <s v="-"/>
    <n v="0"/>
    <s v="-"/>
    <n v="7828"/>
    <n v="8435"/>
    <n v="16263"/>
    <n v="8218"/>
  </r>
  <r>
    <n v="6712"/>
    <n v="30"/>
    <x v="18"/>
    <n v="3037"/>
    <s v="ท้องถิ่นเทศบาลตำบลเมืองยาง"/>
    <n v="0"/>
    <s v="-"/>
    <n v="0"/>
    <s v="-"/>
    <n v="3981"/>
    <n v="4054"/>
    <n v="8035"/>
    <n v="2461"/>
  </r>
  <r>
    <n v="6712"/>
    <n v="30"/>
    <x v="18"/>
    <n v="3038"/>
    <s v="ท้องถิ่นเทศบาลตำบลหนองน้ำใส"/>
    <n v="0"/>
    <s v="-"/>
    <n v="0"/>
    <s v="-"/>
    <n v="6623"/>
    <n v="6672"/>
    <n v="13295"/>
    <n v="5364"/>
  </r>
  <r>
    <n v="6712"/>
    <n v="30"/>
    <x v="18"/>
    <n v="3039"/>
    <s v="ท้องถิ่นเทศบาลตำบลด่านคล้า"/>
    <n v="0"/>
    <s v="-"/>
    <n v="0"/>
    <s v="-"/>
    <n v="4182"/>
    <n v="4335"/>
    <n v="8517"/>
    <n v="2743"/>
  </r>
  <r>
    <n v="6712"/>
    <n v="30"/>
    <x v="18"/>
    <n v="3040"/>
    <s v="ท้องถิ่นเทศบาลตำบลใหม่"/>
    <n v="0"/>
    <s v="-"/>
    <n v="0"/>
    <s v="-"/>
    <n v="6402"/>
    <n v="6494"/>
    <n v="12896"/>
    <n v="3754"/>
  </r>
  <r>
    <n v="6712"/>
    <n v="30"/>
    <x v="18"/>
    <n v="3041"/>
    <s v="ท้องถิ่นเทศบาลตำบลหนองบัวตะเกียด"/>
    <n v="0"/>
    <s v="-"/>
    <n v="0"/>
    <s v="-"/>
    <n v="4266"/>
    <n v="4501"/>
    <n v="8767"/>
    <n v="2853"/>
  </r>
  <r>
    <n v="6712"/>
    <n v="30"/>
    <x v="18"/>
    <n v="3042"/>
    <s v="ท้องถิ่นเทศบาลตำบลบัลลังก์"/>
    <n v="0"/>
    <s v="-"/>
    <n v="0"/>
    <s v="-"/>
    <n v="3801"/>
    <n v="3864"/>
    <n v="7665"/>
    <n v="2574"/>
  </r>
  <r>
    <n v="6712"/>
    <n v="30"/>
    <x v="18"/>
    <n v="3043"/>
    <s v="ท้องถิ่นเทศบาลตำบลหนองไข่น้ำ"/>
    <n v="0"/>
    <s v="-"/>
    <n v="0"/>
    <s v="-"/>
    <n v="3075"/>
    <n v="3073"/>
    <n v="6148"/>
    <n v="1984"/>
  </r>
  <r>
    <n v="6712"/>
    <n v="30"/>
    <x v="18"/>
    <n v="3044"/>
    <s v="ท้องถิ่นเทศบาลตำบลท่าเยี่ยม"/>
    <n v="0"/>
    <s v="-"/>
    <n v="0"/>
    <s v="-"/>
    <n v="5617"/>
    <n v="5797"/>
    <n v="11414"/>
    <n v="5828"/>
  </r>
  <r>
    <n v="6712"/>
    <n v="30"/>
    <x v="18"/>
    <n v="3045"/>
    <s v="ท้องถิ่นเทศบาลตำบลสีมามงคล"/>
    <n v="0"/>
    <s v="-"/>
    <n v="0"/>
    <s v="-"/>
    <n v="4571"/>
    <n v="4675"/>
    <n v="9246"/>
    <n v="4640"/>
  </r>
  <r>
    <n v="6712"/>
    <n v="30"/>
    <x v="18"/>
    <n v="3046"/>
    <s v="ท้องถิ่นเทศบาลตำบลลำนางแก้ว"/>
    <n v="0"/>
    <s v="-"/>
    <n v="0"/>
    <s v="-"/>
    <n v="2340"/>
    <n v="2374"/>
    <n v="4714"/>
    <n v="1483"/>
  </r>
  <r>
    <n v="6712"/>
    <n v="30"/>
    <x v="18"/>
    <n v="3047"/>
    <s v="ท้องถิ่นเทศบาลตำบลดอนหวาย"/>
    <n v="0"/>
    <s v="-"/>
    <n v="0"/>
    <s v="-"/>
    <n v="1741"/>
    <n v="1916"/>
    <n v="3657"/>
    <n v="1375"/>
  </r>
  <r>
    <n v="6712"/>
    <n v="30"/>
    <x v="18"/>
    <n v="3048"/>
    <s v="ท้องถิ่นเทศบาลตำบลหมูสี"/>
    <n v="0"/>
    <s v="-"/>
    <n v="0"/>
    <s v="-"/>
    <n v="6661"/>
    <n v="6789"/>
    <n v="13450"/>
    <n v="12435"/>
  </r>
  <r>
    <n v="6712"/>
    <n v="30"/>
    <x v="18"/>
    <n v="3049"/>
    <s v="ท้องถิ่นเทศบาลตำบลโพธิ์กลาง"/>
    <n v="0"/>
    <s v="-"/>
    <n v="0"/>
    <s v="-"/>
    <n v="14775"/>
    <n v="14425"/>
    <n v="29200"/>
    <n v="14148"/>
  </r>
  <r>
    <n v="6712"/>
    <n v="30"/>
    <x v="18"/>
    <n v="3050"/>
    <s v="ท้องถิ่นเทศบาลตำบลหัวทะเล"/>
    <n v="0"/>
    <s v="-"/>
    <n v="0"/>
    <s v="-"/>
    <n v="13224"/>
    <n v="14713"/>
    <n v="27937"/>
    <n v="14664"/>
  </r>
  <r>
    <n v="6712"/>
    <n v="30"/>
    <x v="18"/>
    <n v="3051"/>
    <s v="ท้องถิ่นเทศบาลตำบลวังไทร"/>
    <n v="0"/>
    <s v="-"/>
    <n v="0"/>
    <s v="-"/>
    <n v="5586"/>
    <n v="5821"/>
    <n v="11407"/>
    <n v="5927"/>
  </r>
  <r>
    <n v="6712"/>
    <n v="30"/>
    <x v="18"/>
    <n v="3052"/>
    <s v="ท้องถิ่นเทศบาลตำบลปรุใหญ่"/>
    <n v="0"/>
    <s v="-"/>
    <n v="0"/>
    <s v="-"/>
    <n v="4624"/>
    <n v="5106"/>
    <n v="9730"/>
    <n v="5494"/>
  </r>
  <r>
    <n v="6712"/>
    <n v="30"/>
    <x v="18"/>
    <n v="3053"/>
    <s v="ท้องถิ่นเทศบาลตำบลหนองไผ่ล้อม"/>
    <n v="0"/>
    <s v="-"/>
    <n v="0"/>
    <s v="-"/>
    <n v="9494"/>
    <n v="3994"/>
    <n v="13488"/>
    <n v="11306"/>
  </r>
  <r>
    <n v="6712"/>
    <n v="30"/>
    <x v="18"/>
    <n v="3054"/>
    <s v="ท้องถิ่นเทศบาลตำบลท่าช้าง"/>
    <n v="0"/>
    <s v="-"/>
    <n v="0"/>
    <s v="-"/>
    <n v="2430"/>
    <n v="2611"/>
    <n v="5041"/>
    <n v="2195"/>
  </r>
  <r>
    <n v="6712"/>
    <n v="30"/>
    <x v="18"/>
    <n v="3055"/>
    <s v="ท้องถิ่นเทศบาลตำบลสีดา"/>
    <n v="0"/>
    <s v="-"/>
    <n v="0"/>
    <s v="-"/>
    <n v="1754"/>
    <n v="1838"/>
    <n v="3592"/>
    <n v="1559"/>
  </r>
  <r>
    <n v="6712"/>
    <n v="30"/>
    <x v="18"/>
    <n v="3056"/>
    <s v="ท้องถิ่นเทศบาลตำบลหนองบัวลาย"/>
    <n v="0"/>
    <s v="-"/>
    <n v="0"/>
    <s v="-"/>
    <n v="1147"/>
    <n v="1194"/>
    <n v="2341"/>
    <n v="895"/>
  </r>
  <r>
    <n v="6712"/>
    <n v="30"/>
    <x v="18"/>
    <n v="3057"/>
    <s v="ท้องถิ่นเทศบาลตำบลหนองบัววง"/>
    <n v="0"/>
    <s v="-"/>
    <n v="0"/>
    <s v="-"/>
    <n v="2241"/>
    <n v="2310"/>
    <n v="4551"/>
    <n v="1955"/>
  </r>
  <r>
    <n v="6712"/>
    <n v="30"/>
    <x v="18"/>
    <n v="3058"/>
    <s v="ท้องถิ่นเทศบาลตำบลพระทองคำ"/>
    <n v="0"/>
    <s v="-"/>
    <n v="0"/>
    <s v="-"/>
    <n v="1925"/>
    <n v="2050"/>
    <n v="3975"/>
    <n v="1694"/>
  </r>
  <r>
    <n v="6712"/>
    <n v="30"/>
    <x v="18"/>
    <n v="3059"/>
    <s v="ท้องถิ่นเทศบาลตำบลศาลเจ้าพ่อ"/>
    <n v="0"/>
    <s v="-"/>
    <n v="0"/>
    <s v="-"/>
    <n v="887"/>
    <n v="1000"/>
    <n v="1887"/>
    <n v="981"/>
  </r>
  <r>
    <n v="6712"/>
    <n v="30"/>
    <x v="18"/>
    <n v="3060"/>
    <s v="ท้องถิ่นเทศบาลตำบลโนนแดง"/>
    <n v="0"/>
    <s v="-"/>
    <n v="0"/>
    <s v="-"/>
    <n v="2050"/>
    <n v="2180"/>
    <n v="4230"/>
    <n v="1680"/>
  </r>
  <r>
    <n v="6712"/>
    <n v="30"/>
    <x v="18"/>
    <n v="3061"/>
    <s v="ท้องถิ่นเทศบาลตำบลกลางดง"/>
    <n v="0"/>
    <s v="-"/>
    <n v="0"/>
    <s v="-"/>
    <n v="2422"/>
    <n v="2515"/>
    <n v="4937"/>
    <n v="2804"/>
  </r>
  <r>
    <n v="6712"/>
    <n v="30"/>
    <x v="18"/>
    <n v="3062"/>
    <s v="ท้องถิ่นเทศบาลเมืองสีคิ้ว"/>
    <n v="0"/>
    <s v="-"/>
    <n v="0"/>
    <s v="-"/>
    <n v="7536"/>
    <n v="8510"/>
    <n v="16046"/>
    <n v="9816"/>
  </r>
  <r>
    <n v="6712"/>
    <n v="30"/>
    <x v="18"/>
    <n v="3063"/>
    <s v="ท้องถิ่นเทศบาลตำบลลาดบัวขาว"/>
    <n v="0"/>
    <s v="-"/>
    <n v="0"/>
    <s v="-"/>
    <n v="1915"/>
    <n v="2105"/>
    <n v="4020"/>
    <n v="2308"/>
  </r>
  <r>
    <n v="6712"/>
    <n v="30"/>
    <x v="18"/>
    <n v="3064"/>
    <s v="ท้องถิ่นเทศบาลตำบลคลองไผ่"/>
    <n v="0"/>
    <s v="-"/>
    <n v="0"/>
    <s v="-"/>
    <n v="1945"/>
    <n v="1648"/>
    <n v="3593"/>
    <n v="1774"/>
  </r>
  <r>
    <n v="6712"/>
    <n v="30"/>
    <x v="18"/>
    <n v="3065"/>
    <s v="ท้องถิ่นเทศบาลตำบลขามทะเลสอ"/>
    <n v="0"/>
    <s v="-"/>
    <n v="0"/>
    <s v="-"/>
    <n v="2095"/>
    <n v="2262"/>
    <n v="4357"/>
    <n v="2381"/>
  </r>
  <r>
    <n v="6712"/>
    <n v="30"/>
    <x v="18"/>
    <n v="3066"/>
    <s v="ท้องถิ่นเทศบาลตำบลสูงเนิน"/>
    <n v="0"/>
    <s v="-"/>
    <n v="0"/>
    <s v="-"/>
    <n v="4551"/>
    <n v="5073"/>
    <n v="9624"/>
    <n v="6482"/>
  </r>
  <r>
    <n v="6712"/>
    <n v="30"/>
    <x v="18"/>
    <n v="3067"/>
    <s v="ท้องถิ่นเทศบาลตำบลกุดจิก"/>
    <n v="0"/>
    <s v="-"/>
    <n v="0"/>
    <s v="-"/>
    <n v="1263"/>
    <n v="1422"/>
    <n v="2685"/>
    <n v="1545"/>
  </r>
  <r>
    <n v="6712"/>
    <n v="30"/>
    <x v="18"/>
    <n v="3068"/>
    <s v="ท้องถิ่นเทศบาลตำบลชุมพวง"/>
    <n v="0"/>
    <s v="-"/>
    <n v="0"/>
    <s v="-"/>
    <n v="4155"/>
    <n v="4430"/>
    <n v="8585"/>
    <n v="3953"/>
  </r>
  <r>
    <n v="6712"/>
    <n v="30"/>
    <x v="18"/>
    <n v="3069"/>
    <s v="ท้องถิ่นเทศบาลตำบลหินดาด"/>
    <n v="0"/>
    <s v="-"/>
    <n v="0"/>
    <s v="-"/>
    <n v="1355"/>
    <n v="1373"/>
    <n v="2728"/>
    <n v="824"/>
  </r>
  <r>
    <n v="6712"/>
    <n v="30"/>
    <x v="18"/>
    <n v="3070"/>
    <s v="ท้องถิ่นเทศบาลตำบลห้วยแถลง"/>
    <n v="0"/>
    <s v="-"/>
    <n v="0"/>
    <s v="-"/>
    <n v="1412"/>
    <n v="1595"/>
    <n v="3007"/>
    <n v="1722"/>
  </r>
  <r>
    <n v="6712"/>
    <n v="30"/>
    <x v="18"/>
    <n v="3071"/>
    <s v="ท้องถิ่นเทศบาลตำบลพิมาย"/>
    <n v="0"/>
    <s v="-"/>
    <n v="0"/>
    <s v="-"/>
    <n v="3446"/>
    <n v="4037"/>
    <n v="7483"/>
    <n v="2940"/>
  </r>
  <r>
    <n v="6712"/>
    <n v="30"/>
    <x v="18"/>
    <n v="3072"/>
    <s v="ท้องถิ่นเทศบาลเมืองเมืองปัก"/>
    <n v="0"/>
    <s v="-"/>
    <n v="0"/>
    <s v="-"/>
    <n v="6190"/>
    <n v="7085"/>
    <n v="13275"/>
    <n v="7210"/>
  </r>
  <r>
    <n v="6712"/>
    <n v="30"/>
    <x v="18"/>
    <n v="3073"/>
    <s v="ท้องถิ่นเทศบาลตำบลตะขบ"/>
    <n v="0"/>
    <s v="-"/>
    <n v="0"/>
    <s v="-"/>
    <n v="2534"/>
    <n v="2644"/>
    <n v="5178"/>
    <n v="2004"/>
  </r>
  <r>
    <n v="6712"/>
    <n v="30"/>
    <x v="18"/>
    <n v="3074"/>
    <s v="ท้องถิ่นเทศบาลตำบลประทาย"/>
    <n v="0"/>
    <s v="-"/>
    <n v="0"/>
    <s v="-"/>
    <n v="2899"/>
    <n v="3031"/>
    <n v="5930"/>
    <n v="3224"/>
  </r>
  <r>
    <n v="6712"/>
    <n v="30"/>
    <x v="18"/>
    <n v="3075"/>
    <s v="ท้องถิ่นเทศบาลตำบลหนองหัวฟาน"/>
    <n v="0"/>
    <s v="-"/>
    <n v="0"/>
    <s v="-"/>
    <n v="2220"/>
    <n v="2209"/>
    <n v="4429"/>
    <n v="1517"/>
  </r>
  <r>
    <n v="6712"/>
    <n v="30"/>
    <x v="18"/>
    <n v="3076"/>
    <s v="ท้องถิ่นเทศบาลตำบลขามสะแกแสง"/>
    <n v="0"/>
    <s v="-"/>
    <n v="0"/>
    <s v="-"/>
    <n v="2379"/>
    <n v="2606"/>
    <n v="4985"/>
    <n v="1981"/>
  </r>
  <r>
    <n v="6712"/>
    <n v="30"/>
    <x v="18"/>
    <n v="3077"/>
    <s v="ท้องถิ่นเทศบาลตำบลมะค่า"/>
    <n v="0"/>
    <s v="-"/>
    <n v="0"/>
    <s v="-"/>
    <n v="941"/>
    <n v="938"/>
    <n v="1879"/>
    <n v="621"/>
  </r>
  <r>
    <n v="6712"/>
    <n v="30"/>
    <x v="18"/>
    <n v="3078"/>
    <s v="ท้องถิ่นเทศบาลตำบลตลาดแค"/>
    <n v="0"/>
    <s v="-"/>
    <n v="0"/>
    <s v="-"/>
    <n v="1507"/>
    <n v="1689"/>
    <n v="3196"/>
    <n v="1382"/>
  </r>
  <r>
    <n v="6712"/>
    <n v="30"/>
    <x v="18"/>
    <n v="3079"/>
    <s v="ท้องถิ่นเทศบาลตำบลโนนไทย"/>
    <n v="0"/>
    <s v="-"/>
    <n v="0"/>
    <s v="-"/>
    <n v="1369"/>
    <n v="1590"/>
    <n v="2959"/>
    <n v="1413"/>
  </r>
  <r>
    <n v="6712"/>
    <n v="30"/>
    <x v="18"/>
    <n v="3080"/>
    <s v="ท้องถิ่นเทศบาลตำบลโคกสวาย"/>
    <n v="0"/>
    <s v="-"/>
    <n v="0"/>
    <s v="-"/>
    <n v="2484"/>
    <n v="2631"/>
    <n v="5115"/>
    <n v="1869"/>
  </r>
  <r>
    <n v="6712"/>
    <n v="30"/>
    <x v="18"/>
    <n v="3081"/>
    <s v="ท้องถิ่นเทศบาลตำบลหนองกราด"/>
    <n v="0"/>
    <s v="-"/>
    <n v="0"/>
    <s v="-"/>
    <n v="1935"/>
    <n v="2088"/>
    <n v="4023"/>
    <n v="1405"/>
  </r>
  <r>
    <n v="6712"/>
    <n v="30"/>
    <x v="18"/>
    <n v="3082"/>
    <s v="ท้องถิ่นเทศบาลตำบลด่านขุนทด"/>
    <n v="0"/>
    <s v="-"/>
    <n v="0"/>
    <s v="-"/>
    <n v="2765"/>
    <n v="3197"/>
    <n v="5962"/>
    <n v="4132"/>
  </r>
  <r>
    <n v="6712"/>
    <n v="30"/>
    <x v="18"/>
    <n v="3083"/>
    <s v="ท้องถิ่นเทศบาลตำบลด่านเกวียน"/>
    <n v="0"/>
    <s v="-"/>
    <n v="0"/>
    <s v="-"/>
    <n v="4794"/>
    <n v="5107"/>
    <n v="9901"/>
    <n v="4640"/>
  </r>
  <r>
    <n v="6712"/>
    <n v="30"/>
    <x v="18"/>
    <n v="3084"/>
    <s v="ท้องถิ่นเทศบาลตำบลโชคชัย"/>
    <n v="0"/>
    <s v="-"/>
    <n v="0"/>
    <s v="-"/>
    <n v="5869"/>
    <n v="6500"/>
    <n v="12369"/>
    <n v="5709"/>
  </r>
  <r>
    <n v="6712"/>
    <n v="30"/>
    <x v="18"/>
    <n v="3085"/>
    <s v="ท้องถิ่นเทศบาลตำบลจักราช"/>
    <n v="0"/>
    <s v="-"/>
    <n v="0"/>
    <s v="-"/>
    <n v="1785"/>
    <n v="1968"/>
    <n v="3753"/>
    <n v="1705"/>
  </r>
  <r>
    <n v="6712"/>
    <n v="30"/>
    <x v="18"/>
    <n v="3086"/>
    <s v="ท้องถิ่นเทศบาลตำบลบ้านเหลื่อม"/>
    <n v="0"/>
    <s v="-"/>
    <n v="0"/>
    <s v="-"/>
    <n v="1560"/>
    <n v="1790"/>
    <n v="3350"/>
    <n v="1287"/>
  </r>
  <r>
    <n v="6712"/>
    <n v="30"/>
    <x v="18"/>
    <n v="3087"/>
    <s v="ท้องถิ่นเทศบาลตำบลเมืองคง"/>
    <n v="0"/>
    <s v="-"/>
    <n v="0"/>
    <s v="-"/>
    <n v="1026"/>
    <n v="1140"/>
    <n v="2166"/>
    <n v="1010"/>
  </r>
  <r>
    <n v="6712"/>
    <n v="30"/>
    <x v="18"/>
    <n v="3088"/>
    <s v="ท้องถิ่นเทศบาลตำบลเทพาลัย"/>
    <n v="0"/>
    <s v="-"/>
    <n v="0"/>
    <s v="-"/>
    <n v="1307"/>
    <n v="1381"/>
    <n v="2688"/>
    <n v="913"/>
  </r>
  <r>
    <n v="6712"/>
    <n v="30"/>
    <x v="18"/>
    <n v="3089"/>
    <s v="ท้องถิ่นเทศบาลตำบลเสิงสาง"/>
    <n v="0"/>
    <s v="-"/>
    <n v="0"/>
    <s v="-"/>
    <n v="3613"/>
    <n v="3857"/>
    <n v="7470"/>
    <n v="3350"/>
  </r>
  <r>
    <n v="6712"/>
    <n v="30"/>
    <x v="18"/>
    <n v="3090"/>
    <s v="ท้องถิ่นเทศบาลตำบลโนนสมบูรณ์"/>
    <n v="0"/>
    <s v="-"/>
    <n v="0"/>
    <s v="-"/>
    <n v="2799"/>
    <n v="2879"/>
    <n v="5678"/>
    <n v="1869"/>
  </r>
  <r>
    <n v="6712"/>
    <n v="30"/>
    <x v="18"/>
    <n v="3091"/>
    <s v="ท้องถิ่นเทศบาลตำบลไทรโยง-ไชยวาล"/>
    <n v="0"/>
    <s v="-"/>
    <n v="0"/>
    <s v="-"/>
    <n v="1794"/>
    <n v="1858"/>
    <n v="3652"/>
    <n v="1207"/>
  </r>
  <r>
    <n v="6712"/>
    <n v="30"/>
    <x v="18"/>
    <n v="3092"/>
    <s v="ท้องถิ่นเทศบาลตำบลแชะ"/>
    <n v="0"/>
    <s v="-"/>
    <n v="0"/>
    <s v="-"/>
    <n v="2625"/>
    <n v="3016"/>
    <n v="5641"/>
    <n v="3088"/>
  </r>
  <r>
    <n v="6712"/>
    <n v="30"/>
    <x v="18"/>
    <n v="3093"/>
    <s v="ท้องถิ่นเทศบาลตำบลจระเข้หิน"/>
    <n v="0"/>
    <s v="-"/>
    <n v="0"/>
    <s v="-"/>
    <n v="2836"/>
    <n v="3166"/>
    <n v="6002"/>
    <n v="2511"/>
  </r>
  <r>
    <n v="6712"/>
    <n v="30"/>
    <x v="18"/>
    <n v="3094"/>
    <s v="ท้องถิ่นเทศบาลตำบลจอหอ"/>
    <n v="0"/>
    <s v="-"/>
    <n v="0"/>
    <s v="-"/>
    <n v="8412"/>
    <n v="8782"/>
    <n v="17194"/>
    <n v="10395"/>
  </r>
  <r>
    <n v="6712"/>
    <n v="30"/>
    <x v="18"/>
    <n v="3095"/>
    <s v="ท้องถิ่นเทศบาลตำบลโคกกรวด"/>
    <n v="0"/>
    <s v="-"/>
    <n v="0"/>
    <s v="-"/>
    <n v="3215"/>
    <n v="3745"/>
    <n v="6960"/>
    <n v="4784"/>
  </r>
  <r>
    <n v="6712"/>
    <n v="30"/>
    <x v="18"/>
    <n v="3096"/>
    <s v="ท้องถิ่นเทศบาลตำบลโนนสูง"/>
    <n v="0"/>
    <s v="-"/>
    <n v="0"/>
    <s v="-"/>
    <n v="4472"/>
    <n v="4817"/>
    <n v="9289"/>
    <n v="4176"/>
  </r>
  <r>
    <n v="6712"/>
    <n v="30"/>
    <x v="18"/>
    <n v="3097"/>
    <s v="ท้องถิ่นเทศบาลเมืองบัวใหญ่"/>
    <n v="0"/>
    <s v="-"/>
    <n v="0"/>
    <s v="-"/>
    <n v="6207"/>
    <n v="6813"/>
    <n v="13020"/>
    <n v="7403"/>
  </r>
  <r>
    <n v="6712"/>
    <n v="30"/>
    <x v="18"/>
    <n v="3098"/>
    <s v="ท้องถิ่นเทศบาลเมืองปากช่อง"/>
    <n v="0"/>
    <s v="-"/>
    <n v="0"/>
    <s v="-"/>
    <n v="15025"/>
    <n v="16995"/>
    <n v="32020"/>
    <n v="19408"/>
  </r>
  <r>
    <n v="6712"/>
    <n v="30"/>
    <x v="18"/>
    <n v="3099"/>
    <s v="ท้องถิ่นเทศบาลนครนครราชสีมา"/>
    <n v="0"/>
    <s v="-"/>
    <n v="0"/>
    <s v="-"/>
    <n v="52544"/>
    <n v="60640"/>
    <n v="113184"/>
    <n v="73265"/>
  </r>
  <r>
    <n v="6712"/>
    <n v="31"/>
    <x v="19"/>
    <n v="0"/>
    <s v="-"/>
    <n v="0"/>
    <s v="-"/>
    <n v="0"/>
    <s v="-"/>
    <n v="775230"/>
    <n v="791078"/>
    <n v="1566308"/>
    <n v="504266"/>
  </r>
  <r>
    <n v="6712"/>
    <n v="31"/>
    <x v="19"/>
    <n v="3101"/>
    <s v="อำเภอเมืองบุรีรัมย์"/>
    <n v="0"/>
    <s v="-"/>
    <n v="0"/>
    <s v="-"/>
    <n v="83803"/>
    <n v="86137"/>
    <n v="169940"/>
    <n v="53568"/>
  </r>
  <r>
    <n v="6712"/>
    <n v="31"/>
    <x v="19"/>
    <n v="3102"/>
    <s v="อำเภอคูเมือง"/>
    <n v="0"/>
    <s v="-"/>
    <n v="0"/>
    <s v="-"/>
    <n v="29318"/>
    <n v="29279"/>
    <n v="58597"/>
    <n v="16997"/>
  </r>
  <r>
    <n v="6712"/>
    <n v="31"/>
    <x v="19"/>
    <n v="3103"/>
    <s v="อำเภอกระสัง"/>
    <n v="0"/>
    <s v="-"/>
    <n v="0"/>
    <s v="-"/>
    <n v="49754"/>
    <n v="50951"/>
    <n v="100705"/>
    <n v="27512"/>
  </r>
  <r>
    <n v="6712"/>
    <n v="31"/>
    <x v="19"/>
    <n v="3104"/>
    <s v="อำเภอนางรอง"/>
    <n v="0"/>
    <s v="-"/>
    <n v="0"/>
    <s v="-"/>
    <n v="45649"/>
    <n v="47137"/>
    <n v="92786"/>
    <n v="27856"/>
  </r>
  <r>
    <n v="6712"/>
    <n v="31"/>
    <x v="19"/>
    <n v="3105"/>
    <s v="อำเภอหนองกี่"/>
    <n v="0"/>
    <s v="-"/>
    <n v="0"/>
    <s v="-"/>
    <n v="28659"/>
    <n v="28443"/>
    <n v="57102"/>
    <n v="16177"/>
  </r>
  <r>
    <n v="6712"/>
    <n v="31"/>
    <x v="19"/>
    <n v="3106"/>
    <s v="อำเภอละหานทราย"/>
    <n v="0"/>
    <s v="-"/>
    <n v="0"/>
    <s v="-"/>
    <n v="9654"/>
    <n v="9699"/>
    <n v="19353"/>
    <n v="6099"/>
  </r>
  <r>
    <n v="6712"/>
    <n v="31"/>
    <x v="19"/>
    <n v="3107"/>
    <s v="อำเภอประโคนชัย"/>
    <n v="0"/>
    <s v="-"/>
    <n v="0"/>
    <s v="-"/>
    <n v="61874"/>
    <n v="62752"/>
    <n v="124626"/>
    <n v="38673"/>
  </r>
  <r>
    <n v="6712"/>
    <n v="31"/>
    <x v="19"/>
    <n v="3108"/>
    <s v="อำเภอบ้านกรวด"/>
    <n v="0"/>
    <s v="-"/>
    <n v="0"/>
    <s v="-"/>
    <n v="20318"/>
    <n v="20503"/>
    <n v="40821"/>
    <n v="11926"/>
  </r>
  <r>
    <n v="6712"/>
    <n v="31"/>
    <x v="19"/>
    <n v="3109"/>
    <s v="อำเภอพุทไธสง"/>
    <n v="0"/>
    <s v="-"/>
    <n v="0"/>
    <s v="-"/>
    <n v="19972"/>
    <n v="20979"/>
    <n v="40951"/>
    <n v="12887"/>
  </r>
  <r>
    <n v="6712"/>
    <n v="31"/>
    <x v="19"/>
    <n v="3110"/>
    <s v="อำเภอลำปลายมาศ"/>
    <n v="0"/>
    <s v="-"/>
    <n v="0"/>
    <s v="-"/>
    <n v="56431"/>
    <n v="56820"/>
    <n v="113251"/>
    <n v="32571"/>
  </r>
  <r>
    <n v="6712"/>
    <n v="31"/>
    <x v="19"/>
    <n v="3111"/>
    <s v="อำเภอสตึก"/>
    <n v="0"/>
    <s v="-"/>
    <n v="0"/>
    <s v="-"/>
    <n v="48724"/>
    <n v="49075"/>
    <n v="97799"/>
    <n v="28402"/>
  </r>
  <r>
    <n v="6712"/>
    <n v="31"/>
    <x v="19"/>
    <n v="3112"/>
    <s v="อำเภอปะคำ"/>
    <n v="0"/>
    <s v="-"/>
    <n v="0"/>
    <s v="-"/>
    <n v="19033"/>
    <n v="18954"/>
    <n v="37987"/>
    <n v="12268"/>
  </r>
  <r>
    <n v="6712"/>
    <n v="31"/>
    <x v="19"/>
    <n v="3113"/>
    <s v="อำเภอนาโพธิ์"/>
    <n v="0"/>
    <s v="-"/>
    <n v="0"/>
    <s v="-"/>
    <n v="13722"/>
    <n v="14206"/>
    <n v="27928"/>
    <n v="8289"/>
  </r>
  <r>
    <n v="6712"/>
    <n v="31"/>
    <x v="19"/>
    <n v="3114"/>
    <s v="อำเภอหนองหงส์"/>
    <n v="0"/>
    <s v="-"/>
    <n v="0"/>
    <s v="-"/>
    <n v="17663"/>
    <n v="17493"/>
    <n v="35156"/>
    <n v="9778"/>
  </r>
  <r>
    <n v="6712"/>
    <n v="31"/>
    <x v="19"/>
    <n v="3115"/>
    <s v="อำเภอพลับพลาชัย"/>
    <n v="0"/>
    <s v="-"/>
    <n v="0"/>
    <s v="-"/>
    <n v="14032"/>
    <n v="13722"/>
    <n v="27754"/>
    <n v="7589"/>
  </r>
  <r>
    <n v="6712"/>
    <n v="31"/>
    <x v="19"/>
    <n v="3116"/>
    <s v="อำเภอห้วยราช"/>
    <n v="0"/>
    <s v="-"/>
    <n v="0"/>
    <s v="-"/>
    <n v="16032"/>
    <n v="16324"/>
    <n v="32356"/>
    <n v="8675"/>
  </r>
  <r>
    <n v="6712"/>
    <n v="31"/>
    <x v="19"/>
    <n v="3117"/>
    <s v="อำเภอโนนสุวรรณ"/>
    <n v="0"/>
    <s v="-"/>
    <n v="0"/>
    <s v="-"/>
    <n v="10899"/>
    <n v="10916"/>
    <n v="21815"/>
    <n v="6706"/>
  </r>
  <r>
    <n v="6712"/>
    <n v="31"/>
    <x v="19"/>
    <n v="3118"/>
    <s v="อำเภอชำนิ"/>
    <n v="0"/>
    <s v="-"/>
    <n v="0"/>
    <s v="-"/>
    <n v="17457"/>
    <n v="17614"/>
    <n v="35071"/>
    <n v="9561"/>
  </r>
  <r>
    <n v="6712"/>
    <n v="31"/>
    <x v="19"/>
    <n v="3119"/>
    <s v="อำเภอบ้านใหม่ไชยพจน์"/>
    <n v="0"/>
    <s v="-"/>
    <n v="0"/>
    <s v="-"/>
    <n v="10671"/>
    <n v="10998"/>
    <n v="21669"/>
    <n v="6364"/>
  </r>
  <r>
    <n v="6712"/>
    <n v="31"/>
    <x v="19"/>
    <n v="3120"/>
    <s v="อำเภอโนนดินแดง"/>
    <n v="0"/>
    <s v="-"/>
    <n v="0"/>
    <s v="-"/>
    <n v="9334"/>
    <n v="9288"/>
    <n v="18622"/>
    <n v="5981"/>
  </r>
  <r>
    <n v="6712"/>
    <n v="31"/>
    <x v="19"/>
    <n v="3121"/>
    <s v="อำเภอบ้านด่าน"/>
    <n v="0"/>
    <s v="-"/>
    <n v="0"/>
    <s v="-"/>
    <n v="9147"/>
    <n v="9473"/>
    <n v="18620"/>
    <n v="4828"/>
  </r>
  <r>
    <n v="6712"/>
    <n v="31"/>
    <x v="19"/>
    <n v="3122"/>
    <s v="อำเภอแคนดง"/>
    <n v="0"/>
    <s v="-"/>
    <n v="0"/>
    <s v="-"/>
    <n v="13207"/>
    <n v="13437"/>
    <n v="26644"/>
    <n v="7668"/>
  </r>
  <r>
    <n v="6712"/>
    <n v="31"/>
    <x v="19"/>
    <n v="3123"/>
    <s v="อำเภอเฉลิมพระเกียรติ"/>
    <n v="0"/>
    <s v="-"/>
    <n v="0"/>
    <s v="-"/>
    <n v="5997"/>
    <n v="6036"/>
    <n v="12033"/>
    <n v="3697"/>
  </r>
  <r>
    <n v="6712"/>
    <n v="31"/>
    <x v="19"/>
    <n v="3162"/>
    <s v="ท้องถิ่นเทศบาลตำบลจันดุม"/>
    <n v="0"/>
    <s v="-"/>
    <n v="0"/>
    <s v="-"/>
    <n v="5139"/>
    <n v="5248"/>
    <n v="10387"/>
    <n v="3072"/>
  </r>
  <r>
    <n v="6712"/>
    <n v="31"/>
    <x v="19"/>
    <n v="3163"/>
    <s v="ท้องถิ่นเทศบาลตำบลห้วยหิน"/>
    <n v="0"/>
    <s v="-"/>
    <n v="0"/>
    <s v="-"/>
    <n v="4815"/>
    <n v="4908"/>
    <n v="9723"/>
    <n v="2828"/>
  </r>
  <r>
    <n v="6712"/>
    <n v="31"/>
    <x v="19"/>
    <n v="3164"/>
    <s v="ท้องถิ่นเทศบาลตำบลสำโรงใหม่"/>
    <n v="0"/>
    <s v="-"/>
    <n v="0"/>
    <s v="-"/>
    <n v="6284"/>
    <n v="6268"/>
    <n v="12552"/>
    <n v="3912"/>
  </r>
  <r>
    <n v="6712"/>
    <n v="31"/>
    <x v="19"/>
    <n v="3165"/>
    <s v="ท้องถิ่นเทศบาลตำบลจันทบเพชร"/>
    <n v="0"/>
    <s v="-"/>
    <n v="0"/>
    <s v="-"/>
    <n v="3879"/>
    <n v="3953"/>
    <n v="7832"/>
    <n v="2513"/>
  </r>
  <r>
    <n v="6712"/>
    <n v="31"/>
    <x v="19"/>
    <n v="3166"/>
    <s v="ท้องถิ่นเทศบาลตำบลหนองแวง"/>
    <n v="0"/>
    <s v="-"/>
    <n v="0"/>
    <s v="-"/>
    <n v="8416"/>
    <n v="8339"/>
    <n v="16755"/>
    <n v="4408"/>
  </r>
  <r>
    <n v="6712"/>
    <n v="31"/>
    <x v="19"/>
    <n v="3167"/>
    <s v="ท้องถิ่นเทศบาลตำบลหนองไม้งาม"/>
    <n v="0"/>
    <s v="-"/>
    <n v="0"/>
    <s v="-"/>
    <n v="5062"/>
    <n v="5035"/>
    <n v="10097"/>
    <n v="3041"/>
  </r>
  <r>
    <n v="6712"/>
    <n v="31"/>
    <x v="19"/>
    <n v="3168"/>
    <s v="ท้องถิ่นเทศบาลตำบลบ้านกรวดปัญญาวัฒน์"/>
    <n v="0"/>
    <s v="-"/>
    <n v="0"/>
    <s v="-"/>
    <n v="4691"/>
    <n v="4696"/>
    <n v="9387"/>
    <n v="2848"/>
  </r>
  <r>
    <n v="6712"/>
    <n v="31"/>
    <x v="19"/>
    <n v="3169"/>
    <s v="ท้องถิ่นเทศบาลตำบลบ้านด่าน"/>
    <n v="0"/>
    <s v="-"/>
    <n v="0"/>
    <s v="-"/>
    <n v="5857"/>
    <n v="6044"/>
    <n v="11901"/>
    <n v="3487"/>
  </r>
  <r>
    <n v="6712"/>
    <n v="31"/>
    <x v="19"/>
    <n v="3170"/>
    <s v="ท้องถิ่นเทศบาลตำบลถาวร"/>
    <n v="0"/>
    <s v="-"/>
    <n v="0"/>
    <s v="-"/>
    <n v="3765"/>
    <n v="3825"/>
    <n v="7590"/>
    <n v="2274"/>
  </r>
  <r>
    <n v="6712"/>
    <n v="31"/>
    <x v="19"/>
    <n v="3171"/>
    <s v="ท้องถิ่นเทศบาลตำบลยายแย้มวัฒนา"/>
    <n v="0"/>
    <s v="-"/>
    <n v="0"/>
    <s v="-"/>
    <n v="4318"/>
    <n v="4255"/>
    <n v="8573"/>
    <n v="2437"/>
  </r>
  <r>
    <n v="6712"/>
    <n v="31"/>
    <x v="19"/>
    <n v="3174"/>
    <s v="ท้องถิ่นเทศบาลตำบลศาลเจ้าพ่อขุนศรี"/>
    <n v="0"/>
    <s v="-"/>
    <n v="0"/>
    <s v="-"/>
    <n v="1678"/>
    <n v="1704"/>
    <n v="3382"/>
    <n v="1377"/>
  </r>
  <r>
    <n v="6712"/>
    <n v="31"/>
    <x v="19"/>
    <n v="3175"/>
    <s v="ท้องถิ่นเทศบาลตำบลตาจง"/>
    <n v="0"/>
    <s v="-"/>
    <n v="0"/>
    <s v="-"/>
    <n v="8337"/>
    <n v="8229"/>
    <n v="16566"/>
    <n v="4508"/>
  </r>
  <r>
    <n v="6712"/>
    <n v="31"/>
    <x v="19"/>
    <n v="3176"/>
    <s v="ท้องถิ่นเทศบาลตำบลพนมรุ้ง"/>
    <n v="0"/>
    <s v="-"/>
    <n v="0"/>
    <s v="-"/>
    <n v="5560"/>
    <n v="5978"/>
    <n v="11538"/>
    <n v="4047"/>
  </r>
  <r>
    <n v="6712"/>
    <n v="31"/>
    <x v="19"/>
    <n v="3177"/>
    <s v="ท้องถิ่นเทศบาลตำบลแคนดง"/>
    <n v="0"/>
    <s v="-"/>
    <n v="0"/>
    <s v="-"/>
    <n v="2668"/>
    <n v="2737"/>
    <n v="5405"/>
    <n v="2051"/>
  </r>
  <r>
    <n v="6712"/>
    <n v="31"/>
    <x v="19"/>
    <n v="3178"/>
    <s v="ท้องถิ่นเทศบาลตำบลโนนดินแดง"/>
    <n v="0"/>
    <s v="-"/>
    <n v="0"/>
    <s v="-"/>
    <n v="4504"/>
    <n v="4668"/>
    <n v="9172"/>
    <n v="3727"/>
  </r>
  <r>
    <n v="6712"/>
    <n v="31"/>
    <x v="19"/>
    <n v="3179"/>
    <s v="ท้องถิ่นเทศบาลตำบลบ้านใหม่ไชยพจน์"/>
    <n v="0"/>
    <s v="-"/>
    <n v="0"/>
    <s v="-"/>
    <n v="2054"/>
    <n v="2155"/>
    <n v="4209"/>
    <n v="1478"/>
  </r>
  <r>
    <n v="6712"/>
    <n v="31"/>
    <x v="19"/>
    <n v="3180"/>
    <s v="ท้องถิ่นเทศบาลตำบลโนนสุวรรณ"/>
    <n v="0"/>
    <s v="-"/>
    <n v="0"/>
    <s v="-"/>
    <n v="1572"/>
    <n v="1643"/>
    <n v="3215"/>
    <n v="1111"/>
  </r>
  <r>
    <n v="6712"/>
    <n v="31"/>
    <x v="19"/>
    <n v="3181"/>
    <s v="ท้องถิ่นเทศบาลตำบลห้วยราช"/>
    <n v="0"/>
    <s v="-"/>
    <n v="0"/>
    <s v="-"/>
    <n v="2445"/>
    <n v="2555"/>
    <n v="5000"/>
    <n v="1486"/>
  </r>
  <r>
    <n v="6712"/>
    <n v="31"/>
    <x v="19"/>
    <n v="3182"/>
    <s v="ท้องถิ่นเทศบาลตำบลพลับพลาชัย"/>
    <n v="0"/>
    <s v="-"/>
    <n v="0"/>
    <s v="-"/>
    <n v="3329"/>
    <n v="3293"/>
    <n v="6622"/>
    <n v="2082"/>
  </r>
  <r>
    <n v="6712"/>
    <n v="31"/>
    <x v="19"/>
    <n v="3183"/>
    <s v="ท้องถิ่นเทศบาลตำบลหนองหงส์"/>
    <n v="0"/>
    <s v="-"/>
    <n v="0"/>
    <s v="-"/>
    <n v="2316"/>
    <n v="2354"/>
    <n v="4670"/>
    <n v="1842"/>
  </r>
  <r>
    <n v="6712"/>
    <n v="31"/>
    <x v="19"/>
    <n v="3184"/>
    <s v="ท้องถิ่นเทศบาลตำบลนาโพธิ์"/>
    <n v="0"/>
    <s v="-"/>
    <n v="0"/>
    <s v="-"/>
    <n v="1715"/>
    <n v="1899"/>
    <n v="3614"/>
    <n v="1739"/>
  </r>
  <r>
    <n v="6712"/>
    <n v="31"/>
    <x v="19"/>
    <n v="3185"/>
    <s v="ท้องถิ่นเทศบาลตำบลปะคำ"/>
    <n v="0"/>
    <s v="-"/>
    <n v="0"/>
    <s v="-"/>
    <n v="3477"/>
    <n v="3621"/>
    <n v="7098"/>
    <n v="2951"/>
  </r>
  <r>
    <n v="6712"/>
    <n v="31"/>
    <x v="19"/>
    <n v="3186"/>
    <s v="ท้องถิ่นเทศบาลตำบลสตึก"/>
    <n v="0"/>
    <s v="-"/>
    <n v="0"/>
    <s v="-"/>
    <n v="5152"/>
    <n v="5570"/>
    <n v="10722"/>
    <n v="5827"/>
  </r>
  <r>
    <n v="6712"/>
    <n v="31"/>
    <x v="19"/>
    <n v="3187"/>
    <s v="ท้องถิ่นเทศบาลตำบลลำปลายมาศ"/>
    <n v="0"/>
    <s v="-"/>
    <n v="0"/>
    <s v="-"/>
    <n v="6159"/>
    <n v="6764"/>
    <n v="12923"/>
    <n v="6432"/>
  </r>
  <r>
    <n v="6712"/>
    <n v="31"/>
    <x v="19"/>
    <n v="3188"/>
    <s v="ท้องถิ่นเทศบาลตำบลทะเมนชัย"/>
    <n v="0"/>
    <s v="-"/>
    <n v="0"/>
    <s v="-"/>
    <n v="2071"/>
    <n v="2144"/>
    <n v="4215"/>
    <n v="1294"/>
  </r>
  <r>
    <n v="6712"/>
    <n v="31"/>
    <x v="19"/>
    <n v="3189"/>
    <s v="ท้องถิ่นเทศบาลตำบลพุทไธสง"/>
    <n v="0"/>
    <s v="-"/>
    <n v="0"/>
    <s v="-"/>
    <n v="1915"/>
    <n v="2138"/>
    <n v="4053"/>
    <n v="2340"/>
  </r>
  <r>
    <n v="6712"/>
    <n v="31"/>
    <x v="19"/>
    <n v="3190"/>
    <s v="ท้องถิ่นเทศบาลตำบลบ้านกรวด"/>
    <n v="0"/>
    <s v="-"/>
    <n v="0"/>
    <s v="-"/>
    <n v="1841"/>
    <n v="1952"/>
    <n v="3793"/>
    <n v="2036"/>
  </r>
  <r>
    <n v="6712"/>
    <n v="31"/>
    <x v="19"/>
    <n v="3191"/>
    <s v="ท้องถิ่นเทศบาลตำบลตลาดนิคมปราสาท"/>
    <n v="0"/>
    <s v="-"/>
    <n v="0"/>
    <s v="-"/>
    <n v="2372"/>
    <n v="2428"/>
    <n v="4800"/>
    <n v="1849"/>
  </r>
  <r>
    <n v="6712"/>
    <n v="31"/>
    <x v="19"/>
    <n v="3192"/>
    <s v="ท้องถิ่นเทศบาลตำบลประโคนชัย"/>
    <n v="0"/>
    <s v="-"/>
    <n v="0"/>
    <s v="-"/>
    <n v="4218"/>
    <n v="4734"/>
    <n v="8952"/>
    <n v="4195"/>
  </r>
  <r>
    <n v="6712"/>
    <n v="31"/>
    <x v="19"/>
    <n v="3193"/>
    <s v="ท้องถิ่นเทศบาลตำบลละหานทราย"/>
    <n v="0"/>
    <s v="-"/>
    <n v="0"/>
    <s v="-"/>
    <n v="4094"/>
    <n v="4113"/>
    <n v="8207"/>
    <n v="3647"/>
  </r>
  <r>
    <n v="6712"/>
    <n v="31"/>
    <x v="19"/>
    <n v="3194"/>
    <s v="ท้องถิ่นเทศบาลตำบลหนองกี่"/>
    <n v="0"/>
    <s v="-"/>
    <n v="0"/>
    <s v="-"/>
    <n v="4526"/>
    <n v="4938"/>
    <n v="9464"/>
    <n v="4272"/>
  </r>
  <r>
    <n v="6712"/>
    <n v="31"/>
    <x v="19"/>
    <n v="3195"/>
    <s v="ท้องถิ่นเทศบาลตำบลกระสัง"/>
    <n v="0"/>
    <s v="-"/>
    <n v="0"/>
    <s v="-"/>
    <n v="1516"/>
    <n v="1720"/>
    <n v="3236"/>
    <n v="1867"/>
  </r>
  <r>
    <n v="6712"/>
    <n v="31"/>
    <x v="19"/>
    <n v="3196"/>
    <s v="ท้องถิ่นเทศบาลตำบลหินเหล็กไฟ"/>
    <n v="0"/>
    <s v="-"/>
    <n v="0"/>
    <s v="-"/>
    <n v="2393"/>
    <n v="2516"/>
    <n v="4909"/>
    <n v="1890"/>
  </r>
  <r>
    <n v="6712"/>
    <n v="31"/>
    <x v="19"/>
    <n v="3197"/>
    <s v="ท้องถิ่นเทศบาลตำบลคูเมือง"/>
    <n v="0"/>
    <s v="-"/>
    <n v="0"/>
    <s v="-"/>
    <n v="1784"/>
    <n v="1787"/>
    <n v="3571"/>
    <n v="2087"/>
  </r>
  <r>
    <n v="6712"/>
    <n v="31"/>
    <x v="19"/>
    <n v="3198"/>
    <s v="ท้องถิ่นเทศบาลเมืองนางรอง"/>
    <n v="0"/>
    <s v="-"/>
    <n v="0"/>
    <s v="-"/>
    <n v="9388"/>
    <n v="10676"/>
    <n v="20064"/>
    <n v="11785"/>
  </r>
  <r>
    <n v="6712"/>
    <n v="31"/>
    <x v="19"/>
    <n v="3199"/>
    <s v="ท้องถิ่นเทศบาลนครบุรีรัมย์"/>
    <n v="0"/>
    <s v="-"/>
    <n v="0"/>
    <s v="-"/>
    <n v="24570"/>
    <n v="25955"/>
    <n v="50525"/>
    <n v="31454"/>
  </r>
  <r>
    <n v="6712"/>
    <n v="32"/>
    <x v="20"/>
    <n v="0"/>
    <s v="-"/>
    <n v="0"/>
    <s v="-"/>
    <n v="0"/>
    <s v="-"/>
    <n v="675268"/>
    <n v="684977"/>
    <n v="1360245"/>
    <n v="426326"/>
  </r>
  <r>
    <n v="6712"/>
    <n v="32"/>
    <x v="20"/>
    <n v="3201"/>
    <s v="อำเภอเมืองสุรินทร์"/>
    <n v="0"/>
    <s v="-"/>
    <n v="0"/>
    <s v="-"/>
    <n v="106979"/>
    <n v="109808"/>
    <n v="216787"/>
    <n v="80692"/>
  </r>
  <r>
    <n v="6712"/>
    <n v="32"/>
    <x v="20"/>
    <n v="3202"/>
    <s v="อำเภอชุมพลบุรี"/>
    <n v="0"/>
    <s v="-"/>
    <n v="0"/>
    <s v="-"/>
    <n v="33812"/>
    <n v="33858"/>
    <n v="67670"/>
    <n v="19556"/>
  </r>
  <r>
    <n v="6712"/>
    <n v="32"/>
    <x v="20"/>
    <n v="3203"/>
    <s v="อำเภอท่าตูม"/>
    <n v="0"/>
    <s v="-"/>
    <n v="0"/>
    <s v="-"/>
    <n v="45042"/>
    <n v="44937"/>
    <n v="89979"/>
    <n v="24470"/>
  </r>
  <r>
    <n v="6712"/>
    <n v="32"/>
    <x v="20"/>
    <n v="3204"/>
    <s v="อำเภอจอมพระ"/>
    <n v="0"/>
    <s v="-"/>
    <n v="0"/>
    <s v="-"/>
    <n v="26848"/>
    <n v="26867"/>
    <n v="53715"/>
    <n v="14571"/>
  </r>
  <r>
    <n v="6712"/>
    <n v="32"/>
    <x v="20"/>
    <n v="3205"/>
    <s v="อำเภอปราสาท"/>
    <n v="0"/>
    <s v="-"/>
    <n v="0"/>
    <s v="-"/>
    <n v="70602"/>
    <n v="72527"/>
    <n v="143129"/>
    <n v="44228"/>
  </r>
  <r>
    <n v="6712"/>
    <n v="32"/>
    <x v="20"/>
    <n v="3206"/>
    <s v="อำเภอกาบเชิง"/>
    <n v="0"/>
    <s v="-"/>
    <n v="0"/>
    <s v="-"/>
    <n v="29880"/>
    <n v="29740"/>
    <n v="59620"/>
    <n v="20001"/>
  </r>
  <r>
    <n v="6712"/>
    <n v="32"/>
    <x v="20"/>
    <n v="3207"/>
    <s v="อำเภอรัตนบุรี"/>
    <n v="0"/>
    <s v="-"/>
    <n v="0"/>
    <s v="-"/>
    <n v="42715"/>
    <n v="43096"/>
    <n v="85811"/>
    <n v="24077"/>
  </r>
  <r>
    <n v="6712"/>
    <n v="32"/>
    <x v="20"/>
    <n v="3208"/>
    <s v="อำเภอสนม"/>
    <n v="0"/>
    <s v="-"/>
    <n v="0"/>
    <s v="-"/>
    <n v="18980"/>
    <n v="18779"/>
    <n v="37759"/>
    <n v="11213"/>
  </r>
  <r>
    <n v="6712"/>
    <n v="32"/>
    <x v="20"/>
    <n v="3209"/>
    <s v="อำเภอศีขรภูมิ"/>
    <n v="0"/>
    <s v="-"/>
    <n v="0"/>
    <s v="-"/>
    <n v="63779"/>
    <n v="64598"/>
    <n v="128377"/>
    <n v="33821"/>
  </r>
  <r>
    <n v="6712"/>
    <n v="32"/>
    <x v="20"/>
    <n v="3210"/>
    <s v="อำเภอสังขะ"/>
    <n v="0"/>
    <s v="-"/>
    <n v="0"/>
    <s v="-"/>
    <n v="63268"/>
    <n v="62984"/>
    <n v="126252"/>
    <n v="36330"/>
  </r>
  <r>
    <n v="6712"/>
    <n v="32"/>
    <x v="20"/>
    <n v="3211"/>
    <s v="อำเภอลำดวน"/>
    <n v="0"/>
    <s v="-"/>
    <n v="0"/>
    <s v="-"/>
    <n v="13282"/>
    <n v="13264"/>
    <n v="26546"/>
    <n v="7353"/>
  </r>
  <r>
    <n v="6712"/>
    <n v="32"/>
    <x v="20"/>
    <n v="3212"/>
    <s v="อำเภอสำโรงทาบ"/>
    <n v="0"/>
    <s v="-"/>
    <n v="0"/>
    <s v="-"/>
    <n v="24836"/>
    <n v="24824"/>
    <n v="49660"/>
    <n v="12255"/>
  </r>
  <r>
    <n v="6712"/>
    <n v="32"/>
    <x v="20"/>
    <n v="3213"/>
    <s v="อำเภอบัวเชด"/>
    <n v="0"/>
    <s v="-"/>
    <n v="0"/>
    <s v="-"/>
    <n v="17724"/>
    <n v="17164"/>
    <n v="34888"/>
    <n v="10269"/>
  </r>
  <r>
    <n v="6712"/>
    <n v="32"/>
    <x v="20"/>
    <n v="3214"/>
    <s v="อำเภอพนมดงรัก"/>
    <n v="0"/>
    <s v="-"/>
    <n v="0"/>
    <s v="-"/>
    <n v="18927"/>
    <n v="18610"/>
    <n v="37537"/>
    <n v="12707"/>
  </r>
  <r>
    <n v="6712"/>
    <n v="32"/>
    <x v="20"/>
    <n v="3215"/>
    <s v="อำเภอศรีณรงค์"/>
    <n v="0"/>
    <s v="-"/>
    <n v="0"/>
    <s v="-"/>
    <n v="23261"/>
    <n v="23039"/>
    <n v="46300"/>
    <n v="12103"/>
  </r>
  <r>
    <n v="6712"/>
    <n v="32"/>
    <x v="20"/>
    <n v="3216"/>
    <s v="อำเภอเขวาสินรินทร์"/>
    <n v="0"/>
    <s v="-"/>
    <n v="0"/>
    <s v="-"/>
    <n v="16615"/>
    <n v="17030"/>
    <n v="33645"/>
    <n v="10444"/>
  </r>
  <r>
    <n v="6712"/>
    <n v="32"/>
    <x v="20"/>
    <n v="3217"/>
    <s v="อำเภอโนนนารายณ์"/>
    <n v="0"/>
    <s v="-"/>
    <n v="0"/>
    <s v="-"/>
    <n v="17133"/>
    <n v="17286"/>
    <n v="34419"/>
    <n v="9065"/>
  </r>
  <r>
    <n v="6712"/>
    <n v="32"/>
    <x v="20"/>
    <n v="3286"/>
    <s v="ท้องถิ่นเทศบาลตำบลบัวเชด"/>
    <n v="0"/>
    <s v="-"/>
    <n v="0"/>
    <s v="-"/>
    <n v="3159"/>
    <n v="3279"/>
    <n v="6438"/>
    <n v="2513"/>
  </r>
  <r>
    <n v="6712"/>
    <n v="32"/>
    <x v="20"/>
    <n v="3287"/>
    <s v="ท้องถิ่นเทศบาลตำบลสำโรงทาบ"/>
    <n v="0"/>
    <s v="-"/>
    <n v="0"/>
    <s v="-"/>
    <n v="1165"/>
    <n v="1151"/>
    <n v="2316"/>
    <n v="1316"/>
  </r>
  <r>
    <n v="6712"/>
    <n v="32"/>
    <x v="20"/>
    <n v="3288"/>
    <s v="ท้องถิ่นเทศบาลตำบลลำดวนสุรพินท์"/>
    <n v="0"/>
    <s v="-"/>
    <n v="0"/>
    <s v="-"/>
    <n v="2012"/>
    <n v="2249"/>
    <n v="4261"/>
    <n v="1941"/>
  </r>
  <r>
    <n v="6712"/>
    <n v="32"/>
    <x v="20"/>
    <n v="3289"/>
    <s v="ท้องถิ่นเทศบาลตำบลสังขะ"/>
    <n v="0"/>
    <s v="-"/>
    <n v="0"/>
    <s v="-"/>
    <n v="1633"/>
    <n v="1933"/>
    <n v="3566"/>
    <n v="2424"/>
  </r>
  <r>
    <n v="6712"/>
    <n v="32"/>
    <x v="20"/>
    <n v="3290"/>
    <s v="ท้องถิ่นเทศบาลตำบลศีขรภูมิ"/>
    <n v="0"/>
    <s v="-"/>
    <n v="0"/>
    <s v="-"/>
    <n v="2186"/>
    <n v="2377"/>
    <n v="4563"/>
    <n v="2931"/>
  </r>
  <r>
    <n v="6712"/>
    <n v="32"/>
    <x v="20"/>
    <n v="3291"/>
    <s v="ท้องถิ่นเทศบาลตำบลสนม"/>
    <n v="0"/>
    <s v="-"/>
    <n v="0"/>
    <s v="-"/>
    <n v="2363"/>
    <n v="2523"/>
    <n v="4886"/>
    <n v="1699"/>
  </r>
  <r>
    <n v="6712"/>
    <n v="32"/>
    <x v="20"/>
    <n v="3292"/>
    <s v="ท้องถิ่นเทศบาลตำบลรัตนบุรี"/>
    <n v="0"/>
    <s v="-"/>
    <n v="0"/>
    <s v="-"/>
    <n v="2475"/>
    <n v="2690"/>
    <n v="5165"/>
    <n v="2825"/>
  </r>
  <r>
    <n v="6712"/>
    <n v="32"/>
    <x v="20"/>
    <n v="3293"/>
    <s v="ท้องถิ่นเทศบาลตำบลนิคมปราสาท"/>
    <n v="0"/>
    <s v="-"/>
    <n v="0"/>
    <s v="-"/>
    <n v="1336"/>
    <n v="1324"/>
    <n v="2660"/>
    <n v="893"/>
  </r>
  <r>
    <n v="6712"/>
    <n v="32"/>
    <x v="20"/>
    <n v="3294"/>
    <s v="ท้องถิ่นเทศบาลตำบลกังแอน"/>
    <n v="0"/>
    <s v="-"/>
    <n v="0"/>
    <s v="-"/>
    <n v="2576"/>
    <n v="2943"/>
    <n v="5519"/>
    <n v="3515"/>
  </r>
  <r>
    <n v="6712"/>
    <n v="32"/>
    <x v="20"/>
    <n v="3295"/>
    <s v="ท้องถิ่นเทศบาลตำบลจอมพระ"/>
    <n v="0"/>
    <s v="-"/>
    <n v="0"/>
    <s v="-"/>
    <n v="1888"/>
    <n v="2102"/>
    <n v="3990"/>
    <n v="2027"/>
  </r>
  <r>
    <n v="6712"/>
    <n v="32"/>
    <x v="20"/>
    <n v="3296"/>
    <s v="ท้องถิ่นเทศบาลตำบลท่าตูม"/>
    <n v="0"/>
    <s v="-"/>
    <n v="0"/>
    <s v="-"/>
    <n v="1854"/>
    <n v="1987"/>
    <n v="3841"/>
    <n v="1852"/>
  </r>
  <r>
    <n v="6712"/>
    <n v="32"/>
    <x v="20"/>
    <n v="3297"/>
    <s v="ท้องถิ่นเทศบาลตำบลชุมพลบุรี"/>
    <n v="0"/>
    <s v="-"/>
    <n v="0"/>
    <s v="-"/>
    <n v="1070"/>
    <n v="1174"/>
    <n v="2244"/>
    <n v="1147"/>
  </r>
  <r>
    <n v="6712"/>
    <n v="32"/>
    <x v="20"/>
    <n v="3298"/>
    <s v="ท้องถิ่นเทศบาลตำบลเมืองที"/>
    <n v="0"/>
    <s v="-"/>
    <n v="0"/>
    <s v="-"/>
    <n v="954"/>
    <n v="919"/>
    <n v="1873"/>
    <n v="581"/>
  </r>
  <r>
    <n v="6712"/>
    <n v="32"/>
    <x v="20"/>
    <n v="3299"/>
    <s v="ท้องถิ่นเทศบาลเมืองสุรินทร์"/>
    <n v="0"/>
    <s v="-"/>
    <n v="0"/>
    <s v="-"/>
    <n v="16914"/>
    <n v="19915"/>
    <n v="36829"/>
    <n v="17507"/>
  </r>
  <r>
    <n v="6712"/>
    <n v="33"/>
    <x v="21"/>
    <n v="0"/>
    <s v="-"/>
    <n v="0"/>
    <s v="-"/>
    <n v="0"/>
    <s v="-"/>
    <n v="717079"/>
    <n v="724934"/>
    <n v="1442013"/>
    <n v="420976"/>
  </r>
  <r>
    <n v="6712"/>
    <n v="33"/>
    <x v="21"/>
    <n v="3301"/>
    <s v="อำเภอเมืองศรีสะเกษ"/>
    <n v="0"/>
    <s v="-"/>
    <n v="0"/>
    <s v="-"/>
    <n v="42715"/>
    <n v="44372"/>
    <n v="87087"/>
    <n v="28641"/>
  </r>
  <r>
    <n v="6712"/>
    <n v="33"/>
    <x v="21"/>
    <n v="3302"/>
    <s v="อำเภอยางชุมน้อย"/>
    <n v="0"/>
    <s v="-"/>
    <n v="0"/>
    <s v="-"/>
    <n v="14566"/>
    <n v="14531"/>
    <n v="29097"/>
    <n v="7868"/>
  </r>
  <r>
    <n v="6712"/>
    <n v="33"/>
    <x v="21"/>
    <n v="3303"/>
    <s v="อำเภอกันทรารมย์"/>
    <n v="0"/>
    <s v="-"/>
    <n v="0"/>
    <s v="-"/>
    <n v="46036"/>
    <n v="46393"/>
    <n v="92429"/>
    <n v="25518"/>
  </r>
  <r>
    <n v="6712"/>
    <n v="33"/>
    <x v="21"/>
    <n v="3304"/>
    <s v="อำเภอกันทรลักษ์"/>
    <n v="0"/>
    <s v="-"/>
    <n v="0"/>
    <s v="-"/>
    <n v="91830"/>
    <n v="91592"/>
    <n v="183422"/>
    <n v="53433"/>
  </r>
  <r>
    <n v="6712"/>
    <n v="33"/>
    <x v="21"/>
    <n v="3305"/>
    <s v="อำเภอขุขันธ์"/>
    <n v="0"/>
    <s v="-"/>
    <n v="0"/>
    <s v="-"/>
    <n v="71639"/>
    <n v="72425"/>
    <n v="144064"/>
    <n v="36720"/>
  </r>
  <r>
    <n v="6712"/>
    <n v="33"/>
    <x v="21"/>
    <n v="3306"/>
    <s v="อำเภอไพรบึง"/>
    <n v="0"/>
    <s v="-"/>
    <n v="0"/>
    <s v="-"/>
    <n v="17830"/>
    <n v="18125"/>
    <n v="35955"/>
    <n v="9420"/>
  </r>
  <r>
    <n v="6712"/>
    <n v="33"/>
    <x v="21"/>
    <n v="3307"/>
    <s v="อำเภอปรางค์กู่"/>
    <n v="0"/>
    <s v="-"/>
    <n v="0"/>
    <s v="-"/>
    <n v="31041"/>
    <n v="31502"/>
    <n v="62543"/>
    <n v="15738"/>
  </r>
  <r>
    <n v="6712"/>
    <n v="33"/>
    <x v="21"/>
    <n v="3308"/>
    <s v="อำเภอขุนหาญ"/>
    <n v="0"/>
    <s v="-"/>
    <n v="0"/>
    <s v="-"/>
    <n v="34004"/>
    <n v="34507"/>
    <n v="68511"/>
    <n v="18826"/>
  </r>
  <r>
    <n v="6712"/>
    <n v="33"/>
    <x v="21"/>
    <n v="3309"/>
    <s v="อำเภอราษีไศล"/>
    <n v="0"/>
    <s v="-"/>
    <n v="0"/>
    <s v="-"/>
    <n v="37070"/>
    <n v="37490"/>
    <n v="74560"/>
    <n v="21004"/>
  </r>
  <r>
    <n v="6712"/>
    <n v="33"/>
    <x v="21"/>
    <n v="3310"/>
    <s v="อำเภออุทุมพรพิสัย"/>
    <n v="0"/>
    <s v="-"/>
    <n v="0"/>
    <s v="-"/>
    <n v="49943"/>
    <n v="50661"/>
    <n v="100604"/>
    <n v="27568"/>
  </r>
  <r>
    <n v="6712"/>
    <n v="33"/>
    <x v="21"/>
    <n v="3311"/>
    <s v="อำเภอบึงบูรพ์"/>
    <n v="0"/>
    <s v="-"/>
    <n v="0"/>
    <s v="-"/>
    <n v="2167"/>
    <n v="2155"/>
    <n v="4322"/>
    <n v="1140"/>
  </r>
  <r>
    <n v="6712"/>
    <n v="33"/>
    <x v="21"/>
    <n v="3312"/>
    <s v="อำเภอห้วยทับทัน"/>
    <n v="0"/>
    <s v="-"/>
    <n v="0"/>
    <s v="-"/>
    <n v="19339"/>
    <n v="19256"/>
    <n v="38595"/>
    <n v="9348"/>
  </r>
  <r>
    <n v="6712"/>
    <n v="33"/>
    <x v="21"/>
    <n v="3313"/>
    <s v="อำเภอโนนคูณ"/>
    <n v="0"/>
    <s v="-"/>
    <n v="0"/>
    <s v="-"/>
    <n v="19720"/>
    <n v="19451"/>
    <n v="39171"/>
    <n v="12562"/>
  </r>
  <r>
    <n v="6712"/>
    <n v="33"/>
    <x v="21"/>
    <n v="3314"/>
    <s v="อำเภอศรีรัตนะ"/>
    <n v="0"/>
    <s v="-"/>
    <n v="0"/>
    <s v="-"/>
    <n v="23906"/>
    <n v="24166"/>
    <n v="48072"/>
    <n v="11885"/>
  </r>
  <r>
    <n v="6712"/>
    <n v="33"/>
    <x v="21"/>
    <n v="3315"/>
    <s v="อำเภอน้ำเกลี้ยง"/>
    <n v="0"/>
    <s v="-"/>
    <n v="0"/>
    <s v="-"/>
    <n v="22413"/>
    <n v="21874"/>
    <n v="44287"/>
    <n v="11748"/>
  </r>
  <r>
    <n v="6712"/>
    <n v="33"/>
    <x v="21"/>
    <n v="3316"/>
    <s v="อำเภอวังหิน"/>
    <n v="0"/>
    <s v="-"/>
    <n v="0"/>
    <s v="-"/>
    <n v="20179"/>
    <n v="20019"/>
    <n v="40198"/>
    <n v="9938"/>
  </r>
  <r>
    <n v="6712"/>
    <n v="33"/>
    <x v="21"/>
    <n v="3317"/>
    <s v="อำเภอภูสิงห์"/>
    <n v="0"/>
    <s v="-"/>
    <n v="0"/>
    <s v="-"/>
    <n v="27506"/>
    <n v="27098"/>
    <n v="54604"/>
    <n v="16576"/>
  </r>
  <r>
    <n v="6712"/>
    <n v="33"/>
    <x v="21"/>
    <n v="3318"/>
    <s v="อำเภอเมืองจันทร์"/>
    <n v="0"/>
    <s v="-"/>
    <n v="0"/>
    <s v="-"/>
    <n v="8850"/>
    <n v="8702"/>
    <n v="17552"/>
    <n v="4620"/>
  </r>
  <r>
    <n v="6712"/>
    <n v="33"/>
    <x v="21"/>
    <n v="3319"/>
    <s v="อำเภอเบญจลักษ์"/>
    <n v="0"/>
    <s v="-"/>
    <n v="0"/>
    <s v="-"/>
    <n v="18001"/>
    <n v="17785"/>
    <n v="35786"/>
    <n v="9791"/>
  </r>
  <r>
    <n v="6712"/>
    <n v="33"/>
    <x v="21"/>
    <n v="3320"/>
    <s v="อำเภอพยุห์"/>
    <n v="0"/>
    <s v="-"/>
    <n v="0"/>
    <s v="-"/>
    <n v="15187"/>
    <n v="15508"/>
    <n v="30695"/>
    <n v="8569"/>
  </r>
  <r>
    <n v="6712"/>
    <n v="33"/>
    <x v="21"/>
    <n v="3321"/>
    <s v="อำเภอโพธิ์ศรีสุวรรณ"/>
    <n v="0"/>
    <s v="-"/>
    <n v="0"/>
    <s v="-"/>
    <n v="11700"/>
    <n v="11682"/>
    <n v="23382"/>
    <n v="5940"/>
  </r>
  <r>
    <n v="6712"/>
    <n v="33"/>
    <x v="21"/>
    <n v="3322"/>
    <s v="อำเภอศิลาลาด"/>
    <n v="0"/>
    <s v="-"/>
    <n v="0"/>
    <s v="-"/>
    <n v="9765"/>
    <n v="9663"/>
    <n v="19428"/>
    <n v="5606"/>
  </r>
  <r>
    <n v="6712"/>
    <n v="33"/>
    <x v="21"/>
    <n v="3381"/>
    <s v="ท้องถิ่นเทศบาลตำบลบุสูง"/>
    <n v="0"/>
    <s v="-"/>
    <n v="0"/>
    <s v="-"/>
    <n v="5137"/>
    <n v="5017"/>
    <n v="10154"/>
    <n v="2868"/>
  </r>
  <r>
    <n v="6712"/>
    <n v="33"/>
    <x v="21"/>
    <n v="3382"/>
    <s v="ท้องถิ่นเทศบาลตำบลกันทรอม"/>
    <n v="0"/>
    <s v="-"/>
    <n v="0"/>
    <s v="-"/>
    <n v="4570"/>
    <n v="4392"/>
    <n v="8962"/>
    <n v="2375"/>
  </r>
  <r>
    <n v="6712"/>
    <n v="33"/>
    <x v="21"/>
    <n v="3383"/>
    <s v="ท้องถิ่นเทศบาลตำบลกระหวัน"/>
    <n v="0"/>
    <s v="-"/>
    <n v="0"/>
    <s v="-"/>
    <n v="4306"/>
    <n v="4439"/>
    <n v="8745"/>
    <n v="2298"/>
  </r>
  <r>
    <n v="6712"/>
    <n v="33"/>
    <x v="21"/>
    <n v="3384"/>
    <s v="ท้องถิ่นเทศบาลตำบลน้ำคำ"/>
    <n v="0"/>
    <s v="-"/>
    <n v="0"/>
    <s v="-"/>
    <n v="5162"/>
    <n v="5348"/>
    <n v="10510"/>
    <n v="3175"/>
  </r>
  <r>
    <n v="6712"/>
    <n v="33"/>
    <x v="21"/>
    <n v="3385"/>
    <s v="ท้องถิ่นเทศบาลตำบลโพธิ์กระสังข์"/>
    <n v="0"/>
    <s v="-"/>
    <n v="0"/>
    <s v="-"/>
    <n v="4538"/>
    <n v="4519"/>
    <n v="9057"/>
    <n v="2123"/>
  </r>
  <r>
    <n v="6712"/>
    <n v="33"/>
    <x v="21"/>
    <n v="3386"/>
    <s v="ท้องถิ่นเทศบาลตำบลพยุห์"/>
    <n v="0"/>
    <s v="-"/>
    <n v="0"/>
    <s v="-"/>
    <n v="1920"/>
    <n v="1952"/>
    <n v="3872"/>
    <n v="1540"/>
  </r>
  <r>
    <n v="6712"/>
    <n v="33"/>
    <x v="21"/>
    <n v="3387"/>
    <s v="ท้องถิ่นเทศบาลตำบลศรีรัตนะ"/>
    <n v="0"/>
    <s v="-"/>
    <n v="0"/>
    <s v="-"/>
    <n v="2242"/>
    <n v="2325"/>
    <n v="4567"/>
    <n v="1503"/>
  </r>
  <r>
    <n v="6712"/>
    <n v="33"/>
    <x v="21"/>
    <n v="3388"/>
    <s v="ท้องถิ่นเทศบาลตำบลห้วยทับทัน"/>
    <n v="0"/>
    <s v="-"/>
    <n v="0"/>
    <s v="-"/>
    <n v="1656"/>
    <n v="1611"/>
    <n v="3267"/>
    <n v="1110"/>
  </r>
  <r>
    <n v="6712"/>
    <n v="33"/>
    <x v="21"/>
    <n v="3389"/>
    <s v="ท้องถิ่นเทศบาลตำบลบึงบูรพ์"/>
    <n v="0"/>
    <s v="-"/>
    <n v="0"/>
    <s v="-"/>
    <n v="2904"/>
    <n v="3045"/>
    <n v="5949"/>
    <n v="1914"/>
  </r>
  <r>
    <n v="6712"/>
    <n v="33"/>
    <x v="21"/>
    <n v="3390"/>
    <s v="ท้องถิ่นเทศบาลตำบลกำแพง"/>
    <n v="0"/>
    <s v="-"/>
    <n v="0"/>
    <s v="-"/>
    <n v="1196"/>
    <n v="1314"/>
    <n v="2510"/>
    <n v="1354"/>
  </r>
  <r>
    <n v="6712"/>
    <n v="33"/>
    <x v="21"/>
    <n v="3391"/>
    <s v="ท้องถิ่นเทศบาลตำบลเมืองคง"/>
    <n v="0"/>
    <s v="-"/>
    <n v="0"/>
    <s v="-"/>
    <n v="1831"/>
    <n v="1962"/>
    <n v="3793"/>
    <n v="2165"/>
  </r>
  <r>
    <n v="6712"/>
    <n v="33"/>
    <x v="21"/>
    <n v="3392"/>
    <s v="ท้องถิ่นเทศบาลตำบลขุนหาญ"/>
    <n v="0"/>
    <s v="-"/>
    <n v="0"/>
    <s v="-"/>
    <n v="5232"/>
    <n v="5348"/>
    <n v="10580"/>
    <n v="3936"/>
  </r>
  <r>
    <n v="6712"/>
    <n v="33"/>
    <x v="21"/>
    <n v="3393"/>
    <s v="ท้องถิ่นเทศบาลตำบลปรางค์กู่"/>
    <n v="0"/>
    <s v="-"/>
    <n v="0"/>
    <s v="-"/>
    <n v="1365"/>
    <n v="1409"/>
    <n v="2774"/>
    <n v="1382"/>
  </r>
  <r>
    <n v="6712"/>
    <n v="33"/>
    <x v="21"/>
    <n v="3394"/>
    <s v="ท้องถิ่นเทศบาลตำบลไพรบึง"/>
    <n v="0"/>
    <s v="-"/>
    <n v="0"/>
    <s v="-"/>
    <n v="5368"/>
    <n v="5399"/>
    <n v="10767"/>
    <n v="3078"/>
  </r>
  <r>
    <n v="6712"/>
    <n v="33"/>
    <x v="21"/>
    <n v="3395"/>
    <s v="ท้องถิ่นเทศบาลตำบลเมืองขุขันธ์"/>
    <n v="0"/>
    <s v="-"/>
    <n v="0"/>
    <s v="-"/>
    <n v="1994"/>
    <n v="2116"/>
    <n v="4110"/>
    <n v="2200"/>
  </r>
  <r>
    <n v="6712"/>
    <n v="33"/>
    <x v="21"/>
    <n v="3396"/>
    <s v="ท้องถิ่นเทศบาลเมืองกันทรลักษ์"/>
    <n v="0"/>
    <s v="-"/>
    <n v="0"/>
    <s v="-"/>
    <n v="8185"/>
    <n v="8975"/>
    <n v="17160"/>
    <n v="7867"/>
  </r>
  <r>
    <n v="6712"/>
    <n v="33"/>
    <x v="21"/>
    <n v="3397"/>
    <s v="ท้องถิ่นเทศบาลตำบลกันทรารมย์"/>
    <n v="0"/>
    <s v="-"/>
    <n v="0"/>
    <s v="-"/>
    <n v="2831"/>
    <n v="3086"/>
    <n v="5917"/>
    <n v="3346"/>
  </r>
  <r>
    <n v="6712"/>
    <n v="33"/>
    <x v="21"/>
    <n v="3398"/>
    <s v="ท้องถิ่นเทศบาลตำบลยางชุมน้อย"/>
    <n v="0"/>
    <s v="-"/>
    <n v="0"/>
    <s v="-"/>
    <n v="3038"/>
    <n v="3171"/>
    <n v="6209"/>
    <n v="2522"/>
  </r>
  <r>
    <n v="6712"/>
    <n v="33"/>
    <x v="21"/>
    <n v="3399"/>
    <s v="ท้องถิ่นเทศบาลเมืองศรีสะเกษ"/>
    <n v="0"/>
    <s v="-"/>
    <n v="0"/>
    <s v="-"/>
    <n v="18197"/>
    <n v="20549"/>
    <n v="38746"/>
    <n v="21761"/>
  </r>
  <r>
    <n v="6712"/>
    <n v="34"/>
    <x v="22"/>
    <n v="0"/>
    <s v="-"/>
    <n v="0"/>
    <s v="-"/>
    <n v="0"/>
    <s v="-"/>
    <n v="929772"/>
    <n v="938170"/>
    <n v="1867942"/>
    <n v="661003"/>
  </r>
  <r>
    <n v="6712"/>
    <n v="34"/>
    <x v="22"/>
    <n v="3401"/>
    <s v="อำเภอเมืองอุบลราชธานี"/>
    <n v="0"/>
    <s v="-"/>
    <n v="0"/>
    <s v="-"/>
    <n v="48202"/>
    <n v="50196"/>
    <n v="98398"/>
    <n v="38838"/>
  </r>
  <r>
    <n v="6712"/>
    <n v="34"/>
    <x v="22"/>
    <n v="3402"/>
    <s v="อำเภอศรีเมืองใหม่"/>
    <n v="0"/>
    <s v="-"/>
    <n v="0"/>
    <s v="-"/>
    <n v="33605"/>
    <n v="33061"/>
    <n v="66666"/>
    <n v="20190"/>
  </r>
  <r>
    <n v="6712"/>
    <n v="34"/>
    <x v="22"/>
    <n v="3403"/>
    <s v="อำเภอโขงเจียม"/>
    <n v="0"/>
    <s v="-"/>
    <n v="0"/>
    <s v="-"/>
    <n v="18294"/>
    <n v="18033"/>
    <n v="36327"/>
    <n v="10854"/>
  </r>
  <r>
    <n v="6712"/>
    <n v="34"/>
    <x v="22"/>
    <n v="3404"/>
    <s v="อำเภอเขื่องใน"/>
    <n v="0"/>
    <s v="-"/>
    <n v="0"/>
    <s v="-"/>
    <n v="49824"/>
    <n v="50848"/>
    <n v="100672"/>
    <n v="29244"/>
  </r>
  <r>
    <n v="6712"/>
    <n v="34"/>
    <x v="22"/>
    <n v="3405"/>
    <s v="อำเภอเขมราฐ"/>
    <n v="0"/>
    <s v="-"/>
    <n v="0"/>
    <s v="-"/>
    <n v="15998"/>
    <n v="16012"/>
    <n v="32010"/>
    <n v="9534"/>
  </r>
  <r>
    <n v="6712"/>
    <n v="34"/>
    <x v="22"/>
    <n v="3407"/>
    <s v="อำเภอเดชอุดม"/>
    <n v="0"/>
    <s v="-"/>
    <n v="0"/>
    <s v="-"/>
    <n v="66362"/>
    <n v="65513"/>
    <n v="131875"/>
    <n v="56002"/>
  </r>
  <r>
    <n v="6712"/>
    <n v="34"/>
    <x v="22"/>
    <n v="3408"/>
    <s v="อำเภอนาจะหลวย"/>
    <n v="0"/>
    <s v="-"/>
    <n v="0"/>
    <s v="-"/>
    <n v="26148"/>
    <n v="25499"/>
    <n v="51647"/>
    <n v="19398"/>
  </r>
  <r>
    <n v="6712"/>
    <n v="34"/>
    <x v="22"/>
    <n v="3409"/>
    <s v="อำเภอน้ำยืน"/>
    <n v="0"/>
    <s v="-"/>
    <n v="0"/>
    <s v="-"/>
    <n v="31041"/>
    <n v="30147"/>
    <n v="61188"/>
    <n v="21464"/>
  </r>
  <r>
    <n v="6712"/>
    <n v="34"/>
    <x v="22"/>
    <n v="3410"/>
    <s v="อำเภอบุณฑริก"/>
    <n v="0"/>
    <s v="-"/>
    <n v="0"/>
    <s v="-"/>
    <n v="39522"/>
    <n v="38460"/>
    <n v="77982"/>
    <n v="25208"/>
  </r>
  <r>
    <n v="6712"/>
    <n v="34"/>
    <x v="22"/>
    <n v="3411"/>
    <s v="อำเภอตระการพืชผล"/>
    <n v="0"/>
    <s v="-"/>
    <n v="0"/>
    <s v="-"/>
    <n v="55878"/>
    <n v="55449"/>
    <n v="111327"/>
    <n v="31122"/>
  </r>
  <r>
    <n v="6712"/>
    <n v="34"/>
    <x v="22"/>
    <n v="3412"/>
    <s v="อำเภอกุดข้าวปุ้น"/>
    <n v="0"/>
    <s v="-"/>
    <n v="0"/>
    <s v="-"/>
    <n v="18365"/>
    <n v="18154"/>
    <n v="36519"/>
    <n v="9947"/>
  </r>
  <r>
    <n v="6712"/>
    <n v="34"/>
    <x v="22"/>
    <n v="3414"/>
    <s v="อำเภอม่วงสามสิบ"/>
    <n v="0"/>
    <s v="-"/>
    <n v="0"/>
    <s v="-"/>
    <n v="40336"/>
    <n v="40308"/>
    <n v="80644"/>
    <n v="24063"/>
  </r>
  <r>
    <n v="6712"/>
    <n v="34"/>
    <x v="22"/>
    <n v="3415"/>
    <s v="อำเภอวารินชำราบ"/>
    <n v="0"/>
    <s v="-"/>
    <n v="0"/>
    <s v="-"/>
    <n v="46196"/>
    <n v="47125"/>
    <n v="93321"/>
    <n v="32952"/>
  </r>
  <r>
    <n v="6712"/>
    <n v="34"/>
    <x v="22"/>
    <n v="3419"/>
    <s v="อำเภอพิบูลมังสาหาร"/>
    <n v="0"/>
    <s v="-"/>
    <n v="0"/>
    <s v="-"/>
    <n v="52369"/>
    <n v="51691"/>
    <n v="104060"/>
    <n v="35796"/>
  </r>
  <r>
    <n v="6712"/>
    <n v="34"/>
    <x v="22"/>
    <n v="3420"/>
    <s v="อำเภอตาลสุม"/>
    <n v="0"/>
    <s v="-"/>
    <n v="0"/>
    <s v="-"/>
    <n v="15089"/>
    <n v="14662"/>
    <n v="29751"/>
    <n v="9007"/>
  </r>
  <r>
    <n v="6712"/>
    <n v="34"/>
    <x v="22"/>
    <n v="3421"/>
    <s v="อำเภอโพธิ์ไทร"/>
    <n v="0"/>
    <s v="-"/>
    <n v="0"/>
    <s v="-"/>
    <n v="22824"/>
    <n v="22250"/>
    <n v="45074"/>
    <n v="12629"/>
  </r>
  <r>
    <n v="6712"/>
    <n v="34"/>
    <x v="22"/>
    <n v="3422"/>
    <s v="อำเภอสำโรง"/>
    <n v="0"/>
    <s v="-"/>
    <n v="0"/>
    <s v="-"/>
    <n v="26961"/>
    <n v="26871"/>
    <n v="53832"/>
    <n v="15617"/>
  </r>
  <r>
    <n v="6712"/>
    <n v="34"/>
    <x v="22"/>
    <n v="3424"/>
    <s v="อำเภอดอนมดแดง"/>
    <n v="0"/>
    <s v="-"/>
    <n v="0"/>
    <s v="-"/>
    <n v="13596"/>
    <n v="13468"/>
    <n v="27064"/>
    <n v="8413"/>
  </r>
  <r>
    <n v="6712"/>
    <n v="34"/>
    <x v="22"/>
    <n v="3425"/>
    <s v="อำเภอสิรินธร"/>
    <n v="0"/>
    <s v="-"/>
    <n v="0"/>
    <s v="-"/>
    <n v="22491"/>
    <n v="21756"/>
    <n v="44247"/>
    <n v="15417"/>
  </r>
  <r>
    <n v="6712"/>
    <n v="34"/>
    <x v="22"/>
    <n v="3426"/>
    <s v="อำเภอทุ่งศรีอุดม"/>
    <n v="0"/>
    <s v="-"/>
    <n v="0"/>
    <s v="-"/>
    <n v="14736"/>
    <n v="14383"/>
    <n v="29119"/>
    <n v="9519"/>
  </r>
  <r>
    <n v="6712"/>
    <n v="34"/>
    <x v="22"/>
    <n v="3429"/>
    <s v="อำเภอนาเยีย"/>
    <n v="0"/>
    <s v="-"/>
    <n v="0"/>
    <s v="-"/>
    <n v="10929"/>
    <n v="10288"/>
    <n v="21217"/>
    <n v="7580"/>
  </r>
  <r>
    <n v="6712"/>
    <n v="34"/>
    <x v="22"/>
    <n v="3430"/>
    <s v="อำเภอนาตาล"/>
    <n v="0"/>
    <s v="-"/>
    <n v="0"/>
    <s v="-"/>
    <n v="19484"/>
    <n v="19455"/>
    <n v="38939"/>
    <n v="11938"/>
  </r>
  <r>
    <n v="6712"/>
    <n v="34"/>
    <x v="22"/>
    <n v="3431"/>
    <s v="อำเภอเหล่าเสือโก้ก"/>
    <n v="0"/>
    <s v="-"/>
    <n v="0"/>
    <s v="-"/>
    <n v="14063"/>
    <n v="13966"/>
    <n v="28029"/>
    <n v="8372"/>
  </r>
  <r>
    <n v="6712"/>
    <n v="34"/>
    <x v="22"/>
    <n v="3432"/>
    <s v="อำเภอสว่างวีระวงศ์"/>
    <n v="0"/>
    <s v="-"/>
    <n v="0"/>
    <s v="-"/>
    <n v="15631"/>
    <n v="15518"/>
    <n v="31149"/>
    <n v="9799"/>
  </r>
  <r>
    <n v="6712"/>
    <n v="34"/>
    <x v="22"/>
    <n v="3433"/>
    <s v="อำเภอน้ำขุ่น"/>
    <n v="0"/>
    <s v="-"/>
    <n v="0"/>
    <s v="-"/>
    <n v="16716"/>
    <n v="16477"/>
    <n v="33193"/>
    <n v="11459"/>
  </r>
  <r>
    <n v="6712"/>
    <n v="34"/>
    <x v="22"/>
    <n v="3463"/>
    <s v="ท้องถิ่นเทศบาลตำบลกุดชมภู"/>
    <n v="0"/>
    <s v="-"/>
    <n v="0"/>
    <s v="-"/>
    <n v="5893"/>
    <n v="5844"/>
    <n v="11737"/>
    <n v="4636"/>
  </r>
  <r>
    <n v="6712"/>
    <n v="34"/>
    <x v="22"/>
    <n v="3464"/>
    <s v="ท้องถิ่นเทศบาลตำบลคำน้ำแซบ"/>
    <n v="0"/>
    <s v="-"/>
    <n v="0"/>
    <s v="-"/>
    <n v="4065"/>
    <n v="4216"/>
    <n v="8281"/>
    <n v="3472"/>
  </r>
  <r>
    <n v="6712"/>
    <n v="34"/>
    <x v="22"/>
    <n v="3465"/>
    <s v="ท้องถิ่นเทศบาลตำบลหัวนา"/>
    <n v="0"/>
    <s v="-"/>
    <n v="0"/>
    <s v="-"/>
    <n v="6541"/>
    <n v="6598"/>
    <n v="13139"/>
    <n v="3751"/>
  </r>
  <r>
    <n v="6712"/>
    <n v="34"/>
    <x v="22"/>
    <n v="3466"/>
    <s v="ท้องถิ่นเทศบาลตำบลโพนงาม"/>
    <n v="0"/>
    <s v="-"/>
    <n v="0"/>
    <s v="-"/>
    <n v="4430"/>
    <n v="4591"/>
    <n v="9021"/>
    <n v="3396"/>
  </r>
  <r>
    <n v="6712"/>
    <n v="34"/>
    <x v="22"/>
    <n v="3467"/>
    <s v="ท้องถิ่นเทศบาลตำบลเมืองศรีไค"/>
    <n v="0"/>
    <s v="-"/>
    <n v="0"/>
    <s v="-"/>
    <n v="4521"/>
    <n v="7138"/>
    <n v="11659"/>
    <n v="3572"/>
  </r>
  <r>
    <n v="6712"/>
    <n v="34"/>
    <x v="22"/>
    <n v="3468"/>
    <s v="ท้องถิ่นเทศบาลตำบลหนองผือ"/>
    <n v="0"/>
    <s v="-"/>
    <n v="0"/>
    <s v="-"/>
    <n v="4895"/>
    <n v="5029"/>
    <n v="9924"/>
    <n v="3535"/>
  </r>
  <r>
    <n v="6712"/>
    <n v="34"/>
    <x v="22"/>
    <n v="3469"/>
    <s v="ท้องถิ่นเทศบาลตำบลขามป้อม"/>
    <n v="0"/>
    <s v="-"/>
    <n v="0"/>
    <s v="-"/>
    <n v="4754"/>
    <n v="4721"/>
    <n v="9475"/>
    <n v="3349"/>
  </r>
  <r>
    <n v="6712"/>
    <n v="34"/>
    <x v="22"/>
    <n v="3470"/>
    <s v="ท้องถิ่นเทศบาลตำบลเทพวงศา"/>
    <n v="0"/>
    <s v="-"/>
    <n v="0"/>
    <s v="-"/>
    <n v="6164"/>
    <n v="6246"/>
    <n v="12410"/>
    <n v="4386"/>
  </r>
  <r>
    <n v="6712"/>
    <n v="34"/>
    <x v="22"/>
    <n v="3471"/>
    <s v="ท้องถิ่นเทศบาลตำบลปทุม"/>
    <n v="0"/>
    <s v="-"/>
    <n v="0"/>
    <s v="-"/>
    <n v="4904"/>
    <n v="5550"/>
    <n v="10454"/>
    <n v="4360"/>
  </r>
  <r>
    <n v="6712"/>
    <n v="34"/>
    <x v="22"/>
    <n v="3472"/>
    <s v="ท้องถิ่นเทศบาลตำบลคอแลน"/>
    <n v="0"/>
    <s v="-"/>
    <n v="0"/>
    <s v="-"/>
    <n v="6755"/>
    <n v="6567"/>
    <n v="13322"/>
    <n v="4193"/>
  </r>
  <r>
    <n v="6712"/>
    <n v="34"/>
    <x v="22"/>
    <n v="3473"/>
    <s v="ท้องถิ่น ทต.นิคมสร้างตนเองลำโดมน้อย"/>
    <n v="0"/>
    <s v="-"/>
    <n v="0"/>
    <s v="-"/>
    <n v="3919"/>
    <n v="3961"/>
    <n v="7880"/>
    <n v="3123"/>
  </r>
  <r>
    <n v="6712"/>
    <n v="34"/>
    <x v="22"/>
    <n v="3474"/>
    <s v="ท้องถิ่นเทศบาลตำบลกุดประทาย"/>
    <n v="0"/>
    <s v="-"/>
    <n v="0"/>
    <s v="-"/>
    <n v="6899"/>
    <n v="6736"/>
    <n v="13635"/>
    <n v="5374"/>
  </r>
  <r>
    <n v="6712"/>
    <n v="34"/>
    <x v="22"/>
    <n v="3475"/>
    <s v="ท้องถิ่นเทศบาลตำบลขามใหญ่"/>
    <n v="0"/>
    <s v="-"/>
    <n v="0"/>
    <s v="-"/>
    <n v="19714"/>
    <n v="22013"/>
    <n v="41727"/>
    <n v="22883"/>
  </r>
  <r>
    <n v="6712"/>
    <n v="34"/>
    <x v="22"/>
    <n v="3476"/>
    <s v="ท้องถิ่นเทศบาลตำบลแสนสุข"/>
    <n v="0"/>
    <s v="-"/>
    <n v="0"/>
    <s v="-"/>
    <n v="13627"/>
    <n v="11324"/>
    <n v="24951"/>
    <n v="11955"/>
  </r>
  <r>
    <n v="6712"/>
    <n v="34"/>
    <x v="22"/>
    <n v="3477"/>
    <s v="ท้องถิ่นเทศบาลตำบลนาเยีย"/>
    <n v="0"/>
    <s v="-"/>
    <n v="0"/>
    <s v="-"/>
    <n v="3111"/>
    <n v="3206"/>
    <n v="6317"/>
    <n v="1951"/>
  </r>
  <r>
    <n v="6712"/>
    <n v="34"/>
    <x v="22"/>
    <n v="3478"/>
    <s v="ท้องถิ่นเทศบาลตำบลช่องเม็ก"/>
    <n v="0"/>
    <s v="-"/>
    <n v="0"/>
    <s v="-"/>
    <n v="1849"/>
    <n v="1947"/>
    <n v="3796"/>
    <n v="1974"/>
  </r>
  <r>
    <n v="6712"/>
    <n v="34"/>
    <x v="22"/>
    <n v="3479"/>
    <s v="ท้องถิ่นเทศบาลตำบลโพธิ์ไทร"/>
    <n v="0"/>
    <s v="-"/>
    <n v="0"/>
    <s v="-"/>
    <n v="1446"/>
    <n v="1507"/>
    <n v="2953"/>
    <n v="1234"/>
  </r>
  <r>
    <n v="6712"/>
    <n v="34"/>
    <x v="22"/>
    <n v="3480"/>
    <s v="ท้องถิ่นเทศบาลตำบลตาลสุม"/>
    <n v="0"/>
    <s v="-"/>
    <n v="0"/>
    <s v="-"/>
    <n v="1584"/>
    <n v="1616"/>
    <n v="3200"/>
    <n v="1164"/>
  </r>
  <r>
    <n v="6712"/>
    <n v="34"/>
    <x v="22"/>
    <n v="3481"/>
    <s v="ท้องถิ่นเทศบาลตำบลอ่างศิลา"/>
    <n v="0"/>
    <s v="-"/>
    <n v="0"/>
    <s v="-"/>
    <n v="1435"/>
    <n v="1568"/>
    <n v="3003"/>
    <n v="1058"/>
  </r>
  <r>
    <n v="6712"/>
    <n v="34"/>
    <x v="22"/>
    <n v="3482"/>
    <s v="ท้องถิ่นเทศบาลตำบลห้วยขะยุง"/>
    <n v="0"/>
    <s v="-"/>
    <n v="0"/>
    <s v="-"/>
    <n v="1489"/>
    <n v="1566"/>
    <n v="3055"/>
    <n v="1012"/>
  </r>
  <r>
    <n v="6712"/>
    <n v="34"/>
    <x v="22"/>
    <n v="3483"/>
    <s v="ท้องถิ่นเทศบาลตำบลม่วงสามสิบ"/>
    <n v="0"/>
    <s v="-"/>
    <n v="0"/>
    <s v="-"/>
    <n v="1407"/>
    <n v="1543"/>
    <n v="2950"/>
    <n v="1656"/>
  </r>
  <r>
    <n v="6712"/>
    <n v="34"/>
    <x v="22"/>
    <n v="3484"/>
    <s v="ท้องถิ่นเทศบาลตำบลกุดข้าวปุ้น"/>
    <n v="0"/>
    <s v="-"/>
    <n v="0"/>
    <s v="-"/>
    <n v="2098"/>
    <n v="2060"/>
    <n v="4158"/>
    <n v="1552"/>
  </r>
  <r>
    <n v="6712"/>
    <n v="34"/>
    <x v="22"/>
    <n v="3485"/>
    <s v="ท้องถิ่นเทศบาลตำบลตระการพืชผล"/>
    <n v="0"/>
    <s v="-"/>
    <n v="0"/>
    <s v="-"/>
    <n v="4265"/>
    <n v="4522"/>
    <n v="8787"/>
    <n v="4544"/>
  </r>
  <r>
    <n v="6712"/>
    <n v="34"/>
    <x v="22"/>
    <n v="3486"/>
    <s v="ท้องถิ่นเทศบาลตำบลบุณฑริก"/>
    <n v="0"/>
    <s v="-"/>
    <n v="0"/>
    <s v="-"/>
    <n v="2108"/>
    <n v="2235"/>
    <n v="4343"/>
    <n v="2192"/>
  </r>
  <r>
    <n v="6712"/>
    <n v="34"/>
    <x v="22"/>
    <n v="3487"/>
    <s v="ท้องถิ่นเทศบาลตำบลน้ำยืน"/>
    <n v="0"/>
    <s v="-"/>
    <n v="0"/>
    <s v="-"/>
    <n v="4260"/>
    <n v="4382"/>
    <n v="8642"/>
    <n v="3525"/>
  </r>
  <r>
    <n v="6712"/>
    <n v="34"/>
    <x v="22"/>
    <n v="3488"/>
    <s v="ท้องถิ่นเทศบาลตำบลนาจะหลวย"/>
    <n v="0"/>
    <s v="-"/>
    <n v="0"/>
    <s v="-"/>
    <n v="3391"/>
    <n v="3423"/>
    <n v="6814"/>
    <n v="2736"/>
  </r>
  <r>
    <n v="6712"/>
    <n v="34"/>
    <x v="22"/>
    <n v="3489"/>
    <s v="ท้องถิ่นเทศบาลเมืองเดชอุดม"/>
    <n v="0"/>
    <s v="-"/>
    <n v="0"/>
    <s v="-"/>
    <n v="6103"/>
    <n v="6644"/>
    <n v="12747"/>
    <n v="7011"/>
  </r>
  <r>
    <n v="6712"/>
    <n v="34"/>
    <x v="22"/>
    <n v="3490"/>
    <s v="ท้องถิ่นเทศบาลตำบลบัวงาม"/>
    <n v="0"/>
    <s v="-"/>
    <n v="0"/>
    <s v="-"/>
    <n v="3259"/>
    <n v="3278"/>
    <n v="6537"/>
    <n v="1938"/>
  </r>
  <r>
    <n v="6712"/>
    <n v="34"/>
    <x v="22"/>
    <n v="3491"/>
    <s v="ท้องถิ่นเทศบาลตำบลนาส่วง"/>
    <n v="0"/>
    <s v="-"/>
    <n v="0"/>
    <s v="-"/>
    <n v="1500"/>
    <n v="1603"/>
    <n v="3103"/>
    <n v="1049"/>
  </r>
  <r>
    <n v="6712"/>
    <n v="34"/>
    <x v="22"/>
    <n v="3492"/>
    <s v="ท้องถิ่นเทศบาลตำบลเขมราฐ"/>
    <n v="0"/>
    <s v="-"/>
    <n v="0"/>
    <s v="-"/>
    <n v="2817"/>
    <n v="3121"/>
    <n v="5938"/>
    <n v="2640"/>
  </r>
  <r>
    <n v="6712"/>
    <n v="34"/>
    <x v="22"/>
    <n v="3493"/>
    <s v="ท้องถิ่นเทศบาลตำบลเขื่องใน"/>
    <n v="0"/>
    <s v="-"/>
    <n v="0"/>
    <s v="-"/>
    <n v="2116"/>
    <n v="2261"/>
    <n v="4377"/>
    <n v="2201"/>
  </r>
  <r>
    <n v="6712"/>
    <n v="34"/>
    <x v="22"/>
    <n v="3494"/>
    <s v="ท้องถิ่นเทศบาลตำบลบ้านด่านโขงเจียม"/>
    <n v="0"/>
    <s v="-"/>
    <n v="0"/>
    <s v="-"/>
    <n v="1438"/>
    <n v="1459"/>
    <n v="2897"/>
    <n v="1382"/>
  </r>
  <r>
    <n v="6712"/>
    <n v="34"/>
    <x v="22"/>
    <n v="3495"/>
    <s v="ท้องถิ่นเทศบาลตำบลศรีเมืองใหม่"/>
    <n v="0"/>
    <s v="-"/>
    <n v="0"/>
    <s v="-"/>
    <n v="2016"/>
    <n v="2009"/>
    <n v="4025"/>
    <n v="2117"/>
  </r>
  <r>
    <n v="6712"/>
    <n v="34"/>
    <x v="22"/>
    <n v="3496"/>
    <s v="ท้องถิ่นเทศบาลตำบลอุบล"/>
    <n v="0"/>
    <s v="-"/>
    <n v="0"/>
    <s v="-"/>
    <n v="2551"/>
    <n v="2998"/>
    <n v="5549"/>
    <n v="3214"/>
  </r>
  <r>
    <n v="6712"/>
    <n v="34"/>
    <x v="22"/>
    <n v="3497"/>
    <s v="ท้องถิ่นเทศบาลเมืองพิบูลมังสาหาร"/>
    <n v="0"/>
    <s v="-"/>
    <n v="0"/>
    <s v="-"/>
    <n v="4779"/>
    <n v="5066"/>
    <n v="9845"/>
    <n v="4683"/>
  </r>
  <r>
    <n v="6712"/>
    <n v="34"/>
    <x v="22"/>
    <n v="3498"/>
    <s v="ท้องถิ่นเทศบาลเมืองวารินชำราบ"/>
    <n v="0"/>
    <s v="-"/>
    <n v="0"/>
    <s v="-"/>
    <n v="11476"/>
    <n v="12990"/>
    <n v="24466"/>
    <n v="11080"/>
  </r>
  <r>
    <n v="6712"/>
    <n v="34"/>
    <x v="22"/>
    <n v="3499"/>
    <s v="ท้องถิ่นเทศบาลนครอุบลราชธานี"/>
    <n v="0"/>
    <s v="-"/>
    <n v="0"/>
    <s v="-"/>
    <n v="31533"/>
    <n v="37042"/>
    <n v="68575"/>
    <n v="32743"/>
  </r>
  <r>
    <n v="6712"/>
    <n v="35"/>
    <x v="23"/>
    <n v="0"/>
    <s v="-"/>
    <n v="0"/>
    <s v="-"/>
    <n v="0"/>
    <s v="-"/>
    <n v="261204"/>
    <n v="264121"/>
    <n v="525325"/>
    <n v="189342"/>
  </r>
  <r>
    <n v="6712"/>
    <n v="35"/>
    <x v="23"/>
    <n v="3501"/>
    <s v="อำเภอเมืองยโสธร"/>
    <n v="0"/>
    <s v="-"/>
    <n v="0"/>
    <s v="-"/>
    <n v="52643"/>
    <n v="52992"/>
    <n v="105635"/>
    <n v="40833"/>
  </r>
  <r>
    <n v="6712"/>
    <n v="35"/>
    <x v="23"/>
    <n v="3502"/>
    <s v="อำเภอทรายมูล"/>
    <n v="0"/>
    <s v="-"/>
    <n v="0"/>
    <s v="-"/>
    <n v="12087"/>
    <n v="12071"/>
    <n v="24158"/>
    <n v="8419"/>
  </r>
  <r>
    <n v="6712"/>
    <n v="35"/>
    <x v="23"/>
    <n v="3503"/>
    <s v="อำเภอกุดชุม"/>
    <n v="0"/>
    <s v="-"/>
    <n v="0"/>
    <s v="-"/>
    <n v="30502"/>
    <n v="30192"/>
    <n v="60694"/>
    <n v="21029"/>
  </r>
  <r>
    <n v="6712"/>
    <n v="35"/>
    <x v="23"/>
    <n v="3504"/>
    <s v="อำเภอคำเขื่อนแก้ว"/>
    <n v="0"/>
    <s v="-"/>
    <n v="0"/>
    <s v="-"/>
    <n v="30273"/>
    <n v="30438"/>
    <n v="60711"/>
    <n v="20093"/>
  </r>
  <r>
    <n v="6712"/>
    <n v="35"/>
    <x v="23"/>
    <n v="3505"/>
    <s v="อำเภอป่าติ้ว"/>
    <n v="0"/>
    <s v="-"/>
    <n v="0"/>
    <s v="-"/>
    <n v="15672"/>
    <n v="15856"/>
    <n v="31528"/>
    <n v="10634"/>
  </r>
  <r>
    <n v="6712"/>
    <n v="35"/>
    <x v="23"/>
    <n v="3506"/>
    <s v="อำเภอมหาชนะชัย"/>
    <n v="0"/>
    <s v="-"/>
    <n v="0"/>
    <s v="-"/>
    <n v="25192"/>
    <n v="25220"/>
    <n v="50412"/>
    <n v="15229"/>
  </r>
  <r>
    <n v="6712"/>
    <n v="35"/>
    <x v="23"/>
    <n v="3507"/>
    <s v="อำเภอค้อวัง"/>
    <n v="0"/>
    <s v="-"/>
    <n v="0"/>
    <s v="-"/>
    <n v="10066"/>
    <n v="10280"/>
    <n v="20346"/>
    <n v="5752"/>
  </r>
  <r>
    <n v="6712"/>
    <n v="35"/>
    <x v="23"/>
    <n v="3508"/>
    <s v="อำเภอเลิงนกทา"/>
    <n v="0"/>
    <s v="-"/>
    <n v="0"/>
    <s v="-"/>
    <n v="44216"/>
    <n v="44657"/>
    <n v="88873"/>
    <n v="31695"/>
  </r>
  <r>
    <n v="6712"/>
    <n v="35"/>
    <x v="23"/>
    <n v="3509"/>
    <s v="อำเภอไทยเจริญ"/>
    <n v="0"/>
    <s v="-"/>
    <n v="0"/>
    <s v="-"/>
    <n v="14952"/>
    <n v="15167"/>
    <n v="30119"/>
    <n v="11510"/>
  </r>
  <r>
    <n v="6712"/>
    <n v="35"/>
    <x v="23"/>
    <n v="3591"/>
    <s v="ท้องถิ่นเทศบาลตำบลสามแยก"/>
    <n v="0"/>
    <s v="-"/>
    <n v="0"/>
    <s v="-"/>
    <n v="1837"/>
    <n v="1954"/>
    <n v="3791"/>
    <n v="2389"/>
  </r>
  <r>
    <n v="6712"/>
    <n v="35"/>
    <x v="23"/>
    <n v="3592"/>
    <s v="ท้องถิ่นเทศบาลตำบลเลิงนกทา"/>
    <n v="0"/>
    <s v="-"/>
    <n v="0"/>
    <s v="-"/>
    <n v="1349"/>
    <n v="1444"/>
    <n v="2793"/>
    <n v="1131"/>
  </r>
  <r>
    <n v="6712"/>
    <n v="35"/>
    <x v="23"/>
    <n v="3593"/>
    <s v="ท้องถิ่นเทศบาลตำบลค้อวัง"/>
    <n v="0"/>
    <s v="-"/>
    <n v="0"/>
    <s v="-"/>
    <n v="2137"/>
    <n v="2271"/>
    <n v="4408"/>
    <n v="1699"/>
  </r>
  <r>
    <n v="6712"/>
    <n v="35"/>
    <x v="23"/>
    <n v="3594"/>
    <s v="ท้องถิ่นเทศบาลตำบลฟ้าหยาด"/>
    <n v="0"/>
    <s v="-"/>
    <n v="0"/>
    <s v="-"/>
    <n v="2249"/>
    <n v="2298"/>
    <n v="4547"/>
    <n v="1935"/>
  </r>
  <r>
    <n v="6712"/>
    <n v="35"/>
    <x v="23"/>
    <n v="3595"/>
    <s v="ท้องถิ่นเทศบาลตำบลป่าติ้ว"/>
    <n v="0"/>
    <s v="-"/>
    <n v="0"/>
    <s v="-"/>
    <n v="1451"/>
    <n v="1486"/>
    <n v="2937"/>
    <n v="1323"/>
  </r>
  <r>
    <n v="6712"/>
    <n v="35"/>
    <x v="23"/>
    <n v="3596"/>
    <s v="ท้องถิ่นเทศบาลตำบลคำเขื่อนแก้ว"/>
    <n v="0"/>
    <s v="-"/>
    <n v="0"/>
    <s v="-"/>
    <n v="1788"/>
    <n v="1857"/>
    <n v="3645"/>
    <n v="1590"/>
  </r>
  <r>
    <n v="6712"/>
    <n v="35"/>
    <x v="23"/>
    <n v="3597"/>
    <s v="ท้องถิ่นเทศบาลตำบลกุดชุมพัฒนา"/>
    <n v="0"/>
    <s v="-"/>
    <n v="0"/>
    <s v="-"/>
    <n v="2319"/>
    <n v="2437"/>
    <n v="4756"/>
    <n v="2322"/>
  </r>
  <r>
    <n v="6712"/>
    <n v="35"/>
    <x v="23"/>
    <n v="3598"/>
    <s v="ท้องถิ่นเทศบาลตำบลทรายมูล"/>
    <n v="0"/>
    <s v="-"/>
    <n v="0"/>
    <s v="-"/>
    <n v="2973"/>
    <n v="3223"/>
    <n v="6196"/>
    <n v="2266"/>
  </r>
  <r>
    <n v="6712"/>
    <n v="35"/>
    <x v="23"/>
    <n v="3599"/>
    <s v="ท้องถิ่นเทศบาลเมืองยโสธร"/>
    <n v="0"/>
    <s v="-"/>
    <n v="0"/>
    <s v="-"/>
    <n v="9498"/>
    <n v="10278"/>
    <n v="19776"/>
    <n v="9493"/>
  </r>
  <r>
    <n v="6712"/>
    <n v="36"/>
    <x v="24"/>
    <n v="0"/>
    <s v="-"/>
    <n v="0"/>
    <s v="-"/>
    <n v="0"/>
    <s v="-"/>
    <n v="544954"/>
    <n v="561450"/>
    <n v="1106404"/>
    <n v="424219"/>
  </r>
  <r>
    <n v="6712"/>
    <n v="36"/>
    <x v="24"/>
    <n v="3601"/>
    <s v="อำเภอเมืองชัยภูมิ"/>
    <n v="0"/>
    <s v="-"/>
    <n v="0"/>
    <s v="-"/>
    <n v="65937"/>
    <n v="69521"/>
    <n v="135458"/>
    <n v="57980"/>
  </r>
  <r>
    <n v="6712"/>
    <n v="36"/>
    <x v="24"/>
    <n v="3602"/>
    <s v="อำเภอบ้านเขว้า"/>
    <n v="0"/>
    <s v="-"/>
    <n v="0"/>
    <s v="-"/>
    <n v="20529"/>
    <n v="21078"/>
    <n v="41607"/>
    <n v="15324"/>
  </r>
  <r>
    <n v="6712"/>
    <n v="36"/>
    <x v="24"/>
    <n v="3603"/>
    <s v="อำเภอคอนสวรรค์"/>
    <n v="0"/>
    <s v="-"/>
    <n v="0"/>
    <s v="-"/>
    <n v="23221"/>
    <n v="23833"/>
    <n v="47054"/>
    <n v="18679"/>
  </r>
  <r>
    <n v="6712"/>
    <n v="36"/>
    <x v="24"/>
    <n v="3604"/>
    <s v="อำเภอเกษตรสมบูรณ์"/>
    <n v="0"/>
    <s v="-"/>
    <n v="0"/>
    <s v="-"/>
    <n v="42087"/>
    <n v="42474"/>
    <n v="84561"/>
    <n v="26275"/>
  </r>
  <r>
    <n v="6712"/>
    <n v="36"/>
    <x v="24"/>
    <n v="3605"/>
    <s v="อำเภอหนองบัวแดง"/>
    <n v="0"/>
    <s v="-"/>
    <n v="0"/>
    <s v="-"/>
    <n v="46415"/>
    <n v="46278"/>
    <n v="92693"/>
    <n v="31368"/>
  </r>
  <r>
    <n v="6712"/>
    <n v="36"/>
    <x v="24"/>
    <n v="3606"/>
    <s v="อำเภอจัตุรัส"/>
    <n v="0"/>
    <s v="-"/>
    <n v="0"/>
    <s v="-"/>
    <n v="32128"/>
    <n v="34416"/>
    <n v="66544"/>
    <n v="25942"/>
  </r>
  <r>
    <n v="6712"/>
    <n v="36"/>
    <x v="24"/>
    <n v="3607"/>
    <s v="อำเภอบำเหน็จณรงค์"/>
    <n v="0"/>
    <s v="-"/>
    <n v="0"/>
    <s v="-"/>
    <n v="19790"/>
    <n v="20382"/>
    <n v="40172"/>
    <n v="14274"/>
  </r>
  <r>
    <n v="6712"/>
    <n v="36"/>
    <x v="24"/>
    <n v="3608"/>
    <s v="อำเภอหนองบัวระเหว"/>
    <n v="0"/>
    <s v="-"/>
    <n v="0"/>
    <s v="-"/>
    <n v="16277"/>
    <n v="16235"/>
    <n v="32512"/>
    <n v="12131"/>
  </r>
  <r>
    <n v="6712"/>
    <n v="36"/>
    <x v="24"/>
    <n v="3609"/>
    <s v="อำเภอเทพสถิต"/>
    <n v="0"/>
    <s v="-"/>
    <n v="0"/>
    <s v="-"/>
    <n v="32855"/>
    <n v="32261"/>
    <n v="65116"/>
    <n v="25075"/>
  </r>
  <r>
    <n v="6712"/>
    <n v="36"/>
    <x v="24"/>
    <n v="3610"/>
    <s v="อำเภอภูเขียว"/>
    <n v="0"/>
    <s v="-"/>
    <n v="0"/>
    <s v="-"/>
    <n v="52601"/>
    <n v="54537"/>
    <n v="107138"/>
    <n v="36788"/>
  </r>
  <r>
    <n v="6712"/>
    <n v="36"/>
    <x v="24"/>
    <n v="3611"/>
    <s v="อำเภอบ้านแท่น"/>
    <n v="0"/>
    <s v="-"/>
    <n v="0"/>
    <s v="-"/>
    <n v="19920"/>
    <n v="20321"/>
    <n v="40241"/>
    <n v="12139"/>
  </r>
  <r>
    <n v="6712"/>
    <n v="36"/>
    <x v="24"/>
    <n v="3612"/>
    <s v="อำเภอแก้งคร้อ"/>
    <n v="0"/>
    <s v="-"/>
    <n v="0"/>
    <s v="-"/>
    <n v="35963"/>
    <n v="36250"/>
    <n v="72213"/>
    <n v="26397"/>
  </r>
  <r>
    <n v="6712"/>
    <n v="36"/>
    <x v="24"/>
    <n v="3613"/>
    <s v="อำเภอคอนสาร"/>
    <n v="0"/>
    <s v="-"/>
    <n v="0"/>
    <s v="-"/>
    <n v="19865"/>
    <n v="20301"/>
    <n v="40166"/>
    <n v="14662"/>
  </r>
  <r>
    <n v="6712"/>
    <n v="36"/>
    <x v="24"/>
    <n v="3614"/>
    <s v="อำเภอภักดีชุมพล"/>
    <n v="0"/>
    <s v="-"/>
    <n v="0"/>
    <s v="-"/>
    <n v="15250"/>
    <n v="15079"/>
    <n v="30329"/>
    <n v="12863"/>
  </r>
  <r>
    <n v="6712"/>
    <n v="36"/>
    <x v="24"/>
    <n v="3615"/>
    <s v="อำเภอเนินสง่า"/>
    <n v="0"/>
    <s v="-"/>
    <n v="0"/>
    <s v="-"/>
    <n v="12492"/>
    <n v="12900"/>
    <n v="25392"/>
    <n v="8876"/>
  </r>
  <r>
    <n v="6712"/>
    <n v="36"/>
    <x v="24"/>
    <n v="3616"/>
    <s v="อำเภอซับใหญ่"/>
    <n v="0"/>
    <s v="-"/>
    <n v="0"/>
    <s v="-"/>
    <n v="7833"/>
    <n v="7675"/>
    <n v="15508"/>
    <n v="6044"/>
  </r>
  <r>
    <n v="6712"/>
    <n v="36"/>
    <x v="24"/>
    <n v="3676"/>
    <s v="ท้องถิ่นเทศบาลตำบลห้วยยาง"/>
    <n v="0"/>
    <s v="-"/>
    <n v="0"/>
    <s v="-"/>
    <n v="7630"/>
    <n v="7649"/>
    <n v="15279"/>
    <n v="4788"/>
  </r>
  <r>
    <n v="6712"/>
    <n v="36"/>
    <x v="24"/>
    <n v="3677"/>
    <s v="ท้องถิ่นเทศบาลตำบลบ้านเดื่อ"/>
    <n v="0"/>
    <s v="-"/>
    <n v="0"/>
    <s v="-"/>
    <n v="7659"/>
    <n v="7726"/>
    <n v="15385"/>
    <n v="4784"/>
  </r>
  <r>
    <n v="6712"/>
    <n v="36"/>
    <x v="24"/>
    <n v="3680"/>
    <s v="ท้องถิ่นเทศบาลตำบลคอนสาร"/>
    <n v="0"/>
    <s v="-"/>
    <n v="0"/>
    <s v="-"/>
    <n v="1900"/>
    <n v="2139"/>
    <n v="4039"/>
    <n v="1515"/>
  </r>
  <r>
    <n v="6712"/>
    <n v="36"/>
    <x v="24"/>
    <n v="3681"/>
    <s v="ท้องถิ่นเทศบาลตำบลแก้งคร้อ"/>
    <n v="0"/>
    <s v="-"/>
    <n v="0"/>
    <s v="-"/>
    <n v="3789"/>
    <n v="4315"/>
    <n v="8104"/>
    <n v="4824"/>
  </r>
  <r>
    <n v="6712"/>
    <n v="36"/>
    <x v="24"/>
    <n v="3682"/>
    <s v="ท้องถิ่นเทศบาลตำบลนาหนองทุ่ม"/>
    <n v="0"/>
    <s v="-"/>
    <n v="0"/>
    <s v="-"/>
    <n v="5090"/>
    <n v="5459"/>
    <n v="10549"/>
    <n v="3399"/>
  </r>
  <r>
    <n v="6712"/>
    <n v="36"/>
    <x v="24"/>
    <n v="3683"/>
    <s v="ท้องถิ่นเทศบาลตำบลบ้านแท่น"/>
    <n v="0"/>
    <s v="-"/>
    <n v="0"/>
    <s v="-"/>
    <n v="1908"/>
    <n v="2005"/>
    <n v="3913"/>
    <n v="1697"/>
  </r>
  <r>
    <n v="6712"/>
    <n v="36"/>
    <x v="24"/>
    <n v="3684"/>
    <s v="ท้องถิ่นเทศบาลตำบลภูเขียว"/>
    <n v="0"/>
    <s v="-"/>
    <n v="0"/>
    <s v="-"/>
    <n v="2691"/>
    <n v="3137"/>
    <n v="5828"/>
    <n v="3122"/>
  </r>
  <r>
    <n v="6712"/>
    <n v="36"/>
    <x v="24"/>
    <n v="3685"/>
    <s v="ท้องถิ่นเทศบาลตำบลบ้านเพชรภูเขียว"/>
    <n v="0"/>
    <s v="-"/>
    <n v="0"/>
    <s v="-"/>
    <n v="2686"/>
    <n v="2735"/>
    <n v="5421"/>
    <n v="1810"/>
  </r>
  <r>
    <n v="6712"/>
    <n v="36"/>
    <x v="24"/>
    <n v="3686"/>
    <s v="ท้องถิ่นเทศบาลตำบลเทพสถิต"/>
    <n v="0"/>
    <s v="-"/>
    <n v="0"/>
    <s v="-"/>
    <n v="1864"/>
    <n v="1886"/>
    <n v="3750"/>
    <n v="2384"/>
  </r>
  <r>
    <n v="6712"/>
    <n v="36"/>
    <x v="24"/>
    <n v="3687"/>
    <s v="ท้องถิ่นเทศบาลตำบลหนองบัวระเหว"/>
    <n v="0"/>
    <s v="-"/>
    <n v="0"/>
    <s v="-"/>
    <n v="2838"/>
    <n v="2903"/>
    <n v="5741"/>
    <n v="2816"/>
  </r>
  <r>
    <n v="6712"/>
    <n v="36"/>
    <x v="24"/>
    <n v="3688"/>
    <s v="ท้องถิ่นเทศบาลตำบลบำเหน็จณรงค์"/>
    <n v="0"/>
    <s v="-"/>
    <n v="0"/>
    <s v="-"/>
    <n v="3170"/>
    <n v="3462"/>
    <n v="6632"/>
    <n v="3139"/>
  </r>
  <r>
    <n v="6712"/>
    <n v="36"/>
    <x v="24"/>
    <n v="3689"/>
    <s v="ท้องถิ่นเทศบาลตำบลบ้านเพชร"/>
    <n v="0"/>
    <s v="-"/>
    <n v="0"/>
    <s v="-"/>
    <n v="2258"/>
    <n v="2427"/>
    <n v="4685"/>
    <n v="2289"/>
  </r>
  <r>
    <n v="6712"/>
    <n v="36"/>
    <x v="24"/>
    <n v="3690"/>
    <s v="ท้องถิ่นเทศบาลตำบลหนองบัวโคก"/>
    <n v="0"/>
    <s v="-"/>
    <n v="0"/>
    <s v="-"/>
    <n v="916"/>
    <n v="951"/>
    <n v="1867"/>
    <n v="840"/>
  </r>
  <r>
    <n v="6712"/>
    <n v="36"/>
    <x v="24"/>
    <n v="3691"/>
    <s v="ท้องถิ่นเทศบาลตำบลจัตุรัส"/>
    <n v="0"/>
    <s v="-"/>
    <n v="0"/>
    <s v="-"/>
    <n v="1909"/>
    <n v="2095"/>
    <n v="4004"/>
    <n v="2285"/>
  </r>
  <r>
    <n v="6712"/>
    <n v="36"/>
    <x v="24"/>
    <n v="3692"/>
    <s v="ท้องถิ่นเทศบาลตำบลหนองบัวแดง"/>
    <n v="0"/>
    <s v="-"/>
    <n v="0"/>
    <s v="-"/>
    <n v="4148"/>
    <n v="4376"/>
    <n v="8524"/>
    <n v="4600"/>
  </r>
  <r>
    <n v="6712"/>
    <n v="36"/>
    <x v="24"/>
    <n v="3693"/>
    <s v="ท้องถิ่นเทศบาลตำบลบ้านเป้า"/>
    <n v="0"/>
    <s v="-"/>
    <n v="0"/>
    <s v="-"/>
    <n v="3642"/>
    <n v="3849"/>
    <n v="7491"/>
    <n v="2442"/>
  </r>
  <r>
    <n v="6712"/>
    <n v="36"/>
    <x v="24"/>
    <n v="3694"/>
    <s v="ท้องถิ่นเทศบาลตำบลเกษตรสมบูรณ์"/>
    <n v="0"/>
    <s v="-"/>
    <n v="0"/>
    <s v="-"/>
    <n v="1344"/>
    <n v="1493"/>
    <n v="2837"/>
    <n v="1353"/>
  </r>
  <r>
    <n v="6712"/>
    <n v="36"/>
    <x v="24"/>
    <n v="3695"/>
    <s v="ท้องถิ่นเทศบาลตำบลคอนสวรรค์"/>
    <n v="0"/>
    <s v="-"/>
    <n v="0"/>
    <s v="-"/>
    <n v="1918"/>
    <n v="2125"/>
    <n v="4043"/>
    <n v="1938"/>
  </r>
  <r>
    <n v="6712"/>
    <n v="36"/>
    <x v="24"/>
    <n v="3696"/>
    <s v="ท้องถิ่นเทศบาลตำบลบ้านเขว้า"/>
    <n v="0"/>
    <s v="-"/>
    <n v="0"/>
    <s v="-"/>
    <n v="3674"/>
    <n v="4063"/>
    <n v="7737"/>
    <n v="3567"/>
  </r>
  <r>
    <n v="6712"/>
    <n v="36"/>
    <x v="24"/>
    <n v="3697"/>
    <s v="ท้องถิ่นเทศบาลตำบลลาดใหญ่"/>
    <n v="0"/>
    <s v="-"/>
    <n v="0"/>
    <s v="-"/>
    <n v="2085"/>
    <n v="2361"/>
    <n v="4446"/>
    <n v="1813"/>
  </r>
  <r>
    <n v="6712"/>
    <n v="36"/>
    <x v="24"/>
    <n v="3698"/>
    <s v="ท้องถิ่นเทศบาลตำบลบ้านค่ายหมื่นแผ้ว"/>
    <n v="0"/>
    <s v="-"/>
    <n v="0"/>
    <s v="-"/>
    <n v="2303"/>
    <n v="2423"/>
    <n v="4726"/>
    <n v="2001"/>
  </r>
  <r>
    <n v="6712"/>
    <n v="36"/>
    <x v="24"/>
    <n v="3699"/>
    <s v="ท้องถิ่นเทศบาลเมืองชัยภูมิ"/>
    <n v="0"/>
    <s v="-"/>
    <n v="0"/>
    <s v="-"/>
    <n v="16369"/>
    <n v="18330"/>
    <n v="34699"/>
    <n v="21996"/>
  </r>
  <r>
    <n v="6712"/>
    <n v="37"/>
    <x v="25"/>
    <n v="0"/>
    <s v="-"/>
    <n v="0"/>
    <s v="-"/>
    <n v="0"/>
    <s v="-"/>
    <n v="184783"/>
    <n v="187400"/>
    <n v="372183"/>
    <n v="128559"/>
  </r>
  <r>
    <n v="6712"/>
    <n v="37"/>
    <x v="25"/>
    <n v="3701"/>
    <s v="อำเภอเมืองอำนาจเจริญ"/>
    <n v="0"/>
    <s v="-"/>
    <n v="0"/>
    <s v="-"/>
    <n v="48313"/>
    <n v="48483"/>
    <n v="96796"/>
    <n v="33111"/>
  </r>
  <r>
    <n v="6712"/>
    <n v="37"/>
    <x v="25"/>
    <n v="3702"/>
    <s v="อำเภอชานุมาน"/>
    <n v="0"/>
    <s v="-"/>
    <n v="0"/>
    <s v="-"/>
    <n v="19403"/>
    <n v="19305"/>
    <n v="38708"/>
    <n v="12404"/>
  </r>
  <r>
    <n v="6712"/>
    <n v="37"/>
    <x v="25"/>
    <n v="3703"/>
    <s v="อำเภอปทุมราชวงศา"/>
    <n v="0"/>
    <s v="-"/>
    <n v="0"/>
    <s v="-"/>
    <n v="22916"/>
    <n v="22672"/>
    <n v="45588"/>
    <n v="14242"/>
  </r>
  <r>
    <n v="6712"/>
    <n v="37"/>
    <x v="25"/>
    <n v="3704"/>
    <s v="อำเภอพนา"/>
    <n v="0"/>
    <s v="-"/>
    <n v="0"/>
    <s v="-"/>
    <n v="9511"/>
    <n v="9400"/>
    <n v="18911"/>
    <n v="7079"/>
  </r>
  <r>
    <n v="6712"/>
    <n v="37"/>
    <x v="25"/>
    <n v="3705"/>
    <s v="อำเภอเสนางคนิคม"/>
    <n v="0"/>
    <s v="-"/>
    <n v="0"/>
    <s v="-"/>
    <n v="17247"/>
    <n v="17597"/>
    <n v="34844"/>
    <n v="11519"/>
  </r>
  <r>
    <n v="6712"/>
    <n v="37"/>
    <x v="25"/>
    <n v="3706"/>
    <s v="อำเภอหัวตะพาน"/>
    <n v="0"/>
    <s v="-"/>
    <n v="0"/>
    <s v="-"/>
    <n v="20612"/>
    <n v="20711"/>
    <n v="41323"/>
    <n v="11474"/>
  </r>
  <r>
    <n v="6712"/>
    <n v="37"/>
    <x v="25"/>
    <n v="3707"/>
    <s v="อำเภอลืออำนาจ"/>
    <n v="0"/>
    <s v="-"/>
    <n v="0"/>
    <s v="-"/>
    <n v="16722"/>
    <n v="16922"/>
    <n v="33644"/>
    <n v="10315"/>
  </r>
  <r>
    <n v="6712"/>
    <n v="37"/>
    <x v="25"/>
    <n v="3790"/>
    <s v="ท้องถิ่นเทศบาลตำบลนายม"/>
    <n v="0"/>
    <s v="-"/>
    <n v="0"/>
    <s v="-"/>
    <n v="2557"/>
    <n v="2630"/>
    <n v="5187"/>
    <n v="1597"/>
  </r>
  <r>
    <n v="6712"/>
    <n v="37"/>
    <x v="25"/>
    <n v="3791"/>
    <s v="ท้องถิ่นเทศบาลตำบลพระเหลา"/>
    <n v="0"/>
    <s v="-"/>
    <n v="0"/>
    <s v="-"/>
    <n v="2956"/>
    <n v="2990"/>
    <n v="5946"/>
    <n v="2341"/>
  </r>
  <r>
    <n v="6712"/>
    <n v="37"/>
    <x v="25"/>
    <n v="3792"/>
    <s v="ท้องถิ่นเทศบาลตำบลอำนาจ"/>
    <n v="0"/>
    <s v="-"/>
    <n v="0"/>
    <s v="-"/>
    <n v="985"/>
    <n v="1128"/>
    <n v="2113"/>
    <n v="1063"/>
  </r>
  <r>
    <n v="6712"/>
    <n v="37"/>
    <x v="25"/>
    <n v="3793"/>
    <s v="ท้องถิ่นเทศบาลตำบลหัวตะพาน"/>
    <n v="0"/>
    <s v="-"/>
    <n v="0"/>
    <s v="-"/>
    <n v="3289"/>
    <n v="3441"/>
    <n v="6730"/>
    <n v="2329"/>
  </r>
  <r>
    <n v="6712"/>
    <n v="37"/>
    <x v="25"/>
    <n v="3794"/>
    <s v="ท้องถิ่นเทศบาลตำบลเสนางคนิคม"/>
    <n v="0"/>
    <s v="-"/>
    <n v="0"/>
    <s v="-"/>
    <n v="2637"/>
    <n v="2893"/>
    <n v="5530"/>
    <n v="2026"/>
  </r>
  <r>
    <n v="6712"/>
    <n v="37"/>
    <x v="25"/>
    <n v="3795"/>
    <s v="ท้องถิ่นเทศบาลตำบลพนา"/>
    <n v="0"/>
    <s v="-"/>
    <n v="0"/>
    <s v="-"/>
    <n v="1173"/>
    <n v="1346"/>
    <n v="2519"/>
    <n v="1176"/>
  </r>
  <r>
    <n v="6712"/>
    <n v="37"/>
    <x v="25"/>
    <n v="3796"/>
    <s v="ท้องถิ่นเทศบาลตำบลปทุมราชวงศา"/>
    <n v="0"/>
    <s v="-"/>
    <n v="0"/>
    <s v="-"/>
    <n v="1628"/>
    <n v="1688"/>
    <n v="3316"/>
    <n v="1771"/>
  </r>
  <r>
    <n v="6712"/>
    <n v="37"/>
    <x v="25"/>
    <n v="3797"/>
    <s v="ท้องถิ่นเทศบาลตำบลชานุมาน"/>
    <n v="0"/>
    <s v="-"/>
    <n v="0"/>
    <s v="-"/>
    <n v="1502"/>
    <n v="1647"/>
    <n v="3149"/>
    <n v="1521"/>
  </r>
  <r>
    <n v="6712"/>
    <n v="37"/>
    <x v="25"/>
    <n v="3798"/>
    <s v="ท้องถิ่นเทศบาลตำบลน้ำปลีก"/>
    <n v="0"/>
    <s v="-"/>
    <n v="0"/>
    <s v="-"/>
    <n v="1727"/>
    <n v="1889"/>
    <n v="3616"/>
    <n v="1272"/>
  </r>
  <r>
    <n v="6712"/>
    <n v="37"/>
    <x v="25"/>
    <n v="3799"/>
    <s v="ท้องถิ่นเทศบาลเมืองอำนาจเจริญ"/>
    <n v="0"/>
    <s v="-"/>
    <n v="0"/>
    <s v="-"/>
    <n v="11605"/>
    <n v="12658"/>
    <n v="24263"/>
    <n v="13319"/>
  </r>
  <r>
    <n v="6712"/>
    <n v="38"/>
    <x v="26"/>
    <n v="0"/>
    <s v="-"/>
    <n v="0"/>
    <s v="-"/>
    <n v="0"/>
    <s v="-"/>
    <n v="209459"/>
    <n v="209274"/>
    <n v="418733"/>
    <n v="147459"/>
  </r>
  <r>
    <n v="6712"/>
    <n v="38"/>
    <x v="26"/>
    <n v="3801"/>
    <s v="อำเภอเมืองบึงกาฬ"/>
    <n v="0"/>
    <s v="-"/>
    <n v="0"/>
    <s v="-"/>
    <n v="29214"/>
    <n v="29166"/>
    <n v="58380"/>
    <n v="19608"/>
  </r>
  <r>
    <n v="6712"/>
    <n v="38"/>
    <x v="26"/>
    <n v="3802"/>
    <s v="อำเภอพรเจริญ"/>
    <n v="0"/>
    <s v="-"/>
    <n v="0"/>
    <s v="-"/>
    <n v="14421"/>
    <n v="14277"/>
    <n v="28698"/>
    <n v="8648"/>
  </r>
  <r>
    <n v="6712"/>
    <n v="38"/>
    <x v="26"/>
    <n v="3803"/>
    <s v="อำเภอโซ่พิสัย"/>
    <n v="0"/>
    <s v="-"/>
    <n v="0"/>
    <s v="-"/>
    <n v="32438"/>
    <n v="32079"/>
    <n v="64517"/>
    <n v="20112"/>
  </r>
  <r>
    <n v="6712"/>
    <n v="38"/>
    <x v="26"/>
    <n v="3804"/>
    <s v="อำเภอเซกา"/>
    <n v="0"/>
    <s v="-"/>
    <n v="0"/>
    <s v="-"/>
    <n v="36646"/>
    <n v="36361"/>
    <n v="73007"/>
    <n v="24745"/>
  </r>
  <r>
    <n v="6712"/>
    <n v="38"/>
    <x v="26"/>
    <n v="3805"/>
    <s v="อำเภอปากคาด"/>
    <n v="0"/>
    <s v="-"/>
    <n v="0"/>
    <s v="-"/>
    <n v="14046"/>
    <n v="13962"/>
    <n v="28008"/>
    <n v="10192"/>
  </r>
  <r>
    <n v="6712"/>
    <n v="38"/>
    <x v="26"/>
    <n v="3806"/>
    <s v="อำเภอบึงโขงหลง"/>
    <n v="0"/>
    <s v="-"/>
    <n v="0"/>
    <s v="-"/>
    <n v="14116"/>
    <n v="13887"/>
    <n v="28003"/>
    <n v="9521"/>
  </r>
  <r>
    <n v="6712"/>
    <n v="38"/>
    <x v="26"/>
    <n v="3807"/>
    <s v="อำเภอศรีวิไล"/>
    <n v="0"/>
    <s v="-"/>
    <n v="0"/>
    <s v="-"/>
    <n v="14246"/>
    <n v="14105"/>
    <n v="28351"/>
    <n v="9819"/>
  </r>
  <r>
    <n v="6712"/>
    <n v="38"/>
    <x v="26"/>
    <n v="3808"/>
    <s v="อำเภอบุ่งคล้า"/>
    <n v="0"/>
    <s v="-"/>
    <n v="0"/>
    <s v="-"/>
    <n v="6956"/>
    <n v="6987"/>
    <n v="13943"/>
    <n v="4455"/>
  </r>
  <r>
    <n v="6712"/>
    <n v="38"/>
    <x v="26"/>
    <n v="3887"/>
    <s v="ท้องถิ่นเทศบาลตำบลหอคำ"/>
    <n v="0"/>
    <s v="-"/>
    <n v="0"/>
    <s v="-"/>
    <n v="3612"/>
    <n v="3620"/>
    <n v="7232"/>
    <n v="2453"/>
  </r>
  <r>
    <n v="6712"/>
    <n v="38"/>
    <x v="26"/>
    <n v="3888"/>
    <s v="ท้องถิ่นเทศบาลตำบลโนนสว่าง"/>
    <n v="0"/>
    <s v="-"/>
    <n v="0"/>
    <s v="-"/>
    <n v="3409"/>
    <n v="3432"/>
    <n v="6841"/>
    <n v="2485"/>
  </r>
  <r>
    <n v="6712"/>
    <n v="38"/>
    <x v="26"/>
    <n v="3890"/>
    <s v="ท้องถิ่นเทศบาลตำบลศรีวิไล"/>
    <n v="0"/>
    <s v="-"/>
    <n v="0"/>
    <s v="-"/>
    <n v="5397"/>
    <n v="5484"/>
    <n v="10881"/>
    <n v="4125"/>
  </r>
  <r>
    <n v="6712"/>
    <n v="38"/>
    <x v="26"/>
    <n v="3891"/>
    <s v="ท้องถิ่นเทศบาลตำบลบึงโขงหลง"/>
    <n v="0"/>
    <s v="-"/>
    <n v="0"/>
    <s v="-"/>
    <n v="4749"/>
    <n v="4900"/>
    <n v="9649"/>
    <n v="3717"/>
  </r>
  <r>
    <n v="6712"/>
    <n v="38"/>
    <x v="26"/>
    <n v="3892"/>
    <s v="ท้องถิ่นเทศบาลตำบลปากคาด"/>
    <n v="0"/>
    <s v="-"/>
    <n v="0"/>
    <s v="-"/>
    <n v="3190"/>
    <n v="3174"/>
    <n v="6364"/>
    <n v="2800"/>
  </r>
  <r>
    <n v="6712"/>
    <n v="38"/>
    <x v="26"/>
    <n v="3893"/>
    <s v="ท้องถิ่นเทศบาลตำบลศรีพนา"/>
    <n v="0"/>
    <s v="-"/>
    <n v="0"/>
    <s v="-"/>
    <n v="3190"/>
    <n v="3249"/>
    <n v="6439"/>
    <n v="2815"/>
  </r>
  <r>
    <n v="6712"/>
    <n v="38"/>
    <x v="26"/>
    <n v="3894"/>
    <s v="ท้องถิ่นเทศบาลตำบลท่าสะอาด"/>
    <n v="0"/>
    <s v="-"/>
    <n v="0"/>
    <s v="-"/>
    <n v="3309"/>
    <n v="3480"/>
    <n v="6789"/>
    <n v="2053"/>
  </r>
  <r>
    <n v="6712"/>
    <n v="38"/>
    <x v="26"/>
    <n v="3895"/>
    <s v="ท้องถิ่นเทศบาลตำบลโซ่พิสัย"/>
    <n v="0"/>
    <s v="-"/>
    <n v="0"/>
    <s v="-"/>
    <n v="3187"/>
    <n v="3204"/>
    <n v="6391"/>
    <n v="2734"/>
  </r>
  <r>
    <n v="6712"/>
    <n v="38"/>
    <x v="26"/>
    <n v="3896"/>
    <s v="ท้องถิ่นเทศบาลตำบลพรเจริญ"/>
    <n v="0"/>
    <s v="-"/>
    <n v="0"/>
    <s v="-"/>
    <n v="4931"/>
    <n v="5201"/>
    <n v="10132"/>
    <n v="3719"/>
  </r>
  <r>
    <n v="6712"/>
    <n v="38"/>
    <x v="26"/>
    <n v="3897"/>
    <s v="ท้องถิ่นเทศบาลตำบลดอนหญ้านาง"/>
    <n v="0"/>
    <s v="-"/>
    <n v="0"/>
    <s v="-"/>
    <n v="2465"/>
    <n v="2504"/>
    <n v="4969"/>
    <n v="1584"/>
  </r>
  <r>
    <n v="6712"/>
    <n v="38"/>
    <x v="26"/>
    <n v="3898"/>
    <s v="ท้องถิ่นเทศบาลเมืองบึงกาฬ"/>
    <n v="0"/>
    <s v="-"/>
    <n v="0"/>
    <s v="-"/>
    <n v="9937"/>
    <n v="10202"/>
    <n v="20139"/>
    <n v="11874"/>
  </r>
  <r>
    <n v="6712"/>
    <n v="39"/>
    <x v="27"/>
    <n v="0"/>
    <s v="-"/>
    <n v="0"/>
    <s v="-"/>
    <n v="0"/>
    <s v="-"/>
    <n v="250862"/>
    <n v="253517"/>
    <n v="504379"/>
    <n v="161989"/>
  </r>
  <r>
    <n v="6712"/>
    <n v="39"/>
    <x v="27"/>
    <n v="3901"/>
    <s v="อำเภอเมืองหนองบัวลำภู"/>
    <n v="0"/>
    <s v="-"/>
    <n v="0"/>
    <s v="-"/>
    <n v="50613"/>
    <n v="50890"/>
    <n v="101503"/>
    <n v="33364"/>
  </r>
  <r>
    <n v="6712"/>
    <n v="39"/>
    <x v="27"/>
    <n v="3902"/>
    <s v="อำเภอนากลาง"/>
    <n v="0"/>
    <s v="-"/>
    <n v="0"/>
    <s v="-"/>
    <n v="33352"/>
    <n v="33053"/>
    <n v="66405"/>
    <n v="19618"/>
  </r>
  <r>
    <n v="6712"/>
    <n v="39"/>
    <x v="27"/>
    <n v="3903"/>
    <s v="อำเภอโนนสัง"/>
    <n v="0"/>
    <s v="-"/>
    <n v="0"/>
    <s v="-"/>
    <n v="26446"/>
    <n v="26878"/>
    <n v="53324"/>
    <n v="14379"/>
  </r>
  <r>
    <n v="6712"/>
    <n v="39"/>
    <x v="27"/>
    <n v="3904"/>
    <s v="อำเภอศรีบุญเรือง"/>
    <n v="0"/>
    <s v="-"/>
    <n v="0"/>
    <s v="-"/>
    <n v="45168"/>
    <n v="44632"/>
    <n v="89800"/>
    <n v="26271"/>
  </r>
  <r>
    <n v="6712"/>
    <n v="39"/>
    <x v="27"/>
    <n v="3905"/>
    <s v="อำเภอสุวรรณคูหา"/>
    <n v="0"/>
    <s v="-"/>
    <n v="0"/>
    <s v="-"/>
    <n v="26799"/>
    <n v="26737"/>
    <n v="53536"/>
    <n v="15816"/>
  </r>
  <r>
    <n v="6712"/>
    <n v="39"/>
    <x v="27"/>
    <n v="3906"/>
    <s v="อำเภอนาวัง"/>
    <n v="0"/>
    <s v="-"/>
    <n v="0"/>
    <s v="-"/>
    <n v="15008"/>
    <n v="14988"/>
    <n v="29996"/>
    <n v="9081"/>
  </r>
  <r>
    <n v="6712"/>
    <n v="39"/>
    <x v="27"/>
    <n v="3986"/>
    <s v="ท้องถิ่นเทศบาลตำบลยางหล่อ"/>
    <n v="0"/>
    <s v="-"/>
    <n v="0"/>
    <s v="-"/>
    <n v="4566"/>
    <n v="4688"/>
    <n v="9254"/>
    <n v="2700"/>
  </r>
  <r>
    <n v="6712"/>
    <n v="39"/>
    <x v="27"/>
    <n v="3987"/>
    <s v="ท้องถิ่นเทศบาลตำบลนาเหล่า"/>
    <n v="0"/>
    <s v="-"/>
    <n v="0"/>
    <s v="-"/>
    <n v="3319"/>
    <n v="3513"/>
    <n v="6832"/>
    <n v="2504"/>
  </r>
  <r>
    <n v="6712"/>
    <n v="39"/>
    <x v="27"/>
    <n v="3988"/>
    <s v="ท้องถิ่นเทศบาลตำบลสุวรรณคูหา"/>
    <n v="0"/>
    <s v="-"/>
    <n v="0"/>
    <s v="-"/>
    <n v="3742"/>
    <n v="3929"/>
    <n v="7671"/>
    <n v="2999"/>
  </r>
  <r>
    <n v="6712"/>
    <n v="39"/>
    <x v="27"/>
    <n v="3989"/>
    <s v="ท้องถิ่นเทศบาลตำบลบ้านโคก"/>
    <n v="0"/>
    <s v="-"/>
    <n v="0"/>
    <s v="-"/>
    <n v="2928"/>
    <n v="3226"/>
    <n v="6154"/>
    <n v="1958"/>
  </r>
  <r>
    <n v="6712"/>
    <n v="39"/>
    <x v="27"/>
    <n v="3990"/>
    <s v="ท้องถิ่นเทศบาลตำบลโนนสูงเปลือย"/>
    <n v="0"/>
    <s v="-"/>
    <n v="0"/>
    <s v="-"/>
    <n v="2141"/>
    <n v="2382"/>
    <n v="4523"/>
    <n v="2721"/>
  </r>
  <r>
    <n v="6712"/>
    <n v="39"/>
    <x v="27"/>
    <n v="3991"/>
    <s v="ท้องถิ่นเทศบาลตำบลจอมทอง"/>
    <n v="0"/>
    <s v="-"/>
    <n v="0"/>
    <s v="-"/>
    <n v="2500"/>
    <n v="2421"/>
    <n v="4921"/>
    <n v="1551"/>
  </r>
  <r>
    <n v="6712"/>
    <n v="39"/>
    <x v="27"/>
    <n v="3992"/>
    <s v="ท้องถิ่นเทศบาลตำบลโนนสัง"/>
    <n v="0"/>
    <s v="-"/>
    <n v="0"/>
    <s v="-"/>
    <n v="4038"/>
    <n v="4193"/>
    <n v="8231"/>
    <n v="3030"/>
  </r>
  <r>
    <n v="6712"/>
    <n v="39"/>
    <x v="27"/>
    <n v="3993"/>
    <s v="ท้องถิ่นเทศบาลตำบลกุดดู่"/>
    <n v="0"/>
    <s v="-"/>
    <n v="0"/>
    <s v="-"/>
    <n v="1358"/>
    <n v="1367"/>
    <n v="2725"/>
    <n v="783"/>
  </r>
  <r>
    <n v="6712"/>
    <n v="39"/>
    <x v="27"/>
    <n v="3994"/>
    <s v="ท้องถิ่นเทศบาลตำบลนากลาง"/>
    <n v="0"/>
    <s v="-"/>
    <n v="0"/>
    <s v="-"/>
    <n v="9540"/>
    <n v="10055"/>
    <n v="19595"/>
    <n v="6896"/>
  </r>
  <r>
    <n v="6712"/>
    <n v="39"/>
    <x v="27"/>
    <n v="3995"/>
    <s v="ท้องถิ่นเทศบาลตำบลกุดดินจี่"/>
    <n v="0"/>
    <s v="-"/>
    <n v="0"/>
    <s v="-"/>
    <n v="2693"/>
    <n v="2837"/>
    <n v="5530"/>
    <n v="1895"/>
  </r>
  <r>
    <n v="6712"/>
    <n v="39"/>
    <x v="27"/>
    <n v="3996"/>
    <s v="ท้องถิ่นเทศบาลตำบลหัวนา"/>
    <n v="0"/>
    <s v="-"/>
    <n v="0"/>
    <s v="-"/>
    <n v="1779"/>
    <n v="1758"/>
    <n v="3537"/>
    <n v="1090"/>
  </r>
  <r>
    <n v="6712"/>
    <n v="39"/>
    <x v="27"/>
    <n v="3997"/>
    <s v="ท้องถิ่นเทศบาลตำบลนามะเฟือง"/>
    <n v="0"/>
    <s v="-"/>
    <n v="0"/>
    <s v="-"/>
    <n v="2010"/>
    <n v="2145"/>
    <n v="4155"/>
    <n v="1135"/>
  </r>
  <r>
    <n v="6712"/>
    <n v="39"/>
    <x v="27"/>
    <n v="3998"/>
    <s v="ท้องถิ่นเทศบาลตำบลนาคำไฮ"/>
    <n v="0"/>
    <s v="-"/>
    <n v="0"/>
    <s v="-"/>
    <n v="2408"/>
    <n v="2464"/>
    <n v="4872"/>
    <n v="1466"/>
  </r>
  <r>
    <n v="6712"/>
    <n v="39"/>
    <x v="27"/>
    <n v="3999"/>
    <s v="ท้องถิ่นเทศบาลเมืองหนองบัวลำภู"/>
    <n v="0"/>
    <s v="-"/>
    <n v="0"/>
    <s v="-"/>
    <n v="10454"/>
    <n v="11361"/>
    <n v="21815"/>
    <n v="12732"/>
  </r>
  <r>
    <n v="6712"/>
    <n v="40"/>
    <x v="28"/>
    <n v="0"/>
    <s v="-"/>
    <n v="0"/>
    <s v="-"/>
    <n v="0"/>
    <s v="-"/>
    <n v="868299"/>
    <n v="904082"/>
    <n v="1772381"/>
    <n v="692088"/>
  </r>
  <r>
    <n v="6712"/>
    <n v="40"/>
    <x v="28"/>
    <n v="4001"/>
    <s v="อำเภอเมืองขอนแก่น"/>
    <n v="0"/>
    <s v="-"/>
    <n v="0"/>
    <s v="-"/>
    <n v="48020"/>
    <n v="51475"/>
    <n v="99495"/>
    <n v="43676"/>
  </r>
  <r>
    <n v="6712"/>
    <n v="40"/>
    <x v="28"/>
    <n v="4002"/>
    <s v="อำเภอบ้านฝาง"/>
    <n v="0"/>
    <s v="-"/>
    <n v="0"/>
    <s v="-"/>
    <n v="24745"/>
    <n v="25046"/>
    <n v="49791"/>
    <n v="18297"/>
  </r>
  <r>
    <n v="6712"/>
    <n v="40"/>
    <x v="28"/>
    <n v="4003"/>
    <s v="อำเภอพระยืน"/>
    <n v="0"/>
    <s v="-"/>
    <n v="0"/>
    <s v="-"/>
    <n v="12046"/>
    <n v="12540"/>
    <n v="24586"/>
    <n v="8286"/>
  </r>
  <r>
    <n v="6712"/>
    <n v="40"/>
    <x v="28"/>
    <n v="4004"/>
    <s v="อำเภอหนองเรือ"/>
    <n v="0"/>
    <s v="-"/>
    <n v="0"/>
    <s v="-"/>
    <n v="40685"/>
    <n v="41824"/>
    <n v="82509"/>
    <n v="24212"/>
  </r>
  <r>
    <n v="6712"/>
    <n v="40"/>
    <x v="28"/>
    <n v="4005"/>
    <s v="อำเภอชุมแพ"/>
    <n v="0"/>
    <s v="-"/>
    <n v="0"/>
    <s v="-"/>
    <n v="41023"/>
    <n v="41484"/>
    <n v="82507"/>
    <n v="27365"/>
  </r>
  <r>
    <n v="6712"/>
    <n v="40"/>
    <x v="28"/>
    <n v="4006"/>
    <s v="อำเภอสีชมพู"/>
    <n v="0"/>
    <s v="-"/>
    <n v="0"/>
    <s v="-"/>
    <n v="36148"/>
    <n v="36720"/>
    <n v="72868"/>
    <n v="23437"/>
  </r>
  <r>
    <n v="6712"/>
    <n v="40"/>
    <x v="28"/>
    <n v="4007"/>
    <s v="อำเภอน้ำพอง"/>
    <n v="0"/>
    <s v="-"/>
    <n v="0"/>
    <s v="-"/>
    <n v="35444"/>
    <n v="36275"/>
    <n v="71719"/>
    <n v="23023"/>
  </r>
  <r>
    <n v="6712"/>
    <n v="40"/>
    <x v="28"/>
    <n v="4008"/>
    <s v="อำเภออุบลรัตน์"/>
    <n v="0"/>
    <s v="-"/>
    <n v="0"/>
    <s v="-"/>
    <n v="15322"/>
    <n v="15719"/>
    <n v="31041"/>
    <n v="8723"/>
  </r>
  <r>
    <n v="6712"/>
    <n v="40"/>
    <x v="28"/>
    <n v="4009"/>
    <s v="อำเภอกระนวน"/>
    <n v="0"/>
    <s v="-"/>
    <n v="0"/>
    <s v="-"/>
    <n v="33727"/>
    <n v="34219"/>
    <n v="67946"/>
    <n v="21248"/>
  </r>
  <r>
    <n v="6712"/>
    <n v="40"/>
    <x v="28"/>
    <n v="4010"/>
    <s v="อำเภอบ้านไผ่"/>
    <n v="0"/>
    <s v="-"/>
    <n v="0"/>
    <s v="-"/>
    <n v="35278"/>
    <n v="36289"/>
    <n v="71567"/>
    <n v="24663"/>
  </r>
  <r>
    <n v="6712"/>
    <n v="40"/>
    <x v="28"/>
    <n v="4011"/>
    <s v="อำเภอเปือยน้อย"/>
    <n v="0"/>
    <s v="-"/>
    <n v="0"/>
    <s v="-"/>
    <n v="7139"/>
    <n v="7037"/>
    <n v="14176"/>
    <n v="4165"/>
  </r>
  <r>
    <n v="6712"/>
    <n v="40"/>
    <x v="28"/>
    <n v="4012"/>
    <s v="อำเภอพล"/>
    <n v="0"/>
    <s v="-"/>
    <n v="0"/>
    <s v="-"/>
    <n v="36928"/>
    <n v="37946"/>
    <n v="74874"/>
    <n v="24469"/>
  </r>
  <r>
    <n v="6712"/>
    <n v="40"/>
    <x v="28"/>
    <n v="4013"/>
    <s v="อำเภอแวงใหญ่"/>
    <n v="0"/>
    <s v="-"/>
    <n v="0"/>
    <s v="-"/>
    <n v="11718"/>
    <n v="12054"/>
    <n v="23772"/>
    <n v="6685"/>
  </r>
  <r>
    <n v="6712"/>
    <n v="40"/>
    <x v="28"/>
    <n v="4014"/>
    <s v="อำเภอแวงน้อย"/>
    <n v="0"/>
    <s v="-"/>
    <n v="0"/>
    <s v="-"/>
    <n v="18986"/>
    <n v="19101"/>
    <n v="38087"/>
    <n v="11903"/>
  </r>
  <r>
    <n v="6712"/>
    <n v="40"/>
    <x v="28"/>
    <n v="4015"/>
    <s v="อำเภอหนองสองห้อง"/>
    <n v="0"/>
    <s v="-"/>
    <n v="0"/>
    <s v="-"/>
    <n v="35017"/>
    <n v="35506"/>
    <n v="70523"/>
    <n v="21915"/>
  </r>
  <r>
    <n v="6712"/>
    <n v="40"/>
    <x v="28"/>
    <n v="4016"/>
    <s v="อำเภอภูเวียง"/>
    <n v="0"/>
    <s v="-"/>
    <n v="0"/>
    <s v="-"/>
    <n v="33867"/>
    <n v="34334"/>
    <n v="68201"/>
    <n v="21470"/>
  </r>
  <r>
    <n v="6712"/>
    <n v="40"/>
    <x v="28"/>
    <n v="4017"/>
    <s v="อำเภอมัญจาคีรี"/>
    <n v="0"/>
    <s v="-"/>
    <n v="0"/>
    <s v="-"/>
    <n v="32441"/>
    <n v="33152"/>
    <n v="65593"/>
    <n v="22831"/>
  </r>
  <r>
    <n v="6712"/>
    <n v="40"/>
    <x v="28"/>
    <n v="4018"/>
    <s v="อำเภอชนบท"/>
    <n v="0"/>
    <s v="-"/>
    <n v="0"/>
    <s v="-"/>
    <n v="19112"/>
    <n v="19905"/>
    <n v="39017"/>
    <n v="12191"/>
  </r>
  <r>
    <n v="6712"/>
    <n v="40"/>
    <x v="28"/>
    <n v="4019"/>
    <s v="อำเภอเขาสวนกวาง"/>
    <n v="0"/>
    <s v="-"/>
    <n v="0"/>
    <s v="-"/>
    <n v="10572"/>
    <n v="10681"/>
    <n v="21253"/>
    <n v="6661"/>
  </r>
  <r>
    <n v="6712"/>
    <n v="40"/>
    <x v="28"/>
    <n v="4020"/>
    <s v="อำเภอภูผาม่าน"/>
    <n v="0"/>
    <s v="-"/>
    <n v="0"/>
    <s v="-"/>
    <n v="9728"/>
    <n v="9710"/>
    <n v="19438"/>
    <n v="6098"/>
  </r>
  <r>
    <n v="6712"/>
    <n v="40"/>
    <x v="28"/>
    <n v="4021"/>
    <s v="อำเภอซำสูง"/>
    <n v="0"/>
    <s v="-"/>
    <n v="0"/>
    <s v="-"/>
    <n v="8819"/>
    <n v="9120"/>
    <n v="17939"/>
    <n v="5504"/>
  </r>
  <r>
    <n v="6712"/>
    <n v="40"/>
    <x v="28"/>
    <n v="4022"/>
    <s v="อำเภอโคกโพธิ์ไชย"/>
    <n v="0"/>
    <s v="-"/>
    <n v="0"/>
    <s v="-"/>
    <n v="10382"/>
    <n v="10437"/>
    <n v="20819"/>
    <n v="6935"/>
  </r>
  <r>
    <n v="6712"/>
    <n v="40"/>
    <x v="28"/>
    <n v="4023"/>
    <s v="อำเภอหนองนาคำ"/>
    <n v="0"/>
    <s v="-"/>
    <n v="0"/>
    <s v="-"/>
    <n v="11613"/>
    <n v="11782"/>
    <n v="23395"/>
    <n v="7104"/>
  </r>
  <r>
    <n v="6712"/>
    <n v="40"/>
    <x v="28"/>
    <n v="4024"/>
    <s v="อำเภอบ้านแฮด"/>
    <n v="0"/>
    <s v="-"/>
    <n v="0"/>
    <s v="-"/>
    <n v="12829"/>
    <n v="13151"/>
    <n v="25980"/>
    <n v="8738"/>
  </r>
  <r>
    <n v="6712"/>
    <n v="40"/>
    <x v="28"/>
    <n v="4025"/>
    <s v="อำเภอโนนศิลา"/>
    <n v="0"/>
    <s v="-"/>
    <n v="0"/>
    <s v="-"/>
    <n v="10387"/>
    <n v="10504"/>
    <n v="20891"/>
    <n v="6801"/>
  </r>
  <r>
    <n v="6712"/>
    <n v="40"/>
    <x v="28"/>
    <n v="4029"/>
    <s v="อำเภอเวียงเก่า"/>
    <n v="0"/>
    <s v="-"/>
    <n v="0"/>
    <s v="-"/>
    <n v="9750"/>
    <n v="9954"/>
    <n v="19704"/>
    <n v="5977"/>
  </r>
  <r>
    <n v="6712"/>
    <n v="40"/>
    <x v="28"/>
    <n v="4054"/>
    <s v="ท้องถิ่นเทศบาลเมืองศิลา"/>
    <n v="0"/>
    <s v="-"/>
    <n v="0"/>
    <s v="-"/>
    <n v="27265"/>
    <n v="28075"/>
    <n v="55340"/>
    <n v="32137"/>
  </r>
  <r>
    <n v="6712"/>
    <n v="40"/>
    <x v="28"/>
    <n v="4055"/>
    <s v="ท้องถิ่นเทศบาลตำบลโคกสูง"/>
    <n v="0"/>
    <s v="-"/>
    <n v="0"/>
    <s v="-"/>
    <n v="4409"/>
    <n v="4330"/>
    <n v="8739"/>
    <n v="2606"/>
  </r>
  <r>
    <n v="6712"/>
    <n v="40"/>
    <x v="28"/>
    <n v="4056"/>
    <s v="ท้องถิ่นเทศบาลตำบลสะอาด"/>
    <n v="0"/>
    <s v="-"/>
    <n v="0"/>
    <s v="-"/>
    <n v="4892"/>
    <n v="4965"/>
    <n v="9857"/>
    <n v="2803"/>
  </r>
  <r>
    <n v="6712"/>
    <n v="40"/>
    <x v="28"/>
    <n v="4057"/>
    <s v="ท้องถิ่นเทศบาลเมืองบ้านทุ่ม"/>
    <n v="0"/>
    <s v="-"/>
    <n v="0"/>
    <s v="-"/>
    <n v="9333"/>
    <n v="10049"/>
    <n v="19382"/>
    <n v="9638"/>
  </r>
  <r>
    <n v="6712"/>
    <n v="40"/>
    <x v="28"/>
    <n v="4058"/>
    <s v="ท้องถิ่นเทศบาลตำบลโนนสมบูรณ์"/>
    <n v="0"/>
    <s v="-"/>
    <n v="0"/>
    <s v="-"/>
    <n v="2914"/>
    <n v="2929"/>
    <n v="5843"/>
    <n v="1863"/>
  </r>
  <r>
    <n v="6712"/>
    <n v="40"/>
    <x v="28"/>
    <n v="4060"/>
    <s v="ท้องถิ่นเทศบาลตำบลม่วงหวาน"/>
    <n v="0"/>
    <s v="-"/>
    <n v="0"/>
    <s v="-"/>
    <n v="4924"/>
    <n v="5158"/>
    <n v="10082"/>
    <n v="3684"/>
  </r>
  <r>
    <n v="6712"/>
    <n v="40"/>
    <x v="28"/>
    <n v="4061"/>
    <s v="ท้องถิ่นเทศบาลตำบลหนองตูม"/>
    <n v="0"/>
    <s v="-"/>
    <n v="0"/>
    <s v="-"/>
    <n v="3624"/>
    <n v="3964"/>
    <n v="7588"/>
    <n v="2339"/>
  </r>
  <r>
    <n v="6712"/>
    <n v="40"/>
    <x v="28"/>
    <n v="4062"/>
    <s v="ท้องถิ่นเทศบาลตำบลเมืองเก่า"/>
    <n v="0"/>
    <s v="-"/>
    <n v="0"/>
    <s v="-"/>
    <n v="15303"/>
    <n v="17691"/>
    <n v="32994"/>
    <n v="19056"/>
  </r>
  <r>
    <n v="6712"/>
    <n v="40"/>
    <x v="28"/>
    <n v="4063"/>
    <s v="ท้องถิ่นเทศบาลตำบลโนนท่อน"/>
    <n v="0"/>
    <s v="-"/>
    <n v="0"/>
    <s v="-"/>
    <n v="4762"/>
    <n v="4965"/>
    <n v="9727"/>
    <n v="3351"/>
  </r>
  <r>
    <n v="6712"/>
    <n v="40"/>
    <x v="28"/>
    <n v="4064"/>
    <s v="ท้องถิ่นเทศบาลตำบลบ้านค้อ"/>
    <n v="0"/>
    <s v="-"/>
    <n v="0"/>
    <s v="-"/>
    <n v="8536"/>
    <n v="8944"/>
    <n v="17480"/>
    <n v="7548"/>
  </r>
  <r>
    <n v="6712"/>
    <n v="40"/>
    <x v="28"/>
    <n v="4065"/>
    <s v="ท้องถิ่นเทศบาลตำบลกุดน้ำใส"/>
    <n v="0"/>
    <s v="-"/>
    <n v="0"/>
    <s v="-"/>
    <n v="4149"/>
    <n v="4334"/>
    <n v="8483"/>
    <n v="2848"/>
  </r>
  <r>
    <n v="6712"/>
    <n v="40"/>
    <x v="28"/>
    <n v="4067"/>
    <s v="ท้องถิ่นเทศบาลตำบลสาวะถี"/>
    <n v="0"/>
    <s v="-"/>
    <n v="0"/>
    <s v="-"/>
    <n v="8857"/>
    <n v="9046"/>
    <n v="17903"/>
    <n v="6137"/>
  </r>
  <r>
    <n v="6712"/>
    <n v="40"/>
    <x v="28"/>
    <n v="4068"/>
    <s v="ท้องถิ่นเทศบาลตำบลบ้านเป็ด"/>
    <n v="0"/>
    <s v="-"/>
    <n v="0"/>
    <s v="-"/>
    <n v="22409"/>
    <n v="26213"/>
    <n v="48622"/>
    <n v="30471"/>
  </r>
  <r>
    <n v="6712"/>
    <n v="40"/>
    <x v="28"/>
    <n v="4069"/>
    <s v="ท้องถิ่นเทศบาลตำบลโนนศิลา"/>
    <n v="0"/>
    <s v="-"/>
    <n v="0"/>
    <s v="-"/>
    <n v="2724"/>
    <n v="2768"/>
    <n v="5492"/>
    <n v="1965"/>
  </r>
  <r>
    <n v="6712"/>
    <n v="40"/>
    <x v="28"/>
    <n v="4070"/>
    <s v="ท้องถิ่นเทศบาลตำบลบ้านแฮด"/>
    <n v="0"/>
    <s v="-"/>
    <n v="0"/>
    <s v="-"/>
    <n v="3249"/>
    <n v="3340"/>
    <n v="6589"/>
    <n v="2369"/>
  </r>
  <r>
    <n v="6712"/>
    <n v="40"/>
    <x v="28"/>
    <n v="4071"/>
    <s v="ท้องถิ่นเทศบาลตำบลบ้านโคก"/>
    <n v="0"/>
    <s v="-"/>
    <n v="0"/>
    <s v="-"/>
    <n v="1926"/>
    <n v="2099"/>
    <n v="4025"/>
    <n v="1568"/>
  </r>
  <r>
    <n v="6712"/>
    <n v="40"/>
    <x v="28"/>
    <n v="4072"/>
    <s v="ท้องถิ่นเทศบาลตำบลซำสูง"/>
    <n v="0"/>
    <s v="-"/>
    <n v="0"/>
    <s v="-"/>
    <n v="2531"/>
    <n v="2648"/>
    <n v="5179"/>
    <n v="2044"/>
  </r>
  <r>
    <n v="6712"/>
    <n v="40"/>
    <x v="28"/>
    <n v="4073"/>
    <s v="ท้องถิ่นเทศบาลตำบลภูผาม่าน"/>
    <n v="0"/>
    <s v="-"/>
    <n v="0"/>
    <s v="-"/>
    <n v="1644"/>
    <n v="1750"/>
    <n v="3394"/>
    <n v="1352"/>
  </r>
  <r>
    <n v="6712"/>
    <n v="40"/>
    <x v="28"/>
    <n v="4074"/>
    <s v="ท้องถิ่นเทศบาลตำบลเขาสวนกวาง"/>
    <n v="0"/>
    <s v="-"/>
    <n v="0"/>
    <s v="-"/>
    <n v="5200"/>
    <n v="5336"/>
    <n v="10536"/>
    <n v="3952"/>
  </r>
  <r>
    <n v="6712"/>
    <n v="40"/>
    <x v="28"/>
    <n v="4075"/>
    <s v="ท้องถิ่นเทศบาลตำบลชนบท"/>
    <n v="0"/>
    <s v="-"/>
    <n v="0"/>
    <s v="-"/>
    <n v="3566"/>
    <n v="4017"/>
    <n v="7583"/>
    <n v="3461"/>
  </r>
  <r>
    <n v="6712"/>
    <n v="40"/>
    <x v="28"/>
    <n v="4076"/>
    <s v="ท้องถิ่นเทศบาลตำบลมัญจาคีรี"/>
    <n v="0"/>
    <s v="-"/>
    <n v="0"/>
    <s v="-"/>
    <n v="1600"/>
    <n v="1771"/>
    <n v="3371"/>
    <n v="2003"/>
  </r>
  <r>
    <n v="6712"/>
    <n v="40"/>
    <x v="28"/>
    <n v="4077"/>
    <s v="ท้องถิ่นเทศบาลตำบลภูเวียง"/>
    <n v="0"/>
    <s v="-"/>
    <n v="0"/>
    <s v="-"/>
    <n v="1287"/>
    <n v="1459"/>
    <n v="2746"/>
    <n v="1780"/>
  </r>
  <r>
    <n v="6712"/>
    <n v="40"/>
    <x v="28"/>
    <n v="4078"/>
    <s v="ท้องถิ่นเทศบาลตำบลหนองสองห้อง"/>
    <n v="0"/>
    <s v="-"/>
    <n v="0"/>
    <s v="-"/>
    <n v="2648"/>
    <n v="2814"/>
    <n v="5462"/>
    <n v="2849"/>
  </r>
  <r>
    <n v="6712"/>
    <n v="40"/>
    <x v="28"/>
    <n v="4079"/>
    <s v="ท้องถิ่นเทศบาลตำบลแวงน้อย"/>
    <n v="0"/>
    <s v="-"/>
    <n v="0"/>
    <s v="-"/>
    <n v="1412"/>
    <n v="1570"/>
    <n v="2982"/>
    <n v="1393"/>
  </r>
  <r>
    <n v="6712"/>
    <n v="40"/>
    <x v="28"/>
    <n v="4080"/>
    <s v="ท้องถิ่นเทศบาลตำบลแวงใหญ่"/>
    <n v="0"/>
    <s v="-"/>
    <n v="0"/>
    <s v="-"/>
    <n v="2441"/>
    <n v="2627"/>
    <n v="5068"/>
    <n v="1874"/>
  </r>
  <r>
    <n v="6712"/>
    <n v="40"/>
    <x v="28"/>
    <n v="4081"/>
    <s v="ท้องถิ่นเทศบาลตำบลเปือยน้อย"/>
    <n v="0"/>
    <s v="-"/>
    <n v="0"/>
    <s v="-"/>
    <n v="2827"/>
    <n v="2951"/>
    <n v="5778"/>
    <n v="2089"/>
  </r>
  <r>
    <n v="6712"/>
    <n v="40"/>
    <x v="28"/>
    <n v="4082"/>
    <s v="ท้องถิ่นเทศบาลเมืองกระนวน"/>
    <n v="0"/>
    <s v="-"/>
    <n v="0"/>
    <s v="-"/>
    <n v="4555"/>
    <n v="5022"/>
    <n v="9577"/>
    <n v="4677"/>
  </r>
  <r>
    <n v="6712"/>
    <n v="40"/>
    <x v="28"/>
    <n v="4083"/>
    <s v="ท้องถิ่นเทศบาลตำบลเขื่อนอุบลรัตน์"/>
    <n v="0"/>
    <s v="-"/>
    <n v="0"/>
    <s v="-"/>
    <n v="1860"/>
    <n v="1966"/>
    <n v="3826"/>
    <n v="2138"/>
  </r>
  <r>
    <n v="6712"/>
    <n v="40"/>
    <x v="28"/>
    <n v="4084"/>
    <s v="ท้องถิ่นเทศบาลตำบลวังชัย"/>
    <n v="0"/>
    <s v="-"/>
    <n v="0"/>
    <s v="-"/>
    <n v="2994"/>
    <n v="3253"/>
    <n v="6247"/>
    <n v="3029"/>
  </r>
  <r>
    <n v="6712"/>
    <n v="40"/>
    <x v="28"/>
    <n v="4085"/>
    <s v="ท้องถิ่นเทศบาลตำบลน้ำพอง"/>
    <n v="0"/>
    <s v="-"/>
    <n v="0"/>
    <s v="-"/>
    <n v="2225"/>
    <n v="2456"/>
    <n v="4681"/>
    <n v="2489"/>
  </r>
  <r>
    <n v="6712"/>
    <n v="40"/>
    <x v="28"/>
    <n v="4086"/>
    <s v="ท้องถิ่นเทศบาลตำบลสีชมพู"/>
    <n v="0"/>
    <s v="-"/>
    <n v="0"/>
    <s v="-"/>
    <n v="1609"/>
    <n v="1660"/>
    <n v="3269"/>
    <n v="1603"/>
  </r>
  <r>
    <n v="6712"/>
    <n v="40"/>
    <x v="28"/>
    <n v="4087"/>
    <s v="ท้องถิ่นเทศบาลตำบลโนนหัน"/>
    <n v="0"/>
    <s v="-"/>
    <n v="0"/>
    <s v="-"/>
    <n v="2133"/>
    <n v="2362"/>
    <n v="4495"/>
    <n v="1571"/>
  </r>
  <r>
    <n v="6712"/>
    <n v="40"/>
    <x v="28"/>
    <n v="4088"/>
    <s v="ท้องถิ่นเทศบาลตำบลโคกสูงสัมพันธ์"/>
    <n v="0"/>
    <s v="-"/>
    <n v="0"/>
    <s v="-"/>
    <n v="2059"/>
    <n v="2274"/>
    <n v="4333"/>
    <n v="1370"/>
  </r>
  <r>
    <n v="6712"/>
    <n v="40"/>
    <x v="28"/>
    <n v="4089"/>
    <s v="ท้องถิ่นเทศบาลตำบลหนองเรือ"/>
    <n v="0"/>
    <s v="-"/>
    <n v="0"/>
    <s v="-"/>
    <n v="2090"/>
    <n v="2057"/>
    <n v="4147"/>
    <n v="2287"/>
  </r>
  <r>
    <n v="6712"/>
    <n v="40"/>
    <x v="28"/>
    <n v="4090"/>
    <s v="ท้องถิ่นเทศบาลตำบลหนองแก"/>
    <n v="0"/>
    <s v="-"/>
    <n v="0"/>
    <s v="-"/>
    <n v="680"/>
    <n v="675"/>
    <n v="1355"/>
    <n v="723"/>
  </r>
  <r>
    <n v="6712"/>
    <n v="40"/>
    <x v="28"/>
    <n v="4091"/>
    <s v="ท้องถิ่นเทศบาลตำบลดอนโมง"/>
    <n v="0"/>
    <s v="-"/>
    <n v="0"/>
    <s v="-"/>
    <n v="1622"/>
    <n v="1720"/>
    <n v="3342"/>
    <n v="1959"/>
  </r>
  <r>
    <n v="6712"/>
    <n v="40"/>
    <x v="28"/>
    <n v="4092"/>
    <s v="ท้องถิ่นเทศบาลตำบลพระยืน"/>
    <n v="0"/>
    <s v="-"/>
    <n v="0"/>
    <s v="-"/>
    <n v="1549"/>
    <n v="1739"/>
    <n v="3288"/>
    <n v="1574"/>
  </r>
  <r>
    <n v="6712"/>
    <n v="40"/>
    <x v="28"/>
    <n v="4093"/>
    <s v="ท้องถิ่นเทศบาลตำบลบ้านโต้น"/>
    <n v="0"/>
    <s v="-"/>
    <n v="0"/>
    <s v="-"/>
    <n v="3075"/>
    <n v="3311"/>
    <n v="6386"/>
    <n v="2142"/>
  </r>
  <r>
    <n v="6712"/>
    <n v="40"/>
    <x v="28"/>
    <n v="4094"/>
    <s v="ท้องถิ่นเทศบาลตำบลบ้านฝาง"/>
    <n v="0"/>
    <s v="-"/>
    <n v="0"/>
    <s v="-"/>
    <n v="2170"/>
    <n v="2333"/>
    <n v="4503"/>
    <n v="1970"/>
  </r>
  <r>
    <n v="6712"/>
    <n v="40"/>
    <x v="28"/>
    <n v="4095"/>
    <s v="ท้องถิ่นเทศบาลตำบลท่าพระ"/>
    <n v="0"/>
    <s v="-"/>
    <n v="0"/>
    <s v="-"/>
    <n v="4062"/>
    <n v="4478"/>
    <n v="8540"/>
    <n v="4257"/>
  </r>
  <r>
    <n v="6712"/>
    <n v="40"/>
    <x v="28"/>
    <n v="4096"/>
    <s v="ท้องถิ่นเทศบาลเมืองชุมแพ"/>
    <n v="0"/>
    <s v="-"/>
    <n v="0"/>
    <s v="-"/>
    <n v="14642"/>
    <n v="15810"/>
    <n v="30452"/>
    <n v="16479"/>
  </r>
  <r>
    <n v="6712"/>
    <n v="40"/>
    <x v="28"/>
    <n v="4097"/>
    <s v="ท้องถิ่นเทศบาลเมืองบ้านไผ่"/>
    <n v="0"/>
    <s v="-"/>
    <n v="0"/>
    <s v="-"/>
    <n v="12454"/>
    <n v="13734"/>
    <n v="26188"/>
    <n v="13198"/>
  </r>
  <r>
    <n v="6712"/>
    <n v="40"/>
    <x v="28"/>
    <n v="4098"/>
    <s v="ท้องถิ่นเทศบาลเมืองเมืองพล"/>
    <n v="0"/>
    <s v="-"/>
    <n v="0"/>
    <s v="-"/>
    <n v="4689"/>
    <n v="5210"/>
    <n v="9899"/>
    <n v="5505"/>
  </r>
  <r>
    <n v="6712"/>
    <n v="40"/>
    <x v="28"/>
    <n v="4099"/>
    <s v="ท้องถิ่นเทศบาลนครขอนแก่น"/>
    <n v="0"/>
    <s v="-"/>
    <n v="0"/>
    <s v="-"/>
    <n v="47673"/>
    <n v="52244"/>
    <n v="99917"/>
    <n v="69560"/>
  </r>
  <r>
    <n v="6712"/>
    <n v="41"/>
    <x v="29"/>
    <n v="0"/>
    <s v="-"/>
    <n v="0"/>
    <s v="-"/>
    <n v="0"/>
    <s v="-"/>
    <n v="765475"/>
    <n v="786660"/>
    <n v="1552135"/>
    <n v="565876"/>
  </r>
  <r>
    <n v="6712"/>
    <n v="41"/>
    <x v="29"/>
    <n v="4101"/>
    <s v="อำเภอเมืองอุดรธานี"/>
    <n v="0"/>
    <s v="-"/>
    <n v="0"/>
    <s v="-"/>
    <n v="90893"/>
    <n v="96008"/>
    <n v="186901"/>
    <n v="78300"/>
  </r>
  <r>
    <n v="6712"/>
    <n v="41"/>
    <x v="29"/>
    <n v="4102"/>
    <s v="อำเภอกุดจับ"/>
    <n v="0"/>
    <s v="-"/>
    <n v="0"/>
    <s v="-"/>
    <n v="21646"/>
    <n v="21642"/>
    <n v="43288"/>
    <n v="13871"/>
  </r>
  <r>
    <n v="6712"/>
    <n v="41"/>
    <x v="29"/>
    <n v="4103"/>
    <s v="อำเภอหนองวัวซอ"/>
    <n v="0"/>
    <s v="-"/>
    <n v="0"/>
    <s v="-"/>
    <n v="22276"/>
    <n v="22333"/>
    <n v="44609"/>
    <n v="12386"/>
  </r>
  <r>
    <n v="6712"/>
    <n v="41"/>
    <x v="29"/>
    <n v="4104"/>
    <s v="อำเภอกุมภวาปี"/>
    <n v="0"/>
    <s v="-"/>
    <n v="0"/>
    <s v="-"/>
    <n v="36089"/>
    <n v="36963"/>
    <n v="73052"/>
    <n v="22764"/>
  </r>
  <r>
    <n v="6712"/>
    <n v="41"/>
    <x v="29"/>
    <n v="4105"/>
    <s v="อำเภอโนนสะอาด"/>
    <n v="0"/>
    <s v="-"/>
    <n v="0"/>
    <s v="-"/>
    <n v="22230"/>
    <n v="22477"/>
    <n v="44707"/>
    <n v="12530"/>
  </r>
  <r>
    <n v="6712"/>
    <n v="41"/>
    <x v="29"/>
    <n v="4106"/>
    <s v="อำเภอหนองหาน"/>
    <n v="0"/>
    <s v="-"/>
    <n v="0"/>
    <s v="-"/>
    <n v="43918"/>
    <n v="44211"/>
    <n v="88129"/>
    <n v="29081"/>
  </r>
  <r>
    <n v="6712"/>
    <n v="41"/>
    <x v="29"/>
    <n v="4107"/>
    <s v="อำเภอทุ่งฝน"/>
    <n v="0"/>
    <s v="-"/>
    <n v="0"/>
    <s v="-"/>
    <n v="12500"/>
    <n v="12383"/>
    <n v="24883"/>
    <n v="7636"/>
  </r>
  <r>
    <n v="6712"/>
    <n v="41"/>
    <x v="29"/>
    <n v="4108"/>
    <s v="อำเภอไชยวาน"/>
    <n v="0"/>
    <s v="-"/>
    <n v="0"/>
    <s v="-"/>
    <n v="11937"/>
    <n v="11652"/>
    <n v="23589"/>
    <n v="6573"/>
  </r>
  <r>
    <n v="6712"/>
    <n v="41"/>
    <x v="29"/>
    <n v="4109"/>
    <s v="อำเภอศรีธาตุ"/>
    <n v="0"/>
    <s v="-"/>
    <n v="0"/>
    <s v="-"/>
    <n v="11671"/>
    <n v="11769"/>
    <n v="23440"/>
    <n v="6905"/>
  </r>
  <r>
    <n v="6712"/>
    <n v="41"/>
    <x v="29"/>
    <n v="4110"/>
    <s v="อำเภอวังสามหมอ"/>
    <n v="0"/>
    <s v="-"/>
    <n v="0"/>
    <s v="-"/>
    <n v="15513"/>
    <n v="15405"/>
    <n v="30918"/>
    <n v="9183"/>
  </r>
  <r>
    <n v="6712"/>
    <n v="41"/>
    <x v="29"/>
    <n v="4111"/>
    <s v="อำเภอบ้านดุง"/>
    <n v="0"/>
    <s v="-"/>
    <n v="0"/>
    <s v="-"/>
    <n v="55234"/>
    <n v="55660"/>
    <n v="110894"/>
    <n v="33997"/>
  </r>
  <r>
    <n v="6712"/>
    <n v="41"/>
    <x v="29"/>
    <n v="4117"/>
    <s v="อำเภอบ้านผือ"/>
    <n v="0"/>
    <s v="-"/>
    <n v="0"/>
    <s v="-"/>
    <n v="50636"/>
    <n v="50711"/>
    <n v="101347"/>
    <n v="32736"/>
  </r>
  <r>
    <n v="6712"/>
    <n v="41"/>
    <x v="29"/>
    <n v="4118"/>
    <s v="อำเภอน้ำโสม"/>
    <n v="0"/>
    <s v="-"/>
    <n v="0"/>
    <s v="-"/>
    <n v="20680"/>
    <n v="20347"/>
    <n v="41027"/>
    <n v="14033"/>
  </r>
  <r>
    <n v="6712"/>
    <n v="41"/>
    <x v="29"/>
    <n v="4119"/>
    <s v="อำเภอเพ็ญ"/>
    <n v="0"/>
    <s v="-"/>
    <n v="0"/>
    <s v="-"/>
    <n v="48140"/>
    <n v="48216"/>
    <n v="96356"/>
    <n v="31107"/>
  </r>
  <r>
    <n v="6712"/>
    <n v="41"/>
    <x v="29"/>
    <n v="4120"/>
    <s v="อำเภอสร้างคอม"/>
    <n v="0"/>
    <s v="-"/>
    <n v="0"/>
    <s v="-"/>
    <n v="10935"/>
    <n v="10916"/>
    <n v="21851"/>
    <n v="7010"/>
  </r>
  <r>
    <n v="6712"/>
    <n v="41"/>
    <x v="29"/>
    <n v="4121"/>
    <s v="อำเภอหนองแสง"/>
    <n v="0"/>
    <s v="-"/>
    <n v="0"/>
    <s v="-"/>
    <n v="11471"/>
    <n v="11463"/>
    <n v="22934"/>
    <n v="7203"/>
  </r>
  <r>
    <n v="6712"/>
    <n v="41"/>
    <x v="29"/>
    <n v="4122"/>
    <s v="อำเภอนายูง"/>
    <n v="0"/>
    <s v="-"/>
    <n v="0"/>
    <s v="-"/>
    <n v="14344"/>
    <n v="14049"/>
    <n v="28393"/>
    <n v="10205"/>
  </r>
  <r>
    <n v="6712"/>
    <n v="41"/>
    <x v="29"/>
    <n v="4123"/>
    <s v="อำเภอพิบูลย์รักษ์"/>
    <n v="0"/>
    <s v="-"/>
    <n v="0"/>
    <s v="-"/>
    <n v="12155"/>
    <n v="12443"/>
    <n v="24598"/>
    <n v="8991"/>
  </r>
  <r>
    <n v="6712"/>
    <n v="41"/>
    <x v="29"/>
    <n v="4124"/>
    <s v="อำเภอกู่แก้ว"/>
    <n v="0"/>
    <s v="-"/>
    <n v="0"/>
    <s v="-"/>
    <n v="10963"/>
    <n v="10929"/>
    <n v="21892"/>
    <n v="7293"/>
  </r>
  <r>
    <n v="6712"/>
    <n v="41"/>
    <x v="29"/>
    <n v="4125"/>
    <s v="อำเภอประจักษ์ศิลปาคม"/>
    <n v="0"/>
    <s v="-"/>
    <n v="0"/>
    <s v="-"/>
    <n v="12596"/>
    <n v="12638"/>
    <n v="25234"/>
    <n v="7710"/>
  </r>
  <r>
    <n v="6712"/>
    <n v="41"/>
    <x v="29"/>
    <n v="4158"/>
    <s v="ท้องถิ่นเทศบาลตำบลหนองหว้า"/>
    <n v="0"/>
    <s v="-"/>
    <n v="0"/>
    <s v="-"/>
    <n v="4097"/>
    <n v="4116"/>
    <n v="8213"/>
    <n v="2112"/>
  </r>
  <r>
    <n v="6712"/>
    <n v="41"/>
    <x v="29"/>
    <n v="4159"/>
    <s v="ท้องถิ่นเทศบาลตำบลหัวนาคำ"/>
    <n v="0"/>
    <s v="-"/>
    <n v="0"/>
    <s v="-"/>
    <n v="5663"/>
    <n v="5546"/>
    <n v="11209"/>
    <n v="3311"/>
  </r>
  <r>
    <n v="6712"/>
    <n v="41"/>
    <x v="29"/>
    <n v="4160"/>
    <s v="ท้องถิ่นเทศบาลตำบลผาสุก"/>
    <n v="0"/>
    <s v="-"/>
    <n v="0"/>
    <s v="-"/>
    <n v="7894"/>
    <n v="7724"/>
    <n v="15618"/>
    <n v="4926"/>
  </r>
  <r>
    <n v="6712"/>
    <n v="41"/>
    <x v="29"/>
    <n v="4161"/>
    <s v="ท้องถิ่นเทศบาลตำบลโพนสูง"/>
    <n v="0"/>
    <s v="-"/>
    <n v="0"/>
    <s v="-"/>
    <n v="3757"/>
    <n v="3722"/>
    <n v="7479"/>
    <n v="2002"/>
  </r>
  <r>
    <n v="6712"/>
    <n v="41"/>
    <x v="29"/>
    <n v="4162"/>
    <s v="ท้องถิ่นเทศบาลตำบลจำปี"/>
    <n v="0"/>
    <s v="-"/>
    <n v="0"/>
    <s v="-"/>
    <n v="4074"/>
    <n v="4018"/>
    <n v="8092"/>
    <n v="2235"/>
  </r>
  <r>
    <n v="6712"/>
    <n v="41"/>
    <x v="29"/>
    <n v="4163"/>
    <s v="ท้องถิ่นเทศบาลตำบลสร้างคอม"/>
    <n v="0"/>
    <s v="-"/>
    <n v="0"/>
    <s v="-"/>
    <n v="3514"/>
    <n v="3673"/>
    <n v="7187"/>
    <n v="2842"/>
  </r>
  <r>
    <n v="6712"/>
    <n v="41"/>
    <x v="29"/>
    <n v="4164"/>
    <s v="ท้องถิ่นเทศบาลตำบลบ้านธาตุ"/>
    <n v="0"/>
    <s v="-"/>
    <n v="0"/>
    <s v="-"/>
    <n v="8201"/>
    <n v="8566"/>
    <n v="16767"/>
    <n v="5405"/>
  </r>
  <r>
    <n v="6712"/>
    <n v="41"/>
    <x v="29"/>
    <n v="4165"/>
    <s v="ท้องถิ่นเทศบาลตำบลเวียงคำ"/>
    <n v="0"/>
    <s v="-"/>
    <n v="0"/>
    <s v="-"/>
    <n v="5157"/>
    <n v="5290"/>
    <n v="10447"/>
    <n v="3361"/>
  </r>
  <r>
    <n v="6712"/>
    <n v="41"/>
    <x v="29"/>
    <n v="4166"/>
    <s v="ท้องถิ่นเทศบาลตำบลลำพันชาด"/>
    <n v="0"/>
    <s v="-"/>
    <n v="0"/>
    <s v="-"/>
    <n v="2798"/>
    <n v="2814"/>
    <n v="5612"/>
    <n v="2173"/>
  </r>
  <r>
    <n v="6712"/>
    <n v="41"/>
    <x v="29"/>
    <n v="4167"/>
    <s v="ท้องถิ่นเทศบาลตำบลหนองไผ่"/>
    <n v="0"/>
    <s v="-"/>
    <n v="0"/>
    <s v="-"/>
    <n v="4602"/>
    <n v="4785"/>
    <n v="9387"/>
    <n v="2879"/>
  </r>
  <r>
    <n v="6712"/>
    <n v="41"/>
    <x v="29"/>
    <n v="4168"/>
    <s v="ท้องถิ่นเทศบาลตำบลหนองไผ่"/>
    <n v="0"/>
    <s v="-"/>
    <n v="0"/>
    <s v="-"/>
    <n v="4034"/>
    <n v="4812"/>
    <n v="8846"/>
    <n v="2909"/>
  </r>
  <r>
    <n v="6712"/>
    <n v="41"/>
    <x v="29"/>
    <n v="4169"/>
    <s v="ท้องถิ่นเทศบาลตำบลปะโค"/>
    <n v="0"/>
    <s v="-"/>
    <n v="0"/>
    <s v="-"/>
    <n v="5431"/>
    <n v="5583"/>
    <n v="11014"/>
    <n v="3558"/>
  </r>
  <r>
    <n v="6712"/>
    <n v="41"/>
    <x v="29"/>
    <n v="4170"/>
    <s v="ท้องถิ่นเทศบาลตำบลแสงสว่าง"/>
    <n v="0"/>
    <s v="-"/>
    <n v="0"/>
    <s v="-"/>
    <n v="1973"/>
    <n v="1981"/>
    <n v="3954"/>
    <n v="1007"/>
  </r>
  <r>
    <n v="6712"/>
    <n v="41"/>
    <x v="29"/>
    <n v="4171"/>
    <s v="ท้องถิ่นเทศบาลตำบลเพ็ญ"/>
    <n v="0"/>
    <s v="-"/>
    <n v="0"/>
    <s v="-"/>
    <n v="1292"/>
    <n v="1340"/>
    <n v="2632"/>
    <n v="1674"/>
  </r>
  <r>
    <n v="6712"/>
    <n v="41"/>
    <x v="29"/>
    <n v="4172"/>
    <s v="ท้องถิ่นเทศบาลตำบลน้ำโสม"/>
    <n v="0"/>
    <s v="-"/>
    <n v="0"/>
    <s v="-"/>
    <n v="4198"/>
    <n v="4406"/>
    <n v="8604"/>
    <n v="2673"/>
  </r>
  <r>
    <n v="6712"/>
    <n v="41"/>
    <x v="29"/>
    <n v="4173"/>
    <s v="ท้องถิ่นเทศบาลตำบลนางัว"/>
    <n v="0"/>
    <s v="-"/>
    <n v="0"/>
    <s v="-"/>
    <n v="4338"/>
    <n v="4415"/>
    <n v="8753"/>
    <n v="3569"/>
  </r>
  <r>
    <n v="6712"/>
    <n v="41"/>
    <x v="29"/>
    <n v="4174"/>
    <s v="ท้องถิ่นเทศบาลตำบลบ้านผือ"/>
    <n v="0"/>
    <s v="-"/>
    <n v="0"/>
    <s v="-"/>
    <n v="3615"/>
    <n v="3910"/>
    <n v="7525"/>
    <n v="4343"/>
  </r>
  <r>
    <n v="6712"/>
    <n v="41"/>
    <x v="29"/>
    <n v="4175"/>
    <s v="ท้องถิ่นเทศบาลเมืองบ้านดุง"/>
    <n v="0"/>
    <s v="-"/>
    <n v="0"/>
    <s v="-"/>
    <n v="7114"/>
    <n v="7678"/>
    <n v="14792"/>
    <n v="6671"/>
  </r>
  <r>
    <n v="6712"/>
    <n v="41"/>
    <x v="29"/>
    <n v="4176"/>
    <s v="ท้องถิ่นเทศบาลตำบลวังสามหมอ"/>
    <n v="0"/>
    <s v="-"/>
    <n v="0"/>
    <s v="-"/>
    <n v="2814"/>
    <n v="2993"/>
    <n v="5807"/>
    <n v="2958"/>
  </r>
  <r>
    <n v="6712"/>
    <n v="41"/>
    <x v="29"/>
    <n v="4177"/>
    <s v="ท้องถิ่นเทศบาลตำบลศรีธาตุ"/>
    <n v="0"/>
    <s v="-"/>
    <n v="0"/>
    <s v="-"/>
    <n v="2624"/>
    <n v="2711"/>
    <n v="5335"/>
    <n v="1970"/>
  </r>
  <r>
    <n v="6712"/>
    <n v="41"/>
    <x v="29"/>
    <n v="4178"/>
    <s v="ท้องถิ่นเทศบาลตำบลไชยวาน"/>
    <n v="0"/>
    <s v="-"/>
    <n v="0"/>
    <s v="-"/>
    <n v="3913"/>
    <n v="4146"/>
    <n v="8059"/>
    <n v="2575"/>
  </r>
  <r>
    <n v="6712"/>
    <n v="41"/>
    <x v="29"/>
    <n v="4179"/>
    <s v="ท้องถิ่นเทศบาลตำบลทุ่งฝน"/>
    <n v="0"/>
    <s v="-"/>
    <n v="0"/>
    <s v="-"/>
    <n v="3332"/>
    <n v="3628"/>
    <n v="6960"/>
    <n v="2308"/>
  </r>
  <r>
    <n v="6712"/>
    <n v="41"/>
    <x v="29"/>
    <n v="4180"/>
    <s v="ท้องถิ่นเทศบาลตำบลหนองหาน"/>
    <n v="0"/>
    <s v="-"/>
    <n v="0"/>
    <s v="-"/>
    <n v="1888"/>
    <n v="2108"/>
    <n v="3996"/>
    <n v="1926"/>
  </r>
  <r>
    <n v="6712"/>
    <n v="41"/>
    <x v="29"/>
    <n v="4181"/>
    <s v="ท้องถิ่นเทศบาลตำบลหนองเม็ก"/>
    <n v="0"/>
    <s v="-"/>
    <n v="0"/>
    <s v="-"/>
    <n v="4010"/>
    <n v="4020"/>
    <n v="8030"/>
    <n v="2371"/>
  </r>
  <r>
    <n v="6712"/>
    <n v="41"/>
    <x v="29"/>
    <n v="4182"/>
    <s v="ท้องถิ่นเทศบาลตำบลบ้านเชียง"/>
    <n v="0"/>
    <s v="-"/>
    <n v="0"/>
    <s v="-"/>
    <n v="2779"/>
    <n v="2823"/>
    <n v="5602"/>
    <n v="2047"/>
  </r>
  <r>
    <n v="6712"/>
    <n v="41"/>
    <x v="29"/>
    <n v="4183"/>
    <s v="ท้องถิ่นเทศบาลตำบลโนนสะอาด"/>
    <n v="0"/>
    <s v="-"/>
    <n v="0"/>
    <s v="-"/>
    <n v="2065"/>
    <n v="2198"/>
    <n v="4263"/>
    <n v="1801"/>
  </r>
  <r>
    <n v="6712"/>
    <n v="41"/>
    <x v="29"/>
    <n v="4184"/>
    <s v="ท้องถิ่นเทศบาลตำบลห้วยเกิ้ง"/>
    <n v="0"/>
    <s v="-"/>
    <n v="0"/>
    <s v="-"/>
    <n v="2468"/>
    <n v="2578"/>
    <n v="5046"/>
    <n v="1760"/>
  </r>
  <r>
    <n v="6712"/>
    <n v="41"/>
    <x v="29"/>
    <n v="4185"/>
    <s v="ท้องถิ่นเทศบาลตำบลพันดอน"/>
    <n v="0"/>
    <s v="-"/>
    <n v="0"/>
    <s v="-"/>
    <n v="2517"/>
    <n v="2787"/>
    <n v="5304"/>
    <n v="2752"/>
  </r>
  <r>
    <n v="6712"/>
    <n v="41"/>
    <x v="29"/>
    <n v="4186"/>
    <s v="ท้องถิ่นเทศบาลตำบลกุมภวาปี"/>
    <n v="0"/>
    <s v="-"/>
    <n v="0"/>
    <s v="-"/>
    <n v="3703"/>
    <n v="4026"/>
    <n v="7729"/>
    <n v="4609"/>
  </r>
  <r>
    <n v="6712"/>
    <n v="41"/>
    <x v="29"/>
    <n v="4187"/>
    <s v="ท้องถิ่นเทศบาลตำบลภูผาแดง"/>
    <n v="0"/>
    <s v="-"/>
    <n v="0"/>
    <s v="-"/>
    <n v="3713"/>
    <n v="3942"/>
    <n v="7655"/>
    <n v="2421"/>
  </r>
  <r>
    <n v="6712"/>
    <n v="41"/>
    <x v="29"/>
    <n v="4188"/>
    <s v="ท้องถิ่นเทศบาลตำบลหนองวัวซอ"/>
    <n v="0"/>
    <s v="-"/>
    <n v="0"/>
    <s v="-"/>
    <n v="4569"/>
    <n v="4803"/>
    <n v="9372"/>
    <n v="3045"/>
  </r>
  <r>
    <n v="6712"/>
    <n v="41"/>
    <x v="29"/>
    <n v="4189"/>
    <s v="ท้องถิ่นเทศบาลตำบลสร้างก่อ"/>
    <n v="0"/>
    <s v="-"/>
    <n v="0"/>
    <s v="-"/>
    <n v="1918"/>
    <n v="1944"/>
    <n v="3862"/>
    <n v="1121"/>
  </r>
  <r>
    <n v="6712"/>
    <n v="41"/>
    <x v="29"/>
    <n v="4190"/>
    <s v="ท้องถิ่นเทศบาลตำบลตาลเลียน"/>
    <n v="0"/>
    <s v="-"/>
    <n v="0"/>
    <s v="-"/>
    <n v="1819"/>
    <n v="1843"/>
    <n v="3662"/>
    <n v="917"/>
  </r>
  <r>
    <n v="6712"/>
    <n v="41"/>
    <x v="29"/>
    <n v="4191"/>
    <s v="ท้องถิ่นเทศบาลตำบลเชียงเพ็ง"/>
    <n v="0"/>
    <s v="-"/>
    <n v="0"/>
    <s v="-"/>
    <n v="1968"/>
    <n v="2013"/>
    <n v="3981"/>
    <n v="1235"/>
  </r>
  <r>
    <n v="6712"/>
    <n v="41"/>
    <x v="29"/>
    <n v="4192"/>
    <s v="ท้องถิ่นเทศบาลตำบลกุดจับ"/>
    <n v="0"/>
    <s v="-"/>
    <n v="0"/>
    <s v="-"/>
    <n v="4797"/>
    <n v="5135"/>
    <n v="9932"/>
    <n v="4132"/>
  </r>
  <r>
    <n v="6712"/>
    <n v="41"/>
    <x v="29"/>
    <n v="4193"/>
    <s v="ท้องถิ่นเทศบาลตำบลหนองบัว"/>
    <n v="0"/>
    <s v="-"/>
    <n v="0"/>
    <s v="-"/>
    <n v="15766"/>
    <n v="17646"/>
    <n v="33412"/>
    <n v="17663"/>
  </r>
  <r>
    <n v="6712"/>
    <n v="41"/>
    <x v="29"/>
    <n v="4194"/>
    <s v="ท้องถิ่นเทศบาลเมืองหนองสำโรง"/>
    <n v="0"/>
    <s v="-"/>
    <n v="0"/>
    <s v="-"/>
    <n v="14551"/>
    <n v="15928"/>
    <n v="30479"/>
    <n v="16400"/>
  </r>
  <r>
    <n v="6712"/>
    <n v="41"/>
    <x v="29"/>
    <n v="4195"/>
    <s v="ท้องถิ่นเทศบาลตำบลบ้านจั่น"/>
    <n v="0"/>
    <s v="-"/>
    <n v="0"/>
    <s v="-"/>
    <n v="3245"/>
    <n v="3901"/>
    <n v="7146"/>
    <n v="3719"/>
  </r>
  <r>
    <n v="6712"/>
    <n v="41"/>
    <x v="29"/>
    <n v="4196"/>
    <s v="ท้องถิ่นเทศบาลเมืองโนนสูง-น้ำคำ"/>
    <n v="0"/>
    <s v="-"/>
    <n v="0"/>
    <s v="-"/>
    <n v="4521"/>
    <n v="3866"/>
    <n v="8387"/>
    <n v="3678"/>
  </r>
  <r>
    <n v="6712"/>
    <n v="41"/>
    <x v="29"/>
    <n v="4197"/>
    <s v="ท้องถิ่นเทศบาลตำบลนิคมสงเคราะห์"/>
    <n v="0"/>
    <s v="-"/>
    <n v="0"/>
    <s v="-"/>
    <n v="1762"/>
    <n v="1895"/>
    <n v="3657"/>
    <n v="1382"/>
  </r>
  <r>
    <n v="6712"/>
    <n v="41"/>
    <x v="29"/>
    <n v="4198"/>
    <s v="ท้องถิ่นเทศบาลตำบลนาข่า"/>
    <n v="0"/>
    <s v="-"/>
    <n v="0"/>
    <s v="-"/>
    <n v="3055"/>
    <n v="3271"/>
    <n v="6326"/>
    <n v="2759"/>
  </r>
  <r>
    <n v="6712"/>
    <n v="41"/>
    <x v="29"/>
    <n v="4199"/>
    <s v="ท้องถิ่นเทศบาลนครอุดรธานี"/>
    <n v="0"/>
    <s v="-"/>
    <n v="0"/>
    <s v="-"/>
    <n v="54099"/>
    <n v="59861"/>
    <n v="113960"/>
    <n v="63163"/>
  </r>
  <r>
    <n v="6712"/>
    <n v="42"/>
    <x v="30"/>
    <n v="0"/>
    <s v="-"/>
    <n v="0"/>
    <s v="-"/>
    <n v="0"/>
    <s v="-"/>
    <n v="315871"/>
    <n v="316316"/>
    <n v="632187"/>
    <n v="240382"/>
  </r>
  <r>
    <n v="6712"/>
    <n v="42"/>
    <x v="30"/>
    <n v="4201"/>
    <s v="อำเภอเมืองเลย"/>
    <n v="0"/>
    <s v="-"/>
    <n v="0"/>
    <s v="-"/>
    <n v="29973"/>
    <n v="29366"/>
    <n v="59339"/>
    <n v="25177"/>
  </r>
  <r>
    <n v="6712"/>
    <n v="42"/>
    <x v="30"/>
    <n v="4202"/>
    <s v="อำเภอนาด้วง"/>
    <n v="0"/>
    <s v="-"/>
    <n v="0"/>
    <s v="-"/>
    <n v="4940"/>
    <n v="4864"/>
    <n v="9804"/>
    <n v="3846"/>
  </r>
  <r>
    <n v="6712"/>
    <n v="42"/>
    <x v="30"/>
    <n v="4203"/>
    <s v="อำเภอเชียงคาน"/>
    <n v="0"/>
    <s v="-"/>
    <n v="0"/>
    <s v="-"/>
    <n v="18803"/>
    <n v="19059"/>
    <n v="37862"/>
    <n v="14890"/>
  </r>
  <r>
    <n v="6712"/>
    <n v="42"/>
    <x v="30"/>
    <n v="4204"/>
    <s v="อำเภอปากชม"/>
    <n v="0"/>
    <s v="-"/>
    <n v="0"/>
    <s v="-"/>
    <n v="17023"/>
    <n v="16527"/>
    <n v="33550"/>
    <n v="11815"/>
  </r>
  <r>
    <n v="6712"/>
    <n v="42"/>
    <x v="30"/>
    <n v="4205"/>
    <s v="อำเภอด่านซ้าย"/>
    <n v="0"/>
    <s v="-"/>
    <n v="0"/>
    <s v="-"/>
    <n v="24326"/>
    <n v="23797"/>
    <n v="48123"/>
    <n v="16959"/>
  </r>
  <r>
    <n v="6712"/>
    <n v="42"/>
    <x v="30"/>
    <n v="4206"/>
    <s v="อำเภอนาแห้ว"/>
    <n v="0"/>
    <s v="-"/>
    <n v="0"/>
    <s v="-"/>
    <n v="4847"/>
    <n v="4802"/>
    <n v="9649"/>
    <n v="3255"/>
  </r>
  <r>
    <n v="6712"/>
    <n v="42"/>
    <x v="30"/>
    <n v="4207"/>
    <s v="อำเภอภูเรือ"/>
    <n v="0"/>
    <s v="-"/>
    <n v="0"/>
    <s v="-"/>
    <n v="10028"/>
    <n v="9674"/>
    <n v="19702"/>
    <n v="7713"/>
  </r>
  <r>
    <n v="6712"/>
    <n v="42"/>
    <x v="30"/>
    <n v="4208"/>
    <s v="อำเภอท่าลี่"/>
    <n v="0"/>
    <s v="-"/>
    <n v="0"/>
    <s v="-"/>
    <n v="12829"/>
    <n v="12861"/>
    <n v="25690"/>
    <n v="10443"/>
  </r>
  <r>
    <n v="6712"/>
    <n v="42"/>
    <x v="30"/>
    <n v="4209"/>
    <s v="อำเภอวังสะพุง"/>
    <n v="0"/>
    <s v="-"/>
    <n v="0"/>
    <s v="-"/>
    <n v="49244"/>
    <n v="49928"/>
    <n v="99172"/>
    <n v="35939"/>
  </r>
  <r>
    <n v="6712"/>
    <n v="42"/>
    <x v="30"/>
    <n v="4210"/>
    <s v="อำเภอภูกระดึง"/>
    <n v="0"/>
    <s v="-"/>
    <n v="0"/>
    <s v="-"/>
    <n v="13638"/>
    <n v="13526"/>
    <n v="27164"/>
    <n v="9273"/>
  </r>
  <r>
    <n v="6712"/>
    <n v="42"/>
    <x v="30"/>
    <n v="4211"/>
    <s v="อำเภอภูหลวง"/>
    <n v="0"/>
    <s v="-"/>
    <n v="0"/>
    <s v="-"/>
    <n v="12513"/>
    <n v="12285"/>
    <n v="24798"/>
    <n v="8147"/>
  </r>
  <r>
    <n v="6712"/>
    <n v="42"/>
    <x v="30"/>
    <n v="4212"/>
    <s v="อำเภอผาขาว"/>
    <n v="0"/>
    <s v="-"/>
    <n v="0"/>
    <s v="-"/>
    <n v="15313"/>
    <n v="15285"/>
    <n v="30598"/>
    <n v="8801"/>
  </r>
  <r>
    <n v="6712"/>
    <n v="42"/>
    <x v="30"/>
    <n v="4213"/>
    <s v="อำเภอเอราวัณ"/>
    <n v="0"/>
    <s v="-"/>
    <n v="0"/>
    <s v="-"/>
    <n v="16771"/>
    <n v="16881"/>
    <n v="33652"/>
    <n v="11926"/>
  </r>
  <r>
    <n v="6712"/>
    <n v="42"/>
    <x v="30"/>
    <n v="4214"/>
    <s v="อำเภอหนองหิน"/>
    <n v="0"/>
    <s v="-"/>
    <n v="0"/>
    <s v="-"/>
    <n v="10352"/>
    <n v="10192"/>
    <n v="20544"/>
    <n v="6434"/>
  </r>
  <r>
    <n v="6712"/>
    <n v="42"/>
    <x v="30"/>
    <n v="4279"/>
    <s v="ท้องถิ่นเทศบาลตำบลโนนปอแดง"/>
    <n v="0"/>
    <s v="-"/>
    <n v="0"/>
    <s v="-"/>
    <n v="5495"/>
    <n v="5486"/>
    <n v="10981"/>
    <n v="3630"/>
  </r>
  <r>
    <n v="6712"/>
    <n v="42"/>
    <x v="30"/>
    <n v="4280"/>
    <s v="ท้องถิ่นเทศบาลตำบลนาดอกคำ"/>
    <n v="0"/>
    <s v="-"/>
    <n v="0"/>
    <s v="-"/>
    <n v="4976"/>
    <n v="4841"/>
    <n v="9817"/>
    <n v="3041"/>
  </r>
  <r>
    <n v="6712"/>
    <n v="42"/>
    <x v="30"/>
    <n v="4281"/>
    <s v="ท้องถิ่นเทศบาลตำบลธาตุ"/>
    <n v="0"/>
    <s v="-"/>
    <n v="0"/>
    <s v="-"/>
    <n v="4723"/>
    <n v="4830"/>
    <n v="9553"/>
    <n v="3557"/>
  </r>
  <r>
    <n v="6712"/>
    <n v="42"/>
    <x v="30"/>
    <n v="4282"/>
    <s v="ท้องถิ่นเทศบาลตำบลนาดินดำ"/>
    <n v="0"/>
    <s v="-"/>
    <n v="0"/>
    <s v="-"/>
    <n v="5346"/>
    <n v="5312"/>
    <n v="10658"/>
    <n v="3846"/>
  </r>
  <r>
    <n v="6712"/>
    <n v="42"/>
    <x v="30"/>
    <n v="4283"/>
    <s v="ท้องถิ่นเทศบาลตำบลนาโป่ง"/>
    <n v="0"/>
    <s v="-"/>
    <n v="0"/>
    <s v="-"/>
    <n v="5107"/>
    <n v="5185"/>
    <n v="10292"/>
    <n v="3679"/>
  </r>
  <r>
    <n v="6712"/>
    <n v="42"/>
    <x v="30"/>
    <n v="4284"/>
    <s v="ท้องถิ่นเทศบาลตำบลนาอาน"/>
    <n v="0"/>
    <s v="-"/>
    <n v="0"/>
    <s v="-"/>
    <n v="6494"/>
    <n v="6787"/>
    <n v="13281"/>
    <n v="6516"/>
  </r>
  <r>
    <n v="6712"/>
    <n v="42"/>
    <x v="30"/>
    <n v="4285"/>
    <s v="ท้องถิ่นเทศบาลตำบลเขาแก้ว"/>
    <n v="0"/>
    <s v="-"/>
    <n v="0"/>
    <s v="-"/>
    <n v="3859"/>
    <n v="3835"/>
    <n v="7694"/>
    <n v="2250"/>
  </r>
  <r>
    <n v="6712"/>
    <n v="42"/>
    <x v="30"/>
    <n v="4286"/>
    <s v="ท้องถิ่นเทศบาลตำบลหนองหิน"/>
    <n v="0"/>
    <s v="-"/>
    <n v="0"/>
    <s v="-"/>
    <n v="2099"/>
    <n v="2229"/>
    <n v="4328"/>
    <n v="2163"/>
  </r>
  <r>
    <n v="6712"/>
    <n v="42"/>
    <x v="30"/>
    <n v="4287"/>
    <s v="ท้องถิ่นเทศบาลตำบลภูกระดึง"/>
    <n v="0"/>
    <s v="-"/>
    <n v="0"/>
    <s v="-"/>
    <n v="3416"/>
    <n v="3508"/>
    <n v="6924"/>
    <n v="2834"/>
  </r>
  <r>
    <n v="6712"/>
    <n v="42"/>
    <x v="30"/>
    <n v="4288"/>
    <s v="ท้องถิ่นเทศบาลเมืองวังสะพุง"/>
    <n v="0"/>
    <s v="-"/>
    <n v="0"/>
    <s v="-"/>
    <n v="4937"/>
    <n v="5401"/>
    <n v="10338"/>
    <n v="4736"/>
  </r>
  <r>
    <n v="6712"/>
    <n v="42"/>
    <x v="30"/>
    <n v="4289"/>
    <s v="ท้องถิ่นเทศบาลตำบลท่าลี่"/>
    <n v="0"/>
    <s v="-"/>
    <n v="0"/>
    <s v="-"/>
    <n v="825"/>
    <n v="901"/>
    <n v="1726"/>
    <n v="836"/>
  </r>
  <r>
    <n v="6712"/>
    <n v="42"/>
    <x v="30"/>
    <n v="4290"/>
    <s v="ท้องถิ่นเทศบาลตำบลภูเรือ"/>
    <n v="0"/>
    <s v="-"/>
    <n v="0"/>
    <s v="-"/>
    <n v="1337"/>
    <n v="1377"/>
    <n v="2714"/>
    <n v="1627"/>
  </r>
  <r>
    <n v="6712"/>
    <n v="42"/>
    <x v="30"/>
    <n v="4291"/>
    <s v="ท้องถิ่นเทศบาลตำบลนาแห้ว"/>
    <n v="0"/>
    <s v="-"/>
    <n v="0"/>
    <s v="-"/>
    <n v="1035"/>
    <n v="1002"/>
    <n v="2037"/>
    <n v="965"/>
  </r>
  <r>
    <n v="6712"/>
    <n v="42"/>
    <x v="30"/>
    <n v="4292"/>
    <s v="ท้องถิ่นเทศบาลตำบลด่านซ้าย"/>
    <n v="0"/>
    <s v="-"/>
    <n v="0"/>
    <s v="-"/>
    <n v="1569"/>
    <n v="1657"/>
    <n v="3226"/>
    <n v="2048"/>
  </r>
  <r>
    <n v="6712"/>
    <n v="42"/>
    <x v="30"/>
    <n v="4293"/>
    <s v="ท้องถิ่นเทศบาลตำบลปากชม"/>
    <n v="0"/>
    <s v="-"/>
    <n v="0"/>
    <s v="-"/>
    <n v="1637"/>
    <n v="1729"/>
    <n v="3366"/>
    <n v="1637"/>
  </r>
  <r>
    <n v="6712"/>
    <n v="42"/>
    <x v="30"/>
    <n v="4294"/>
    <s v="ท้องถิ่นเทศบาลตำบลเชียงกลม"/>
    <n v="0"/>
    <s v="-"/>
    <n v="0"/>
    <s v="-"/>
    <n v="2525"/>
    <n v="2584"/>
    <n v="5109"/>
    <n v="1715"/>
  </r>
  <r>
    <n v="6712"/>
    <n v="42"/>
    <x v="30"/>
    <n v="4295"/>
    <s v="ท้องถิ่นเทศบาลตำบลเชียงคาน"/>
    <n v="0"/>
    <s v="-"/>
    <n v="0"/>
    <s v="-"/>
    <n v="2360"/>
    <n v="2559"/>
    <n v="4919"/>
    <n v="2895"/>
  </r>
  <r>
    <n v="6712"/>
    <n v="42"/>
    <x v="30"/>
    <n v="4296"/>
    <s v="ท้องถิ่นเทศบาลตำบลนาด้วง"/>
    <n v="0"/>
    <s v="-"/>
    <n v="0"/>
    <s v="-"/>
    <n v="3188"/>
    <n v="3228"/>
    <n v="6416"/>
    <n v="2461"/>
  </r>
  <r>
    <n v="6712"/>
    <n v="42"/>
    <x v="30"/>
    <n v="4297"/>
    <s v="ท้องถิ่นเทศบาลตำบลน้ำสวย"/>
    <n v="0"/>
    <s v="-"/>
    <n v="0"/>
    <s v="-"/>
    <n v="1746"/>
    <n v="1804"/>
    <n v="3550"/>
    <n v="1274"/>
  </r>
  <r>
    <n v="6712"/>
    <n v="42"/>
    <x v="30"/>
    <n v="4298"/>
    <s v="ท้องถิ่นเทศบาลตำบลนาอ้อ"/>
    <n v="0"/>
    <s v="-"/>
    <n v="0"/>
    <s v="-"/>
    <n v="2938"/>
    <n v="3054"/>
    <n v="5992"/>
    <n v="2416"/>
  </r>
  <r>
    <n v="6712"/>
    <n v="42"/>
    <x v="30"/>
    <n v="4299"/>
    <s v="ท้องถิ่นเทศบาลเมืองเลย"/>
    <n v="0"/>
    <s v="-"/>
    <n v="0"/>
    <s v="-"/>
    <n v="9659"/>
    <n v="9960"/>
    <n v="19619"/>
    <n v="11638"/>
  </r>
  <r>
    <n v="6712"/>
    <n v="43"/>
    <x v="31"/>
    <n v="0"/>
    <s v="-"/>
    <n v="0"/>
    <s v="-"/>
    <n v="0"/>
    <s v="-"/>
    <n v="253194"/>
    <n v="258512"/>
    <n v="511706"/>
    <n v="190025"/>
  </r>
  <r>
    <n v="6712"/>
    <n v="43"/>
    <x v="31"/>
    <n v="4301"/>
    <s v="อำเภอเมืองหนองคาย"/>
    <n v="0"/>
    <s v="-"/>
    <n v="0"/>
    <s v="-"/>
    <n v="37043"/>
    <n v="37750"/>
    <n v="74793"/>
    <n v="26094"/>
  </r>
  <r>
    <n v="6712"/>
    <n v="43"/>
    <x v="31"/>
    <n v="4302"/>
    <s v="อำเภอท่าบ่อ"/>
    <n v="0"/>
    <s v="-"/>
    <n v="0"/>
    <s v="-"/>
    <n v="29989"/>
    <n v="30856"/>
    <n v="60845"/>
    <n v="19666"/>
  </r>
  <r>
    <n v="6712"/>
    <n v="43"/>
    <x v="31"/>
    <n v="4305"/>
    <s v="อำเภอโพนพิสัย"/>
    <n v="0"/>
    <s v="-"/>
    <n v="0"/>
    <s v="-"/>
    <n v="47087"/>
    <n v="47704"/>
    <n v="94791"/>
    <n v="33367"/>
  </r>
  <r>
    <n v="6712"/>
    <n v="43"/>
    <x v="31"/>
    <n v="4307"/>
    <s v="อำเภอศรีเชียงใหม่"/>
    <n v="0"/>
    <s v="-"/>
    <n v="0"/>
    <s v="-"/>
    <n v="11402"/>
    <n v="11770"/>
    <n v="23172"/>
    <n v="7800"/>
  </r>
  <r>
    <n v="6712"/>
    <n v="43"/>
    <x v="31"/>
    <n v="4308"/>
    <s v="อำเภอสังคม"/>
    <n v="0"/>
    <s v="-"/>
    <n v="0"/>
    <s v="-"/>
    <n v="11212"/>
    <n v="10995"/>
    <n v="22207"/>
    <n v="7631"/>
  </r>
  <r>
    <n v="6712"/>
    <n v="43"/>
    <x v="31"/>
    <n v="4314"/>
    <s v="อำเภอสระใคร"/>
    <n v="0"/>
    <s v="-"/>
    <n v="0"/>
    <s v="-"/>
    <n v="13296"/>
    <n v="13192"/>
    <n v="26488"/>
    <n v="8997"/>
  </r>
  <r>
    <n v="6712"/>
    <n v="43"/>
    <x v="31"/>
    <n v="4315"/>
    <s v="อำเภอเฝ้าไร่"/>
    <n v="0"/>
    <s v="-"/>
    <n v="0"/>
    <s v="-"/>
    <n v="19768"/>
    <n v="19801"/>
    <n v="39569"/>
    <n v="11852"/>
  </r>
  <r>
    <n v="6712"/>
    <n v="43"/>
    <x v="31"/>
    <n v="4316"/>
    <s v="อำเภอรัตนวาปี"/>
    <n v="0"/>
    <s v="-"/>
    <n v="0"/>
    <s v="-"/>
    <n v="18767"/>
    <n v="18760"/>
    <n v="37527"/>
    <n v="13604"/>
  </r>
  <r>
    <n v="6712"/>
    <n v="43"/>
    <x v="31"/>
    <n v="4317"/>
    <s v="อำเภอโพธิ์ตาก"/>
    <n v="0"/>
    <s v="-"/>
    <n v="0"/>
    <s v="-"/>
    <n v="7503"/>
    <n v="7572"/>
    <n v="15075"/>
    <n v="5369"/>
  </r>
  <r>
    <n v="6712"/>
    <n v="43"/>
    <x v="31"/>
    <n v="4378"/>
    <s v="ท้องถิ่นเทศบาลตำบลเฝ้าไร่"/>
    <n v="0"/>
    <s v="-"/>
    <n v="0"/>
    <s v="-"/>
    <n v="5437"/>
    <n v="5500"/>
    <n v="10937"/>
    <n v="4222"/>
  </r>
  <r>
    <n v="6712"/>
    <n v="43"/>
    <x v="31"/>
    <n v="4381"/>
    <s v="ท้องถิ่นเทศบาลตำบลโพธิ์ชัย"/>
    <n v="0"/>
    <s v="-"/>
    <n v="0"/>
    <s v="-"/>
    <n v="3959"/>
    <n v="4229"/>
    <n v="8188"/>
    <n v="4106"/>
  </r>
  <r>
    <n v="6712"/>
    <n v="43"/>
    <x v="31"/>
    <n v="4382"/>
    <s v="ท้องถิ่นเทศบาลตำบลหาดคำ"/>
    <n v="0"/>
    <s v="-"/>
    <n v="0"/>
    <s v="-"/>
    <n v="4691"/>
    <n v="4883"/>
    <n v="9574"/>
    <n v="3177"/>
  </r>
  <r>
    <n v="6712"/>
    <n v="43"/>
    <x v="31"/>
    <n v="4388"/>
    <s v="ท้องถิ่นเทศบาลตำบลสังคม"/>
    <n v="0"/>
    <s v="-"/>
    <n v="0"/>
    <s v="-"/>
    <n v="1581"/>
    <n v="1661"/>
    <n v="3242"/>
    <n v="1531"/>
  </r>
  <r>
    <n v="6712"/>
    <n v="43"/>
    <x v="31"/>
    <n v="4389"/>
    <s v="ท้องถิ่นเทศบาลตำบลศรีเชียงใหม่"/>
    <n v="0"/>
    <s v="-"/>
    <n v="0"/>
    <s v="-"/>
    <n v="2961"/>
    <n v="3110"/>
    <n v="6071"/>
    <n v="2964"/>
  </r>
  <r>
    <n v="6712"/>
    <n v="43"/>
    <x v="31"/>
    <n v="4391"/>
    <s v="ท้องถิ่นเทศบาลตำบลโพนพิสัย"/>
    <n v="0"/>
    <s v="-"/>
    <n v="0"/>
    <s v="-"/>
    <n v="1260"/>
    <n v="1246"/>
    <n v="2506"/>
    <n v="1258"/>
  </r>
  <r>
    <n v="6712"/>
    <n v="43"/>
    <x v="31"/>
    <n v="4395"/>
    <s v="ท้องถิ่นเทศบาลตำบลโพนสา"/>
    <n v="0"/>
    <s v="-"/>
    <n v="0"/>
    <s v="-"/>
    <n v="1702"/>
    <n v="1933"/>
    <n v="3635"/>
    <n v="1178"/>
  </r>
  <r>
    <n v="6712"/>
    <n v="43"/>
    <x v="31"/>
    <n v="4396"/>
    <s v="ท้องถิ่นเทศบาลเมืองท่าบ่อ"/>
    <n v="0"/>
    <s v="-"/>
    <n v="0"/>
    <s v="-"/>
    <n v="8168"/>
    <n v="8626"/>
    <n v="16794"/>
    <n v="7626"/>
  </r>
  <r>
    <n v="6712"/>
    <n v="43"/>
    <x v="31"/>
    <n v="4397"/>
    <s v="ท้องถิ่นเทศบาลตำบลหนองสองห้อง"/>
    <n v="0"/>
    <s v="-"/>
    <n v="0"/>
    <s v="-"/>
    <n v="2531"/>
    <n v="2573"/>
    <n v="5104"/>
    <n v="2168"/>
  </r>
  <r>
    <n v="6712"/>
    <n v="43"/>
    <x v="31"/>
    <n v="4398"/>
    <s v="ท้องถิ่นเทศบาลตำบลเวียงคุก"/>
    <n v="0"/>
    <s v="-"/>
    <n v="0"/>
    <s v="-"/>
    <n v="2737"/>
    <n v="3011"/>
    <n v="5748"/>
    <n v="1960"/>
  </r>
  <r>
    <n v="6712"/>
    <n v="43"/>
    <x v="31"/>
    <n v="4399"/>
    <s v="ท้องถิ่นเทศบาลเมืองหนองคาย"/>
    <n v="0"/>
    <s v="-"/>
    <n v="0"/>
    <s v="-"/>
    <n v="22100"/>
    <n v="23340"/>
    <n v="45440"/>
    <n v="25455"/>
  </r>
  <r>
    <n v="6712"/>
    <n v="44"/>
    <x v="32"/>
    <n v="0"/>
    <s v="-"/>
    <n v="0"/>
    <s v="-"/>
    <n v="0"/>
    <s v="-"/>
    <n v="456246"/>
    <n v="473706"/>
    <n v="929952"/>
    <n v="321366"/>
  </r>
  <r>
    <n v="6712"/>
    <n v="44"/>
    <x v="32"/>
    <n v="4401"/>
    <s v="อำเภอเมืองมหาสารคาม"/>
    <n v="0"/>
    <s v="-"/>
    <n v="0"/>
    <s v="-"/>
    <n v="49819"/>
    <n v="52236"/>
    <n v="102055"/>
    <n v="38380"/>
  </r>
  <r>
    <n v="6712"/>
    <n v="44"/>
    <x v="32"/>
    <n v="4402"/>
    <s v="อำเภอแกดำ"/>
    <n v="0"/>
    <s v="-"/>
    <n v="0"/>
    <s v="-"/>
    <n v="12138"/>
    <n v="12101"/>
    <n v="24239"/>
    <n v="6792"/>
  </r>
  <r>
    <n v="6712"/>
    <n v="44"/>
    <x v="32"/>
    <n v="4403"/>
    <s v="อำเภอโกสุมพิสัย"/>
    <n v="0"/>
    <s v="-"/>
    <n v="0"/>
    <s v="-"/>
    <n v="53150"/>
    <n v="54933"/>
    <n v="108083"/>
    <n v="32897"/>
  </r>
  <r>
    <n v="6712"/>
    <n v="44"/>
    <x v="32"/>
    <n v="4404"/>
    <s v="อำเภอกันทรวิชัย"/>
    <n v="0"/>
    <s v="-"/>
    <n v="0"/>
    <s v="-"/>
    <n v="26783"/>
    <n v="27982"/>
    <n v="54765"/>
    <n v="17194"/>
  </r>
  <r>
    <n v="6712"/>
    <n v="44"/>
    <x v="32"/>
    <n v="4405"/>
    <s v="อำเภอเชียงยืน"/>
    <n v="0"/>
    <s v="-"/>
    <n v="0"/>
    <s v="-"/>
    <n v="26966"/>
    <n v="28004"/>
    <n v="54970"/>
    <n v="18898"/>
  </r>
  <r>
    <n v="6712"/>
    <n v="44"/>
    <x v="32"/>
    <n v="4406"/>
    <s v="อำเภอบรบือ"/>
    <n v="0"/>
    <s v="-"/>
    <n v="0"/>
    <s v="-"/>
    <n v="49969"/>
    <n v="50334"/>
    <n v="100303"/>
    <n v="35471"/>
  </r>
  <r>
    <n v="6712"/>
    <n v="44"/>
    <x v="32"/>
    <n v="4407"/>
    <s v="อำเภอนาเชือก"/>
    <n v="0"/>
    <s v="-"/>
    <n v="0"/>
    <s v="-"/>
    <n v="28114"/>
    <n v="28508"/>
    <n v="56622"/>
    <n v="18164"/>
  </r>
  <r>
    <n v="6712"/>
    <n v="44"/>
    <x v="32"/>
    <n v="4408"/>
    <s v="อำเภอพยัคฆภูมิพิสัย"/>
    <n v="0"/>
    <s v="-"/>
    <n v="0"/>
    <s v="-"/>
    <n v="39005"/>
    <n v="39632"/>
    <n v="78637"/>
    <n v="23095"/>
  </r>
  <r>
    <n v="6712"/>
    <n v="44"/>
    <x v="32"/>
    <n v="4409"/>
    <s v="อำเภอวาปีปทุม"/>
    <n v="0"/>
    <s v="-"/>
    <n v="0"/>
    <s v="-"/>
    <n v="52713"/>
    <n v="53615"/>
    <n v="106328"/>
    <n v="31602"/>
  </r>
  <r>
    <n v="6712"/>
    <n v="44"/>
    <x v="32"/>
    <n v="4410"/>
    <s v="อำเภอนาดูน"/>
    <n v="0"/>
    <s v="-"/>
    <n v="0"/>
    <s v="-"/>
    <n v="16036"/>
    <n v="16271"/>
    <n v="32307"/>
    <n v="8999"/>
  </r>
  <r>
    <n v="6712"/>
    <n v="44"/>
    <x v="32"/>
    <n v="4411"/>
    <s v="อำเภอยางสีสุราช"/>
    <n v="0"/>
    <s v="-"/>
    <n v="0"/>
    <s v="-"/>
    <n v="17114"/>
    <n v="17301"/>
    <n v="34415"/>
    <n v="10234"/>
  </r>
  <r>
    <n v="6712"/>
    <n v="44"/>
    <x v="32"/>
    <n v="4412"/>
    <s v="อำเภอกุดรัง"/>
    <n v="0"/>
    <s v="-"/>
    <n v="0"/>
    <s v="-"/>
    <n v="18434"/>
    <n v="18291"/>
    <n v="36725"/>
    <n v="11062"/>
  </r>
  <r>
    <n v="6712"/>
    <n v="44"/>
    <x v="32"/>
    <n v="4413"/>
    <s v="อำเภอชื่นชม"/>
    <n v="0"/>
    <s v="-"/>
    <n v="0"/>
    <s v="-"/>
    <n v="11903"/>
    <n v="12394"/>
    <n v="24297"/>
    <n v="7263"/>
  </r>
  <r>
    <n v="6712"/>
    <n v="44"/>
    <x v="32"/>
    <n v="4487"/>
    <s v="ท้องถิ่นเทศบาลตำบลขามเรียง"/>
    <n v="0"/>
    <s v="-"/>
    <n v="0"/>
    <s v="-"/>
    <n v="5185"/>
    <n v="6473"/>
    <n v="11658"/>
    <n v="6032"/>
  </r>
  <r>
    <n v="6712"/>
    <n v="44"/>
    <x v="32"/>
    <n v="4488"/>
    <s v="ท้องถิ่นเทศบาลตำบลท่าขอนยาง"/>
    <n v="0"/>
    <s v="-"/>
    <n v="0"/>
    <s v="-"/>
    <n v="4277"/>
    <n v="4595"/>
    <n v="8872"/>
    <n v="6995"/>
  </r>
  <r>
    <n v="6712"/>
    <n v="44"/>
    <x v="32"/>
    <n v="4489"/>
    <s v="ท้องถิ่นเทศบาลตำบลนาดูน"/>
    <n v="0"/>
    <s v="-"/>
    <n v="0"/>
    <s v="-"/>
    <n v="2358"/>
    <n v="2319"/>
    <n v="4677"/>
    <n v="1932"/>
  </r>
  <r>
    <n v="6712"/>
    <n v="44"/>
    <x v="32"/>
    <n v="4490"/>
    <s v="ท้องถิ่นเทศบาลตำบลวาปีปทุม"/>
    <n v="0"/>
    <s v="-"/>
    <n v="0"/>
    <s v="-"/>
    <n v="2142"/>
    <n v="2375"/>
    <n v="4517"/>
    <n v="2474"/>
  </r>
  <r>
    <n v="6712"/>
    <n v="44"/>
    <x v="32"/>
    <n v="4491"/>
    <s v="ท้องถิ่นเทศบาลตำบลพยัคฆภูมิพิสัย"/>
    <n v="0"/>
    <s v="-"/>
    <n v="0"/>
    <s v="-"/>
    <n v="3748"/>
    <n v="4187"/>
    <n v="7935"/>
    <n v="4471"/>
  </r>
  <r>
    <n v="6712"/>
    <n v="44"/>
    <x v="32"/>
    <n v="4492"/>
    <s v="ท้องถิ่นเทศบาลตำบลนาเชือก"/>
    <n v="0"/>
    <s v="-"/>
    <n v="0"/>
    <s v="-"/>
    <n v="1771"/>
    <n v="1893"/>
    <n v="3664"/>
    <n v="2210"/>
  </r>
  <r>
    <n v="6712"/>
    <n v="44"/>
    <x v="32"/>
    <n v="4493"/>
    <s v="ท้องถิ่นเทศบาลตำบลบรบือ"/>
    <n v="0"/>
    <s v="-"/>
    <n v="0"/>
    <s v="-"/>
    <n v="2389"/>
    <n v="2890"/>
    <n v="5279"/>
    <n v="2431"/>
  </r>
  <r>
    <n v="6712"/>
    <n v="44"/>
    <x v="32"/>
    <n v="4494"/>
    <s v="ท้องถิ่นเทศบาลตำบลเชียงยืน"/>
    <n v="0"/>
    <s v="-"/>
    <n v="0"/>
    <s v="-"/>
    <n v="2152"/>
    <n v="2329"/>
    <n v="4481"/>
    <n v="2483"/>
  </r>
  <r>
    <n v="6712"/>
    <n v="44"/>
    <x v="32"/>
    <n v="4495"/>
    <s v="ท้องถิ่นเทศบาลตำบลโคกพระ"/>
    <n v="0"/>
    <s v="-"/>
    <n v="0"/>
    <s v="-"/>
    <n v="1525"/>
    <n v="1753"/>
    <n v="3278"/>
    <n v="1551"/>
  </r>
  <r>
    <n v="6712"/>
    <n v="44"/>
    <x v="32"/>
    <n v="4496"/>
    <s v="ท้องถิ่นเทศบาลตำบลโกสุมพิสัย"/>
    <n v="0"/>
    <s v="-"/>
    <n v="0"/>
    <s v="-"/>
    <n v="4210"/>
    <n v="4624"/>
    <n v="8834"/>
    <n v="4491"/>
  </r>
  <r>
    <n v="6712"/>
    <n v="44"/>
    <x v="32"/>
    <n v="4497"/>
    <s v="ท้องถิ่นเทศบาลตำบลแกดำ"/>
    <n v="0"/>
    <s v="-"/>
    <n v="0"/>
    <s v="-"/>
    <n v="2621"/>
    <n v="2621"/>
    <n v="5242"/>
    <n v="1751"/>
  </r>
  <r>
    <n v="6712"/>
    <n v="44"/>
    <x v="32"/>
    <n v="4498"/>
    <s v="ท้องถิ่นเทศบาลตำบลแวงน่าง"/>
    <n v="0"/>
    <s v="-"/>
    <n v="0"/>
    <s v="-"/>
    <n v="2738"/>
    <n v="2917"/>
    <n v="5655"/>
    <n v="2350"/>
  </r>
  <r>
    <n v="6712"/>
    <n v="44"/>
    <x v="32"/>
    <n v="4499"/>
    <s v="ท้องถิ่นเทศบาลเมืองมหาสารคาม"/>
    <n v="0"/>
    <s v="-"/>
    <n v="0"/>
    <s v="-"/>
    <n v="18986"/>
    <n v="23128"/>
    <n v="42114"/>
    <n v="22144"/>
  </r>
  <r>
    <n v="6712"/>
    <n v="45"/>
    <x v="33"/>
    <n v="0"/>
    <s v="-"/>
    <n v="0"/>
    <s v="-"/>
    <n v="0"/>
    <s v="-"/>
    <n v="629825"/>
    <n v="645694"/>
    <n v="1275519"/>
    <n v="417865"/>
  </r>
  <r>
    <n v="6712"/>
    <n v="45"/>
    <x v="33"/>
    <n v="4501"/>
    <s v="อำเภอเมืองร้อยเอ็ด"/>
    <n v="0"/>
    <s v="-"/>
    <n v="0"/>
    <s v="-"/>
    <n v="53908"/>
    <n v="56696"/>
    <n v="110604"/>
    <n v="44294"/>
  </r>
  <r>
    <n v="6712"/>
    <n v="45"/>
    <x v="33"/>
    <n v="4502"/>
    <s v="อำเภอเกษตรวิสัย"/>
    <n v="0"/>
    <s v="-"/>
    <n v="0"/>
    <s v="-"/>
    <n v="36269"/>
    <n v="36362"/>
    <n v="72631"/>
    <n v="21979"/>
  </r>
  <r>
    <n v="6712"/>
    <n v="45"/>
    <x v="33"/>
    <n v="4503"/>
    <s v="อำเภอปทุมรัตต์"/>
    <n v="0"/>
    <s v="-"/>
    <n v="0"/>
    <s v="-"/>
    <n v="23097"/>
    <n v="23642"/>
    <n v="46739"/>
    <n v="13458"/>
  </r>
  <r>
    <n v="6712"/>
    <n v="45"/>
    <x v="33"/>
    <n v="4504"/>
    <s v="อำเภอจตุรพักตรพิมาน"/>
    <n v="0"/>
    <s v="-"/>
    <n v="0"/>
    <s v="-"/>
    <n v="24867"/>
    <n v="25302"/>
    <n v="50169"/>
    <n v="14400"/>
  </r>
  <r>
    <n v="6712"/>
    <n v="45"/>
    <x v="33"/>
    <n v="4505"/>
    <s v="อำเภอธวัชบุรี"/>
    <n v="0"/>
    <s v="-"/>
    <n v="0"/>
    <s v="-"/>
    <n v="18446"/>
    <n v="18495"/>
    <n v="36941"/>
    <n v="11878"/>
  </r>
  <r>
    <n v="6712"/>
    <n v="45"/>
    <x v="33"/>
    <n v="4506"/>
    <s v="อำเภอพนมไพร"/>
    <n v="0"/>
    <s v="-"/>
    <n v="0"/>
    <s v="-"/>
    <n v="29234"/>
    <n v="29554"/>
    <n v="58788"/>
    <n v="18626"/>
  </r>
  <r>
    <n v="6712"/>
    <n v="45"/>
    <x v="33"/>
    <n v="4507"/>
    <s v="อำเภอโพนทอง"/>
    <n v="0"/>
    <s v="-"/>
    <n v="0"/>
    <s v="-"/>
    <n v="47594"/>
    <n v="48209"/>
    <n v="95803"/>
    <n v="30249"/>
  </r>
  <r>
    <n v="6712"/>
    <n v="45"/>
    <x v="33"/>
    <n v="4508"/>
    <s v="อำเภอโพธิ์ชัย"/>
    <n v="0"/>
    <s v="-"/>
    <n v="0"/>
    <s v="-"/>
    <n v="13319"/>
    <n v="13555"/>
    <n v="26874"/>
    <n v="8007"/>
  </r>
  <r>
    <n v="6712"/>
    <n v="45"/>
    <x v="33"/>
    <n v="4509"/>
    <s v="อำเภอหนองพอก"/>
    <n v="0"/>
    <s v="-"/>
    <n v="0"/>
    <s v="-"/>
    <n v="29781"/>
    <n v="29705"/>
    <n v="59486"/>
    <n v="17321"/>
  </r>
  <r>
    <n v="6712"/>
    <n v="45"/>
    <x v="33"/>
    <n v="4510"/>
    <s v="อำเภอเสลภูมิ"/>
    <n v="0"/>
    <s v="-"/>
    <n v="0"/>
    <s v="-"/>
    <n v="43910"/>
    <n v="44789"/>
    <n v="88699"/>
    <n v="26076"/>
  </r>
  <r>
    <n v="6712"/>
    <n v="45"/>
    <x v="33"/>
    <n v="4511"/>
    <s v="อำเภอสุวรรณภูมิ"/>
    <n v="0"/>
    <s v="-"/>
    <n v="0"/>
    <s v="-"/>
    <n v="51319"/>
    <n v="52259"/>
    <n v="103578"/>
    <n v="31239"/>
  </r>
  <r>
    <n v="6712"/>
    <n v="45"/>
    <x v="33"/>
    <n v="4512"/>
    <s v="อำเภอเมืองสรวง"/>
    <n v="0"/>
    <s v="-"/>
    <n v="0"/>
    <s v="-"/>
    <n v="6686"/>
    <n v="6755"/>
    <n v="13441"/>
    <n v="3927"/>
  </r>
  <r>
    <n v="6712"/>
    <n v="45"/>
    <x v="33"/>
    <n v="4513"/>
    <s v="อำเภอโพนทราย"/>
    <n v="0"/>
    <s v="-"/>
    <n v="0"/>
    <s v="-"/>
    <n v="10938"/>
    <n v="11037"/>
    <n v="21975"/>
    <n v="5374"/>
  </r>
  <r>
    <n v="6712"/>
    <n v="45"/>
    <x v="33"/>
    <n v="4514"/>
    <s v="อำเภออาจสามารถ"/>
    <n v="0"/>
    <s v="-"/>
    <n v="0"/>
    <s v="-"/>
    <n v="34157"/>
    <n v="34400"/>
    <n v="68557"/>
    <n v="19783"/>
  </r>
  <r>
    <n v="6712"/>
    <n v="45"/>
    <x v="33"/>
    <n v="4515"/>
    <s v="อำเภอเมยวดี"/>
    <n v="0"/>
    <s v="-"/>
    <n v="0"/>
    <s v="-"/>
    <n v="11254"/>
    <n v="11550"/>
    <n v="22804"/>
    <n v="7235"/>
  </r>
  <r>
    <n v="6712"/>
    <n v="45"/>
    <x v="33"/>
    <n v="4516"/>
    <s v="อำเภอศรีสมเด็จ"/>
    <n v="0"/>
    <s v="-"/>
    <n v="0"/>
    <s v="-"/>
    <n v="18110"/>
    <n v="17255"/>
    <n v="35365"/>
    <n v="11609"/>
  </r>
  <r>
    <n v="6712"/>
    <n v="45"/>
    <x v="33"/>
    <n v="4517"/>
    <s v="อำเภอจังหาร"/>
    <n v="0"/>
    <s v="-"/>
    <n v="0"/>
    <s v="-"/>
    <n v="18647"/>
    <n v="19432"/>
    <n v="38079"/>
    <n v="12698"/>
  </r>
  <r>
    <n v="6712"/>
    <n v="45"/>
    <x v="33"/>
    <n v="4518"/>
    <s v="อำเภอเชียงขวัญ"/>
    <n v="0"/>
    <s v="-"/>
    <n v="0"/>
    <s v="-"/>
    <n v="13133"/>
    <n v="13678"/>
    <n v="26811"/>
    <n v="8624"/>
  </r>
  <r>
    <n v="6712"/>
    <n v="45"/>
    <x v="33"/>
    <n v="4519"/>
    <s v="อำเภอหนองฮี"/>
    <n v="0"/>
    <s v="-"/>
    <n v="0"/>
    <s v="-"/>
    <n v="11825"/>
    <n v="11983"/>
    <n v="23808"/>
    <n v="6788"/>
  </r>
  <r>
    <n v="6712"/>
    <n v="45"/>
    <x v="33"/>
    <n v="4520"/>
    <s v="อำเภอทุ่งเขาหลวง"/>
    <n v="0"/>
    <s v="-"/>
    <n v="0"/>
    <s v="-"/>
    <n v="11253"/>
    <n v="11537"/>
    <n v="22790"/>
    <n v="6745"/>
  </r>
  <r>
    <n v="6712"/>
    <n v="45"/>
    <x v="33"/>
    <n v="4565"/>
    <s v="ท้องถิ่นเทศบาลตำบลนิเวศน์"/>
    <n v="0"/>
    <s v="-"/>
    <n v="0"/>
    <s v="-"/>
    <n v="3384"/>
    <n v="3443"/>
    <n v="6827"/>
    <n v="3349"/>
  </r>
  <r>
    <n v="6712"/>
    <n v="45"/>
    <x v="33"/>
    <n v="4566"/>
    <s v="ท้องถิ่นเทศบาลตำบลมะอึ"/>
    <n v="0"/>
    <s v="-"/>
    <n v="0"/>
    <s v="-"/>
    <n v="2578"/>
    <n v="2740"/>
    <n v="5318"/>
    <n v="2223"/>
  </r>
  <r>
    <n v="6712"/>
    <n v="45"/>
    <x v="33"/>
    <n v="4569"/>
    <s v="ท้องถิ่นเทศบาลตำบลโพธิ์ชัย"/>
    <n v="0"/>
    <s v="-"/>
    <n v="0"/>
    <s v="-"/>
    <n v="3225"/>
    <n v="3270"/>
    <n v="6495"/>
    <n v="1815"/>
  </r>
  <r>
    <n v="6712"/>
    <n v="45"/>
    <x v="33"/>
    <n v="4570"/>
    <s v="ท้องถิ่นเทศบาลตำบลดินดำ"/>
    <n v="0"/>
    <s v="-"/>
    <n v="0"/>
    <s v="-"/>
    <n v="3266"/>
    <n v="3414"/>
    <n v="6680"/>
    <n v="2073"/>
  </r>
  <r>
    <n v="6712"/>
    <n v="45"/>
    <x v="33"/>
    <n v="4571"/>
    <s v="ท้องถิ่นเทศบาลตำบลเมืองไพร"/>
    <n v="0"/>
    <s v="-"/>
    <n v="0"/>
    <s v="-"/>
    <n v="3134"/>
    <n v="3031"/>
    <n v="6165"/>
    <n v="1659"/>
  </r>
  <r>
    <n v="6712"/>
    <n v="45"/>
    <x v="33"/>
    <n v="4572"/>
    <s v="ท้องถิ่นเทศบาลตำบลขวาว"/>
    <n v="0"/>
    <s v="-"/>
    <n v="0"/>
    <s v="-"/>
    <n v="4222"/>
    <n v="4463"/>
    <n v="8685"/>
    <n v="2269"/>
  </r>
  <r>
    <n v="6712"/>
    <n v="45"/>
    <x v="33"/>
    <n v="4573"/>
    <s v="ท้องถิ่นเทศบาลตำบลดงแดง"/>
    <n v="0"/>
    <s v="-"/>
    <n v="0"/>
    <s v="-"/>
    <n v="4208"/>
    <n v="4419"/>
    <n v="8627"/>
    <n v="2515"/>
  </r>
  <r>
    <n v="6712"/>
    <n v="45"/>
    <x v="33"/>
    <n v="4574"/>
    <s v="ท้องถิ่นเทศบาลตำบลโคกล่าม"/>
    <n v="0"/>
    <s v="-"/>
    <n v="0"/>
    <s v="-"/>
    <n v="3566"/>
    <n v="3682"/>
    <n v="7248"/>
    <n v="2178"/>
  </r>
  <r>
    <n v="6712"/>
    <n v="45"/>
    <x v="33"/>
    <n v="4575"/>
    <s v="ท้องถิ่นเทศบาลตำบลหัวช้าง"/>
    <n v="0"/>
    <s v="-"/>
    <n v="0"/>
    <s v="-"/>
    <n v="3935"/>
    <n v="4182"/>
    <n v="8117"/>
    <n v="2842"/>
  </r>
  <r>
    <n v="6712"/>
    <n v="45"/>
    <x v="33"/>
    <n v="4576"/>
    <s v="ท้องถิ่นเทศบาลตำบลอุ่มเม้า"/>
    <n v="0"/>
    <s v="-"/>
    <n v="0"/>
    <s v="-"/>
    <n v="3528"/>
    <n v="3664"/>
    <n v="7192"/>
    <n v="2124"/>
  </r>
  <r>
    <n v="6712"/>
    <n v="45"/>
    <x v="33"/>
    <n v="4577"/>
    <s v="ท้องถิ่นเทศบาลตำบลปอภาร"/>
    <n v="0"/>
    <s v="-"/>
    <n v="0"/>
    <s v="-"/>
    <n v="3426"/>
    <n v="3758"/>
    <n v="7184"/>
    <n v="2547"/>
  </r>
  <r>
    <n v="6712"/>
    <n v="45"/>
    <x v="33"/>
    <n v="4578"/>
    <s v="ท้องถิ่นเทศบาลตำบลเมืองบัว"/>
    <n v="0"/>
    <s v="-"/>
    <n v="0"/>
    <s v="-"/>
    <n v="4048"/>
    <n v="4225"/>
    <n v="8273"/>
    <n v="2917"/>
  </r>
  <r>
    <n v="6712"/>
    <n v="45"/>
    <x v="33"/>
    <n v="4579"/>
    <s v="ท้องถิ่นเทศบาลตำบลคำพอุง"/>
    <n v="0"/>
    <s v="-"/>
    <n v="0"/>
    <s v="-"/>
    <n v="4625"/>
    <n v="4521"/>
    <n v="9146"/>
    <n v="2770"/>
  </r>
  <r>
    <n v="6712"/>
    <n v="45"/>
    <x v="33"/>
    <n v="4580"/>
    <s v="ท้องถิ่นเทศบาลตำบลอัคคะคำ"/>
    <n v="0"/>
    <s v="-"/>
    <n v="0"/>
    <s v="-"/>
    <n v="4067"/>
    <n v="4076"/>
    <n v="8143"/>
    <n v="2209"/>
  </r>
  <r>
    <n v="6712"/>
    <n v="45"/>
    <x v="33"/>
    <n v="4581"/>
    <s v="ท้องถิ่นเทศบาลตำบลโนนตาล"/>
    <n v="0"/>
    <s v="-"/>
    <n v="0"/>
    <s v="-"/>
    <n v="2633"/>
    <n v="2660"/>
    <n v="5293"/>
    <n v="1553"/>
  </r>
  <r>
    <n v="6712"/>
    <n v="45"/>
    <x v="33"/>
    <n v="4583"/>
    <s v="ท้องถิ่นเทศบาลตำบลอาจสามารถ"/>
    <n v="0"/>
    <s v="-"/>
    <n v="0"/>
    <s v="-"/>
    <n v="1893"/>
    <n v="2020"/>
    <n v="3913"/>
    <n v="1868"/>
  </r>
  <r>
    <n v="6712"/>
    <n v="45"/>
    <x v="33"/>
    <n v="4584"/>
    <s v="ท้องถิ่นเทศบาลตำบลโพนทราย"/>
    <n v="0"/>
    <s v="-"/>
    <n v="0"/>
    <s v="-"/>
    <n v="2727"/>
    <n v="2819"/>
    <n v="5546"/>
    <n v="2159"/>
  </r>
  <r>
    <n v="6712"/>
    <n v="45"/>
    <x v="33"/>
    <n v="4585"/>
    <s v="ท้องถิ่นเทศบาลตำบลเมืองสรวง"/>
    <n v="0"/>
    <s v="-"/>
    <n v="0"/>
    <s v="-"/>
    <n v="4633"/>
    <n v="4787"/>
    <n v="9420"/>
    <n v="3049"/>
  </r>
  <r>
    <n v="6712"/>
    <n v="45"/>
    <x v="33"/>
    <n v="4586"/>
    <s v="ท้องถิ่นเทศบาลตำบลสุวรรณภูมิ"/>
    <n v="0"/>
    <s v="-"/>
    <n v="0"/>
    <s v="-"/>
    <n v="4091"/>
    <n v="4605"/>
    <n v="8696"/>
    <n v="4399"/>
  </r>
  <r>
    <n v="6712"/>
    <n v="45"/>
    <x v="33"/>
    <n v="4587"/>
    <s v="ท้องถิ่นเทศบาลตำบลเสลภูมิ"/>
    <n v="0"/>
    <s v="-"/>
    <n v="0"/>
    <s v="-"/>
    <n v="6113"/>
    <n v="6569"/>
    <n v="12682"/>
    <n v="5289"/>
  </r>
  <r>
    <n v="6712"/>
    <n v="45"/>
    <x v="33"/>
    <n v="4588"/>
    <s v="ท้องถิ่นเทศบาลตำบลหนองพอก"/>
    <n v="0"/>
    <s v="-"/>
    <n v="0"/>
    <s v="-"/>
    <n v="3064"/>
    <n v="3221"/>
    <n v="6285"/>
    <n v="2841"/>
  </r>
  <r>
    <n v="6712"/>
    <n v="45"/>
    <x v="33"/>
    <n v="4589"/>
    <s v="ท้องถิ่นเทศบาลตำบลเชียงใหม่"/>
    <n v="0"/>
    <s v="-"/>
    <n v="0"/>
    <s v="-"/>
    <n v="3980"/>
    <n v="4141"/>
    <n v="8121"/>
    <n v="2587"/>
  </r>
  <r>
    <n v="6712"/>
    <n v="45"/>
    <x v="33"/>
    <n v="4590"/>
    <s v="ท้องถิ่นเทศบาลตำบลชัยวารี"/>
    <n v="0"/>
    <s v="-"/>
    <n v="0"/>
    <s v="-"/>
    <n v="2541"/>
    <n v="2640"/>
    <n v="5181"/>
    <n v="1634"/>
  </r>
  <r>
    <n v="6712"/>
    <n v="45"/>
    <x v="33"/>
    <n v="4591"/>
    <s v="ท้องถิ่นเทศบาลตำบลโพนทอง"/>
    <n v="0"/>
    <s v="-"/>
    <n v="0"/>
    <s v="-"/>
    <n v="5427"/>
    <n v="5688"/>
    <n v="11115"/>
    <n v="5430"/>
  </r>
  <r>
    <n v="6712"/>
    <n v="45"/>
    <x v="33"/>
    <n v="4592"/>
    <s v="ท้องถิ่นเทศบาลตำบลพนมไพร"/>
    <n v="0"/>
    <s v="-"/>
    <n v="0"/>
    <s v="-"/>
    <n v="1905"/>
    <n v="2055"/>
    <n v="3960"/>
    <n v="1851"/>
  </r>
  <r>
    <n v="6712"/>
    <n v="45"/>
    <x v="33"/>
    <n v="4593"/>
    <s v="ท้องถิ่นเทศบาลตำบลบ้านนิเวศน์"/>
    <n v="0"/>
    <s v="-"/>
    <n v="0"/>
    <s v="-"/>
    <n v="1164"/>
    <n v="1310"/>
    <n v="2474"/>
    <n v="1215"/>
  </r>
  <r>
    <n v="6712"/>
    <n v="45"/>
    <x v="33"/>
    <n v="4594"/>
    <s v="ท้องถิ่นเทศบาลตำบลธงธานี"/>
    <n v="0"/>
    <s v="-"/>
    <n v="0"/>
    <s v="-"/>
    <n v="3652"/>
    <n v="3916"/>
    <n v="7568"/>
    <n v="2652"/>
  </r>
  <r>
    <n v="6712"/>
    <n v="45"/>
    <x v="33"/>
    <n v="4595"/>
    <s v="ท้องถิ่นเทศบาลตำบลจตุรพักตรพิมาน"/>
    <n v="0"/>
    <s v="-"/>
    <n v="0"/>
    <s v="-"/>
    <n v="1752"/>
    <n v="1973"/>
    <n v="3725"/>
    <n v="1654"/>
  </r>
  <r>
    <n v="6712"/>
    <n v="45"/>
    <x v="33"/>
    <n v="4596"/>
    <s v="ท้องถิ่นเทศบาลตำบลปทุมรัตต์"/>
    <n v="0"/>
    <s v="-"/>
    <n v="0"/>
    <s v="-"/>
    <n v="3040"/>
    <n v="3221"/>
    <n v="6261"/>
    <n v="2230"/>
  </r>
  <r>
    <n v="6712"/>
    <n v="45"/>
    <x v="33"/>
    <n v="4597"/>
    <s v="ท้องถิ่นเทศบาลตำบลเกษตรวิสัย"/>
    <n v="0"/>
    <s v="-"/>
    <n v="0"/>
    <s v="-"/>
    <n v="5039"/>
    <n v="5481"/>
    <n v="10520"/>
    <n v="5011"/>
  </r>
  <r>
    <n v="6712"/>
    <n v="45"/>
    <x v="33"/>
    <n v="4598"/>
    <s v="ท้องถิ่นเทศบาลตำบลกู่กาสิงห์"/>
    <n v="0"/>
    <s v="-"/>
    <n v="0"/>
    <s v="-"/>
    <n v="2174"/>
    <n v="2289"/>
    <n v="4463"/>
    <n v="1666"/>
  </r>
  <r>
    <n v="6712"/>
    <n v="45"/>
    <x v="33"/>
    <n v="4599"/>
    <s v="ท้องถิ่นเทศบาลเมืองร้อยเอ็ด"/>
    <n v="0"/>
    <s v="-"/>
    <n v="0"/>
    <s v="-"/>
    <n v="15038"/>
    <n v="17216"/>
    <n v="32254"/>
    <n v="16977"/>
  </r>
  <r>
    <n v="6712"/>
    <n v="46"/>
    <x v="34"/>
    <n v="0"/>
    <s v="-"/>
    <n v="0"/>
    <s v="-"/>
    <n v="0"/>
    <s v="-"/>
    <n v="474533"/>
    <n v="487911"/>
    <n v="962444"/>
    <n v="331891"/>
  </r>
  <r>
    <n v="6712"/>
    <n v="46"/>
    <x v="34"/>
    <n v="4601"/>
    <s v="อำเภอเมืองกาฬสินธุ์"/>
    <n v="0"/>
    <s v="-"/>
    <n v="0"/>
    <s v="-"/>
    <n v="39537"/>
    <n v="41042"/>
    <n v="80579"/>
    <n v="27572"/>
  </r>
  <r>
    <n v="6712"/>
    <n v="46"/>
    <x v="34"/>
    <n v="4602"/>
    <s v="อำเภอนามน"/>
    <n v="0"/>
    <s v="-"/>
    <n v="0"/>
    <s v="-"/>
    <n v="14490"/>
    <n v="14768"/>
    <n v="29258"/>
    <n v="9963"/>
  </r>
  <r>
    <n v="6712"/>
    <n v="46"/>
    <x v="34"/>
    <n v="4603"/>
    <s v="อำเภอกมลาไสย"/>
    <n v="0"/>
    <s v="-"/>
    <n v="0"/>
    <s v="-"/>
    <n v="21825"/>
    <n v="22899"/>
    <n v="44724"/>
    <n v="12994"/>
  </r>
  <r>
    <n v="6712"/>
    <n v="46"/>
    <x v="34"/>
    <n v="4604"/>
    <s v="อำเภอร่องคำ"/>
    <n v="0"/>
    <s v="-"/>
    <n v="0"/>
    <s v="-"/>
    <n v="5089"/>
    <n v="5258"/>
    <n v="10347"/>
    <n v="3432"/>
  </r>
  <r>
    <n v="6712"/>
    <n v="46"/>
    <x v="34"/>
    <n v="4605"/>
    <s v="อำเภอกุฉินารายณ์"/>
    <n v="0"/>
    <s v="-"/>
    <n v="0"/>
    <s v="-"/>
    <n v="30590"/>
    <n v="30623"/>
    <n v="61213"/>
    <n v="22454"/>
  </r>
  <r>
    <n v="6712"/>
    <n v="46"/>
    <x v="34"/>
    <n v="4606"/>
    <s v="อำเภอเขาวง"/>
    <n v="0"/>
    <s v="-"/>
    <n v="0"/>
    <s v="-"/>
    <n v="10265"/>
    <n v="10490"/>
    <n v="20755"/>
    <n v="9138"/>
  </r>
  <r>
    <n v="6712"/>
    <n v="46"/>
    <x v="34"/>
    <n v="4607"/>
    <s v="อำเภอยางตลาด"/>
    <n v="0"/>
    <s v="-"/>
    <n v="0"/>
    <s v="-"/>
    <n v="39400"/>
    <n v="41087"/>
    <n v="80487"/>
    <n v="25343"/>
  </r>
  <r>
    <n v="6712"/>
    <n v="46"/>
    <x v="34"/>
    <n v="4608"/>
    <s v="อำเภอห้วยเม็ก"/>
    <n v="0"/>
    <s v="-"/>
    <n v="0"/>
    <s v="-"/>
    <n v="19955"/>
    <n v="19845"/>
    <n v="39800"/>
    <n v="12831"/>
  </r>
  <r>
    <n v="6712"/>
    <n v="46"/>
    <x v="34"/>
    <n v="4609"/>
    <s v="อำเภอสหัสขันธ์"/>
    <n v="0"/>
    <s v="-"/>
    <n v="0"/>
    <s v="-"/>
    <n v="18506"/>
    <n v="18584"/>
    <n v="37090"/>
    <n v="11850"/>
  </r>
  <r>
    <n v="6712"/>
    <n v="46"/>
    <x v="34"/>
    <n v="4610"/>
    <s v="อำเภอคำม่วง"/>
    <n v="0"/>
    <s v="-"/>
    <n v="0"/>
    <s v="-"/>
    <n v="13287"/>
    <n v="13314"/>
    <n v="26601"/>
    <n v="7737"/>
  </r>
  <r>
    <n v="6712"/>
    <n v="46"/>
    <x v="34"/>
    <n v="4611"/>
    <s v="อำเภอท่าคันโท"/>
    <n v="0"/>
    <s v="-"/>
    <n v="0"/>
    <s v="-"/>
    <n v="14181"/>
    <n v="14311"/>
    <n v="28492"/>
    <n v="8493"/>
  </r>
  <r>
    <n v="6712"/>
    <n v="46"/>
    <x v="34"/>
    <n v="4612"/>
    <s v="อำเภอหนองกุงศรี"/>
    <n v="0"/>
    <s v="-"/>
    <n v="0"/>
    <s v="-"/>
    <n v="25391"/>
    <n v="25520"/>
    <n v="50911"/>
    <n v="16104"/>
  </r>
  <r>
    <n v="6712"/>
    <n v="46"/>
    <x v="34"/>
    <n v="4613"/>
    <s v="อำเภอสมเด็จ"/>
    <n v="0"/>
    <s v="-"/>
    <n v="0"/>
    <s v="-"/>
    <n v="26992"/>
    <n v="27629"/>
    <n v="54621"/>
    <n v="19156"/>
  </r>
  <r>
    <n v="6712"/>
    <n v="46"/>
    <x v="34"/>
    <n v="4614"/>
    <s v="อำเภอห้วยผึ้ง"/>
    <n v="0"/>
    <s v="-"/>
    <n v="0"/>
    <s v="-"/>
    <n v="6853"/>
    <n v="7048"/>
    <n v="13901"/>
    <n v="4189"/>
  </r>
  <r>
    <n v="6712"/>
    <n v="46"/>
    <x v="34"/>
    <n v="4615"/>
    <s v="อำเภอสามชัย"/>
    <n v="0"/>
    <s v="-"/>
    <n v="0"/>
    <s v="-"/>
    <n v="12711"/>
    <n v="12387"/>
    <n v="25098"/>
    <n v="8084"/>
  </r>
  <r>
    <n v="6712"/>
    <n v="46"/>
    <x v="34"/>
    <n v="4616"/>
    <s v="อำเภอนาคู"/>
    <n v="0"/>
    <s v="-"/>
    <n v="0"/>
    <s v="-"/>
    <n v="12647"/>
    <n v="12621"/>
    <n v="25268"/>
    <n v="8694"/>
  </r>
  <r>
    <n v="6712"/>
    <n v="46"/>
    <x v="34"/>
    <n v="4617"/>
    <s v="อำเภอดอนจาน"/>
    <n v="0"/>
    <s v="-"/>
    <n v="0"/>
    <s v="-"/>
    <n v="12832"/>
    <n v="13054"/>
    <n v="25886"/>
    <n v="8587"/>
  </r>
  <r>
    <n v="6712"/>
    <n v="46"/>
    <x v="34"/>
    <n v="4618"/>
    <s v="อำเภอฆ้องชัย"/>
    <n v="0"/>
    <s v="-"/>
    <n v="0"/>
    <s v="-"/>
    <n v="12962"/>
    <n v="13270"/>
    <n v="26232"/>
    <n v="7936"/>
  </r>
  <r>
    <n v="6712"/>
    <n v="46"/>
    <x v="34"/>
    <n v="4665"/>
    <s v="ท้องถิ่นเทศบาลตำบลจุมจัง"/>
    <n v="0"/>
    <s v="-"/>
    <n v="0"/>
    <s v="-"/>
    <n v="4715"/>
    <n v="4747"/>
    <n v="9462"/>
    <n v="2628"/>
  </r>
  <r>
    <n v="6712"/>
    <n v="46"/>
    <x v="34"/>
    <n v="4666"/>
    <s v="ท้องถิ่นเทศบาลตำบลนาทัน"/>
    <n v="0"/>
    <s v="-"/>
    <n v="0"/>
    <s v="-"/>
    <n v="7138"/>
    <n v="6992"/>
    <n v="14130"/>
    <n v="3851"/>
  </r>
  <r>
    <n v="6712"/>
    <n v="46"/>
    <x v="34"/>
    <n v="4667"/>
    <s v="ท้องถิ่นเทศบาลตำบลอิตื้อ"/>
    <n v="0"/>
    <s v="-"/>
    <n v="0"/>
    <s v="-"/>
    <n v="4162"/>
    <n v="4374"/>
    <n v="8536"/>
    <n v="2606"/>
  </r>
  <r>
    <n v="6712"/>
    <n v="46"/>
    <x v="34"/>
    <n v="4669"/>
    <s v="ท้องถิ่นเทศบาลตำบลหัวนาคำ"/>
    <n v="0"/>
    <s v="-"/>
    <n v="0"/>
    <s v="-"/>
    <n v="5966"/>
    <n v="6272"/>
    <n v="12238"/>
    <n v="3899"/>
  </r>
  <r>
    <n v="6712"/>
    <n v="46"/>
    <x v="34"/>
    <n v="4670"/>
    <s v="ท้องถิ่นเทศบาลตำบลบัวบาน"/>
    <n v="0"/>
    <s v="-"/>
    <n v="0"/>
    <s v="-"/>
    <n v="6182"/>
    <n v="6546"/>
    <n v="12728"/>
    <n v="4621"/>
  </r>
  <r>
    <n v="6712"/>
    <n v="46"/>
    <x v="34"/>
    <n v="4671"/>
    <s v="ท้องถิ่นเทศบาลตำบลนาขาม"/>
    <n v="0"/>
    <s v="-"/>
    <n v="0"/>
    <s v="-"/>
    <n v="6413"/>
    <n v="6523"/>
    <n v="12936"/>
    <n v="3554"/>
  </r>
  <r>
    <n v="6712"/>
    <n v="46"/>
    <x v="34"/>
    <n v="4672"/>
    <s v="ท้องถิ่นเทศบาลตำบลลำคลอง"/>
    <n v="0"/>
    <s v="-"/>
    <n v="0"/>
    <s v="-"/>
    <n v="2040"/>
    <n v="2190"/>
    <n v="4230"/>
    <n v="1388"/>
  </r>
  <r>
    <n v="6712"/>
    <n v="46"/>
    <x v="34"/>
    <n v="4673"/>
    <s v="ท้องถิ่นเทศบาลตำบลคำบง"/>
    <n v="0"/>
    <s v="-"/>
    <n v="0"/>
    <s v="-"/>
    <n v="5151"/>
    <n v="5132"/>
    <n v="10283"/>
    <n v="3131"/>
  </r>
  <r>
    <n v="6712"/>
    <n v="46"/>
    <x v="34"/>
    <n v="4674"/>
    <s v="ท้องถิ่นเทศบาลตำบลสระพังทอง"/>
    <n v="0"/>
    <s v="-"/>
    <n v="0"/>
    <s v="-"/>
    <n v="1350"/>
    <n v="1359"/>
    <n v="2709"/>
    <n v="1043"/>
  </r>
  <r>
    <n v="6712"/>
    <n v="46"/>
    <x v="34"/>
    <n v="4675"/>
    <s v="ท้องถิ่นเทศบาลตำบลห้วยโพธิ์"/>
    <n v="0"/>
    <s v="-"/>
    <n v="0"/>
    <s v="-"/>
    <n v="5730"/>
    <n v="5895"/>
    <n v="11625"/>
    <n v="3554"/>
  </r>
  <r>
    <n v="6712"/>
    <n v="46"/>
    <x v="34"/>
    <n v="4676"/>
    <s v="ท้องถิ่นเทศบาลตำบลนาคู"/>
    <n v="0"/>
    <s v="-"/>
    <n v="0"/>
    <s v="-"/>
    <n v="2430"/>
    <n v="2675"/>
    <n v="5105"/>
    <n v="1995"/>
  </r>
  <r>
    <n v="6712"/>
    <n v="46"/>
    <x v="34"/>
    <n v="4677"/>
    <s v="ท้องถิ่นเทศบาลตำบลห้วยผึ้ง"/>
    <n v="0"/>
    <s v="-"/>
    <n v="0"/>
    <s v="-"/>
    <n v="2716"/>
    <n v="2862"/>
    <n v="5578"/>
    <n v="2352"/>
  </r>
  <r>
    <n v="6712"/>
    <n v="46"/>
    <x v="34"/>
    <n v="4678"/>
    <s v="ท้องถิ่นเทศบาลตำบลสมเด็จ"/>
    <n v="0"/>
    <s v="-"/>
    <n v="0"/>
    <s v="-"/>
    <n v="3138"/>
    <n v="3393"/>
    <n v="6531"/>
    <n v="3490"/>
  </r>
  <r>
    <n v="6712"/>
    <n v="46"/>
    <x v="34"/>
    <n v="4679"/>
    <s v="ท้องถิ่นเทศบาลตำบลหนองหิน"/>
    <n v="0"/>
    <s v="-"/>
    <n v="0"/>
    <s v="-"/>
    <n v="2607"/>
    <n v="2666"/>
    <n v="5273"/>
    <n v="1697"/>
  </r>
  <r>
    <n v="6712"/>
    <n v="46"/>
    <x v="34"/>
    <n v="4680"/>
    <s v="ท้องถิ่นเทศบาลตำบลหนองกุงศรี"/>
    <n v="0"/>
    <s v="-"/>
    <n v="0"/>
    <s v="-"/>
    <n v="4288"/>
    <n v="4449"/>
    <n v="8737"/>
    <n v="3586"/>
  </r>
  <r>
    <n v="6712"/>
    <n v="46"/>
    <x v="34"/>
    <n v="4681"/>
    <s v="ท้องถิ่นเทศบาลตำบลท่าคันโท"/>
    <n v="0"/>
    <s v="-"/>
    <n v="0"/>
    <s v="-"/>
    <n v="4414"/>
    <n v="4586"/>
    <n v="9000"/>
    <n v="3096"/>
  </r>
  <r>
    <n v="6712"/>
    <n v="46"/>
    <x v="34"/>
    <n v="4682"/>
    <s v="ท้องถิ่นเทศบาลตำบลโพน"/>
    <n v="0"/>
    <s v="-"/>
    <n v="0"/>
    <s v="-"/>
    <n v="1847"/>
    <n v="1875"/>
    <n v="3722"/>
    <n v="1145"/>
  </r>
  <r>
    <n v="6712"/>
    <n v="46"/>
    <x v="34"/>
    <n v="4683"/>
    <s v="ท้องถิ่นเทศบาลตำบลคำม่วง"/>
    <n v="0"/>
    <s v="-"/>
    <n v="0"/>
    <s v="-"/>
    <n v="1915"/>
    <n v="1962"/>
    <n v="3877"/>
    <n v="1798"/>
  </r>
  <r>
    <n v="6712"/>
    <n v="46"/>
    <x v="34"/>
    <n v="4684"/>
    <s v="ท้องถิ่นเทศบาลตำบลโนนบุรี"/>
    <n v="0"/>
    <s v="-"/>
    <n v="0"/>
    <s v="-"/>
    <n v="2401"/>
    <n v="2652"/>
    <n v="5053"/>
    <n v="2130"/>
  </r>
  <r>
    <n v="6712"/>
    <n v="46"/>
    <x v="34"/>
    <n v="4685"/>
    <s v="ท้องถิ่นเทศบาลตำบลห้วยเม็ก"/>
    <n v="0"/>
    <s v="-"/>
    <n v="0"/>
    <s v="-"/>
    <n v="2711"/>
    <n v="2852"/>
    <n v="5563"/>
    <n v="2352"/>
  </r>
  <r>
    <n v="6712"/>
    <n v="46"/>
    <x v="34"/>
    <n v="4686"/>
    <s v="ท้องถิ่นเทศบาลตำบลคำใหญ่"/>
    <n v="0"/>
    <s v="-"/>
    <n v="0"/>
    <s v="-"/>
    <n v="2426"/>
    <n v="2491"/>
    <n v="4917"/>
    <n v="1695"/>
  </r>
  <r>
    <n v="6712"/>
    <n v="46"/>
    <x v="34"/>
    <n v="4687"/>
    <s v="ท้องถิ่นเทศบาลตำบลยางตลาด"/>
    <n v="0"/>
    <s v="-"/>
    <n v="0"/>
    <s v="-"/>
    <n v="3800"/>
    <n v="4311"/>
    <n v="8111"/>
    <n v="3962"/>
  </r>
  <r>
    <n v="6712"/>
    <n v="46"/>
    <x v="34"/>
    <n v="4688"/>
    <s v="ท้องถิ่นเทศบาลตำบลโคกศรี"/>
    <n v="0"/>
    <s v="-"/>
    <n v="0"/>
    <s v="-"/>
    <n v="1509"/>
    <n v="1624"/>
    <n v="3133"/>
    <n v="1341"/>
  </r>
  <r>
    <n v="6712"/>
    <n v="46"/>
    <x v="34"/>
    <n v="4689"/>
    <s v="ท้องถิ่นเทศบาลตำบลกุดสิม"/>
    <n v="0"/>
    <s v="-"/>
    <n v="0"/>
    <s v="-"/>
    <n v="4768"/>
    <n v="4998"/>
    <n v="9766"/>
    <n v="4661"/>
  </r>
  <r>
    <n v="6712"/>
    <n v="46"/>
    <x v="34"/>
    <n v="4690"/>
    <s v="ท้องถิ่นเทศบาลเมืองกุฉินารายณ์"/>
    <n v="0"/>
    <s v="-"/>
    <n v="0"/>
    <s v="-"/>
    <n v="5407"/>
    <n v="5662"/>
    <n v="11069"/>
    <n v="5147"/>
  </r>
  <r>
    <n v="6712"/>
    <n v="46"/>
    <x v="34"/>
    <n v="4691"/>
    <s v="ท้องถิ่นเทศบาลตำบลกุดหว้า"/>
    <n v="0"/>
    <s v="-"/>
    <n v="0"/>
    <s v="-"/>
    <n v="2457"/>
    <n v="2686"/>
    <n v="5143"/>
    <n v="2132"/>
  </r>
  <r>
    <n v="6712"/>
    <n v="46"/>
    <x v="34"/>
    <n v="4692"/>
    <s v="ท้องถิ่นเทศบาลตำบลร่องคำ"/>
    <n v="0"/>
    <s v="-"/>
    <n v="0"/>
    <s v="-"/>
    <n v="2893"/>
    <n v="3059"/>
    <n v="5952"/>
    <n v="2340"/>
  </r>
  <r>
    <n v="6712"/>
    <n v="46"/>
    <x v="34"/>
    <n v="4693"/>
    <s v="ท้องถิ่นเทศบาลตำบลหนองแปน"/>
    <n v="0"/>
    <s v="-"/>
    <n v="0"/>
    <s v="-"/>
    <n v="3212"/>
    <n v="3518"/>
    <n v="6730"/>
    <n v="2294"/>
  </r>
  <r>
    <n v="6712"/>
    <n v="46"/>
    <x v="34"/>
    <n v="4694"/>
    <s v="ท้องถิ่นเทศบาลตำบลธัญญา"/>
    <n v="0"/>
    <s v="-"/>
    <n v="0"/>
    <s v="-"/>
    <n v="3059"/>
    <n v="3155"/>
    <n v="6214"/>
    <n v="1767"/>
  </r>
  <r>
    <n v="6712"/>
    <n v="46"/>
    <x v="34"/>
    <n v="4695"/>
    <s v="ท้องถิ่นเทศบาลตำบลกมลาไสย"/>
    <n v="0"/>
    <s v="-"/>
    <n v="0"/>
    <s v="-"/>
    <n v="4496"/>
    <n v="5049"/>
    <n v="9545"/>
    <n v="3826"/>
  </r>
  <r>
    <n v="6712"/>
    <n v="46"/>
    <x v="34"/>
    <n v="4696"/>
    <s v="ท้องถิ่นเทศบาลตำบลนามน"/>
    <n v="0"/>
    <s v="-"/>
    <n v="0"/>
    <s v="-"/>
    <n v="3366"/>
    <n v="3414"/>
    <n v="6780"/>
    <n v="2473"/>
  </r>
  <r>
    <n v="6712"/>
    <n v="46"/>
    <x v="34"/>
    <n v="4697"/>
    <s v="ท้องถิ่นเทศบาลตำบลหนองสอ"/>
    <n v="0"/>
    <s v="-"/>
    <n v="0"/>
    <s v="-"/>
    <n v="3459"/>
    <n v="3756"/>
    <n v="7215"/>
    <n v="2412"/>
  </r>
  <r>
    <n v="6712"/>
    <n v="46"/>
    <x v="34"/>
    <n v="4698"/>
    <s v="ท้องถิ่นเทศบาลตำบลนาจารย์"/>
    <n v="0"/>
    <s v="-"/>
    <n v="0"/>
    <s v="-"/>
    <n v="4160"/>
    <n v="4170"/>
    <n v="8330"/>
    <n v="2626"/>
  </r>
  <r>
    <n v="6712"/>
    <n v="46"/>
    <x v="34"/>
    <n v="4699"/>
    <s v="ท้องถิ่นเทศบาลเมืองกาฬสินธุ์"/>
    <n v="0"/>
    <s v="-"/>
    <n v="0"/>
    <s v="-"/>
    <n v="14694"/>
    <n v="16266"/>
    <n v="30960"/>
    <n v="16742"/>
  </r>
  <r>
    <n v="6712"/>
    <n v="47"/>
    <x v="35"/>
    <n v="0"/>
    <s v="-"/>
    <n v="0"/>
    <s v="-"/>
    <n v="0"/>
    <s v="-"/>
    <n v="564205"/>
    <n v="573567"/>
    <n v="1137772"/>
    <n v="411116"/>
  </r>
  <r>
    <n v="6712"/>
    <n v="47"/>
    <x v="35"/>
    <n v="4701"/>
    <s v="อำเภอเมืองสกลนคร"/>
    <n v="0"/>
    <s v="-"/>
    <n v="0"/>
    <s v="-"/>
    <n v="56605"/>
    <n v="58341"/>
    <n v="114946"/>
    <n v="45179"/>
  </r>
  <r>
    <n v="6712"/>
    <n v="47"/>
    <x v="35"/>
    <n v="4702"/>
    <s v="อำเภอกุสุมาลย์"/>
    <n v="0"/>
    <s v="-"/>
    <n v="0"/>
    <s v="-"/>
    <n v="21714"/>
    <n v="21904"/>
    <n v="43618"/>
    <n v="14689"/>
  </r>
  <r>
    <n v="6712"/>
    <n v="47"/>
    <x v="35"/>
    <n v="4703"/>
    <s v="อำเภอกุดบาก"/>
    <n v="0"/>
    <s v="-"/>
    <n v="0"/>
    <s v="-"/>
    <n v="13816"/>
    <n v="13576"/>
    <n v="27392"/>
    <n v="9629"/>
  </r>
  <r>
    <n v="6712"/>
    <n v="47"/>
    <x v="35"/>
    <n v="4704"/>
    <s v="อำเภอพรรณานิคม"/>
    <n v="0"/>
    <s v="-"/>
    <n v="0"/>
    <s v="-"/>
    <n v="38210"/>
    <n v="38876"/>
    <n v="77086"/>
    <n v="28270"/>
  </r>
  <r>
    <n v="6712"/>
    <n v="47"/>
    <x v="35"/>
    <n v="4705"/>
    <s v="อำเภอพังโคน"/>
    <n v="0"/>
    <s v="-"/>
    <n v="0"/>
    <s v="-"/>
    <n v="22483"/>
    <n v="23170"/>
    <n v="45653"/>
    <n v="18386"/>
  </r>
  <r>
    <n v="6712"/>
    <n v="47"/>
    <x v="35"/>
    <n v="4706"/>
    <s v="อำเภอวาริชภูมิ"/>
    <n v="0"/>
    <s v="-"/>
    <n v="0"/>
    <s v="-"/>
    <n v="17538"/>
    <n v="18103"/>
    <n v="35641"/>
    <n v="12935"/>
  </r>
  <r>
    <n v="6712"/>
    <n v="47"/>
    <x v="35"/>
    <n v="4707"/>
    <s v="อำเภอนิคมน้ำอูน"/>
    <n v="0"/>
    <s v="-"/>
    <n v="0"/>
    <s v="-"/>
    <n v="7361"/>
    <n v="7365"/>
    <n v="14726"/>
    <n v="4786"/>
  </r>
  <r>
    <n v="6712"/>
    <n v="47"/>
    <x v="35"/>
    <n v="4708"/>
    <s v="อำเภอวานรนิวาส"/>
    <n v="0"/>
    <s v="-"/>
    <n v="0"/>
    <s v="-"/>
    <n v="59827"/>
    <n v="60504"/>
    <n v="120331"/>
    <n v="36508"/>
  </r>
  <r>
    <n v="6712"/>
    <n v="47"/>
    <x v="35"/>
    <n v="4709"/>
    <s v="อำเภอคำตากล้า"/>
    <n v="0"/>
    <s v="-"/>
    <n v="0"/>
    <s v="-"/>
    <n v="16255"/>
    <n v="16485"/>
    <n v="32740"/>
    <n v="12145"/>
  </r>
  <r>
    <n v="6712"/>
    <n v="47"/>
    <x v="35"/>
    <n v="4710"/>
    <s v="อำเภอบ้านม่วง"/>
    <n v="0"/>
    <s v="-"/>
    <n v="0"/>
    <s v="-"/>
    <n v="33664"/>
    <n v="33223"/>
    <n v="66887"/>
    <n v="21145"/>
  </r>
  <r>
    <n v="6712"/>
    <n v="47"/>
    <x v="35"/>
    <n v="4711"/>
    <s v="อำเภออากาศอำนวย"/>
    <n v="0"/>
    <s v="-"/>
    <n v="0"/>
    <s v="-"/>
    <n v="27010"/>
    <n v="26846"/>
    <n v="53856"/>
    <n v="20277"/>
  </r>
  <r>
    <n v="6712"/>
    <n v="47"/>
    <x v="35"/>
    <n v="4712"/>
    <s v="อำเภอสว่างแดนดิน"/>
    <n v="0"/>
    <s v="-"/>
    <n v="0"/>
    <s v="-"/>
    <n v="62920"/>
    <n v="63953"/>
    <n v="126873"/>
    <n v="39010"/>
  </r>
  <r>
    <n v="6712"/>
    <n v="47"/>
    <x v="35"/>
    <n v="4713"/>
    <s v="อำเภอส่องดาว"/>
    <n v="0"/>
    <s v="-"/>
    <n v="0"/>
    <s v="-"/>
    <n v="14980"/>
    <n v="14580"/>
    <n v="29560"/>
    <n v="7993"/>
  </r>
  <r>
    <n v="6712"/>
    <n v="47"/>
    <x v="35"/>
    <n v="4714"/>
    <s v="อำเภอเต่างอย"/>
    <n v="0"/>
    <s v="-"/>
    <n v="0"/>
    <s v="-"/>
    <n v="12045"/>
    <n v="11997"/>
    <n v="24042"/>
    <n v="9216"/>
  </r>
  <r>
    <n v="6712"/>
    <n v="47"/>
    <x v="35"/>
    <n v="4715"/>
    <s v="อำเภอโคกศรีสุพรรณ"/>
    <n v="0"/>
    <s v="-"/>
    <n v="0"/>
    <s v="-"/>
    <n v="10730"/>
    <n v="10882"/>
    <n v="21612"/>
    <n v="7997"/>
  </r>
  <r>
    <n v="6712"/>
    <n v="47"/>
    <x v="35"/>
    <n v="4716"/>
    <s v="อำเภอเจริญศิลป์"/>
    <n v="0"/>
    <s v="-"/>
    <n v="0"/>
    <s v="-"/>
    <n v="19173"/>
    <n v="19036"/>
    <n v="38209"/>
    <n v="11178"/>
  </r>
  <r>
    <n v="6712"/>
    <n v="47"/>
    <x v="35"/>
    <n v="4717"/>
    <s v="อำเภอโพนนาแก้ว"/>
    <n v="0"/>
    <s v="-"/>
    <n v="0"/>
    <s v="-"/>
    <n v="18407"/>
    <n v="18398"/>
    <n v="36805"/>
    <n v="12397"/>
  </r>
  <r>
    <n v="6712"/>
    <n v="47"/>
    <x v="35"/>
    <n v="4718"/>
    <s v="อำเภอภูพาน"/>
    <n v="0"/>
    <s v="-"/>
    <n v="0"/>
    <s v="-"/>
    <n v="18012"/>
    <n v="17707"/>
    <n v="35719"/>
    <n v="11003"/>
  </r>
  <r>
    <n v="6712"/>
    <n v="47"/>
    <x v="35"/>
    <n v="4779"/>
    <s v="ท้องถิ่นเทศบาลตำบลคำบ่อ"/>
    <n v="0"/>
    <s v="-"/>
    <n v="0"/>
    <s v="-"/>
    <n v="6720"/>
    <n v="6914"/>
    <n v="13634"/>
    <n v="4320"/>
  </r>
  <r>
    <n v="6712"/>
    <n v="47"/>
    <x v="35"/>
    <n v="4780"/>
    <s v="ท้องถิ่นเทศบาลตำบลตองโขบ"/>
    <n v="0"/>
    <s v="-"/>
    <n v="0"/>
    <s v="-"/>
    <n v="6224"/>
    <n v="6419"/>
    <n v="12643"/>
    <n v="6006"/>
  </r>
  <r>
    <n v="6712"/>
    <n v="47"/>
    <x v="35"/>
    <n v="4781"/>
    <s v="ท้องถิ่นเทศบาลตำบลบงใต้"/>
    <n v="0"/>
    <s v="-"/>
    <n v="0"/>
    <s v="-"/>
    <n v="5090"/>
    <n v="5031"/>
    <n v="10121"/>
    <n v="3151"/>
  </r>
  <r>
    <n v="6712"/>
    <n v="47"/>
    <x v="35"/>
    <n v="4782"/>
    <s v="ท้องถิ่นเทศบาลตำบลสามัคคีพัฒนา"/>
    <n v="0"/>
    <s v="-"/>
    <n v="0"/>
    <s v="-"/>
    <n v="4457"/>
    <n v="4512"/>
    <n v="8969"/>
    <n v="2531"/>
  </r>
  <r>
    <n v="6712"/>
    <n v="47"/>
    <x v="35"/>
    <n v="4783"/>
    <s v="ท้องถิ่นเทศบาลตำบลเชียงเครือ"/>
    <n v="0"/>
    <s v="-"/>
    <n v="0"/>
    <s v="-"/>
    <n v="7893"/>
    <n v="8157"/>
    <n v="16050"/>
    <n v="6418"/>
  </r>
  <r>
    <n v="6712"/>
    <n v="47"/>
    <x v="35"/>
    <n v="4784"/>
    <s v="ท้องถิ่นเทศบาลตำบลเจริญศิลป์"/>
    <n v="0"/>
    <s v="-"/>
    <n v="0"/>
    <s v="-"/>
    <n v="3275"/>
    <n v="3433"/>
    <n v="6708"/>
    <n v="2427"/>
  </r>
  <r>
    <n v="6712"/>
    <n v="47"/>
    <x v="35"/>
    <n v="4785"/>
    <s v="ท้องถิ่นเทศบาลตำบลส่องดาว"/>
    <n v="0"/>
    <s v="-"/>
    <n v="0"/>
    <s v="-"/>
    <n v="2431"/>
    <n v="2443"/>
    <n v="4874"/>
    <n v="1702"/>
  </r>
  <r>
    <n v="6712"/>
    <n v="47"/>
    <x v="35"/>
    <n v="4786"/>
    <s v="ท้องถิ่นเทศบาลตำบลสว่างแดนดิน"/>
    <n v="0"/>
    <s v="-"/>
    <n v="0"/>
    <s v="-"/>
    <n v="3819"/>
    <n v="4177"/>
    <n v="7996"/>
    <n v="5077"/>
  </r>
  <r>
    <n v="6712"/>
    <n v="47"/>
    <x v="35"/>
    <n v="4787"/>
    <s v="ท้องถิ่นเทศบาลตำบลดอนเขือง"/>
    <n v="0"/>
    <s v="-"/>
    <n v="0"/>
    <s v="-"/>
    <n v="2006"/>
    <n v="2074"/>
    <n v="4080"/>
    <n v="1339"/>
  </r>
  <r>
    <n v="6712"/>
    <n v="47"/>
    <x v="35"/>
    <n v="4788"/>
    <s v="ท้องถิ่นเทศบาลตำบลอากาศอำนวย"/>
    <n v="0"/>
    <s v="-"/>
    <n v="0"/>
    <s v="-"/>
    <n v="4260"/>
    <n v="4488"/>
    <n v="8748"/>
    <n v="3147"/>
  </r>
  <r>
    <n v="6712"/>
    <n v="47"/>
    <x v="35"/>
    <n v="4789"/>
    <s v="ท้องถิ่นเทศบาลตำบลบ้านม่วง"/>
    <n v="0"/>
    <s v="-"/>
    <n v="0"/>
    <s v="-"/>
    <n v="1671"/>
    <n v="1815"/>
    <n v="3486"/>
    <n v="1573"/>
  </r>
  <r>
    <n v="6712"/>
    <n v="47"/>
    <x v="35"/>
    <n v="4790"/>
    <s v="ท้องถิ่นเทศบาลตำบลคำตากล้า"/>
    <n v="0"/>
    <s v="-"/>
    <n v="0"/>
    <s v="-"/>
    <n v="3459"/>
    <n v="3572"/>
    <n v="7031"/>
    <n v="2406"/>
  </r>
  <r>
    <n v="6712"/>
    <n v="47"/>
    <x v="35"/>
    <n v="4791"/>
    <s v="ท้องถิ่นเทศบาลตำบลวานรนิวาส"/>
    <n v="0"/>
    <s v="-"/>
    <n v="0"/>
    <s v="-"/>
    <n v="2611"/>
    <n v="2887"/>
    <n v="5498"/>
    <n v="2421"/>
  </r>
  <r>
    <n v="6712"/>
    <n v="47"/>
    <x v="35"/>
    <n v="4792"/>
    <s v="ท้องถิ่นเทศบาลตำบลวาริชภูมิ"/>
    <n v="0"/>
    <s v="-"/>
    <n v="0"/>
    <s v="-"/>
    <n v="1286"/>
    <n v="1339"/>
    <n v="2625"/>
    <n v="1416"/>
  </r>
  <r>
    <n v="6712"/>
    <n v="47"/>
    <x v="35"/>
    <n v="4793"/>
    <s v="ท้องถิ่นเทศบาลตำบลพังโคน"/>
    <n v="0"/>
    <s v="-"/>
    <n v="0"/>
    <s v="-"/>
    <n v="3087"/>
    <n v="3240"/>
    <n v="6327"/>
    <n v="4187"/>
  </r>
  <r>
    <n v="6712"/>
    <n v="47"/>
    <x v="35"/>
    <n v="4794"/>
    <s v="ท้องถิ่นเทศบาลตำบลพรรณานิคม"/>
    <n v="0"/>
    <s v="-"/>
    <n v="0"/>
    <s v="-"/>
    <n v="1117"/>
    <n v="1256"/>
    <n v="2373"/>
    <n v="1499"/>
  </r>
  <r>
    <n v="6712"/>
    <n v="47"/>
    <x v="35"/>
    <n v="4795"/>
    <s v="ท้องถิ่นเทศบาลตำบลกุดบาก"/>
    <n v="0"/>
    <s v="-"/>
    <n v="0"/>
    <s v="-"/>
    <n v="2465"/>
    <n v="2589"/>
    <n v="5054"/>
    <n v="1995"/>
  </r>
  <r>
    <n v="6712"/>
    <n v="47"/>
    <x v="35"/>
    <n v="4796"/>
    <s v="ท้องถิ่นเทศบาลตำบลกุสุมาลย์"/>
    <n v="0"/>
    <s v="-"/>
    <n v="0"/>
    <s v="-"/>
    <n v="1921"/>
    <n v="2062"/>
    <n v="3983"/>
    <n v="1791"/>
  </r>
  <r>
    <n v="6712"/>
    <n v="47"/>
    <x v="35"/>
    <n v="4797"/>
    <s v="ท้องถิ่นเทศบาลตำบลท่าแร่"/>
    <n v="0"/>
    <s v="-"/>
    <n v="0"/>
    <s v="-"/>
    <n v="3039"/>
    <n v="3321"/>
    <n v="6360"/>
    <n v="2368"/>
  </r>
  <r>
    <n v="6712"/>
    <n v="47"/>
    <x v="35"/>
    <n v="4798"/>
    <s v="ท้องถิ่นเทศบาลตำบลดงมะไฟ"/>
    <n v="0"/>
    <s v="-"/>
    <n v="0"/>
    <s v="-"/>
    <n v="2714"/>
    <n v="3050"/>
    <n v="5764"/>
    <n v="2344"/>
  </r>
  <r>
    <n v="6712"/>
    <n v="47"/>
    <x v="35"/>
    <n v="4799"/>
    <s v="ท้องถิ่นเทศบาลนครสกลนคร"/>
    <n v="0"/>
    <s v="-"/>
    <n v="0"/>
    <s v="-"/>
    <n v="23910"/>
    <n v="25842"/>
    <n v="49752"/>
    <n v="30255"/>
  </r>
  <r>
    <n v="6712"/>
    <n v="48"/>
    <x v="36"/>
    <n v="0"/>
    <s v="-"/>
    <n v="0"/>
    <s v="-"/>
    <n v="0"/>
    <s v="-"/>
    <n v="353531"/>
    <n v="357209"/>
    <n v="710740"/>
    <n v="246183"/>
  </r>
  <r>
    <n v="6712"/>
    <n v="48"/>
    <x v="36"/>
    <n v="4801"/>
    <s v="อำเภอเมืองนครพนม"/>
    <n v="0"/>
    <s v="-"/>
    <n v="0"/>
    <s v="-"/>
    <n v="58238"/>
    <n v="58085"/>
    <n v="116323"/>
    <n v="38292"/>
  </r>
  <r>
    <n v="6712"/>
    <n v="48"/>
    <x v="36"/>
    <n v="4802"/>
    <s v="อำเภอปลาปาก"/>
    <n v="0"/>
    <s v="-"/>
    <n v="0"/>
    <s v="-"/>
    <n v="25314"/>
    <n v="24974"/>
    <n v="50288"/>
    <n v="16998"/>
  </r>
  <r>
    <n v="6712"/>
    <n v="48"/>
    <x v="36"/>
    <n v="4803"/>
    <s v="อำเภอท่าอุเทน"/>
    <n v="0"/>
    <s v="-"/>
    <n v="0"/>
    <s v="-"/>
    <n v="27372"/>
    <n v="27076"/>
    <n v="54448"/>
    <n v="16593"/>
  </r>
  <r>
    <n v="6712"/>
    <n v="48"/>
    <x v="36"/>
    <n v="4804"/>
    <s v="อำเภอบ้านแพง"/>
    <n v="0"/>
    <s v="-"/>
    <n v="0"/>
    <s v="-"/>
    <n v="13259"/>
    <n v="13154"/>
    <n v="26413"/>
    <n v="8719"/>
  </r>
  <r>
    <n v="6712"/>
    <n v="48"/>
    <x v="36"/>
    <n v="4805"/>
    <s v="อำเภอธาตุพนม"/>
    <n v="0"/>
    <s v="-"/>
    <n v="0"/>
    <s v="-"/>
    <n v="35289"/>
    <n v="35882"/>
    <n v="71171"/>
    <n v="23042"/>
  </r>
  <r>
    <n v="6712"/>
    <n v="48"/>
    <x v="36"/>
    <n v="4806"/>
    <s v="อำเภอเรณูนคร"/>
    <n v="0"/>
    <s v="-"/>
    <n v="0"/>
    <s v="-"/>
    <n v="20526"/>
    <n v="20541"/>
    <n v="41067"/>
    <n v="13624"/>
  </r>
  <r>
    <n v="6712"/>
    <n v="48"/>
    <x v="36"/>
    <n v="4807"/>
    <s v="อำเภอนาแก"/>
    <n v="0"/>
    <s v="-"/>
    <n v="0"/>
    <s v="-"/>
    <n v="35610"/>
    <n v="36127"/>
    <n v="71737"/>
    <n v="22679"/>
  </r>
  <r>
    <n v="6712"/>
    <n v="48"/>
    <x v="36"/>
    <n v="4808"/>
    <s v="อำเภอศรีสงคราม"/>
    <n v="0"/>
    <s v="-"/>
    <n v="0"/>
    <s v="-"/>
    <n v="31907"/>
    <n v="32302"/>
    <n v="64209"/>
    <n v="20234"/>
  </r>
  <r>
    <n v="6712"/>
    <n v="48"/>
    <x v="36"/>
    <n v="4809"/>
    <s v="อำเภอนาหว้า"/>
    <n v="0"/>
    <s v="-"/>
    <n v="0"/>
    <s v="-"/>
    <n v="19847"/>
    <n v="19810"/>
    <n v="39657"/>
    <n v="14034"/>
  </r>
  <r>
    <n v="6712"/>
    <n v="48"/>
    <x v="36"/>
    <n v="4810"/>
    <s v="อำเภอโพนสวรรค์"/>
    <n v="0"/>
    <s v="-"/>
    <n v="0"/>
    <s v="-"/>
    <n v="26255"/>
    <n v="26346"/>
    <n v="52601"/>
    <n v="17720"/>
  </r>
  <r>
    <n v="6712"/>
    <n v="48"/>
    <x v="36"/>
    <n v="4811"/>
    <s v="อำเภอนาทม"/>
    <n v="0"/>
    <s v="-"/>
    <n v="0"/>
    <s v="-"/>
    <n v="11815"/>
    <n v="11793"/>
    <n v="23608"/>
    <n v="7983"/>
  </r>
  <r>
    <n v="6712"/>
    <n v="48"/>
    <x v="36"/>
    <n v="4812"/>
    <s v="อำเภอวังยาง"/>
    <n v="0"/>
    <s v="-"/>
    <n v="0"/>
    <s v="-"/>
    <n v="7932"/>
    <n v="7732"/>
    <n v="15664"/>
    <n v="5021"/>
  </r>
  <r>
    <n v="6712"/>
    <n v="48"/>
    <x v="36"/>
    <n v="4890"/>
    <s v="ท้องถิ่นเทศบาลตำบลปลาปาก"/>
    <n v="0"/>
    <s v="-"/>
    <n v="0"/>
    <s v="-"/>
    <n v="1871"/>
    <n v="2000"/>
    <n v="3871"/>
    <n v="1674"/>
  </r>
  <r>
    <n v="6712"/>
    <n v="48"/>
    <x v="36"/>
    <n v="4891"/>
    <s v="ท้องถิ่นเทศบาลตำบลโพนสวรรค์"/>
    <n v="0"/>
    <s v="-"/>
    <n v="0"/>
    <s v="-"/>
    <n v="2631"/>
    <n v="2674"/>
    <n v="5305"/>
    <n v="1945"/>
  </r>
  <r>
    <n v="6712"/>
    <n v="48"/>
    <x v="36"/>
    <n v="4892"/>
    <s v="ท้องถิ่นเทศบาลตำบลนาหว้า"/>
    <n v="0"/>
    <s v="-"/>
    <n v="0"/>
    <s v="-"/>
    <n v="5915"/>
    <n v="6101"/>
    <n v="12016"/>
    <n v="4452"/>
  </r>
  <r>
    <n v="6712"/>
    <n v="48"/>
    <x v="36"/>
    <n v="4893"/>
    <s v="ท้องถิ่นเทศบาลตำบลศรีสงคราม"/>
    <n v="0"/>
    <s v="-"/>
    <n v="0"/>
    <s v="-"/>
    <n v="2403"/>
    <n v="2513"/>
    <n v="4916"/>
    <n v="2713"/>
  </r>
  <r>
    <n v="6712"/>
    <n v="48"/>
    <x v="36"/>
    <n v="4894"/>
    <s v="ท้องถิ่นเทศบาลตำบลนาแก"/>
    <n v="0"/>
    <s v="-"/>
    <n v="0"/>
    <s v="-"/>
    <n v="1959"/>
    <n v="2195"/>
    <n v="4154"/>
    <n v="2396"/>
  </r>
  <r>
    <n v="6712"/>
    <n v="48"/>
    <x v="36"/>
    <n v="4895"/>
    <s v="ท้องถิ่นเทศบาลตำบลเรณูนคร"/>
    <n v="0"/>
    <s v="-"/>
    <n v="0"/>
    <s v="-"/>
    <n v="2031"/>
    <n v="2280"/>
    <n v="4311"/>
    <n v="1753"/>
  </r>
  <r>
    <n v="6712"/>
    <n v="48"/>
    <x v="36"/>
    <n v="4896"/>
    <s v="ท้องถิ่นเทศบาลตำบลธาตุพนม"/>
    <n v="0"/>
    <s v="-"/>
    <n v="0"/>
    <s v="-"/>
    <n v="4675"/>
    <n v="4961"/>
    <n v="9636"/>
    <n v="4236"/>
  </r>
  <r>
    <n v="6712"/>
    <n v="48"/>
    <x v="36"/>
    <n v="4897"/>
    <s v="ท้องถิ่นเทศบาลตำบลบ้านแพง"/>
    <n v="0"/>
    <s v="-"/>
    <n v="0"/>
    <s v="-"/>
    <n v="4232"/>
    <n v="4379"/>
    <n v="8611"/>
    <n v="3866"/>
  </r>
  <r>
    <n v="6712"/>
    <n v="48"/>
    <x v="36"/>
    <n v="4898"/>
    <s v="ท้องถิ่นเทศบาลตำบลท่าอุเทน"/>
    <n v="0"/>
    <s v="-"/>
    <n v="0"/>
    <s v="-"/>
    <n v="2278"/>
    <n v="2409"/>
    <n v="4687"/>
    <n v="2057"/>
  </r>
  <r>
    <n v="6712"/>
    <n v="48"/>
    <x v="36"/>
    <n v="4899"/>
    <s v="ท้องถิ่นเทศบาลเมืองนครพนม"/>
    <n v="0"/>
    <s v="-"/>
    <n v="0"/>
    <s v="-"/>
    <n v="12172"/>
    <n v="13875"/>
    <n v="26047"/>
    <n v="16152"/>
  </r>
  <r>
    <n v="6712"/>
    <n v="49"/>
    <x v="37"/>
    <n v="0"/>
    <s v="-"/>
    <n v="0"/>
    <s v="-"/>
    <n v="0"/>
    <s v="-"/>
    <n v="174977"/>
    <n v="175533"/>
    <n v="350510"/>
    <n v="126326"/>
  </r>
  <r>
    <n v="6712"/>
    <n v="49"/>
    <x v="37"/>
    <n v="4901"/>
    <s v="อำเภอเมืองมุกดาหาร"/>
    <n v="0"/>
    <s v="-"/>
    <n v="0"/>
    <s v="-"/>
    <n v="40311"/>
    <n v="39830"/>
    <n v="80141"/>
    <n v="28489"/>
  </r>
  <r>
    <n v="6712"/>
    <n v="49"/>
    <x v="37"/>
    <n v="4902"/>
    <s v="อำเภอนิคมคำสร้อย"/>
    <n v="0"/>
    <s v="-"/>
    <n v="0"/>
    <s v="-"/>
    <n v="16930"/>
    <n v="17041"/>
    <n v="33971"/>
    <n v="10666"/>
  </r>
  <r>
    <n v="6712"/>
    <n v="49"/>
    <x v="37"/>
    <n v="4903"/>
    <s v="อำเภอดอนตาล"/>
    <n v="0"/>
    <s v="-"/>
    <n v="0"/>
    <s v="-"/>
    <n v="19484"/>
    <n v="19276"/>
    <n v="38760"/>
    <n v="12387"/>
  </r>
  <r>
    <n v="6712"/>
    <n v="49"/>
    <x v="37"/>
    <n v="4904"/>
    <s v="อำเภอดงหลวง"/>
    <n v="0"/>
    <s v="-"/>
    <n v="0"/>
    <s v="-"/>
    <n v="19725"/>
    <n v="19361"/>
    <n v="39086"/>
    <n v="12797"/>
  </r>
  <r>
    <n v="6712"/>
    <n v="49"/>
    <x v="37"/>
    <n v="4905"/>
    <s v="อำเภอคำชะอี"/>
    <n v="0"/>
    <s v="-"/>
    <n v="0"/>
    <s v="-"/>
    <n v="21920"/>
    <n v="21985"/>
    <n v="43905"/>
    <n v="15234"/>
  </r>
  <r>
    <n v="6712"/>
    <n v="49"/>
    <x v="37"/>
    <n v="4906"/>
    <s v="อำเภอหว้านใหญ่"/>
    <n v="0"/>
    <s v="-"/>
    <n v="0"/>
    <s v="-"/>
    <n v="10068"/>
    <n v="10146"/>
    <n v="20214"/>
    <n v="6806"/>
  </r>
  <r>
    <n v="6712"/>
    <n v="49"/>
    <x v="37"/>
    <n v="4907"/>
    <s v="อำเภอหนองสูง"/>
    <n v="0"/>
    <s v="-"/>
    <n v="0"/>
    <s v="-"/>
    <n v="10214"/>
    <n v="10290"/>
    <n v="20504"/>
    <n v="7795"/>
  </r>
  <r>
    <n v="6712"/>
    <n v="49"/>
    <x v="37"/>
    <n v="4989"/>
    <s v="ท้องถิ่นเทศบาลตำบลร่มเกล้า"/>
    <n v="0"/>
    <s v="-"/>
    <n v="0"/>
    <s v="-"/>
    <n v="1699"/>
    <n v="1622"/>
    <n v="3321"/>
    <n v="1114"/>
  </r>
  <r>
    <n v="6712"/>
    <n v="49"/>
    <x v="37"/>
    <n v="4993"/>
    <s v="ท้องถิ่นเทศบาลตำบลบ้านแก้ง"/>
    <n v="0"/>
    <s v="-"/>
    <n v="0"/>
    <s v="-"/>
    <n v="1530"/>
    <n v="1553"/>
    <n v="3083"/>
    <n v="1041"/>
  </r>
  <r>
    <n v="6712"/>
    <n v="49"/>
    <x v="37"/>
    <n v="4994"/>
    <s v="ท้องถิ่นเทศบาลตำบลคำอาฮวน"/>
    <n v="0"/>
    <s v="-"/>
    <n v="0"/>
    <s v="-"/>
    <n v="6547"/>
    <n v="6449"/>
    <n v="12996"/>
    <n v="5108"/>
  </r>
  <r>
    <n v="6712"/>
    <n v="49"/>
    <x v="37"/>
    <n v="4995"/>
    <s v="ท้องถิ่นเทศบาลตำบลดงเย็น"/>
    <n v="0"/>
    <s v="-"/>
    <n v="0"/>
    <s v="-"/>
    <n v="5488"/>
    <n v="5273"/>
    <n v="10761"/>
    <n v="3202"/>
  </r>
  <r>
    <n v="6712"/>
    <n v="49"/>
    <x v="37"/>
    <n v="4996"/>
    <s v="ท้องถิ่นเทศบาลตำบลคำชะอี"/>
    <n v="0"/>
    <s v="-"/>
    <n v="0"/>
    <s v="-"/>
    <n v="1131"/>
    <n v="1146"/>
    <n v="2277"/>
    <n v="1156"/>
  </r>
  <r>
    <n v="6712"/>
    <n v="49"/>
    <x v="37"/>
    <n v="4997"/>
    <s v="ท้องถิ่นเทศบาลตำบลดอนตาล"/>
    <n v="0"/>
    <s v="-"/>
    <n v="0"/>
    <s v="-"/>
    <n v="1128"/>
    <n v="1295"/>
    <n v="2423"/>
    <n v="1003"/>
  </r>
  <r>
    <n v="6712"/>
    <n v="49"/>
    <x v="37"/>
    <n v="4998"/>
    <s v="ท้องถิ่นเทศบาลตำบลนิคมคำสร้อย"/>
    <n v="0"/>
    <s v="-"/>
    <n v="0"/>
    <s v="-"/>
    <n v="2948"/>
    <n v="3125"/>
    <n v="6073"/>
    <n v="2465"/>
  </r>
  <r>
    <n v="6712"/>
    <n v="49"/>
    <x v="37"/>
    <n v="4999"/>
    <s v="ท้องถิ่นเทศบาลเมืองมุกดาหาร"/>
    <n v="0"/>
    <s v="-"/>
    <n v="0"/>
    <s v="-"/>
    <n v="15854"/>
    <n v="17141"/>
    <n v="32995"/>
    <n v="17063"/>
  </r>
  <r>
    <n v="6712"/>
    <n v="50"/>
    <x v="38"/>
    <n v="0"/>
    <s v="-"/>
    <n v="0"/>
    <s v="-"/>
    <n v="0"/>
    <s v="-"/>
    <n v="865486"/>
    <n v="933533"/>
    <n v="1799019"/>
    <n v="900484"/>
  </r>
  <r>
    <n v="6712"/>
    <n v="50"/>
    <x v="38"/>
    <n v="5001"/>
    <s v="อำเภอเมืองเชียงใหม่"/>
    <n v="0"/>
    <s v="-"/>
    <n v="0"/>
    <s v="-"/>
    <n v="7069"/>
    <n v="8007"/>
    <n v="15076"/>
    <n v="12110"/>
  </r>
  <r>
    <n v="6712"/>
    <n v="50"/>
    <x v="38"/>
    <n v="5002"/>
    <s v="อำเภอจอมทอง"/>
    <n v="0"/>
    <s v="-"/>
    <n v="0"/>
    <s v="-"/>
    <n v="27631"/>
    <n v="28893"/>
    <n v="56524"/>
    <n v="21254"/>
  </r>
  <r>
    <n v="6712"/>
    <n v="50"/>
    <x v="38"/>
    <n v="5003"/>
    <s v="อำเภอแม่แจ่ม"/>
    <n v="0"/>
    <s v="-"/>
    <n v="0"/>
    <s v="-"/>
    <n v="29447"/>
    <n v="28544"/>
    <n v="57991"/>
    <n v="19448"/>
  </r>
  <r>
    <n v="6712"/>
    <n v="50"/>
    <x v="38"/>
    <n v="5004"/>
    <s v="อำเภอเชียงดาว"/>
    <n v="0"/>
    <s v="-"/>
    <n v="0"/>
    <s v="-"/>
    <n v="13835"/>
    <n v="14392"/>
    <n v="28227"/>
    <n v="12238"/>
  </r>
  <r>
    <n v="6712"/>
    <n v="50"/>
    <x v="38"/>
    <n v="5005"/>
    <s v="อำเภอดอยสะเก็ด"/>
    <n v="0"/>
    <s v="-"/>
    <n v="0"/>
    <s v="-"/>
    <n v="22787"/>
    <n v="25424"/>
    <n v="48211"/>
    <n v="25360"/>
  </r>
  <r>
    <n v="6712"/>
    <n v="50"/>
    <x v="38"/>
    <n v="5006"/>
    <s v="อำเภอแม่แตง"/>
    <n v="0"/>
    <s v="-"/>
    <n v="0"/>
    <s v="-"/>
    <n v="29530"/>
    <n v="30077"/>
    <n v="59607"/>
    <n v="25979"/>
  </r>
  <r>
    <n v="6712"/>
    <n v="50"/>
    <x v="38"/>
    <n v="5007"/>
    <s v="อำเภอแม่ริม"/>
    <n v="0"/>
    <s v="-"/>
    <n v="0"/>
    <s v="-"/>
    <n v="41106"/>
    <n v="43422"/>
    <n v="84528"/>
    <n v="40928"/>
  </r>
  <r>
    <n v="6712"/>
    <n v="50"/>
    <x v="38"/>
    <n v="5008"/>
    <s v="อำเภอสะเมิง"/>
    <n v="0"/>
    <s v="-"/>
    <n v="0"/>
    <s v="-"/>
    <n v="9263"/>
    <n v="8966"/>
    <n v="18229"/>
    <n v="6406"/>
  </r>
  <r>
    <n v="6712"/>
    <n v="50"/>
    <x v="38"/>
    <n v="5009"/>
    <s v="อำเภอฝาง"/>
    <n v="0"/>
    <s v="-"/>
    <n v="0"/>
    <s v="-"/>
    <n v="55758"/>
    <n v="56854"/>
    <n v="112612"/>
    <n v="43035"/>
  </r>
  <r>
    <n v="6712"/>
    <n v="50"/>
    <x v="38"/>
    <n v="5010"/>
    <s v="อำเภอแม่อาย"/>
    <n v="0"/>
    <s v="-"/>
    <n v="0"/>
    <s v="-"/>
    <n v="34192"/>
    <n v="34339"/>
    <n v="68531"/>
    <n v="27309"/>
  </r>
  <r>
    <n v="6712"/>
    <n v="50"/>
    <x v="38"/>
    <n v="5011"/>
    <s v="อำเภอพร้าว"/>
    <n v="0"/>
    <s v="-"/>
    <n v="0"/>
    <s v="-"/>
    <n v="17755"/>
    <n v="18316"/>
    <n v="36071"/>
    <n v="16185"/>
  </r>
  <r>
    <n v="6712"/>
    <n v="50"/>
    <x v="38"/>
    <n v="5012"/>
    <s v="อำเภอสันป่าตอง"/>
    <n v="0"/>
    <s v="-"/>
    <n v="0"/>
    <s v="-"/>
    <n v="27246"/>
    <n v="31155"/>
    <n v="58401"/>
    <n v="26903"/>
  </r>
  <r>
    <n v="6712"/>
    <n v="50"/>
    <x v="38"/>
    <n v="5013"/>
    <s v="อำเภอสันกำแพง"/>
    <n v="0"/>
    <s v="-"/>
    <n v="0"/>
    <s v="-"/>
    <n v="20708"/>
    <n v="23586"/>
    <n v="44294"/>
    <n v="24814"/>
  </r>
  <r>
    <n v="6712"/>
    <n v="50"/>
    <x v="38"/>
    <n v="5014"/>
    <s v="อำเภอสันทราย"/>
    <n v="0"/>
    <s v="-"/>
    <n v="0"/>
    <s v="-"/>
    <n v="10571"/>
    <n v="11916"/>
    <n v="22487"/>
    <n v="11713"/>
  </r>
  <r>
    <n v="6712"/>
    <n v="50"/>
    <x v="38"/>
    <n v="5015"/>
    <s v="อำเภอหางดง"/>
    <n v="0"/>
    <s v="-"/>
    <n v="0"/>
    <s v="-"/>
    <n v="37284"/>
    <n v="42668"/>
    <n v="79952"/>
    <n v="48482"/>
  </r>
  <r>
    <n v="6712"/>
    <n v="50"/>
    <x v="38"/>
    <n v="5016"/>
    <s v="อำเภอฮอด"/>
    <n v="0"/>
    <s v="-"/>
    <n v="0"/>
    <s v="-"/>
    <n v="12330"/>
    <n v="12633"/>
    <n v="24963"/>
    <n v="9985"/>
  </r>
  <r>
    <n v="6712"/>
    <n v="50"/>
    <x v="38"/>
    <n v="5017"/>
    <s v="อำเภอดอยเต่า"/>
    <n v="0"/>
    <s v="-"/>
    <n v="0"/>
    <s v="-"/>
    <n v="11095"/>
    <n v="11293"/>
    <n v="22388"/>
    <n v="8998"/>
  </r>
  <r>
    <n v="6712"/>
    <n v="50"/>
    <x v="38"/>
    <n v="5018"/>
    <s v="อำเภออมก๋อย"/>
    <n v="0"/>
    <s v="-"/>
    <n v="0"/>
    <s v="-"/>
    <n v="31381"/>
    <n v="30976"/>
    <n v="62357"/>
    <n v="24185"/>
  </r>
  <r>
    <n v="6712"/>
    <n v="50"/>
    <x v="38"/>
    <n v="5019"/>
    <s v="อำเภอสารภี"/>
    <n v="0"/>
    <s v="-"/>
    <n v="0"/>
    <s v="-"/>
    <n v="23372"/>
    <n v="27021"/>
    <n v="50393"/>
    <n v="26501"/>
  </r>
  <r>
    <n v="6712"/>
    <n v="50"/>
    <x v="38"/>
    <n v="5020"/>
    <s v="อำเภอเวียงแหง"/>
    <n v="0"/>
    <s v="-"/>
    <n v="0"/>
    <s v="-"/>
    <n v="27433"/>
    <n v="26776"/>
    <n v="54209"/>
    <n v="10301"/>
  </r>
  <r>
    <n v="6712"/>
    <n v="50"/>
    <x v="38"/>
    <n v="5021"/>
    <s v="อำเภอไชยปราการ"/>
    <n v="0"/>
    <s v="-"/>
    <n v="0"/>
    <s v="-"/>
    <n v="17706"/>
    <n v="17770"/>
    <n v="35476"/>
    <n v="12323"/>
  </r>
  <r>
    <n v="6712"/>
    <n v="50"/>
    <x v="38"/>
    <n v="5022"/>
    <s v="อำเภอแม่วาง"/>
    <n v="0"/>
    <s v="-"/>
    <n v="0"/>
    <s v="-"/>
    <n v="13613"/>
    <n v="13833"/>
    <n v="27446"/>
    <n v="10423"/>
  </r>
  <r>
    <n v="6712"/>
    <n v="50"/>
    <x v="38"/>
    <n v="5023"/>
    <s v="อำเภอแม่ออน"/>
    <n v="0"/>
    <s v="-"/>
    <n v="0"/>
    <s v="-"/>
    <n v="10211"/>
    <n v="10519"/>
    <n v="20730"/>
    <n v="10094"/>
  </r>
  <r>
    <n v="6712"/>
    <n v="50"/>
    <x v="38"/>
    <n v="5024"/>
    <s v="อำเภอดอยหล่อ"/>
    <n v="0"/>
    <s v="-"/>
    <n v="0"/>
    <s v="-"/>
    <n v="11752"/>
    <n v="12633"/>
    <n v="24385"/>
    <n v="12068"/>
  </r>
  <r>
    <n v="6712"/>
    <n v="50"/>
    <x v="38"/>
    <n v="5025"/>
    <s v="อำเภอกัลยาณิวัฒนา"/>
    <n v="0"/>
    <s v="-"/>
    <n v="0"/>
    <s v="-"/>
    <n v="6709"/>
    <n v="6384"/>
    <n v="13093"/>
    <n v="4736"/>
  </r>
  <r>
    <n v="6712"/>
    <n v="50"/>
    <x v="38"/>
    <n v="5040"/>
    <s v="ท้องถิ่นเทศบาลตำบลบวกค้าง"/>
    <n v="0"/>
    <s v="-"/>
    <n v="0"/>
    <s v="-"/>
    <n v="4144"/>
    <n v="4631"/>
    <n v="8775"/>
    <n v="4322"/>
  </r>
  <r>
    <n v="6712"/>
    <n v="50"/>
    <x v="38"/>
    <n v="5041"/>
    <s v="ท้องถิ่นเทศบาลตำบลบ่อหลวง"/>
    <n v="0"/>
    <s v="-"/>
    <n v="0"/>
    <s v="-"/>
    <n v="5939"/>
    <n v="5977"/>
    <n v="11916"/>
    <n v="3997"/>
  </r>
  <r>
    <n v="6712"/>
    <n v="50"/>
    <x v="38"/>
    <n v="5042"/>
    <s v="ท้องถิ่นเทศบาลตำบลป่าไผ่"/>
    <n v="0"/>
    <s v="-"/>
    <n v="0"/>
    <s v="-"/>
    <n v="7491"/>
    <n v="8447"/>
    <n v="15938"/>
    <n v="7348"/>
  </r>
  <r>
    <n v="6712"/>
    <n v="50"/>
    <x v="38"/>
    <n v="5043"/>
    <s v="ท้องถิ่นเทศบาลตำบลสันนาเม็ง"/>
    <n v="0"/>
    <s v="-"/>
    <n v="0"/>
    <s v="-"/>
    <n v="6367"/>
    <n v="7601"/>
    <n v="13968"/>
    <n v="8993"/>
  </r>
  <r>
    <n v="6712"/>
    <n v="50"/>
    <x v="38"/>
    <n v="5044"/>
    <s v="ท้องถิ่นเทศบาลตำบลสันพระเนตร"/>
    <n v="0"/>
    <s v="-"/>
    <n v="0"/>
    <s v="-"/>
    <n v="2895"/>
    <n v="3462"/>
    <n v="6357"/>
    <n v="3683"/>
  </r>
  <r>
    <n v="6712"/>
    <n v="50"/>
    <x v="38"/>
    <n v="5046"/>
    <s v="ท้องถิ่นเทศบาลตำบลสันปูเลย"/>
    <n v="0"/>
    <s v="-"/>
    <n v="0"/>
    <s v="-"/>
    <n v="8623"/>
    <n v="10088"/>
    <n v="18711"/>
    <n v="10814"/>
  </r>
  <r>
    <n v="6712"/>
    <n v="50"/>
    <x v="38"/>
    <n v="5049"/>
    <s v="ท้องถิ่นเทศบาลตำบลเชิงดอย"/>
    <n v="0"/>
    <s v="-"/>
    <n v="0"/>
    <s v="-"/>
    <n v="3856"/>
    <n v="4201"/>
    <n v="8057"/>
    <n v="4053"/>
  </r>
  <r>
    <n v="6712"/>
    <n v="50"/>
    <x v="38"/>
    <n v="5050"/>
    <s v="ท้องถิ่นเทศบาลตำบลเมืองนะ"/>
    <n v="0"/>
    <s v="-"/>
    <n v="0"/>
    <s v="-"/>
    <n v="18888"/>
    <n v="19505"/>
    <n v="38393"/>
    <n v="10171"/>
  </r>
  <r>
    <n v="6712"/>
    <n v="50"/>
    <x v="38"/>
    <n v="5054"/>
    <s v="ท้องถิ่นเทศบาลตำบลทุ่งข้าวพวง"/>
    <n v="0"/>
    <s v="-"/>
    <n v="0"/>
    <s v="-"/>
    <n v="5607"/>
    <n v="5498"/>
    <n v="11105"/>
    <n v="3195"/>
  </r>
  <r>
    <n v="6712"/>
    <n v="50"/>
    <x v="38"/>
    <n v="5055"/>
    <s v="ท้องถิ่นเทศบาลตำบลปิงโค้ง"/>
    <n v="0"/>
    <s v="-"/>
    <n v="0"/>
    <s v="-"/>
    <n v="7631"/>
    <n v="6708"/>
    <n v="14339"/>
    <n v="4775"/>
  </r>
  <r>
    <n v="6712"/>
    <n v="50"/>
    <x v="38"/>
    <n v="5056"/>
    <s v="ท้องถิ่นเทศบาลตำบลพระธาตุปู่ก่ำ"/>
    <n v="0"/>
    <s v="-"/>
    <n v="0"/>
    <s v="-"/>
    <n v="1148"/>
    <n v="1213"/>
    <n v="2361"/>
    <n v="1213"/>
  </r>
  <r>
    <n v="6712"/>
    <n v="50"/>
    <x v="38"/>
    <n v="5057"/>
    <s v="ท้องถิ่นเทศบาลเมืองแม่เหียะ"/>
    <n v="0"/>
    <s v="-"/>
    <n v="0"/>
    <s v="-"/>
    <n v="8924"/>
    <n v="11043"/>
    <n v="19967"/>
    <n v="14290"/>
  </r>
  <r>
    <n v="6712"/>
    <n v="50"/>
    <x v="38"/>
    <n v="5058"/>
    <s v="ท้องถิ่นเทศบาลตำบลสารภี"/>
    <n v="0"/>
    <s v="-"/>
    <n v="0"/>
    <s v="-"/>
    <n v="3036"/>
    <n v="3518"/>
    <n v="6554"/>
    <n v="2911"/>
  </r>
  <r>
    <n v="6712"/>
    <n v="50"/>
    <x v="38"/>
    <n v="5059"/>
    <s v="ท้องถิ่นเทศบาลตำบลฟ้าฮ่าม"/>
    <n v="0"/>
    <s v="-"/>
    <n v="0"/>
    <s v="-"/>
    <n v="3269"/>
    <n v="3909"/>
    <n v="7178"/>
    <n v="9881"/>
  </r>
  <r>
    <n v="6712"/>
    <n v="50"/>
    <x v="38"/>
    <n v="5060"/>
    <s v="ท้องถิ่นเทศบาลตำบลหนองจ๊อม"/>
    <n v="0"/>
    <s v="-"/>
    <n v="0"/>
    <s v="-"/>
    <n v="7980"/>
    <n v="9626"/>
    <n v="17606"/>
    <n v="9887"/>
  </r>
  <r>
    <n v="6712"/>
    <n v="50"/>
    <x v="38"/>
    <n v="5061"/>
    <s v="ท้องถิ่นเทศบาลตำบลหนองหอย"/>
    <n v="0"/>
    <s v="-"/>
    <n v="0"/>
    <s v="-"/>
    <n v="3578"/>
    <n v="4385"/>
    <n v="7963"/>
    <n v="5764"/>
  </r>
  <r>
    <n v="6712"/>
    <n v="50"/>
    <x v="38"/>
    <n v="5062"/>
    <s v="ท้องถิ่นเทศบาลตำบลแม่แฝก"/>
    <n v="0"/>
    <s v="-"/>
    <n v="0"/>
    <s v="-"/>
    <n v="4164"/>
    <n v="4819"/>
    <n v="8983"/>
    <n v="4104"/>
  </r>
  <r>
    <n v="6712"/>
    <n v="50"/>
    <x v="38"/>
    <n v="5063"/>
    <s v="ท้องถิ่นเทศบาลตำบลท่าศาลา"/>
    <n v="0"/>
    <s v="-"/>
    <n v="0"/>
    <s v="-"/>
    <n v="3361"/>
    <n v="3936"/>
    <n v="7297"/>
    <n v="5723"/>
  </r>
  <r>
    <n v="6712"/>
    <n v="50"/>
    <x v="38"/>
    <n v="5064"/>
    <s v="ท้องถิ่นเทศบาลตำบลหนองผึ้ง"/>
    <n v="0"/>
    <s v="-"/>
    <n v="0"/>
    <s v="-"/>
    <n v="7576"/>
    <n v="8926"/>
    <n v="16502"/>
    <n v="9418"/>
  </r>
  <r>
    <n v="6712"/>
    <n v="50"/>
    <x v="38"/>
    <n v="5065"/>
    <s v="ท้องถิ่นเทศบาลตำบลเจดีย์แม่ครัว"/>
    <n v="0"/>
    <s v="-"/>
    <n v="0"/>
    <s v="-"/>
    <n v="4059"/>
    <n v="4506"/>
    <n v="8565"/>
    <n v="4390"/>
  </r>
  <r>
    <n v="6712"/>
    <n v="50"/>
    <x v="38"/>
    <n v="5066"/>
    <s v="ท้องถิ่นเทศบาลตำบลแม่ปั๋ง"/>
    <n v="0"/>
    <s v="-"/>
    <n v="0"/>
    <s v="-"/>
    <n v="2907"/>
    <n v="3032"/>
    <n v="5939"/>
    <n v="2749"/>
  </r>
  <r>
    <n v="6712"/>
    <n v="50"/>
    <x v="38"/>
    <n v="5067"/>
    <s v="ท้องถิ่นเทศบาลตำบลชมภู"/>
    <n v="0"/>
    <s v="-"/>
    <n v="0"/>
    <s v="-"/>
    <n v="3791"/>
    <n v="4173"/>
    <n v="7964"/>
    <n v="3517"/>
  </r>
  <r>
    <n v="6712"/>
    <n v="50"/>
    <x v="38"/>
    <n v="5068"/>
    <s v="ท้องถิ่นเทศบาลตำบลป่าแดด"/>
    <n v="0"/>
    <s v="-"/>
    <n v="0"/>
    <s v="-"/>
    <n v="8260"/>
    <n v="9858"/>
    <n v="18118"/>
    <n v="11719"/>
  </r>
  <r>
    <n v="6712"/>
    <n v="50"/>
    <x v="38"/>
    <n v="5069"/>
    <s v="ท้องถิ่นเทศบาลตำบลสุเทพ"/>
    <n v="0"/>
    <s v="-"/>
    <n v="0"/>
    <s v="-"/>
    <n v="8281"/>
    <n v="8592"/>
    <n v="16873"/>
    <n v="11842"/>
  </r>
  <r>
    <n v="6712"/>
    <n v="50"/>
    <x v="38"/>
    <n v="5070"/>
    <s v="ท้องถิ่นเทศบาลตำบลหนองป่าครั่ง"/>
    <n v="0"/>
    <s v="-"/>
    <n v="0"/>
    <s v="-"/>
    <n v="3459"/>
    <n v="3911"/>
    <n v="7370"/>
    <n v="6486"/>
  </r>
  <r>
    <n v="6712"/>
    <n v="50"/>
    <x v="38"/>
    <n v="5071"/>
    <s v="ท้องถิ่นเทศบาลตำบลแม่วาง"/>
    <n v="0"/>
    <s v="-"/>
    <n v="0"/>
    <s v="-"/>
    <n v="2125"/>
    <n v="2374"/>
    <n v="4499"/>
    <n v="2331"/>
  </r>
  <r>
    <n v="6712"/>
    <n v="50"/>
    <x v="38"/>
    <n v="5072"/>
    <s v="ท้องถิ่นเทศบาลตำบลไชยปราการ"/>
    <n v="0"/>
    <s v="-"/>
    <n v="0"/>
    <s v="-"/>
    <n v="7257"/>
    <n v="8055"/>
    <n v="15312"/>
    <n v="6763"/>
  </r>
  <r>
    <n v="6712"/>
    <n v="50"/>
    <x v="38"/>
    <n v="5073"/>
    <s v="ท้องถิ่นเทศบาลตำบลยางเนิ้ง"/>
    <n v="0"/>
    <s v="-"/>
    <n v="0"/>
    <s v="-"/>
    <n v="5079"/>
    <n v="6100"/>
    <n v="11179"/>
    <n v="6319"/>
  </r>
  <r>
    <n v="6712"/>
    <n v="50"/>
    <x v="38"/>
    <n v="5074"/>
    <s v="ท้องถิ่นเทศบาลตำบลอมก๋อย"/>
    <n v="0"/>
    <s v="-"/>
    <n v="0"/>
    <s v="-"/>
    <n v="546"/>
    <n v="507"/>
    <n v="1053"/>
    <n v="858"/>
  </r>
  <r>
    <n v="6712"/>
    <n v="50"/>
    <x v="38"/>
    <n v="5075"/>
    <s v="ท้องถิ่นเทศบาลตำบลท่าเดื่อ-มืดกา"/>
    <n v="0"/>
    <s v="-"/>
    <n v="0"/>
    <s v="-"/>
    <n v="2003"/>
    <n v="2139"/>
    <n v="4142"/>
    <n v="1916"/>
  </r>
  <r>
    <n v="6712"/>
    <n v="50"/>
    <x v="38"/>
    <n v="5076"/>
    <s v="ท้องถิ่นเทศบาลตำบลท่าข้าม"/>
    <n v="0"/>
    <s v="-"/>
    <n v="0"/>
    <s v="-"/>
    <n v="2665"/>
    <n v="2894"/>
    <n v="5559"/>
    <n v="3679"/>
  </r>
  <r>
    <n v="6712"/>
    <n v="50"/>
    <x v="38"/>
    <n v="5077"/>
    <s v="ท้องถิ่นเทศบาลตำบลหางดง"/>
    <n v="0"/>
    <s v="-"/>
    <n v="0"/>
    <s v="-"/>
    <n v="2902"/>
    <n v="3539"/>
    <n v="6441"/>
    <n v="4099"/>
  </r>
  <r>
    <n v="6712"/>
    <n v="50"/>
    <x v="38"/>
    <n v="5078"/>
    <s v="ท้องถิ่นเทศบาลตำบลหนองตองพัฒนา"/>
    <n v="0"/>
    <s v="-"/>
    <n v="0"/>
    <s v="-"/>
    <n v="3746"/>
    <n v="4396"/>
    <n v="8142"/>
    <n v="3698"/>
  </r>
  <r>
    <n v="6712"/>
    <n v="50"/>
    <x v="38"/>
    <n v="5079"/>
    <s v="ท้องถิ่นเทศบาลตำบลสันทรายหลวง"/>
    <n v="0"/>
    <s v="-"/>
    <n v="0"/>
    <s v="-"/>
    <n v="13385"/>
    <n v="16149"/>
    <n v="29534"/>
    <n v="17318"/>
  </r>
  <r>
    <n v="6712"/>
    <n v="50"/>
    <x v="38"/>
    <n v="5080"/>
    <s v="ท้องถิ่นเทศบาลเมืองแม่โจ้"/>
    <n v="0"/>
    <s v="-"/>
    <n v="0"/>
    <s v="-"/>
    <n v="10540"/>
    <n v="12648"/>
    <n v="23188"/>
    <n v="15532"/>
  </r>
  <r>
    <n v="6712"/>
    <n v="50"/>
    <x v="38"/>
    <n v="5081"/>
    <s v="ท้องถิ่นเทศบาลตำบลสันกำแพง"/>
    <n v="0"/>
    <s v="-"/>
    <n v="0"/>
    <s v="-"/>
    <n v="8044"/>
    <n v="9406"/>
    <n v="17450"/>
    <n v="9638"/>
  </r>
  <r>
    <n v="6712"/>
    <n v="50"/>
    <x v="38"/>
    <n v="5082"/>
    <s v="ท้องถิ่นเทศบาลเมืองต้นเปา"/>
    <n v="0"/>
    <s v="-"/>
    <n v="0"/>
    <s v="-"/>
    <n v="9345"/>
    <n v="11337"/>
    <n v="20682"/>
    <n v="14372"/>
  </r>
  <r>
    <n v="6712"/>
    <n v="50"/>
    <x v="38"/>
    <n v="5083"/>
    <s v="ท้องถิ่นเทศบาลตำบลสันป่าตอง"/>
    <n v="0"/>
    <s v="-"/>
    <n v="0"/>
    <s v="-"/>
    <n v="1926"/>
    <n v="2305"/>
    <n v="4231"/>
    <n v="2849"/>
  </r>
  <r>
    <n v="6712"/>
    <n v="50"/>
    <x v="38"/>
    <n v="5084"/>
    <s v="ท้องถิ่นเทศบาลตำบลบ้านกลาง"/>
    <n v="0"/>
    <s v="-"/>
    <n v="0"/>
    <s v="-"/>
    <n v="4788"/>
    <n v="5461"/>
    <n v="10249"/>
    <n v="5652"/>
  </r>
  <r>
    <n v="6712"/>
    <n v="50"/>
    <x v="38"/>
    <n v="5085"/>
    <s v="ท้องถิ่นเทศบาลตำบลเวียงพร้าว"/>
    <n v="0"/>
    <s v="-"/>
    <n v="0"/>
    <s v="-"/>
    <n v="2035"/>
    <n v="2415"/>
    <n v="4450"/>
    <n v="2908"/>
  </r>
  <r>
    <n v="6712"/>
    <n v="50"/>
    <x v="38"/>
    <n v="5086"/>
    <s v="ท้องถิ่นเทศบาลตำบลแม่อาย"/>
    <n v="0"/>
    <s v="-"/>
    <n v="0"/>
    <s v="-"/>
    <n v="4953"/>
    <n v="5420"/>
    <n v="10373"/>
    <n v="4579"/>
  </r>
  <r>
    <n v="6712"/>
    <n v="50"/>
    <x v="38"/>
    <n v="5087"/>
    <s v="ท้องถิ่นเทศบาลตำบลเวียงฝาง"/>
    <n v="0"/>
    <s v="-"/>
    <n v="0"/>
    <s v="-"/>
    <n v="3945"/>
    <n v="4271"/>
    <n v="8216"/>
    <n v="4065"/>
  </r>
  <r>
    <n v="6712"/>
    <n v="50"/>
    <x v="38"/>
    <n v="5088"/>
    <s v="ท้องถิ่นเทศบาลตำบลบ้านแม่ข่า"/>
    <n v="0"/>
    <s v="-"/>
    <n v="0"/>
    <s v="-"/>
    <n v="891"/>
    <n v="938"/>
    <n v="1829"/>
    <n v="874"/>
  </r>
  <r>
    <n v="6712"/>
    <n v="50"/>
    <x v="38"/>
    <n v="5089"/>
    <s v="ท้องถิ่นเทศบาลตำบลสะเมิงใต้"/>
    <n v="0"/>
    <s v="-"/>
    <n v="0"/>
    <s v="-"/>
    <n v="2612"/>
    <n v="2654"/>
    <n v="5266"/>
    <n v="2807"/>
  </r>
  <r>
    <n v="6712"/>
    <n v="50"/>
    <x v="38"/>
    <n v="5090"/>
    <s v="ท้องถิ่นเทศบาลตำบลแม่ริม"/>
    <n v="0"/>
    <s v="-"/>
    <n v="0"/>
    <s v="-"/>
    <n v="4238"/>
    <n v="4887"/>
    <n v="9125"/>
    <n v="6000"/>
  </r>
  <r>
    <n v="6712"/>
    <n v="50"/>
    <x v="38"/>
    <n v="5091"/>
    <s v="ท้องถิ่นเทศบาลตำบลสันมหาพน"/>
    <n v="0"/>
    <s v="-"/>
    <n v="0"/>
    <s v="-"/>
    <n v="3814"/>
    <n v="4348"/>
    <n v="8162"/>
    <n v="5282"/>
  </r>
  <r>
    <n v="6712"/>
    <n v="50"/>
    <x v="38"/>
    <n v="5092"/>
    <s v="ท้องถิ่นเทศบาลเมืองเมืองแกนพัฒนา"/>
    <n v="0"/>
    <s v="-"/>
    <n v="0"/>
    <s v="-"/>
    <n v="5648"/>
    <n v="6256"/>
    <n v="11904"/>
    <n v="5904"/>
  </r>
  <r>
    <n v="6712"/>
    <n v="50"/>
    <x v="38"/>
    <n v="5093"/>
    <s v="ท้องถิ่นเทศบาลตำบลดอยสะเก็ด"/>
    <n v="0"/>
    <s v="-"/>
    <n v="0"/>
    <s v="-"/>
    <n v="1836"/>
    <n v="2131"/>
    <n v="3967"/>
    <n v="2212"/>
  </r>
  <r>
    <n v="6712"/>
    <n v="50"/>
    <x v="38"/>
    <n v="5094"/>
    <s v="ท้องถิ่นเทศบาลตำบลเมืองงาย"/>
    <n v="0"/>
    <s v="-"/>
    <n v="0"/>
    <s v="-"/>
    <n v="1725"/>
    <n v="1983"/>
    <n v="3708"/>
    <n v="2068"/>
  </r>
  <r>
    <n v="6712"/>
    <n v="50"/>
    <x v="38"/>
    <n v="5095"/>
    <s v="ท้องถิ่นเทศบาลตำบลเชียงดาว"/>
    <n v="0"/>
    <s v="-"/>
    <n v="0"/>
    <s v="-"/>
    <n v="1717"/>
    <n v="1970"/>
    <n v="3687"/>
    <n v="2421"/>
  </r>
  <r>
    <n v="6712"/>
    <n v="50"/>
    <x v="38"/>
    <n v="5096"/>
    <s v="ท้องถิ่นเทศบาลตำบลแม่แจ่ม"/>
    <n v="0"/>
    <s v="-"/>
    <n v="0"/>
    <s v="-"/>
    <n v="1233"/>
    <n v="1293"/>
    <n v="2526"/>
    <n v="1697"/>
  </r>
  <r>
    <n v="6712"/>
    <n v="50"/>
    <x v="38"/>
    <n v="5097"/>
    <s v="ท้องถิ่นเทศบาลตำบลจอมทอง"/>
    <n v="0"/>
    <s v="-"/>
    <n v="0"/>
    <s v="-"/>
    <n v="4083"/>
    <n v="4818"/>
    <n v="8901"/>
    <n v="4662"/>
  </r>
  <r>
    <n v="6712"/>
    <n v="50"/>
    <x v="38"/>
    <n v="5098"/>
    <s v="ท้องถิ่นเทศบาลตำบลช้างเผือก"/>
    <n v="0"/>
    <s v="-"/>
    <n v="0"/>
    <s v="-"/>
    <n v="4097"/>
    <n v="4638"/>
    <n v="8735"/>
    <n v="9515"/>
  </r>
  <r>
    <n v="6712"/>
    <n v="50"/>
    <x v="38"/>
    <n v="5099"/>
    <s v="ท้องถิ่นเทศบาลนครเชียงใหม่"/>
    <n v="0"/>
    <s v="-"/>
    <n v="0"/>
    <s v="-"/>
    <n v="53290"/>
    <n v="60239"/>
    <n v="113529"/>
    <n v="93443"/>
  </r>
  <r>
    <n v="6712"/>
    <n v="51"/>
    <x v="39"/>
    <n v="0"/>
    <s v="-"/>
    <n v="0"/>
    <s v="-"/>
    <n v="0"/>
    <s v="-"/>
    <n v="189647"/>
    <n v="207106"/>
    <n v="396753"/>
    <n v="193492"/>
  </r>
  <r>
    <n v="6712"/>
    <n v="51"/>
    <x v="39"/>
    <n v="5101"/>
    <s v="อำเภอเมืองลำพูน"/>
    <n v="0"/>
    <s v="-"/>
    <n v="0"/>
    <s v="-"/>
    <n v="28343"/>
    <n v="31894"/>
    <n v="60237"/>
    <n v="30277"/>
  </r>
  <r>
    <n v="6712"/>
    <n v="51"/>
    <x v="39"/>
    <n v="5102"/>
    <s v="อำเภอแม่ทา"/>
    <n v="0"/>
    <s v="-"/>
    <n v="0"/>
    <s v="-"/>
    <n v="11892"/>
    <n v="12374"/>
    <n v="24266"/>
    <n v="11016"/>
  </r>
  <r>
    <n v="6712"/>
    <n v="51"/>
    <x v="39"/>
    <n v="5103"/>
    <s v="อำเภอบ้านโฮ่ง"/>
    <n v="0"/>
    <s v="-"/>
    <n v="0"/>
    <s v="-"/>
    <n v="12199"/>
    <n v="12882"/>
    <n v="25081"/>
    <n v="10660"/>
  </r>
  <r>
    <n v="6712"/>
    <n v="51"/>
    <x v="39"/>
    <n v="5104"/>
    <s v="อำเภอลี้"/>
    <n v="0"/>
    <s v="-"/>
    <n v="0"/>
    <s v="-"/>
    <n v="30251"/>
    <n v="30099"/>
    <n v="60350"/>
    <n v="22195"/>
  </r>
  <r>
    <n v="6712"/>
    <n v="51"/>
    <x v="39"/>
    <n v="5105"/>
    <s v="อำเภอทุ่งหัวช้าง"/>
    <n v="0"/>
    <s v="-"/>
    <n v="0"/>
    <s v="-"/>
    <n v="8706"/>
    <n v="8728"/>
    <n v="17434"/>
    <n v="6684"/>
  </r>
  <r>
    <n v="6712"/>
    <n v="51"/>
    <x v="39"/>
    <n v="5106"/>
    <s v="อำเภอป่าซาง"/>
    <n v="0"/>
    <s v="-"/>
    <n v="0"/>
    <s v="-"/>
    <n v="13391"/>
    <n v="14354"/>
    <n v="27745"/>
    <n v="13244"/>
  </r>
  <r>
    <n v="6712"/>
    <n v="51"/>
    <x v="39"/>
    <n v="5107"/>
    <s v="อำเภอบ้านธิ"/>
    <n v="0"/>
    <s v="-"/>
    <n v="0"/>
    <s v="-"/>
    <n v="3768"/>
    <n v="4173"/>
    <n v="7941"/>
    <n v="3525"/>
  </r>
  <r>
    <n v="6712"/>
    <n v="51"/>
    <x v="39"/>
    <n v="5176"/>
    <s v="ท้องถิ่นเทศบาลตำบลศรีเตี้ย"/>
    <n v="0"/>
    <s v="-"/>
    <n v="0"/>
    <s v="-"/>
    <n v="2512"/>
    <n v="2741"/>
    <n v="5253"/>
    <n v="2311"/>
  </r>
  <r>
    <n v="6712"/>
    <n v="51"/>
    <x v="39"/>
    <n v="5177"/>
    <s v="ท้องถิ่นเทศบาลตำบลทาสบชัย"/>
    <n v="0"/>
    <s v="-"/>
    <n v="0"/>
    <s v="-"/>
    <n v="2380"/>
    <n v="2502"/>
    <n v="4882"/>
    <n v="2374"/>
  </r>
  <r>
    <n v="6712"/>
    <n v="51"/>
    <x v="39"/>
    <n v="5178"/>
    <s v="ท้องถิ่นเทศบาลตำบลหนองล่อง"/>
    <n v="0"/>
    <s v="-"/>
    <n v="0"/>
    <s v="-"/>
    <n v="2576"/>
    <n v="2792"/>
    <n v="5368"/>
    <n v="2622"/>
  </r>
  <r>
    <n v="6712"/>
    <n v="51"/>
    <x v="39"/>
    <n v="5179"/>
    <s v="ท้องถิ่นเทศบาลตำบลหนองยวง"/>
    <n v="0"/>
    <s v="-"/>
    <n v="0"/>
    <s v="-"/>
    <n v="1671"/>
    <n v="1831"/>
    <n v="3502"/>
    <n v="1832"/>
  </r>
  <r>
    <n v="6712"/>
    <n v="51"/>
    <x v="39"/>
    <n v="5180"/>
    <s v="ท้องถิ่นเทศบาลตำบลมะกอก"/>
    <n v="0"/>
    <s v="-"/>
    <n v="0"/>
    <s v="-"/>
    <n v="2348"/>
    <n v="2682"/>
    <n v="5030"/>
    <n v="2449"/>
  </r>
  <r>
    <n v="6712"/>
    <n v="51"/>
    <x v="39"/>
    <n v="5181"/>
    <s v="ท้องถิ่นเทศบาลตำบลมะเขือแจ้"/>
    <n v="0"/>
    <s v="-"/>
    <n v="0"/>
    <s v="-"/>
    <n v="7849"/>
    <n v="8654"/>
    <n v="16503"/>
    <n v="9548"/>
  </r>
  <r>
    <n v="6712"/>
    <n v="51"/>
    <x v="39"/>
    <n v="5182"/>
    <s v="ท้องถิ่นเทศบาลตำบลเวียงยอง"/>
    <n v="0"/>
    <s v="-"/>
    <n v="0"/>
    <s v="-"/>
    <n v="3413"/>
    <n v="4008"/>
    <n v="7421"/>
    <n v="4146"/>
  </r>
  <r>
    <n v="6712"/>
    <n v="51"/>
    <x v="39"/>
    <n v="5183"/>
    <s v="ท้องถิ่นเทศบาลตำบลบ้านกลาง"/>
    <n v="0"/>
    <s v="-"/>
    <n v="0"/>
    <s v="-"/>
    <n v="5506"/>
    <n v="6478"/>
    <n v="11984"/>
    <n v="11743"/>
  </r>
  <r>
    <n v="6712"/>
    <n v="51"/>
    <x v="39"/>
    <n v="5184"/>
    <s v="ท้องถิ่นเทศบาลตำบลเหมืองง่า"/>
    <n v="0"/>
    <s v="-"/>
    <n v="0"/>
    <s v="-"/>
    <n v="7364"/>
    <n v="8932"/>
    <n v="16296"/>
    <n v="8903"/>
  </r>
  <r>
    <n v="6712"/>
    <n v="51"/>
    <x v="39"/>
    <n v="5185"/>
    <s v="ท้องถิ่นเทศบาลตำบลแม่แรง"/>
    <n v="0"/>
    <s v="-"/>
    <n v="0"/>
    <s v="-"/>
    <n v="3242"/>
    <n v="3583"/>
    <n v="6825"/>
    <n v="2794"/>
  </r>
  <r>
    <n v="6712"/>
    <n v="51"/>
    <x v="39"/>
    <n v="5186"/>
    <s v="ท้องถิ่นเทศบาลตำบลบ้านธิ"/>
    <n v="0"/>
    <s v="-"/>
    <n v="0"/>
    <s v="-"/>
    <n v="4438"/>
    <n v="4908"/>
    <n v="9346"/>
    <n v="4615"/>
  </r>
  <r>
    <n v="6712"/>
    <n v="51"/>
    <x v="39"/>
    <n v="5187"/>
    <s v="ท้องถิ่นเทศบาลตำบลวังผาง"/>
    <n v="0"/>
    <s v="-"/>
    <n v="0"/>
    <s v="-"/>
    <n v="3470"/>
    <n v="3877"/>
    <n v="7347"/>
    <n v="3334"/>
  </r>
  <r>
    <n v="6712"/>
    <n v="51"/>
    <x v="39"/>
    <n v="5188"/>
    <s v="ท้องถิ่นเทศบาลตำบลม่วงน้อย"/>
    <n v="0"/>
    <s v="-"/>
    <n v="0"/>
    <s v="-"/>
    <n v="1868"/>
    <n v="2192"/>
    <n v="4060"/>
    <n v="2029"/>
  </r>
  <r>
    <n v="6712"/>
    <n v="51"/>
    <x v="39"/>
    <n v="5189"/>
    <s v="ท้องถิ่นเทศบาลตำบลป่าซาง"/>
    <n v="0"/>
    <s v="-"/>
    <n v="0"/>
    <s v="-"/>
    <n v="3674"/>
    <n v="4398"/>
    <n v="8072"/>
    <n v="4306"/>
  </r>
  <r>
    <n v="6712"/>
    <n v="51"/>
    <x v="39"/>
    <n v="5190"/>
    <s v="ท้องถิ่นเทศบาลตำบลทุ่งหัวช้าง"/>
    <n v="0"/>
    <s v="-"/>
    <n v="0"/>
    <s v="-"/>
    <n v="1262"/>
    <n v="1271"/>
    <n v="2533"/>
    <n v="1315"/>
  </r>
  <r>
    <n v="6712"/>
    <n v="51"/>
    <x v="39"/>
    <n v="5191"/>
    <s v="ท้องถิ่นเทศบาลตำบลวังดิน"/>
    <n v="0"/>
    <s v="-"/>
    <n v="0"/>
    <s v="-"/>
    <n v="2015"/>
    <n v="2168"/>
    <n v="4183"/>
    <n v="2843"/>
  </r>
  <r>
    <n v="6712"/>
    <n v="51"/>
    <x v="39"/>
    <n v="5192"/>
    <s v="ท้องถิ่นเทศบาลตำบลแม่ตืน"/>
    <n v="0"/>
    <s v="-"/>
    <n v="0"/>
    <s v="-"/>
    <n v="1575"/>
    <n v="1751"/>
    <n v="3326"/>
    <n v="1378"/>
  </r>
  <r>
    <n v="6712"/>
    <n v="51"/>
    <x v="39"/>
    <n v="5193"/>
    <s v="ท้องถิ่นเทศบาลตำบลบ้านโฮ่ง"/>
    <n v="0"/>
    <s v="-"/>
    <n v="0"/>
    <s v="-"/>
    <n v="3301"/>
    <n v="3971"/>
    <n v="7272"/>
    <n v="3728"/>
  </r>
  <r>
    <n v="6712"/>
    <n v="51"/>
    <x v="39"/>
    <n v="5194"/>
    <s v="ท้องถิ่นเทศบาลตำบลทาสบเส้า"/>
    <n v="0"/>
    <s v="-"/>
    <n v="0"/>
    <s v="-"/>
    <n v="2505"/>
    <n v="2659"/>
    <n v="5164"/>
    <n v="2607"/>
  </r>
  <r>
    <n v="6712"/>
    <n v="51"/>
    <x v="39"/>
    <n v="5195"/>
    <s v="ท้องถิ่นเทศบาลตำบลทากาศ"/>
    <n v="0"/>
    <s v="-"/>
    <n v="0"/>
    <s v="-"/>
    <n v="1353"/>
    <n v="1508"/>
    <n v="2861"/>
    <n v="1424"/>
  </r>
  <r>
    <n v="6712"/>
    <n v="51"/>
    <x v="39"/>
    <n v="5196"/>
    <s v="ท้องถิ่นเทศบาลตำบลอุโมงค์"/>
    <n v="0"/>
    <s v="-"/>
    <n v="0"/>
    <s v="-"/>
    <n v="5875"/>
    <n v="6767"/>
    <n v="12642"/>
    <n v="6261"/>
  </r>
  <r>
    <n v="6712"/>
    <n v="51"/>
    <x v="39"/>
    <n v="5197"/>
    <s v="ท้องถิ่นเทศบาลตำบลริมปิง"/>
    <n v="0"/>
    <s v="-"/>
    <n v="0"/>
    <s v="-"/>
    <n v="3075"/>
    <n v="3573"/>
    <n v="6648"/>
    <n v="3029"/>
  </r>
  <r>
    <n v="6712"/>
    <n v="51"/>
    <x v="39"/>
    <n v="5198"/>
    <s v="ท้องถิ่นเทศบาลตำบลบ้านแป้น"/>
    <n v="0"/>
    <s v="-"/>
    <n v="0"/>
    <s v="-"/>
    <n v="2881"/>
    <n v="3340"/>
    <n v="6221"/>
    <n v="3018"/>
  </r>
  <r>
    <n v="6712"/>
    <n v="51"/>
    <x v="39"/>
    <n v="5199"/>
    <s v="ท้องถิ่นเทศบาลเมืองลำพูน"/>
    <n v="0"/>
    <s v="-"/>
    <n v="0"/>
    <s v="-"/>
    <n v="4944"/>
    <n v="6016"/>
    <n v="10960"/>
    <n v="7282"/>
  </r>
  <r>
    <n v="6712"/>
    <n v="52"/>
    <x v="40"/>
    <n v="0"/>
    <s v="-"/>
    <n v="0"/>
    <s v="-"/>
    <n v="0"/>
    <s v="-"/>
    <n v="341663"/>
    <n v="362463"/>
    <n v="704126"/>
    <n v="307969"/>
  </r>
  <r>
    <n v="6712"/>
    <n v="52"/>
    <x v="40"/>
    <n v="5201"/>
    <s v="อำเภอเมืองลำปาง"/>
    <n v="0"/>
    <s v="-"/>
    <n v="0"/>
    <s v="-"/>
    <n v="43427"/>
    <n v="45584"/>
    <n v="89011"/>
    <n v="40170"/>
  </r>
  <r>
    <n v="6712"/>
    <n v="52"/>
    <x v="40"/>
    <n v="5202"/>
    <s v="อำเภอแม่เมาะ"/>
    <n v="0"/>
    <s v="-"/>
    <n v="0"/>
    <s v="-"/>
    <n v="11858"/>
    <n v="11751"/>
    <n v="23609"/>
    <n v="9557"/>
  </r>
  <r>
    <n v="6712"/>
    <n v="52"/>
    <x v="40"/>
    <n v="5203"/>
    <s v="อำเภอเกาะคา"/>
    <n v="0"/>
    <s v="-"/>
    <n v="0"/>
    <s v="-"/>
    <n v="16776"/>
    <n v="18105"/>
    <n v="34881"/>
    <n v="13670"/>
  </r>
  <r>
    <n v="6712"/>
    <n v="52"/>
    <x v="40"/>
    <n v="5204"/>
    <s v="อำเภอเสริมงาม"/>
    <n v="0"/>
    <s v="-"/>
    <n v="0"/>
    <s v="-"/>
    <n v="10803"/>
    <n v="10820"/>
    <n v="21623"/>
    <n v="7887"/>
  </r>
  <r>
    <n v="6712"/>
    <n v="52"/>
    <x v="40"/>
    <n v="5205"/>
    <s v="อำเภองาว"/>
    <n v="0"/>
    <s v="-"/>
    <n v="0"/>
    <s v="-"/>
    <n v="23538"/>
    <n v="23659"/>
    <n v="47197"/>
    <n v="18643"/>
  </r>
  <r>
    <n v="6712"/>
    <n v="52"/>
    <x v="40"/>
    <n v="5206"/>
    <s v="อำเภอแจ้ห่ม"/>
    <n v="0"/>
    <s v="-"/>
    <n v="0"/>
    <s v="-"/>
    <n v="16508"/>
    <n v="17069"/>
    <n v="33577"/>
    <n v="13441"/>
  </r>
  <r>
    <n v="6712"/>
    <n v="52"/>
    <x v="40"/>
    <n v="5207"/>
    <s v="อำเภอวังเหนือ"/>
    <n v="0"/>
    <s v="-"/>
    <n v="0"/>
    <s v="-"/>
    <n v="17981"/>
    <n v="17869"/>
    <n v="35850"/>
    <n v="13756"/>
  </r>
  <r>
    <n v="6712"/>
    <n v="52"/>
    <x v="40"/>
    <n v="5208"/>
    <s v="อำเภอเถิน"/>
    <n v="0"/>
    <s v="-"/>
    <n v="0"/>
    <s v="-"/>
    <n v="15845"/>
    <n v="16423"/>
    <n v="32268"/>
    <n v="11762"/>
  </r>
  <r>
    <n v="6712"/>
    <n v="52"/>
    <x v="40"/>
    <n v="5209"/>
    <s v="อำเภอแม่พริก"/>
    <n v="0"/>
    <s v="-"/>
    <n v="0"/>
    <s v="-"/>
    <n v="4405"/>
    <n v="4561"/>
    <n v="8966"/>
    <n v="3302"/>
  </r>
  <r>
    <n v="6712"/>
    <n v="52"/>
    <x v="40"/>
    <n v="5210"/>
    <s v="อำเภอแม่ทะ"/>
    <n v="0"/>
    <s v="-"/>
    <n v="0"/>
    <s v="-"/>
    <n v="13239"/>
    <n v="13656"/>
    <n v="26895"/>
    <n v="11044"/>
  </r>
  <r>
    <n v="6712"/>
    <n v="52"/>
    <x v="40"/>
    <n v="5211"/>
    <s v="อำเภอสบปราบ"/>
    <n v="0"/>
    <s v="-"/>
    <n v="0"/>
    <s v="-"/>
    <n v="10098"/>
    <n v="10464"/>
    <n v="20562"/>
    <n v="6794"/>
  </r>
  <r>
    <n v="6712"/>
    <n v="52"/>
    <x v="40"/>
    <n v="5212"/>
    <s v="อำเภอห้างฉัตร"/>
    <n v="0"/>
    <s v="-"/>
    <n v="0"/>
    <s v="-"/>
    <n v="22314"/>
    <n v="23265"/>
    <n v="45579"/>
    <n v="20049"/>
  </r>
  <r>
    <n v="6712"/>
    <n v="52"/>
    <x v="40"/>
    <n v="5213"/>
    <s v="อำเภอเมืองปาน"/>
    <n v="0"/>
    <s v="-"/>
    <n v="0"/>
    <s v="-"/>
    <n v="15810"/>
    <n v="15926"/>
    <n v="31736"/>
    <n v="12619"/>
  </r>
  <r>
    <n v="6712"/>
    <n v="52"/>
    <x v="40"/>
    <n v="5275"/>
    <s v="ท้องถิ่นเทศบาลตำบลน้ำโจ้"/>
    <n v="0"/>
    <s v="-"/>
    <n v="0"/>
    <s v="-"/>
    <n v="4518"/>
    <n v="4750"/>
    <n v="9268"/>
    <n v="3589"/>
  </r>
  <r>
    <n v="6712"/>
    <n v="52"/>
    <x v="40"/>
    <n v="5276"/>
    <s v="ท้องถิ่นเทศบาลตำบลแม่ทะ"/>
    <n v="0"/>
    <s v="-"/>
    <n v="0"/>
    <s v="-"/>
    <n v="3063"/>
    <n v="3211"/>
    <n v="6274"/>
    <n v="3058"/>
  </r>
  <r>
    <n v="6712"/>
    <n v="52"/>
    <x v="40"/>
    <n v="5279"/>
    <s v="ท้องถิ่นเทศบาลตำบลนาแก้ว"/>
    <n v="0"/>
    <s v="-"/>
    <n v="0"/>
    <s v="-"/>
    <n v="4197"/>
    <n v="4444"/>
    <n v="8641"/>
    <n v="3248"/>
  </r>
  <r>
    <n v="6712"/>
    <n v="52"/>
    <x v="40"/>
    <n v="5280"/>
    <s v="ท้องถิ่นเทศบาลตำบลลำปางหลวง"/>
    <n v="0"/>
    <s v="-"/>
    <n v="0"/>
    <s v="-"/>
    <n v="4215"/>
    <n v="4676"/>
    <n v="8891"/>
    <n v="3432"/>
  </r>
  <r>
    <n v="6712"/>
    <n v="52"/>
    <x v="40"/>
    <n v="5281"/>
    <s v="ท้องถิ่นเทศบาลตำบลสิริราช"/>
    <n v="0"/>
    <s v="-"/>
    <n v="0"/>
    <s v="-"/>
    <n v="2287"/>
    <n v="2191"/>
    <n v="4478"/>
    <n v="1639"/>
  </r>
  <r>
    <n v="6712"/>
    <n v="52"/>
    <x v="40"/>
    <n v="5282"/>
    <s v="ท้องถิ่นเทศบาลตำบลแม่เมาะ"/>
    <n v="0"/>
    <s v="-"/>
    <n v="0"/>
    <s v="-"/>
    <n v="7206"/>
    <n v="7605"/>
    <n v="14811"/>
    <n v="8891"/>
  </r>
  <r>
    <n v="6712"/>
    <n v="52"/>
    <x v="40"/>
    <n v="5283"/>
    <s v="ท้องถิ่นเทศบาลตำบลเวียงมอก"/>
    <n v="0"/>
    <s v="-"/>
    <n v="0"/>
    <s v="-"/>
    <n v="4980"/>
    <n v="5032"/>
    <n v="10012"/>
    <n v="3645"/>
  </r>
  <r>
    <n v="6712"/>
    <n v="52"/>
    <x v="40"/>
    <n v="5284"/>
    <s v="ท้องถิ่นเทศบาลตำบลห้างฉัตร"/>
    <n v="0"/>
    <s v="-"/>
    <n v="0"/>
    <s v="-"/>
    <n v="1196"/>
    <n v="1478"/>
    <n v="2674"/>
    <n v="1339"/>
  </r>
  <r>
    <n v="6712"/>
    <n v="52"/>
    <x v="40"/>
    <n v="5285"/>
    <s v="ท้องถิ่นเทศบาลตำบลสบปราบ"/>
    <n v="0"/>
    <s v="-"/>
    <n v="0"/>
    <s v="-"/>
    <n v="2516"/>
    <n v="2798"/>
    <n v="5314"/>
    <n v="2141"/>
  </r>
  <r>
    <n v="6712"/>
    <n v="52"/>
    <x v="40"/>
    <n v="5286"/>
    <s v="ท้องถิ่นเทศบาลตำบลป่าตันนาครัว"/>
    <n v="0"/>
    <s v="-"/>
    <n v="0"/>
    <s v="-"/>
    <n v="3637"/>
    <n v="3887"/>
    <n v="7524"/>
    <n v="3053"/>
  </r>
  <r>
    <n v="6712"/>
    <n v="52"/>
    <x v="40"/>
    <n v="5287"/>
    <s v="ท้องถิ่นเทศบาลตำบลแม่พริก"/>
    <n v="0"/>
    <s v="-"/>
    <n v="0"/>
    <s v="-"/>
    <n v="1148"/>
    <n v="1283"/>
    <n v="2431"/>
    <n v="1164"/>
  </r>
  <r>
    <n v="6712"/>
    <n v="52"/>
    <x v="40"/>
    <n v="5288"/>
    <s v="ท้องถิ่นเทศบาลตำบลแม่ปุ"/>
    <n v="0"/>
    <s v="-"/>
    <n v="0"/>
    <s v="-"/>
    <n v="1721"/>
    <n v="1928"/>
    <n v="3649"/>
    <n v="1372"/>
  </r>
  <r>
    <n v="6712"/>
    <n v="52"/>
    <x v="40"/>
    <n v="5289"/>
    <s v="ท้องถิ่นเทศบาลเมืองล้อมแรด"/>
    <n v="0"/>
    <s v="-"/>
    <n v="0"/>
    <s v="-"/>
    <n v="6226"/>
    <n v="7266"/>
    <n v="13492"/>
    <n v="7321"/>
  </r>
  <r>
    <n v="6712"/>
    <n v="52"/>
    <x v="40"/>
    <n v="5290"/>
    <s v="ท้องถิ่นเทศบาลตำบลวังเหนือ"/>
    <n v="0"/>
    <s v="-"/>
    <n v="0"/>
    <s v="-"/>
    <n v="1924"/>
    <n v="1943"/>
    <n v="3867"/>
    <n v="2027"/>
  </r>
  <r>
    <n v="6712"/>
    <n v="52"/>
    <x v="40"/>
    <n v="5291"/>
    <s v="ท้องถิ่นเทศบาลตำบลบ้านใหม่"/>
    <n v="0"/>
    <s v="-"/>
    <n v="0"/>
    <s v="-"/>
    <n v="1203"/>
    <n v="1239"/>
    <n v="2442"/>
    <n v="903"/>
  </r>
  <r>
    <n v="6712"/>
    <n v="52"/>
    <x v="40"/>
    <n v="5292"/>
    <s v="ท้องถิ่นเทศบาลตำบลแจ้ห่ม"/>
    <n v="0"/>
    <s v="-"/>
    <n v="0"/>
    <s v="-"/>
    <n v="1539"/>
    <n v="1723"/>
    <n v="3262"/>
    <n v="1710"/>
  </r>
  <r>
    <n v="6712"/>
    <n v="52"/>
    <x v="40"/>
    <n v="5293"/>
    <s v="ท้องถิ่นเทศบาลตำบลเสริมงาม"/>
    <n v="0"/>
    <s v="-"/>
    <n v="0"/>
    <s v="-"/>
    <n v="3934"/>
    <n v="4043"/>
    <n v="7977"/>
    <n v="3138"/>
  </r>
  <r>
    <n v="6712"/>
    <n v="52"/>
    <x v="40"/>
    <n v="5294"/>
    <s v="ท้องถิ่นเทศบาลตำบลหลวงเหนือ"/>
    <n v="0"/>
    <s v="-"/>
    <n v="0"/>
    <s v="-"/>
    <n v="1846"/>
    <n v="2098"/>
    <n v="3944"/>
    <n v="2411"/>
  </r>
  <r>
    <n v="6712"/>
    <n v="52"/>
    <x v="40"/>
    <n v="5295"/>
    <s v="ท้องถิ่นเทศบาลตำบลเกาะคา"/>
    <n v="0"/>
    <s v="-"/>
    <n v="0"/>
    <s v="-"/>
    <n v="2014"/>
    <n v="2344"/>
    <n v="4358"/>
    <n v="2438"/>
  </r>
  <r>
    <n v="6712"/>
    <n v="52"/>
    <x v="40"/>
    <n v="5296"/>
    <s v="ท้องถิ่นเทศบาลเมืองพิชัย"/>
    <n v="0"/>
    <s v="-"/>
    <n v="0"/>
    <s v="-"/>
    <n v="6130"/>
    <n v="7063"/>
    <n v="13193"/>
    <n v="6707"/>
  </r>
  <r>
    <n v="6712"/>
    <n v="52"/>
    <x v="40"/>
    <n v="5297"/>
    <s v="ท้องถิ่นเทศบาลตำบลบ่อแฮ้ว"/>
    <n v="0"/>
    <s v="-"/>
    <n v="0"/>
    <s v="-"/>
    <n v="4499"/>
    <n v="5033"/>
    <n v="9532"/>
    <n v="4619"/>
  </r>
  <r>
    <n v="6712"/>
    <n v="52"/>
    <x v="40"/>
    <n v="5298"/>
    <s v="ท้องถิ่นเทศบาลเมืองเขลางค์นคร"/>
    <n v="0"/>
    <s v="-"/>
    <n v="0"/>
    <s v="-"/>
    <n v="27691"/>
    <n v="30883"/>
    <n v="58574"/>
    <n v="27329"/>
  </r>
  <r>
    <n v="6712"/>
    <n v="52"/>
    <x v="40"/>
    <n v="5299"/>
    <s v="ท้องถิ่นเทศบาลนครลำปาง"/>
    <n v="0"/>
    <s v="-"/>
    <n v="0"/>
    <s v="-"/>
    <n v="21371"/>
    <n v="26393"/>
    <n v="47764"/>
    <n v="30101"/>
  </r>
  <r>
    <n v="6712"/>
    <n v="53"/>
    <x v="41"/>
    <n v="0"/>
    <s v="-"/>
    <n v="0"/>
    <s v="-"/>
    <n v="0"/>
    <s v="-"/>
    <n v="212005"/>
    <n v="224278"/>
    <n v="436283"/>
    <n v="179308"/>
  </r>
  <r>
    <n v="6712"/>
    <n v="53"/>
    <x v="41"/>
    <n v="5301"/>
    <s v="อำเภอเมืองอุตรดิตถ์"/>
    <n v="0"/>
    <s v="-"/>
    <n v="0"/>
    <s v="-"/>
    <n v="21966"/>
    <n v="23217"/>
    <n v="45183"/>
    <n v="18462"/>
  </r>
  <r>
    <n v="6712"/>
    <n v="53"/>
    <x v="41"/>
    <n v="5302"/>
    <s v="อำเภอตรอน"/>
    <n v="0"/>
    <s v="-"/>
    <n v="0"/>
    <s v="-"/>
    <n v="14046"/>
    <n v="14939"/>
    <n v="28985"/>
    <n v="10370"/>
  </r>
  <r>
    <n v="6712"/>
    <n v="53"/>
    <x v="41"/>
    <n v="5303"/>
    <s v="อำเภอท่าปลา"/>
    <n v="0"/>
    <s v="-"/>
    <n v="0"/>
    <s v="-"/>
    <n v="14059"/>
    <n v="14283"/>
    <n v="28342"/>
    <n v="10207"/>
  </r>
  <r>
    <n v="6712"/>
    <n v="53"/>
    <x v="41"/>
    <n v="5304"/>
    <s v="อำเภอน้ำปาด"/>
    <n v="0"/>
    <s v="-"/>
    <n v="0"/>
    <s v="-"/>
    <n v="16210"/>
    <n v="16299"/>
    <n v="32509"/>
    <n v="12376"/>
  </r>
  <r>
    <n v="6712"/>
    <n v="53"/>
    <x v="41"/>
    <n v="5305"/>
    <s v="อำเภอฟากท่า"/>
    <n v="0"/>
    <s v="-"/>
    <n v="0"/>
    <s v="-"/>
    <n v="6226"/>
    <n v="6629"/>
    <n v="12855"/>
    <n v="5273"/>
  </r>
  <r>
    <n v="6712"/>
    <n v="53"/>
    <x v="41"/>
    <n v="5306"/>
    <s v="อำเภอบ้านโคก"/>
    <n v="0"/>
    <s v="-"/>
    <n v="0"/>
    <s v="-"/>
    <n v="5199"/>
    <n v="5082"/>
    <n v="10281"/>
    <n v="4683"/>
  </r>
  <r>
    <n v="6712"/>
    <n v="53"/>
    <x v="41"/>
    <n v="5307"/>
    <s v="อำเภอพิชัย"/>
    <n v="0"/>
    <s v="-"/>
    <n v="0"/>
    <s v="-"/>
    <n v="33965"/>
    <n v="36035"/>
    <n v="70000"/>
    <n v="26684"/>
  </r>
  <r>
    <n v="6712"/>
    <n v="53"/>
    <x v="41"/>
    <n v="5308"/>
    <s v="อำเภอลับแล"/>
    <n v="0"/>
    <s v="-"/>
    <n v="0"/>
    <s v="-"/>
    <n v="17729"/>
    <n v="18187"/>
    <n v="35916"/>
    <n v="15646"/>
  </r>
  <r>
    <n v="6712"/>
    <n v="53"/>
    <x v="41"/>
    <n v="5309"/>
    <s v="อำเภอทองแสนขัน"/>
    <n v="0"/>
    <s v="-"/>
    <n v="0"/>
    <s v="-"/>
    <n v="12740"/>
    <n v="13076"/>
    <n v="25816"/>
    <n v="9842"/>
  </r>
  <r>
    <n v="6712"/>
    <n v="53"/>
    <x v="41"/>
    <n v="5377"/>
    <s v="ท้องถิ่นเทศบาลตำบลท่าเสา"/>
    <n v="0"/>
    <s v="-"/>
    <n v="0"/>
    <s v="-"/>
    <n v="7531"/>
    <n v="7357"/>
    <n v="14888"/>
    <n v="7999"/>
  </r>
  <r>
    <n v="6712"/>
    <n v="53"/>
    <x v="41"/>
    <n v="5378"/>
    <s v="ท้องถิ่นเทศบาลตำบลน้ำริด"/>
    <n v="0"/>
    <s v="-"/>
    <n v="0"/>
    <s v="-"/>
    <n v="3326"/>
    <n v="3507"/>
    <n v="6833"/>
    <n v="2681"/>
  </r>
  <r>
    <n v="6712"/>
    <n v="53"/>
    <x v="41"/>
    <n v="5379"/>
    <s v="ท้องถิ่นเทศบาลตำบลหาดกรวด"/>
    <n v="0"/>
    <s v="-"/>
    <n v="0"/>
    <s v="-"/>
    <n v="3582"/>
    <n v="3896"/>
    <n v="7478"/>
    <n v="2736"/>
  </r>
  <r>
    <n v="6712"/>
    <n v="53"/>
    <x v="41"/>
    <n v="5380"/>
    <s v="ท้องถิ่นเทศบาลตำบลจริม"/>
    <n v="0"/>
    <s v="-"/>
    <n v="0"/>
    <s v="-"/>
    <n v="4227"/>
    <n v="4082"/>
    <n v="8309"/>
    <n v="2371"/>
  </r>
  <r>
    <n v="6712"/>
    <n v="53"/>
    <x v="41"/>
    <n v="5381"/>
    <s v="ท้องถิ่นเทศบาลตำบลคุ้งตะเภา"/>
    <n v="0"/>
    <s v="-"/>
    <n v="0"/>
    <s v="-"/>
    <n v="4214"/>
    <n v="4521"/>
    <n v="8735"/>
    <n v="3612"/>
  </r>
  <r>
    <n v="6712"/>
    <n v="53"/>
    <x v="41"/>
    <n v="5382"/>
    <s v="ท้องถิ่นเทศบาลตำบลผาจุก"/>
    <n v="0"/>
    <s v="-"/>
    <n v="0"/>
    <s v="-"/>
    <n v="3796"/>
    <n v="4116"/>
    <n v="7912"/>
    <n v="3163"/>
  </r>
  <r>
    <n v="6712"/>
    <n v="53"/>
    <x v="41"/>
    <n v="5383"/>
    <s v="ท้องถิ่นเทศบาลตำบลบ้านเกาะ"/>
    <n v="0"/>
    <s v="-"/>
    <n v="0"/>
    <s v="-"/>
    <n v="4369"/>
    <n v="5087"/>
    <n v="9456"/>
    <n v="4033"/>
  </r>
  <r>
    <n v="6712"/>
    <n v="53"/>
    <x v="41"/>
    <n v="5384"/>
    <s v="ท้องถิ่นเทศบาลตำบลทองแสนขัน"/>
    <n v="0"/>
    <s v="-"/>
    <n v="0"/>
    <s v="-"/>
    <n v="2127"/>
    <n v="2313"/>
    <n v="4440"/>
    <n v="1870"/>
  </r>
  <r>
    <n v="6712"/>
    <n v="53"/>
    <x v="41"/>
    <n v="5385"/>
    <s v="ท้องถิ่นเทศบาลตำบลหัวดง"/>
    <n v="0"/>
    <s v="-"/>
    <n v="0"/>
    <s v="-"/>
    <n v="2613"/>
    <n v="2784"/>
    <n v="5397"/>
    <n v="2230"/>
  </r>
  <r>
    <n v="6712"/>
    <n v="53"/>
    <x v="41"/>
    <n v="5386"/>
    <s v="ท้องถิ่นเทศบาลตำบลทุ่งยั้ง"/>
    <n v="0"/>
    <s v="-"/>
    <n v="0"/>
    <s v="-"/>
    <n v="4488"/>
    <n v="5194"/>
    <n v="9682"/>
    <n v="4296"/>
  </r>
  <r>
    <n v="6712"/>
    <n v="53"/>
    <x v="41"/>
    <n v="5387"/>
    <s v="ท้องถิ่นเทศบาลตำบลในเมือง"/>
    <n v="0"/>
    <s v="-"/>
    <n v="0"/>
    <s v="-"/>
    <n v="790"/>
    <n v="951"/>
    <n v="1741"/>
    <n v="1018"/>
  </r>
  <r>
    <n v="6712"/>
    <n v="53"/>
    <x v="41"/>
    <n v="5388"/>
    <s v="ท้องถิ่นเทศบาลตำบลท่าสัก"/>
    <n v="0"/>
    <s v="-"/>
    <n v="0"/>
    <s v="-"/>
    <n v="545"/>
    <n v="623"/>
    <n v="1168"/>
    <n v="592"/>
  </r>
  <r>
    <n v="6712"/>
    <n v="53"/>
    <x v="41"/>
    <n v="5389"/>
    <s v="ท้องถิ่นเทศบาลตำบลบ้านโคก"/>
    <n v="0"/>
    <s v="-"/>
    <n v="0"/>
    <s v="-"/>
    <n v="1920"/>
    <n v="1910"/>
    <n v="3830"/>
    <n v="1976"/>
  </r>
  <r>
    <n v="6712"/>
    <n v="53"/>
    <x v="41"/>
    <n v="5390"/>
    <s v="ท้องถิ่นเทศบาลตำบลฟากท่า"/>
    <n v="0"/>
    <s v="-"/>
    <n v="0"/>
    <s v="-"/>
    <n v="429"/>
    <n v="397"/>
    <n v="826"/>
    <n v="433"/>
  </r>
  <r>
    <n v="6712"/>
    <n v="53"/>
    <x v="41"/>
    <n v="5391"/>
    <s v="ท้องถิ่นเทศบาลตำบลน้ำปาด"/>
    <n v="0"/>
    <s v="-"/>
    <n v="0"/>
    <s v="-"/>
    <n v="1325"/>
    <n v="1450"/>
    <n v="2775"/>
    <n v="1618"/>
  </r>
  <r>
    <n v="6712"/>
    <n v="53"/>
    <x v="41"/>
    <n v="5392"/>
    <s v="ท้องถิ่นเทศบาลตำบลร่วมจิต"/>
    <n v="0"/>
    <s v="-"/>
    <n v="0"/>
    <s v="-"/>
    <n v="1560"/>
    <n v="1750"/>
    <n v="3310"/>
    <n v="1242"/>
  </r>
  <r>
    <n v="6712"/>
    <n v="53"/>
    <x v="41"/>
    <n v="5393"/>
    <s v="ท้องถิ่นเทศบาลตำบลท่าปลา"/>
    <n v="0"/>
    <s v="-"/>
    <n v="0"/>
    <s v="-"/>
    <n v="1039"/>
    <n v="1141"/>
    <n v="2180"/>
    <n v="993"/>
  </r>
  <r>
    <n v="6712"/>
    <n v="53"/>
    <x v="41"/>
    <n v="5394"/>
    <s v="ท้องถิ่นเทศบาลตำบลบ้านแก่ง"/>
    <n v="0"/>
    <s v="-"/>
    <n v="0"/>
    <s v="-"/>
    <n v="996"/>
    <n v="1066"/>
    <n v="2062"/>
    <n v="904"/>
  </r>
  <r>
    <n v="6712"/>
    <n v="53"/>
    <x v="41"/>
    <n v="5395"/>
    <s v="ท้องถิ่นเทศบาลตำบลตรอน"/>
    <n v="0"/>
    <s v="-"/>
    <n v="0"/>
    <s v="-"/>
    <n v="796"/>
    <n v="872"/>
    <n v="1668"/>
    <n v="706"/>
  </r>
  <r>
    <n v="6712"/>
    <n v="53"/>
    <x v="41"/>
    <n v="5396"/>
    <s v="ท้องถิ่นเทศบาลตำบลวังกะพี้"/>
    <n v="0"/>
    <s v="-"/>
    <n v="0"/>
    <s v="-"/>
    <n v="4403"/>
    <n v="4996"/>
    <n v="9399"/>
    <n v="3511"/>
  </r>
  <r>
    <n v="6712"/>
    <n v="53"/>
    <x v="41"/>
    <n v="5397"/>
    <s v="ท้องถิ่นเทศบาลตำบลบ้านด่านนาขาม"/>
    <n v="0"/>
    <s v="-"/>
    <n v="0"/>
    <s v="-"/>
    <n v="1809"/>
    <n v="1929"/>
    <n v="3738"/>
    <n v="1414"/>
  </r>
  <r>
    <n v="6712"/>
    <n v="53"/>
    <x v="41"/>
    <n v="5398"/>
    <s v="ท้องถิ่นเทศบาลตำบลศรีพนมมาศ"/>
    <n v="0"/>
    <s v="-"/>
    <n v="0"/>
    <s v="-"/>
    <n v="1262"/>
    <n v="1492"/>
    <n v="2754"/>
    <n v="1217"/>
  </r>
  <r>
    <n v="6712"/>
    <n v="53"/>
    <x v="41"/>
    <n v="5399"/>
    <s v="ท้องถิ่นเทศบาลเมืองอุตรดิตถ์"/>
    <n v="0"/>
    <s v="-"/>
    <n v="0"/>
    <s v="-"/>
    <n v="12718"/>
    <n v="15097"/>
    <n v="27815"/>
    <n v="15150"/>
  </r>
  <r>
    <n v="6712"/>
    <n v="54"/>
    <x v="42"/>
    <n v="0"/>
    <s v="-"/>
    <n v="0"/>
    <s v="-"/>
    <n v="0"/>
    <s v="-"/>
    <n v="202378"/>
    <n v="219367"/>
    <n v="421745"/>
    <n v="185874"/>
  </r>
  <r>
    <n v="6712"/>
    <n v="54"/>
    <x v="42"/>
    <n v="5401"/>
    <s v="อำเภอเมืองแพร่"/>
    <n v="0"/>
    <s v="-"/>
    <n v="0"/>
    <s v="-"/>
    <n v="28699"/>
    <n v="32615"/>
    <n v="61314"/>
    <n v="28617"/>
  </r>
  <r>
    <n v="6712"/>
    <n v="54"/>
    <x v="42"/>
    <n v="5402"/>
    <s v="อำเภอร้องกวาง"/>
    <n v="0"/>
    <s v="-"/>
    <n v="0"/>
    <s v="-"/>
    <n v="16518"/>
    <n v="17855"/>
    <n v="34373"/>
    <n v="13142"/>
  </r>
  <r>
    <n v="6712"/>
    <n v="54"/>
    <x v="42"/>
    <n v="5403"/>
    <s v="อำเภอลอง"/>
    <n v="0"/>
    <s v="-"/>
    <n v="0"/>
    <s v="-"/>
    <n v="14713"/>
    <n v="14999"/>
    <n v="29712"/>
    <n v="11762"/>
  </r>
  <r>
    <n v="6712"/>
    <n v="54"/>
    <x v="42"/>
    <n v="5404"/>
    <s v="อำเภอสูงเม่น"/>
    <n v="0"/>
    <s v="-"/>
    <n v="0"/>
    <s v="-"/>
    <n v="31494"/>
    <n v="34969"/>
    <n v="66463"/>
    <n v="28710"/>
  </r>
  <r>
    <n v="6712"/>
    <n v="54"/>
    <x v="42"/>
    <n v="5405"/>
    <s v="อำเภอเด่นชัย"/>
    <n v="0"/>
    <s v="-"/>
    <n v="0"/>
    <s v="-"/>
    <n v="9912"/>
    <n v="9446"/>
    <n v="19358"/>
    <n v="8691"/>
  </r>
  <r>
    <n v="6712"/>
    <n v="54"/>
    <x v="42"/>
    <n v="5406"/>
    <s v="อำเภอสอง"/>
    <n v="0"/>
    <s v="-"/>
    <n v="0"/>
    <s v="-"/>
    <n v="19928"/>
    <n v="20891"/>
    <n v="40819"/>
    <n v="16762"/>
  </r>
  <r>
    <n v="6712"/>
    <n v="54"/>
    <x v="42"/>
    <n v="5407"/>
    <s v="อำเภอวังชิ้น"/>
    <n v="0"/>
    <s v="-"/>
    <n v="0"/>
    <s v="-"/>
    <n v="20605"/>
    <n v="20790"/>
    <n v="41395"/>
    <n v="15835"/>
  </r>
  <r>
    <n v="6712"/>
    <n v="54"/>
    <x v="42"/>
    <n v="5408"/>
    <s v="อำเภอหนองม่วงไข่"/>
    <n v="0"/>
    <s v="-"/>
    <n v="0"/>
    <s v="-"/>
    <n v="5656"/>
    <n v="6514"/>
    <n v="12170"/>
    <n v="5136"/>
  </r>
  <r>
    <n v="6712"/>
    <n v="54"/>
    <x v="42"/>
    <n v="5482"/>
    <s v="ท้องถิ่นเทศบาลตำบลแม่ลานนา"/>
    <n v="0"/>
    <s v="-"/>
    <n v="0"/>
    <s v="-"/>
    <n v="3117"/>
    <n v="3277"/>
    <n v="6394"/>
    <n v="2771"/>
  </r>
  <r>
    <n v="6712"/>
    <n v="54"/>
    <x v="42"/>
    <n v="5483"/>
    <s v="ท้องถิ่นเทศบาลตำบลแม่ปาน"/>
    <n v="0"/>
    <s v="-"/>
    <n v="0"/>
    <s v="-"/>
    <n v="1403"/>
    <n v="1400"/>
    <n v="2803"/>
    <n v="1173"/>
  </r>
  <r>
    <n v="6712"/>
    <n v="54"/>
    <x v="42"/>
    <n v="5484"/>
    <s v="ท้องถิ่นเทศบาลตำบลเวียงต้า"/>
    <n v="0"/>
    <s v="-"/>
    <n v="0"/>
    <s v="-"/>
    <n v="3066"/>
    <n v="3034"/>
    <n v="6100"/>
    <n v="2509"/>
  </r>
  <r>
    <n v="6712"/>
    <n v="54"/>
    <x v="42"/>
    <n v="5485"/>
    <s v="ท้องถิ่นเทศบาลตำบลป่าแมต"/>
    <n v="0"/>
    <s v="-"/>
    <n v="0"/>
    <s v="-"/>
    <n v="5522"/>
    <n v="6348"/>
    <n v="11870"/>
    <n v="5180"/>
  </r>
  <r>
    <n v="6712"/>
    <n v="54"/>
    <x v="42"/>
    <n v="5486"/>
    <s v="ท้องถิ่นเทศบาลตำบลแม่คำมี"/>
    <n v="0"/>
    <s v="-"/>
    <n v="0"/>
    <s v="-"/>
    <n v="3376"/>
    <n v="3568"/>
    <n v="6944"/>
    <n v="2781"/>
  </r>
  <r>
    <n v="6712"/>
    <n v="54"/>
    <x v="42"/>
    <n v="5487"/>
    <s v="ท้องถิ่นเทศบาลตำบลหนองม่วงไข่"/>
    <n v="0"/>
    <s v="-"/>
    <n v="0"/>
    <s v="-"/>
    <n v="1954"/>
    <n v="2280"/>
    <n v="4234"/>
    <n v="1934"/>
  </r>
  <r>
    <n v="6712"/>
    <n v="54"/>
    <x v="42"/>
    <n v="5488"/>
    <s v="ท้องถิ่นเทศบาลตำบลวังชิ้น"/>
    <n v="0"/>
    <s v="-"/>
    <n v="0"/>
    <s v="-"/>
    <n v="1339"/>
    <n v="1418"/>
    <n v="2757"/>
    <n v="1475"/>
  </r>
  <r>
    <n v="6712"/>
    <n v="54"/>
    <x v="42"/>
    <n v="5489"/>
    <s v="ท้องถิ่นเทศบาลตำบลสอง"/>
    <n v="0"/>
    <s v="-"/>
    <n v="0"/>
    <s v="-"/>
    <n v="2840"/>
    <n v="3394"/>
    <n v="6234"/>
    <n v="3181"/>
  </r>
  <r>
    <n v="6712"/>
    <n v="54"/>
    <x v="42"/>
    <n v="5490"/>
    <s v="ท้องถิ่นเทศบาลตำบลแม่จั๊วะ"/>
    <n v="0"/>
    <s v="-"/>
    <n v="0"/>
    <s v="-"/>
    <n v="1725"/>
    <n v="1890"/>
    <n v="3615"/>
    <n v="1605"/>
  </r>
  <r>
    <n v="6712"/>
    <n v="54"/>
    <x v="42"/>
    <n v="5491"/>
    <s v="ท้องถิ่นเทศบาลตำบลเด่นชัย"/>
    <n v="0"/>
    <s v="-"/>
    <n v="0"/>
    <s v="-"/>
    <n v="4950"/>
    <n v="5509"/>
    <n v="10459"/>
    <n v="5316"/>
  </r>
  <r>
    <n v="6712"/>
    <n v="54"/>
    <x v="42"/>
    <n v="5492"/>
    <s v="ท้องถิ่นเทศบาลตำบลสูงเม่น"/>
    <n v="0"/>
    <s v="-"/>
    <n v="0"/>
    <s v="-"/>
    <n v="1650"/>
    <n v="1896"/>
    <n v="3546"/>
    <n v="1967"/>
  </r>
  <r>
    <n v="6712"/>
    <n v="54"/>
    <x v="42"/>
    <n v="5493"/>
    <s v="ท้องถิ่นเทศบาลตำบลห้วยอ้อ"/>
    <n v="0"/>
    <s v="-"/>
    <n v="0"/>
    <s v="-"/>
    <n v="2156"/>
    <n v="2440"/>
    <n v="4596"/>
    <n v="2259"/>
  </r>
  <r>
    <n v="6712"/>
    <n v="54"/>
    <x v="42"/>
    <n v="5494"/>
    <s v="ท้องถิ่นเทศบาลตำบลบ้านปิน"/>
    <n v="0"/>
    <s v="-"/>
    <n v="0"/>
    <s v="-"/>
    <n v="978"/>
    <n v="1159"/>
    <n v="2137"/>
    <n v="834"/>
  </r>
  <r>
    <n v="6712"/>
    <n v="54"/>
    <x v="42"/>
    <n v="5495"/>
    <s v="ท้องถิ่นเทศบาลตำบลร้องกวาง"/>
    <n v="0"/>
    <s v="-"/>
    <n v="0"/>
    <s v="-"/>
    <n v="5619"/>
    <n v="6310"/>
    <n v="11929"/>
    <n v="6164"/>
  </r>
  <r>
    <n v="6712"/>
    <n v="54"/>
    <x v="42"/>
    <n v="5496"/>
    <s v="ท้องถิ่นเทศบาลตำบลแม่หล่าย"/>
    <n v="0"/>
    <s v="-"/>
    <n v="0"/>
    <s v="-"/>
    <n v="1940"/>
    <n v="2299"/>
    <n v="4239"/>
    <n v="2062"/>
  </r>
  <r>
    <n v="6712"/>
    <n v="54"/>
    <x v="42"/>
    <n v="5497"/>
    <s v="ท้องถิ่นเทศบาลตำบลทุ่งโฮ้ง"/>
    <n v="0"/>
    <s v="-"/>
    <n v="0"/>
    <s v="-"/>
    <n v="2812"/>
    <n v="3255"/>
    <n v="6067"/>
    <n v="3322"/>
  </r>
  <r>
    <n v="6712"/>
    <n v="54"/>
    <x v="42"/>
    <n v="5498"/>
    <s v="ท้องถิ่นเทศบาลตำบลช่อแฮ"/>
    <n v="0"/>
    <s v="-"/>
    <n v="0"/>
    <s v="-"/>
    <n v="4105"/>
    <n v="4396"/>
    <n v="8501"/>
    <n v="3812"/>
  </r>
  <r>
    <n v="6712"/>
    <n v="54"/>
    <x v="42"/>
    <n v="5499"/>
    <s v="ท้องถิ่นเทศบาลเมืองแพร่"/>
    <n v="0"/>
    <s v="-"/>
    <n v="0"/>
    <s v="-"/>
    <n v="6301"/>
    <n v="7415"/>
    <n v="13716"/>
    <n v="8874"/>
  </r>
  <r>
    <n v="6712"/>
    <n v="55"/>
    <x v="43"/>
    <n v="0"/>
    <s v="-"/>
    <n v="0"/>
    <s v="-"/>
    <n v="0"/>
    <s v="-"/>
    <n v="234647"/>
    <n v="235860"/>
    <n v="470507"/>
    <n v="180461"/>
  </r>
  <r>
    <n v="6712"/>
    <n v="55"/>
    <x v="43"/>
    <n v="5501"/>
    <s v="อำเภอเมืองน่าน"/>
    <n v="0"/>
    <s v="-"/>
    <n v="0"/>
    <s v="-"/>
    <n v="31351"/>
    <n v="31760"/>
    <n v="63111"/>
    <n v="26511"/>
  </r>
  <r>
    <n v="6712"/>
    <n v="55"/>
    <x v="43"/>
    <n v="5502"/>
    <s v="อำเภอแม่จริม"/>
    <n v="0"/>
    <s v="-"/>
    <n v="0"/>
    <s v="-"/>
    <n v="8397"/>
    <n v="8025"/>
    <n v="16422"/>
    <n v="5048"/>
  </r>
  <r>
    <n v="6712"/>
    <n v="55"/>
    <x v="43"/>
    <n v="5503"/>
    <s v="อำเภอบ้านหลวง"/>
    <n v="0"/>
    <s v="-"/>
    <n v="0"/>
    <s v="-"/>
    <n v="5628"/>
    <n v="5552"/>
    <n v="11180"/>
    <n v="4054"/>
  </r>
  <r>
    <n v="6712"/>
    <n v="55"/>
    <x v="43"/>
    <n v="5504"/>
    <s v="อำเภอนาน้อย"/>
    <n v="0"/>
    <s v="-"/>
    <n v="0"/>
    <s v="-"/>
    <n v="14745"/>
    <n v="14650"/>
    <n v="29395"/>
    <n v="10803"/>
  </r>
  <r>
    <n v="6712"/>
    <n v="55"/>
    <x v="43"/>
    <n v="5505"/>
    <s v="อำเภอปัว"/>
    <n v="0"/>
    <s v="-"/>
    <n v="0"/>
    <s v="-"/>
    <n v="26457"/>
    <n v="26887"/>
    <n v="53344"/>
    <n v="16887"/>
  </r>
  <r>
    <n v="6712"/>
    <n v="55"/>
    <x v="43"/>
    <n v="5506"/>
    <s v="อำเภอท่าวังผา"/>
    <n v="0"/>
    <s v="-"/>
    <n v="0"/>
    <s v="-"/>
    <n v="22256"/>
    <n v="22457"/>
    <n v="44713"/>
    <n v="15254"/>
  </r>
  <r>
    <n v="6712"/>
    <n v="55"/>
    <x v="43"/>
    <n v="5507"/>
    <s v="อำเภอเวียงสา"/>
    <n v="0"/>
    <s v="-"/>
    <n v="0"/>
    <s v="-"/>
    <n v="32759"/>
    <n v="32720"/>
    <n v="65479"/>
    <n v="25695"/>
  </r>
  <r>
    <n v="6712"/>
    <n v="55"/>
    <x v="43"/>
    <n v="5508"/>
    <s v="อำเภอทุ่งช้าง"/>
    <n v="0"/>
    <s v="-"/>
    <n v="0"/>
    <s v="-"/>
    <n v="7884"/>
    <n v="7774"/>
    <n v="15658"/>
    <n v="5349"/>
  </r>
  <r>
    <n v="6712"/>
    <n v="55"/>
    <x v="43"/>
    <n v="5509"/>
    <s v="อำเภอเชียงกลาง"/>
    <n v="0"/>
    <s v="-"/>
    <n v="0"/>
    <s v="-"/>
    <n v="8446"/>
    <n v="8656"/>
    <n v="17102"/>
    <n v="6043"/>
  </r>
  <r>
    <n v="6712"/>
    <n v="55"/>
    <x v="43"/>
    <n v="5510"/>
    <s v="อำเภอนาหมื่น"/>
    <n v="0"/>
    <s v="-"/>
    <n v="0"/>
    <s v="-"/>
    <n v="6950"/>
    <n v="6904"/>
    <n v="13854"/>
    <n v="4652"/>
  </r>
  <r>
    <n v="6712"/>
    <n v="55"/>
    <x v="43"/>
    <n v="5511"/>
    <s v="อำเภอสันติสุข"/>
    <n v="0"/>
    <s v="-"/>
    <n v="0"/>
    <s v="-"/>
    <n v="7927"/>
    <n v="7544"/>
    <n v="15471"/>
    <n v="5373"/>
  </r>
  <r>
    <n v="6712"/>
    <n v="55"/>
    <x v="43"/>
    <n v="5512"/>
    <s v="อำเภอบ่อเกลือ"/>
    <n v="0"/>
    <s v="-"/>
    <n v="0"/>
    <s v="-"/>
    <n v="7877"/>
    <n v="7518"/>
    <n v="15395"/>
    <n v="5357"/>
  </r>
  <r>
    <n v="6712"/>
    <n v="55"/>
    <x v="43"/>
    <n v="5513"/>
    <s v="อำเภอสองแคว"/>
    <n v="0"/>
    <s v="-"/>
    <n v="0"/>
    <s v="-"/>
    <n v="6390"/>
    <n v="6002"/>
    <n v="12392"/>
    <n v="4034"/>
  </r>
  <r>
    <n v="6712"/>
    <n v="55"/>
    <x v="43"/>
    <n v="5514"/>
    <s v="อำเภอภูเพียง"/>
    <n v="0"/>
    <s v="-"/>
    <n v="0"/>
    <s v="-"/>
    <n v="17567"/>
    <n v="18134"/>
    <n v="35701"/>
    <n v="14578"/>
  </r>
  <r>
    <n v="6712"/>
    <n v="55"/>
    <x v="43"/>
    <n v="5515"/>
    <s v="อำเภอเฉลิมพระเกียรติ"/>
    <n v="0"/>
    <s v="-"/>
    <n v="0"/>
    <s v="-"/>
    <n v="5018"/>
    <n v="4752"/>
    <n v="9770"/>
    <n v="3497"/>
  </r>
  <r>
    <n v="6712"/>
    <n v="55"/>
    <x v="43"/>
    <n v="5592"/>
    <s v="ท้องถิ่นเทศบาลตำบลเชียงกลาง"/>
    <n v="0"/>
    <s v="-"/>
    <n v="0"/>
    <s v="-"/>
    <n v="4627"/>
    <n v="4785"/>
    <n v="9412"/>
    <n v="4104"/>
  </r>
  <r>
    <n v="6712"/>
    <n v="55"/>
    <x v="43"/>
    <n v="5593"/>
    <s v="ท้องถิ่นเทศบาลตำบลทุ่งช้าง"/>
    <n v="0"/>
    <s v="-"/>
    <n v="0"/>
    <s v="-"/>
    <n v="1625"/>
    <n v="1610"/>
    <n v="3235"/>
    <n v="1469"/>
  </r>
  <r>
    <n v="6712"/>
    <n v="55"/>
    <x v="43"/>
    <n v="5594"/>
    <s v="ท้องถิ่นเทศบาลตำบลเวียงสา"/>
    <n v="0"/>
    <s v="-"/>
    <n v="0"/>
    <s v="-"/>
    <n v="1229"/>
    <n v="1434"/>
    <n v="2663"/>
    <n v="1344"/>
  </r>
  <r>
    <n v="6712"/>
    <n v="55"/>
    <x v="43"/>
    <n v="5595"/>
    <s v="ท้องถิ่นเทศบาลตำบลท่าวังผา"/>
    <n v="0"/>
    <s v="-"/>
    <n v="0"/>
    <s v="-"/>
    <n v="2438"/>
    <n v="2696"/>
    <n v="5134"/>
    <n v="2852"/>
  </r>
  <r>
    <n v="6712"/>
    <n v="55"/>
    <x v="43"/>
    <n v="5596"/>
    <s v="ท้องถิ่นเทศบาลตำบลปัว"/>
    <n v="0"/>
    <s v="-"/>
    <n v="0"/>
    <s v="-"/>
    <n v="5003"/>
    <n v="5370"/>
    <n v="10373"/>
    <n v="5223"/>
  </r>
  <r>
    <n v="6712"/>
    <n v="55"/>
    <x v="43"/>
    <n v="5597"/>
    <s v="ท้องถิ่นเทศบาลตำบลนาน้อย"/>
    <n v="0"/>
    <s v="-"/>
    <n v="0"/>
    <s v="-"/>
    <n v="1067"/>
    <n v="1219"/>
    <n v="2286"/>
    <n v="1285"/>
  </r>
  <r>
    <n v="6712"/>
    <n v="55"/>
    <x v="43"/>
    <n v="5599"/>
    <s v="ท้องถิ่นเทศบาลเมืองน่าน"/>
    <n v="0"/>
    <s v="-"/>
    <n v="0"/>
    <s v="-"/>
    <n v="9006"/>
    <n v="9411"/>
    <n v="18417"/>
    <n v="11049"/>
  </r>
  <r>
    <n v="6712"/>
    <n v="56"/>
    <x v="44"/>
    <n v="0"/>
    <s v="-"/>
    <n v="0"/>
    <s v="-"/>
    <n v="0"/>
    <s v="-"/>
    <n v="220378"/>
    <n v="234386"/>
    <n v="454764"/>
    <n v="204387"/>
  </r>
  <r>
    <n v="6712"/>
    <n v="56"/>
    <x v="44"/>
    <n v="5601"/>
    <s v="อำเภอเมืองพะเยา"/>
    <n v="0"/>
    <s v="-"/>
    <n v="0"/>
    <s v="-"/>
    <n v="20441"/>
    <n v="21923"/>
    <n v="42364"/>
    <n v="18085"/>
  </r>
  <r>
    <n v="6712"/>
    <n v="56"/>
    <x v="44"/>
    <n v="5602"/>
    <s v="อำเภอจุน"/>
    <n v="0"/>
    <s v="-"/>
    <n v="0"/>
    <s v="-"/>
    <n v="8316"/>
    <n v="9244"/>
    <n v="17560"/>
    <n v="7567"/>
  </r>
  <r>
    <n v="6712"/>
    <n v="56"/>
    <x v="44"/>
    <n v="5603"/>
    <s v="อำเภอเชียงคำ"/>
    <n v="0"/>
    <s v="-"/>
    <n v="0"/>
    <s v="-"/>
    <n v="27310"/>
    <n v="27690"/>
    <n v="55000"/>
    <n v="22331"/>
  </r>
  <r>
    <n v="6712"/>
    <n v="56"/>
    <x v="44"/>
    <n v="5604"/>
    <s v="อำเภอเชียงม่วน"/>
    <n v="0"/>
    <s v="-"/>
    <n v="0"/>
    <s v="-"/>
    <n v="4644"/>
    <n v="4753"/>
    <n v="9397"/>
    <n v="4060"/>
  </r>
  <r>
    <n v="6712"/>
    <n v="56"/>
    <x v="44"/>
    <n v="5605"/>
    <s v="อำเภอดอกคำใต้"/>
    <n v="0"/>
    <s v="-"/>
    <n v="0"/>
    <s v="-"/>
    <n v="18026"/>
    <n v="19064"/>
    <n v="37090"/>
    <n v="15365"/>
  </r>
  <r>
    <n v="6712"/>
    <n v="56"/>
    <x v="44"/>
    <n v="5606"/>
    <s v="อำเภอปง"/>
    <n v="0"/>
    <s v="-"/>
    <n v="0"/>
    <s v="-"/>
    <n v="19516"/>
    <n v="19440"/>
    <n v="38956"/>
    <n v="12990"/>
  </r>
  <r>
    <n v="6712"/>
    <n v="56"/>
    <x v="44"/>
    <n v="5607"/>
    <s v="อำเภอแม่ใจ"/>
    <n v="0"/>
    <s v="-"/>
    <n v="0"/>
    <s v="-"/>
    <n v="9510"/>
    <n v="10179"/>
    <n v="19689"/>
    <n v="9722"/>
  </r>
  <r>
    <n v="6712"/>
    <n v="56"/>
    <x v="44"/>
    <n v="5608"/>
    <s v="อำเภอภูซาง"/>
    <n v="0"/>
    <s v="-"/>
    <n v="0"/>
    <s v="-"/>
    <n v="11866"/>
    <n v="12197"/>
    <n v="24063"/>
    <n v="9964"/>
  </r>
  <r>
    <n v="6712"/>
    <n v="56"/>
    <x v="44"/>
    <n v="5609"/>
    <s v="อำเภอภูกามยาว"/>
    <n v="0"/>
    <s v="-"/>
    <n v="0"/>
    <s v="-"/>
    <n v="5899"/>
    <n v="6454"/>
    <n v="12353"/>
    <n v="5229"/>
  </r>
  <r>
    <n v="6712"/>
    <n v="56"/>
    <x v="44"/>
    <n v="5677"/>
    <s v="ท้องถิ่นเทศบาลตำบลบ้านต๋อม"/>
    <n v="0"/>
    <s v="-"/>
    <n v="0"/>
    <s v="-"/>
    <n v="5725"/>
    <n v="6798"/>
    <n v="12523"/>
    <n v="7678"/>
  </r>
  <r>
    <n v="6712"/>
    <n v="56"/>
    <x v="44"/>
    <n v="5678"/>
    <s v="ท้องถิ่นเทศบาลตำบลห้วยลาน"/>
    <n v="0"/>
    <s v="-"/>
    <n v="0"/>
    <s v="-"/>
    <n v="4062"/>
    <n v="4446"/>
    <n v="8508"/>
    <n v="3426"/>
  </r>
  <r>
    <n v="6712"/>
    <n v="56"/>
    <x v="44"/>
    <n v="5679"/>
    <s v="ท้องถิ่นเทศบาลตำบลฝายกวาง"/>
    <n v="0"/>
    <s v="-"/>
    <n v="0"/>
    <s v="-"/>
    <n v="4206"/>
    <n v="4464"/>
    <n v="8670"/>
    <n v="3844"/>
  </r>
  <r>
    <n v="6712"/>
    <n v="56"/>
    <x v="44"/>
    <n v="5680"/>
    <s v="ท้องถิ่นเทศบาลตำบลเวียงลอ"/>
    <n v="0"/>
    <s v="-"/>
    <n v="0"/>
    <s v="-"/>
    <n v="2842"/>
    <n v="3077"/>
    <n v="5919"/>
    <n v="2742"/>
  </r>
  <r>
    <n v="6712"/>
    <n v="56"/>
    <x v="44"/>
    <n v="5681"/>
    <s v="ท้องถิ่นเทศบาลตำบลหงส์หิน"/>
    <n v="0"/>
    <s v="-"/>
    <n v="0"/>
    <s v="-"/>
    <n v="3112"/>
    <n v="3372"/>
    <n v="6484"/>
    <n v="2883"/>
  </r>
  <r>
    <n v="6712"/>
    <n v="56"/>
    <x v="44"/>
    <n v="5682"/>
    <s v="ท้องถิ่นเทศบาลตำบลจุน"/>
    <n v="0"/>
    <s v="-"/>
    <n v="0"/>
    <s v="-"/>
    <n v="4258"/>
    <n v="4547"/>
    <n v="8805"/>
    <n v="4109"/>
  </r>
  <r>
    <n v="6712"/>
    <n v="56"/>
    <x v="44"/>
    <n v="5683"/>
    <s v="ท้องถิ่นเทศบาลตำบลบ้านเหล่า"/>
    <n v="0"/>
    <s v="-"/>
    <n v="0"/>
    <s v="-"/>
    <n v="3653"/>
    <n v="3875"/>
    <n v="7528"/>
    <n v="3059"/>
  </r>
  <r>
    <n v="6712"/>
    <n v="56"/>
    <x v="44"/>
    <n v="5684"/>
    <s v="ท้องถิ่นเทศบาลตำบลแม่กา"/>
    <n v="0"/>
    <s v="-"/>
    <n v="0"/>
    <s v="-"/>
    <n v="6053"/>
    <n v="6589"/>
    <n v="12642"/>
    <n v="7344"/>
  </r>
  <r>
    <n v="6712"/>
    <n v="56"/>
    <x v="44"/>
    <n v="5685"/>
    <s v="ท้องถิ่นเทศบาลตำบลแม่ปืม"/>
    <n v="0"/>
    <s v="-"/>
    <n v="0"/>
    <s v="-"/>
    <n v="4281"/>
    <n v="4500"/>
    <n v="8781"/>
    <n v="3552"/>
  </r>
  <r>
    <n v="6712"/>
    <n v="56"/>
    <x v="44"/>
    <n v="5686"/>
    <s v="ท้องถิ่นเทศบาลตำบลบ้านต๊ำ"/>
    <n v="0"/>
    <s v="-"/>
    <n v="0"/>
    <s v="-"/>
    <n v="3352"/>
    <n v="3590"/>
    <n v="6942"/>
    <n v="3373"/>
  </r>
  <r>
    <n v="6712"/>
    <n v="56"/>
    <x v="44"/>
    <n v="5687"/>
    <s v="ท้องถิ่นเทศบาลตำบลท่าวังทอง"/>
    <n v="0"/>
    <s v="-"/>
    <n v="0"/>
    <s v="-"/>
    <n v="7926"/>
    <n v="7772"/>
    <n v="15698"/>
    <n v="10113"/>
  </r>
  <r>
    <n v="6712"/>
    <n v="56"/>
    <x v="44"/>
    <n v="5688"/>
    <s v="ท้องถิ่นเทศบาลตำบลดงเจน"/>
    <n v="0"/>
    <s v="-"/>
    <n v="0"/>
    <s v="-"/>
    <n v="3703"/>
    <n v="4262"/>
    <n v="7965"/>
    <n v="3711"/>
  </r>
  <r>
    <n v="6712"/>
    <n v="56"/>
    <x v="44"/>
    <n v="5689"/>
    <s v="ท้องถิ่นเทศบาลตำบลสบบง"/>
    <n v="0"/>
    <s v="-"/>
    <n v="0"/>
    <s v="-"/>
    <n v="3970"/>
    <n v="4310"/>
    <n v="8280"/>
    <n v="3669"/>
  </r>
  <r>
    <n v="6712"/>
    <n v="56"/>
    <x v="44"/>
    <n v="5690"/>
    <s v="ท้องถิ่นเทศบาลตำบลแม่ใจ"/>
    <n v="0"/>
    <s v="-"/>
    <n v="0"/>
    <s v="-"/>
    <n v="2286"/>
    <n v="2488"/>
    <n v="4774"/>
    <n v="2242"/>
  </r>
  <r>
    <n v="6712"/>
    <n v="56"/>
    <x v="44"/>
    <n v="5691"/>
    <s v="ท้องถิ่นเทศบาลตำบลปง"/>
    <n v="0"/>
    <s v="-"/>
    <n v="0"/>
    <s v="-"/>
    <n v="2514"/>
    <n v="2794"/>
    <n v="5308"/>
    <n v="2883"/>
  </r>
  <r>
    <n v="6712"/>
    <n v="56"/>
    <x v="44"/>
    <n v="5692"/>
    <s v="ท้องถิ่นเทศบาลตำบลงิม"/>
    <n v="0"/>
    <s v="-"/>
    <n v="0"/>
    <s v="-"/>
    <n v="3198"/>
    <n v="3244"/>
    <n v="6442"/>
    <n v="2543"/>
  </r>
  <r>
    <n v="6712"/>
    <n v="56"/>
    <x v="44"/>
    <n v="5693"/>
    <s v="ท้องถิ่นเทศบาลเมืองดอกคำใต้"/>
    <n v="0"/>
    <s v="-"/>
    <n v="0"/>
    <s v="-"/>
    <n v="5513"/>
    <n v="6479"/>
    <n v="11992"/>
    <n v="5484"/>
  </r>
  <r>
    <n v="6712"/>
    <n v="56"/>
    <x v="44"/>
    <n v="5694"/>
    <s v="ท้องถิ่นเทศบาลตำบลบ้านถ้ำ"/>
    <n v="0"/>
    <s v="-"/>
    <n v="0"/>
    <s v="-"/>
    <n v="3978"/>
    <n v="3985"/>
    <n v="7963"/>
    <n v="3442"/>
  </r>
  <r>
    <n v="6712"/>
    <n v="56"/>
    <x v="44"/>
    <n v="5695"/>
    <s v="ท้องถิ่นเทศบาลตำบลเชียงม่วน"/>
    <n v="0"/>
    <s v="-"/>
    <n v="0"/>
    <s v="-"/>
    <n v="4105"/>
    <n v="4287"/>
    <n v="8392"/>
    <n v="3970"/>
  </r>
  <r>
    <n v="6712"/>
    <n v="56"/>
    <x v="44"/>
    <n v="5696"/>
    <s v="ท้องถิ่นเทศบาลตำบลเวียง"/>
    <n v="0"/>
    <s v="-"/>
    <n v="0"/>
    <s v="-"/>
    <n v="2572"/>
    <n v="2727"/>
    <n v="5299"/>
    <n v="2344"/>
  </r>
  <r>
    <n v="6712"/>
    <n v="56"/>
    <x v="44"/>
    <n v="5697"/>
    <s v="ท้องถิ่นเทศบาลตำบลเชียงคำ"/>
    <n v="0"/>
    <s v="-"/>
    <n v="0"/>
    <s v="-"/>
    <n v="2670"/>
    <n v="3295"/>
    <n v="5965"/>
    <n v="3778"/>
  </r>
  <r>
    <n v="6712"/>
    <n v="56"/>
    <x v="44"/>
    <n v="5698"/>
    <s v="ท้องถิ่นเทศบาลตำบลห้วยข้าวก่ำ"/>
    <n v="0"/>
    <s v="-"/>
    <n v="0"/>
    <s v="-"/>
    <n v="3804"/>
    <n v="4189"/>
    <n v="7993"/>
    <n v="4473"/>
  </r>
  <r>
    <n v="6712"/>
    <n v="56"/>
    <x v="44"/>
    <n v="5699"/>
    <s v="ท้องถิ่นเทศบาลเมืองพะเยา"/>
    <n v="0"/>
    <s v="-"/>
    <n v="0"/>
    <s v="-"/>
    <n v="7067"/>
    <n v="8352"/>
    <n v="15419"/>
    <n v="8412"/>
  </r>
  <r>
    <n v="6712"/>
    <n v="57"/>
    <x v="45"/>
    <n v="0"/>
    <s v="-"/>
    <n v="0"/>
    <s v="-"/>
    <n v="0"/>
    <s v="-"/>
    <n v="628811"/>
    <n v="668846"/>
    <n v="1297657"/>
    <n v="594808"/>
  </r>
  <r>
    <n v="6712"/>
    <n v="57"/>
    <x v="45"/>
    <n v="5701"/>
    <s v="อำเภอเมืองเชียงราย"/>
    <n v="0"/>
    <s v="-"/>
    <n v="0"/>
    <s v="-"/>
    <n v="52453"/>
    <n v="57164"/>
    <n v="109617"/>
    <n v="56840"/>
  </r>
  <r>
    <n v="6712"/>
    <n v="57"/>
    <x v="45"/>
    <n v="5702"/>
    <s v="อำเภอเวียงชัย"/>
    <n v="0"/>
    <s v="-"/>
    <n v="0"/>
    <s v="-"/>
    <n v="18740"/>
    <n v="19961"/>
    <n v="38701"/>
    <n v="16544"/>
  </r>
  <r>
    <n v="6712"/>
    <n v="57"/>
    <x v="45"/>
    <n v="5703"/>
    <s v="อำเภอเชียงของ"/>
    <n v="0"/>
    <s v="-"/>
    <n v="0"/>
    <s v="-"/>
    <n v="12246"/>
    <n v="12689"/>
    <n v="24935"/>
    <n v="11028"/>
  </r>
  <r>
    <n v="6712"/>
    <n v="57"/>
    <x v="45"/>
    <n v="5704"/>
    <s v="อำเภอเทิง"/>
    <n v="0"/>
    <s v="-"/>
    <n v="0"/>
    <s v="-"/>
    <n v="36422"/>
    <n v="37372"/>
    <n v="73794"/>
    <n v="30067"/>
  </r>
  <r>
    <n v="6712"/>
    <n v="57"/>
    <x v="45"/>
    <n v="5705"/>
    <s v="อำเภอพาน"/>
    <n v="0"/>
    <s v="-"/>
    <n v="0"/>
    <s v="-"/>
    <n v="52555"/>
    <n v="56088"/>
    <n v="108643"/>
    <n v="49947"/>
  </r>
  <r>
    <n v="6712"/>
    <n v="57"/>
    <x v="45"/>
    <n v="5706"/>
    <s v="อำเภอป่าแดด"/>
    <n v="0"/>
    <s v="-"/>
    <n v="0"/>
    <s v="-"/>
    <n v="5714"/>
    <n v="5872"/>
    <n v="11586"/>
    <n v="4239"/>
  </r>
  <r>
    <n v="6712"/>
    <n v="57"/>
    <x v="45"/>
    <n v="5707"/>
    <s v="อำเภอแม่จัน"/>
    <n v="0"/>
    <s v="-"/>
    <n v="0"/>
    <s v="-"/>
    <n v="33649"/>
    <n v="36232"/>
    <n v="69881"/>
    <n v="29779"/>
  </r>
  <r>
    <n v="6712"/>
    <n v="57"/>
    <x v="45"/>
    <n v="5708"/>
    <s v="อำเภอเชียงแสน"/>
    <n v="0"/>
    <s v="-"/>
    <n v="0"/>
    <s v="-"/>
    <n v="24047"/>
    <n v="25293"/>
    <n v="49340"/>
    <n v="19727"/>
  </r>
  <r>
    <n v="6712"/>
    <n v="57"/>
    <x v="45"/>
    <n v="5709"/>
    <s v="อำเภอแม่สาย"/>
    <n v="0"/>
    <s v="-"/>
    <n v="0"/>
    <s v="-"/>
    <n v="36163"/>
    <n v="40677"/>
    <n v="76840"/>
    <n v="31758"/>
  </r>
  <r>
    <n v="6712"/>
    <n v="57"/>
    <x v="45"/>
    <n v="5710"/>
    <s v="อำเภอแม่สรวย"/>
    <n v="0"/>
    <s v="-"/>
    <n v="0"/>
    <s v="-"/>
    <n v="39608"/>
    <n v="39315"/>
    <n v="78923"/>
    <n v="30764"/>
  </r>
  <r>
    <n v="6712"/>
    <n v="57"/>
    <x v="45"/>
    <n v="5711"/>
    <s v="อำเภอเวียงป่าเป้า"/>
    <n v="0"/>
    <s v="-"/>
    <n v="0"/>
    <s v="-"/>
    <n v="29852"/>
    <n v="30607"/>
    <n v="60459"/>
    <n v="25740"/>
  </r>
  <r>
    <n v="6712"/>
    <n v="57"/>
    <x v="45"/>
    <n v="5712"/>
    <s v="อำเภอพญาเม็งราย"/>
    <n v="0"/>
    <s v="-"/>
    <n v="0"/>
    <s v="-"/>
    <n v="13476"/>
    <n v="13772"/>
    <n v="27248"/>
    <n v="10280"/>
  </r>
  <r>
    <n v="6712"/>
    <n v="57"/>
    <x v="45"/>
    <n v="5713"/>
    <s v="อำเภอเวียงแก่น"/>
    <n v="0"/>
    <s v="-"/>
    <n v="0"/>
    <s v="-"/>
    <n v="19264"/>
    <n v="18975"/>
    <n v="38239"/>
    <n v="14422"/>
  </r>
  <r>
    <n v="6712"/>
    <n v="57"/>
    <x v="45"/>
    <n v="5714"/>
    <s v="อำเภอขุนตาล"/>
    <n v="0"/>
    <s v="-"/>
    <n v="0"/>
    <s v="-"/>
    <n v="6781"/>
    <n v="7100"/>
    <n v="13881"/>
    <n v="5798"/>
  </r>
  <r>
    <n v="6712"/>
    <n v="57"/>
    <x v="45"/>
    <n v="5715"/>
    <s v="อำเภอแม่ฟ้าหลวง"/>
    <n v="0"/>
    <s v="-"/>
    <n v="0"/>
    <s v="-"/>
    <n v="38716"/>
    <n v="39069"/>
    <n v="77785"/>
    <n v="26656"/>
  </r>
  <r>
    <n v="6712"/>
    <n v="57"/>
    <x v="45"/>
    <n v="5716"/>
    <s v="อำเภอแม่ลาว"/>
    <n v="0"/>
    <s v="-"/>
    <n v="0"/>
    <s v="-"/>
    <n v="11707"/>
    <n v="12625"/>
    <n v="24332"/>
    <n v="11620"/>
  </r>
  <r>
    <n v="6712"/>
    <n v="57"/>
    <x v="45"/>
    <n v="5717"/>
    <s v="อำเภอเวียงเชียงรุ้ง"/>
    <n v="0"/>
    <s v="-"/>
    <n v="0"/>
    <s v="-"/>
    <n v="11623"/>
    <n v="12023"/>
    <n v="23646"/>
    <n v="9772"/>
  </r>
  <r>
    <n v="6712"/>
    <n v="57"/>
    <x v="45"/>
    <n v="5718"/>
    <s v="อำเภอดอยหลวง"/>
    <n v="0"/>
    <s v="-"/>
    <n v="0"/>
    <s v="-"/>
    <n v="9236"/>
    <n v="9253"/>
    <n v="18489"/>
    <n v="9029"/>
  </r>
  <r>
    <n v="6712"/>
    <n v="57"/>
    <x v="45"/>
    <n v="5764"/>
    <s v="ท้องถิ่นเทศบาลตำบลแม่ยาว"/>
    <n v="0"/>
    <s v="-"/>
    <n v="0"/>
    <s v="-"/>
    <n v="10906"/>
    <n v="11186"/>
    <n v="22092"/>
    <n v="9727"/>
  </r>
  <r>
    <n v="6712"/>
    <n v="57"/>
    <x v="45"/>
    <n v="5765"/>
    <s v="ท้องถิ่นเทศบาลตำบลห้วยซ้อ"/>
    <n v="0"/>
    <s v="-"/>
    <n v="0"/>
    <s v="-"/>
    <n v="6002"/>
    <n v="6063"/>
    <n v="12065"/>
    <n v="5411"/>
  </r>
  <r>
    <n v="6712"/>
    <n v="57"/>
    <x v="45"/>
    <n v="5766"/>
    <s v="ท้องถิ่นเทศบาลตำบลไม้ยา"/>
    <n v="0"/>
    <s v="-"/>
    <n v="0"/>
    <s v="-"/>
    <n v="5150"/>
    <n v="5184"/>
    <n v="10334"/>
    <n v="3954"/>
  </r>
  <r>
    <n v="6712"/>
    <n v="57"/>
    <x v="45"/>
    <n v="5767"/>
    <s v="ท้องถิ่นเทศบาลตำบลครึ่ง"/>
    <n v="0"/>
    <s v="-"/>
    <n v="0"/>
    <s v="-"/>
    <n v="3049"/>
    <n v="3090"/>
    <n v="6139"/>
    <n v="2774"/>
  </r>
  <r>
    <n v="6712"/>
    <n v="57"/>
    <x v="45"/>
    <n v="5768"/>
    <s v="ท้องถิ่นเทศบาลตำบลป่าอ้อดอนชัย"/>
    <n v="0"/>
    <s v="-"/>
    <n v="0"/>
    <s v="-"/>
    <n v="5475"/>
    <n v="6115"/>
    <n v="11590"/>
    <n v="5935"/>
  </r>
  <r>
    <n v="6712"/>
    <n v="57"/>
    <x v="45"/>
    <n v="5769"/>
    <s v="ท้องถิ่นเทศบาลตำบลยางฮอม"/>
    <n v="0"/>
    <s v="-"/>
    <n v="0"/>
    <s v="-"/>
    <n v="5176"/>
    <n v="5458"/>
    <n v="10634"/>
    <n v="4138"/>
  </r>
  <r>
    <n v="6712"/>
    <n v="57"/>
    <x v="45"/>
    <n v="5770"/>
    <s v="ท้องถิ่นเทศบาลตำบลเวียง"/>
    <n v="0"/>
    <s v="-"/>
    <n v="0"/>
    <s v="-"/>
    <n v="4870"/>
    <n v="5016"/>
    <n v="9886"/>
    <n v="4565"/>
  </r>
  <r>
    <n v="6712"/>
    <n v="57"/>
    <x v="45"/>
    <n v="5771"/>
    <s v="ท้องถิ่นเทศบาลตำบลนางแล"/>
    <n v="0"/>
    <s v="-"/>
    <n v="0"/>
    <s v="-"/>
    <n v="6077"/>
    <n v="6715"/>
    <n v="12792"/>
    <n v="6968"/>
  </r>
  <r>
    <n v="6712"/>
    <n v="57"/>
    <x v="45"/>
    <n v="5772"/>
    <s v="ท้องถิ่นเทศบาลตำบลป่าซาง"/>
    <n v="0"/>
    <s v="-"/>
    <n v="0"/>
    <s v="-"/>
    <n v="5410"/>
    <n v="6124"/>
    <n v="11534"/>
    <n v="5909"/>
  </r>
  <r>
    <n v="6712"/>
    <n v="57"/>
    <x v="45"/>
    <n v="5773"/>
    <s v="ท้องถิ่นเทศบาลตำบลเวียงพางคำ"/>
    <n v="0"/>
    <s v="-"/>
    <n v="0"/>
    <s v="-"/>
    <n v="10792"/>
    <n v="12390"/>
    <n v="23182"/>
    <n v="10620"/>
  </r>
  <r>
    <n v="6712"/>
    <n v="57"/>
    <x v="45"/>
    <n v="5774"/>
    <s v="ท้องถิ่นเทศบาลตำบลบ้านดู่"/>
    <n v="0"/>
    <s v="-"/>
    <n v="0"/>
    <s v="-"/>
    <n v="10403"/>
    <n v="12091"/>
    <n v="22494"/>
    <n v="15768"/>
  </r>
  <r>
    <n v="6712"/>
    <n v="57"/>
    <x v="45"/>
    <n v="5775"/>
    <s v="ท้องถิ่นเทศบาลตำบลบ้านเหล่า"/>
    <n v="0"/>
    <s v="-"/>
    <n v="0"/>
    <s v="-"/>
    <n v="1914"/>
    <n v="1955"/>
    <n v="3869"/>
    <n v="1835"/>
  </r>
  <r>
    <n v="6712"/>
    <n v="57"/>
    <x v="45"/>
    <n v="5776"/>
    <s v="ท้องถิ่นเทศบาลตำบลแม่ลาว"/>
    <n v="0"/>
    <s v="-"/>
    <n v="0"/>
    <s v="-"/>
    <n v="828"/>
    <n v="917"/>
    <n v="1745"/>
    <n v="838"/>
  </r>
  <r>
    <n v="6712"/>
    <n v="57"/>
    <x v="45"/>
    <n v="5777"/>
    <s v="ท้องถิ่นเทศบาลตำบลป่าก่อดำ"/>
    <n v="0"/>
    <s v="-"/>
    <n v="0"/>
    <s v="-"/>
    <n v="1960"/>
    <n v="2199"/>
    <n v="4159"/>
    <n v="2089"/>
  </r>
  <r>
    <n v="6712"/>
    <n v="57"/>
    <x v="45"/>
    <n v="5778"/>
    <s v="ท้องถิ่นเทศบาลตำบลบ้านต้า"/>
    <n v="0"/>
    <s v="-"/>
    <n v="0"/>
    <s v="-"/>
    <n v="2791"/>
    <n v="3038"/>
    <n v="5829"/>
    <n v="2321"/>
  </r>
  <r>
    <n v="6712"/>
    <n v="57"/>
    <x v="45"/>
    <n v="5779"/>
    <s v="ท้องถิ่นเทศบาลตำบลพญาเม็งราย"/>
    <n v="0"/>
    <s v="-"/>
    <n v="0"/>
    <s v="-"/>
    <n v="1939"/>
    <n v="2100"/>
    <n v="4039"/>
    <n v="2328"/>
  </r>
  <r>
    <n v="6712"/>
    <n v="57"/>
    <x v="45"/>
    <n v="5780"/>
    <s v="ท้องถิ่นเทศบาลตำบลเวียงป่าเป้า"/>
    <n v="0"/>
    <s v="-"/>
    <n v="0"/>
    <s v="-"/>
    <n v="1875"/>
    <n v="2237"/>
    <n v="4112"/>
    <n v="2431"/>
  </r>
  <r>
    <n v="6712"/>
    <n v="57"/>
    <x v="45"/>
    <n v="5781"/>
    <s v="ท้องถิ่นเทศบาลตำบลแม่ขะจาน"/>
    <n v="0"/>
    <s v="-"/>
    <n v="0"/>
    <s v="-"/>
    <n v="1301"/>
    <n v="1487"/>
    <n v="2788"/>
    <n v="1656"/>
  </r>
  <r>
    <n v="6712"/>
    <n v="57"/>
    <x v="45"/>
    <n v="5782"/>
    <s v="ท้องถิ่นเทศบาลตำบลเจดีย์หลวง"/>
    <n v="0"/>
    <s v="-"/>
    <n v="0"/>
    <s v="-"/>
    <n v="2252"/>
    <n v="2344"/>
    <n v="4596"/>
    <n v="2209"/>
  </r>
  <r>
    <n v="6712"/>
    <n v="57"/>
    <x v="45"/>
    <n v="5783"/>
    <s v="ท้องถิ่นเทศบาลตำบลแม่สรวย"/>
    <n v="0"/>
    <s v="-"/>
    <n v="0"/>
    <s v="-"/>
    <n v="695"/>
    <n v="743"/>
    <n v="1438"/>
    <n v="1162"/>
  </r>
  <r>
    <n v="6712"/>
    <n v="57"/>
    <x v="45"/>
    <n v="5784"/>
    <s v="ท้องถิ่นเทศบาลตำบลห้วยไคร้"/>
    <n v="0"/>
    <s v="-"/>
    <n v="0"/>
    <s v="-"/>
    <n v="2256"/>
    <n v="2631"/>
    <n v="4887"/>
    <n v="2584"/>
  </r>
  <r>
    <n v="6712"/>
    <n v="57"/>
    <x v="45"/>
    <n v="5785"/>
    <s v="ท้องถิ่นเทศบาลตำบลแม่สาย"/>
    <n v="0"/>
    <s v="-"/>
    <n v="0"/>
    <s v="-"/>
    <n v="12943"/>
    <n v="14824"/>
    <n v="27767"/>
    <n v="13969"/>
  </r>
  <r>
    <n v="6712"/>
    <n v="57"/>
    <x v="45"/>
    <n v="5786"/>
    <s v="ท้องถิ่นเทศบาลตำบลเวียงเชียงแสน"/>
    <n v="0"/>
    <s v="-"/>
    <n v="0"/>
    <s v="-"/>
    <n v="2885"/>
    <n v="3225"/>
    <n v="6110"/>
    <n v="3420"/>
  </r>
  <r>
    <n v="6712"/>
    <n v="57"/>
    <x v="45"/>
    <n v="5787"/>
    <s v="ท้องถิ่นเทศบาลตำบลสันทราย"/>
    <n v="0"/>
    <s v="-"/>
    <n v="0"/>
    <s v="-"/>
    <n v="1263"/>
    <n v="1425"/>
    <n v="2688"/>
    <n v="1312"/>
  </r>
  <r>
    <n v="6712"/>
    <n v="57"/>
    <x v="45"/>
    <n v="5788"/>
    <s v="ท้องถิ่นเทศบาลตำบลแม่จัน"/>
    <n v="0"/>
    <s v="-"/>
    <n v="0"/>
    <s v="-"/>
    <n v="1627"/>
    <n v="1867"/>
    <n v="3494"/>
    <n v="2475"/>
  </r>
  <r>
    <n v="6712"/>
    <n v="57"/>
    <x v="45"/>
    <n v="5789"/>
    <s v="ท้องถิ่นเทศบาลตำบลแม่คำ"/>
    <n v="0"/>
    <s v="-"/>
    <n v="0"/>
    <s v="-"/>
    <n v="2034"/>
    <n v="2296"/>
    <n v="4330"/>
    <n v="2218"/>
  </r>
  <r>
    <n v="6712"/>
    <n v="57"/>
    <x v="45"/>
    <n v="5790"/>
    <s v="ท้องถิ่นเทศบาลตำบลจันจว้า"/>
    <n v="0"/>
    <s v="-"/>
    <n v="0"/>
    <s v="-"/>
    <n v="6550"/>
    <n v="7299"/>
    <n v="13849"/>
    <n v="6399"/>
  </r>
  <r>
    <n v="6712"/>
    <n v="57"/>
    <x v="45"/>
    <n v="5791"/>
    <s v="ท้องถิ่นเทศบาลตำบลป่าแดด"/>
    <n v="0"/>
    <s v="-"/>
    <n v="0"/>
    <s v="-"/>
    <n v="2990"/>
    <n v="3172"/>
    <n v="6162"/>
    <n v="2579"/>
  </r>
  <r>
    <n v="6712"/>
    <n v="57"/>
    <x v="45"/>
    <n v="5792"/>
    <s v="ท้องถิ่นเทศบาลตำบลป่าแงะ"/>
    <n v="0"/>
    <s v="-"/>
    <n v="0"/>
    <s v="-"/>
    <n v="3619"/>
    <n v="3725"/>
    <n v="7344"/>
    <n v="3266"/>
  </r>
  <r>
    <n v="6712"/>
    <n v="57"/>
    <x v="45"/>
    <n v="5793"/>
    <s v="ท้องถิ่นเทศบาลตำบลเมืองพาน"/>
    <n v="0"/>
    <s v="-"/>
    <n v="0"/>
    <s v="-"/>
    <n v="2823"/>
    <n v="3306"/>
    <n v="6129"/>
    <n v="3628"/>
  </r>
  <r>
    <n v="6712"/>
    <n v="57"/>
    <x v="45"/>
    <n v="5794"/>
    <s v="ท้องถิ่นเทศบาลตำบลเวียงเทิง"/>
    <n v="0"/>
    <s v="-"/>
    <n v="0"/>
    <s v="-"/>
    <n v="2280"/>
    <n v="2631"/>
    <n v="4911"/>
    <n v="2907"/>
  </r>
  <r>
    <n v="6712"/>
    <n v="57"/>
    <x v="45"/>
    <n v="5795"/>
    <s v="ท้องถิ่นเทศบาลตำบลบ้านปล้อง"/>
    <n v="0"/>
    <s v="-"/>
    <n v="0"/>
    <s v="-"/>
    <n v="1827"/>
    <n v="1987"/>
    <n v="3814"/>
    <n v="1627"/>
  </r>
  <r>
    <n v="6712"/>
    <n v="57"/>
    <x v="45"/>
    <n v="5796"/>
    <s v="ท้องถิ่นเทศบาลตำบลเวียงเชียงของ"/>
    <n v="0"/>
    <s v="-"/>
    <n v="0"/>
    <s v="-"/>
    <n v="1647"/>
    <n v="1938"/>
    <n v="3585"/>
    <n v="2389"/>
  </r>
  <r>
    <n v="6712"/>
    <n v="57"/>
    <x v="45"/>
    <n v="5797"/>
    <s v="ท้องถิ่นเทศบาลตำบลบุญเรือง"/>
    <n v="0"/>
    <s v="-"/>
    <n v="0"/>
    <s v="-"/>
    <n v="2774"/>
    <n v="2940"/>
    <n v="5714"/>
    <n v="2579"/>
  </r>
  <r>
    <n v="6712"/>
    <n v="57"/>
    <x v="45"/>
    <n v="5798"/>
    <s v="ท้องถิ่นเทศบาลตำบลเวียงชัย"/>
    <n v="0"/>
    <s v="-"/>
    <n v="0"/>
    <s v="-"/>
    <n v="3138"/>
    <n v="3591"/>
    <n v="6729"/>
    <n v="3317"/>
  </r>
  <r>
    <n v="6712"/>
    <n v="57"/>
    <x v="45"/>
    <n v="5799"/>
    <s v="ท้องถิ่นเทศบาลนครเชียงราย"/>
    <n v="0"/>
    <s v="-"/>
    <n v="0"/>
    <s v="-"/>
    <n v="37038"/>
    <n v="41450"/>
    <n v="78488"/>
    <n v="53491"/>
  </r>
  <r>
    <n v="6712"/>
    <n v="58"/>
    <x v="46"/>
    <n v="0"/>
    <s v="-"/>
    <n v="0"/>
    <s v="-"/>
    <n v="0"/>
    <s v="-"/>
    <n v="145723"/>
    <n v="142359"/>
    <n v="288082"/>
    <n v="123826"/>
  </r>
  <r>
    <n v="6712"/>
    <n v="58"/>
    <x v="46"/>
    <n v="5801"/>
    <s v="อำเภอเมืองแม่ฮ่องสอน"/>
    <n v="0"/>
    <s v="-"/>
    <n v="0"/>
    <s v="-"/>
    <n v="28508"/>
    <n v="28103"/>
    <n v="56611"/>
    <n v="24753"/>
  </r>
  <r>
    <n v="6712"/>
    <n v="58"/>
    <x v="46"/>
    <n v="5802"/>
    <s v="อำเภอขุนยวม"/>
    <n v="0"/>
    <s v="-"/>
    <n v="0"/>
    <s v="-"/>
    <n v="10455"/>
    <n v="9921"/>
    <n v="20376"/>
    <n v="8236"/>
  </r>
  <r>
    <n v="6712"/>
    <n v="58"/>
    <x v="46"/>
    <n v="5803"/>
    <s v="อำเภอปาย"/>
    <n v="0"/>
    <s v="-"/>
    <n v="0"/>
    <s v="-"/>
    <n v="18255"/>
    <n v="17189"/>
    <n v="35444"/>
    <n v="16289"/>
  </r>
  <r>
    <n v="6712"/>
    <n v="58"/>
    <x v="46"/>
    <n v="5804"/>
    <s v="อำเภอแม่สะเรียง"/>
    <n v="0"/>
    <s v="-"/>
    <n v="0"/>
    <s v="-"/>
    <n v="26495"/>
    <n v="26360"/>
    <n v="52855"/>
    <n v="22922"/>
  </r>
  <r>
    <n v="6712"/>
    <n v="58"/>
    <x v="46"/>
    <n v="5805"/>
    <s v="อำเภอแม่ลาน้อย"/>
    <n v="0"/>
    <s v="-"/>
    <n v="0"/>
    <s v="-"/>
    <n v="16153"/>
    <n v="15985"/>
    <n v="32138"/>
    <n v="11385"/>
  </r>
  <r>
    <n v="6712"/>
    <n v="58"/>
    <x v="46"/>
    <n v="5806"/>
    <s v="อำเภอสบเมย"/>
    <n v="0"/>
    <s v="-"/>
    <n v="0"/>
    <s v="-"/>
    <n v="24583"/>
    <n v="23890"/>
    <n v="48473"/>
    <n v="18261"/>
  </r>
  <r>
    <n v="6712"/>
    <n v="58"/>
    <x v="46"/>
    <n v="5807"/>
    <s v="อำเภอปางมะผ้า"/>
    <n v="0"/>
    <s v="-"/>
    <n v="0"/>
    <s v="-"/>
    <n v="11535"/>
    <n v="10819"/>
    <n v="22354"/>
    <n v="9415"/>
  </r>
  <r>
    <n v="6712"/>
    <n v="58"/>
    <x v="46"/>
    <n v="5895"/>
    <s v="ท้องถิ่นเทศบาลตำบลแม่ลาน้อย"/>
    <n v="0"/>
    <s v="-"/>
    <n v="0"/>
    <s v="-"/>
    <n v="1707"/>
    <n v="1757"/>
    <n v="3464"/>
    <n v="1865"/>
  </r>
  <r>
    <n v="6712"/>
    <n v="58"/>
    <x v="46"/>
    <n v="5896"/>
    <s v="ท้องถิ่นเทศบาลตำบลแม่สะเรียง"/>
    <n v="0"/>
    <s v="-"/>
    <n v="0"/>
    <s v="-"/>
    <n v="1277"/>
    <n v="1421"/>
    <n v="2698"/>
    <n v="2057"/>
  </r>
  <r>
    <n v="6712"/>
    <n v="58"/>
    <x v="46"/>
    <n v="5897"/>
    <s v="ท้องถิ่นเทศบาลตำบลปาย"/>
    <n v="0"/>
    <s v="-"/>
    <n v="0"/>
    <s v="-"/>
    <n v="1636"/>
    <n v="1699"/>
    <n v="3335"/>
    <n v="1963"/>
  </r>
  <r>
    <n v="6712"/>
    <n v="58"/>
    <x v="46"/>
    <n v="5898"/>
    <s v="ท้องถิ่นเทศบาลตำบลขุนยวม"/>
    <n v="0"/>
    <s v="-"/>
    <n v="0"/>
    <s v="-"/>
    <n v="1724"/>
    <n v="1789"/>
    <n v="3513"/>
    <n v="1859"/>
  </r>
  <r>
    <n v="6712"/>
    <n v="58"/>
    <x v="46"/>
    <n v="5899"/>
    <s v="ท้องถิ่นเทศบาลเมืองแม่ฮ่องสอน"/>
    <n v="0"/>
    <s v="-"/>
    <n v="0"/>
    <s v="-"/>
    <n v="3395"/>
    <n v="3426"/>
    <n v="6821"/>
    <n v="4821"/>
  </r>
  <r>
    <n v="6712"/>
    <n v="60"/>
    <x v="47"/>
    <n v="0"/>
    <s v="-"/>
    <n v="0"/>
    <s v="-"/>
    <n v="0"/>
    <s v="-"/>
    <n v="493281"/>
    <n v="521120"/>
    <n v="1014401"/>
    <n v="437370"/>
  </r>
  <r>
    <n v="6712"/>
    <n v="60"/>
    <x v="47"/>
    <n v="6001"/>
    <s v="อำเภอเมืองนครสวรรค์"/>
    <n v="0"/>
    <s v="-"/>
    <n v="0"/>
    <s v="-"/>
    <n v="77626"/>
    <n v="84161"/>
    <n v="161787"/>
    <n v="75749"/>
  </r>
  <r>
    <n v="6712"/>
    <n v="60"/>
    <x v="47"/>
    <n v="6002"/>
    <s v="อำเภอโกรกพระ"/>
    <n v="0"/>
    <s v="-"/>
    <n v="0"/>
    <s v="-"/>
    <n v="12750"/>
    <n v="13488"/>
    <n v="26238"/>
    <n v="10080"/>
  </r>
  <r>
    <n v="6712"/>
    <n v="60"/>
    <x v="47"/>
    <n v="6003"/>
    <s v="อำเภอชุมแสง"/>
    <n v="0"/>
    <s v="-"/>
    <n v="0"/>
    <s v="-"/>
    <n v="25148"/>
    <n v="26765"/>
    <n v="51913"/>
    <n v="19025"/>
  </r>
  <r>
    <n v="6712"/>
    <n v="60"/>
    <x v="47"/>
    <n v="6004"/>
    <s v="อำเภอหนองบัว"/>
    <n v="0"/>
    <s v="-"/>
    <n v="0"/>
    <s v="-"/>
    <n v="26352"/>
    <n v="26847"/>
    <n v="53199"/>
    <n v="24157"/>
  </r>
  <r>
    <n v="6712"/>
    <n v="60"/>
    <x v="47"/>
    <n v="6005"/>
    <s v="อำเภอบรรพตพิสัย"/>
    <n v="0"/>
    <s v="-"/>
    <n v="0"/>
    <s v="-"/>
    <n v="38702"/>
    <n v="40327"/>
    <n v="79029"/>
    <n v="29473"/>
  </r>
  <r>
    <n v="6712"/>
    <n v="60"/>
    <x v="47"/>
    <n v="6006"/>
    <s v="อำเภอเก้าเลี้ยว"/>
    <n v="0"/>
    <s v="-"/>
    <n v="0"/>
    <s v="-"/>
    <n v="13652"/>
    <n v="14395"/>
    <n v="28047"/>
    <n v="11018"/>
  </r>
  <r>
    <n v="6712"/>
    <n v="60"/>
    <x v="47"/>
    <n v="6007"/>
    <s v="อำเภอตาคลี"/>
    <n v="0"/>
    <s v="-"/>
    <n v="0"/>
    <s v="-"/>
    <n v="37323"/>
    <n v="38318"/>
    <n v="75641"/>
    <n v="31157"/>
  </r>
  <r>
    <n v="6712"/>
    <n v="60"/>
    <x v="47"/>
    <n v="6008"/>
    <s v="อำเภอท่าตะโก"/>
    <n v="0"/>
    <s v="-"/>
    <n v="0"/>
    <s v="-"/>
    <n v="28667"/>
    <n v="30097"/>
    <n v="58764"/>
    <n v="24302"/>
  </r>
  <r>
    <n v="6712"/>
    <n v="60"/>
    <x v="47"/>
    <n v="6009"/>
    <s v="อำเภอไพศาลี"/>
    <n v="0"/>
    <s v="-"/>
    <n v="0"/>
    <s v="-"/>
    <n v="29102"/>
    <n v="29738"/>
    <n v="58840"/>
    <n v="22125"/>
  </r>
  <r>
    <n v="6712"/>
    <n v="60"/>
    <x v="47"/>
    <n v="6010"/>
    <s v="อำเภอพยุหะคีรี"/>
    <n v="0"/>
    <s v="-"/>
    <n v="0"/>
    <s v="-"/>
    <n v="23856"/>
    <n v="25370"/>
    <n v="49226"/>
    <n v="21914"/>
  </r>
  <r>
    <n v="6712"/>
    <n v="60"/>
    <x v="47"/>
    <n v="6011"/>
    <s v="อำเภอลาดยาว"/>
    <n v="0"/>
    <s v="-"/>
    <n v="0"/>
    <s v="-"/>
    <n v="35173"/>
    <n v="36633"/>
    <n v="71806"/>
    <n v="27862"/>
  </r>
  <r>
    <n v="6712"/>
    <n v="60"/>
    <x v="47"/>
    <n v="6012"/>
    <s v="อำเภอตากฟ้า"/>
    <n v="0"/>
    <s v="-"/>
    <n v="0"/>
    <s v="-"/>
    <n v="16410"/>
    <n v="16986"/>
    <n v="33396"/>
    <n v="13183"/>
  </r>
  <r>
    <n v="6712"/>
    <n v="60"/>
    <x v="47"/>
    <n v="6013"/>
    <s v="อำเภอแม่วงก์"/>
    <n v="0"/>
    <s v="-"/>
    <n v="0"/>
    <s v="-"/>
    <n v="24370"/>
    <n v="24587"/>
    <n v="48957"/>
    <n v="19342"/>
  </r>
  <r>
    <n v="6712"/>
    <n v="60"/>
    <x v="47"/>
    <n v="6014"/>
    <s v="อำเภอแม่เปิน"/>
    <n v="0"/>
    <s v="-"/>
    <n v="0"/>
    <s v="-"/>
    <n v="10302"/>
    <n v="10286"/>
    <n v="20588"/>
    <n v="6444"/>
  </r>
  <r>
    <n v="6712"/>
    <n v="60"/>
    <x v="47"/>
    <n v="6015"/>
    <s v="อำเภอชุมตาบง"/>
    <n v="0"/>
    <s v="-"/>
    <n v="0"/>
    <s v="-"/>
    <n v="8785"/>
    <n v="8860"/>
    <n v="17645"/>
    <n v="6675"/>
  </r>
  <r>
    <n v="6712"/>
    <n v="60"/>
    <x v="47"/>
    <n v="6082"/>
    <s v="ท้องถิ่นเทศบาลตำบลตากฟ้า"/>
    <n v="0"/>
    <s v="-"/>
    <n v="0"/>
    <s v="-"/>
    <n v="2477"/>
    <n v="2685"/>
    <n v="5162"/>
    <n v="2872"/>
  </r>
  <r>
    <n v="6712"/>
    <n v="60"/>
    <x v="47"/>
    <n v="6083"/>
    <s v="ท้องถิ่นเทศบาลตำบลลาดยาว"/>
    <n v="0"/>
    <s v="-"/>
    <n v="0"/>
    <s v="-"/>
    <n v="2641"/>
    <n v="3002"/>
    <n v="5643"/>
    <n v="3529"/>
  </r>
  <r>
    <n v="6712"/>
    <n v="60"/>
    <x v="47"/>
    <n v="6084"/>
    <s v="ท้องถิ่นเทศบาลตำบลศาลเจ้าไก่ต่อ"/>
    <n v="0"/>
    <s v="-"/>
    <n v="0"/>
    <s v="-"/>
    <n v="1493"/>
    <n v="1715"/>
    <n v="3208"/>
    <n v="1510"/>
  </r>
  <r>
    <n v="6712"/>
    <n v="60"/>
    <x v="47"/>
    <n v="6085"/>
    <s v="ท้องถิ่นเทศบาลตำบลพยุหะ"/>
    <n v="0"/>
    <s v="-"/>
    <n v="0"/>
    <s v="-"/>
    <n v="2485"/>
    <n v="2903"/>
    <n v="5388"/>
    <n v="3056"/>
  </r>
  <r>
    <n v="6712"/>
    <n v="60"/>
    <x v="47"/>
    <n v="6086"/>
    <s v="ท้องถิ่นเทศบาลตำบลท่าน้ำอ้อยม่วงหัก"/>
    <n v="0"/>
    <s v="-"/>
    <n v="0"/>
    <s v="-"/>
    <n v="2314"/>
    <n v="2560"/>
    <n v="4874"/>
    <n v="2815"/>
  </r>
  <r>
    <n v="6712"/>
    <n v="60"/>
    <x v="47"/>
    <n v="6087"/>
    <s v="ท้องถิ่นเทศบาลตำบลไพศาลี"/>
    <n v="0"/>
    <s v="-"/>
    <n v="0"/>
    <s v="-"/>
    <n v="4665"/>
    <n v="5204"/>
    <n v="9869"/>
    <n v="5150"/>
  </r>
  <r>
    <n v="6712"/>
    <n v="60"/>
    <x v="47"/>
    <n v="6088"/>
    <s v="ท้องถิ่นเทศบาลตำบลท่าตะโก"/>
    <n v="0"/>
    <s v="-"/>
    <n v="0"/>
    <s v="-"/>
    <n v="2472"/>
    <n v="2830"/>
    <n v="5302"/>
    <n v="2960"/>
  </r>
  <r>
    <n v="6712"/>
    <n v="60"/>
    <x v="47"/>
    <n v="6089"/>
    <s v="ท้องถิ่นเทศบาลตำบลช่องแค"/>
    <n v="0"/>
    <s v="-"/>
    <n v="0"/>
    <s v="-"/>
    <n v="1377"/>
    <n v="1513"/>
    <n v="2890"/>
    <n v="1101"/>
  </r>
  <r>
    <n v="6712"/>
    <n v="60"/>
    <x v="47"/>
    <n v="6090"/>
    <s v="ท้องถิ่นเทศบาลตำบลเก้าเลี้ยว"/>
    <n v="0"/>
    <s v="-"/>
    <n v="0"/>
    <s v="-"/>
    <n v="2659"/>
    <n v="2908"/>
    <n v="5567"/>
    <n v="2395"/>
  </r>
  <r>
    <n v="6712"/>
    <n v="60"/>
    <x v="47"/>
    <n v="6091"/>
    <s v="ท้องถิ่นเทศบาลตำบลบรรพตพิสัย"/>
    <n v="0"/>
    <s v="-"/>
    <n v="0"/>
    <s v="-"/>
    <n v="1691"/>
    <n v="1860"/>
    <n v="3551"/>
    <n v="1904"/>
  </r>
  <r>
    <n v="6712"/>
    <n v="60"/>
    <x v="47"/>
    <n v="6092"/>
    <s v="ท้องถิ่นเทศบาลตำบลหนองบัว"/>
    <n v="0"/>
    <s v="-"/>
    <n v="0"/>
    <s v="-"/>
    <n v="5322"/>
    <n v="5931"/>
    <n v="11253"/>
    <n v="5235"/>
  </r>
  <r>
    <n v="6712"/>
    <n v="60"/>
    <x v="47"/>
    <n v="6093"/>
    <s v="ท้องถิ่นเทศบาลตำบลทับกฤช"/>
    <n v="0"/>
    <s v="-"/>
    <n v="0"/>
    <s v="-"/>
    <n v="992"/>
    <n v="1062"/>
    <n v="2054"/>
    <n v="843"/>
  </r>
  <r>
    <n v="6712"/>
    <n v="60"/>
    <x v="47"/>
    <n v="6094"/>
    <s v="ท้องถิ่นเทศบาลตำบลบางประมุง"/>
    <n v="0"/>
    <s v="-"/>
    <n v="0"/>
    <s v="-"/>
    <n v="2416"/>
    <n v="2518"/>
    <n v="4934"/>
    <n v="1653"/>
  </r>
  <r>
    <n v="6712"/>
    <n v="60"/>
    <x v="47"/>
    <n v="6095"/>
    <s v="ท้องถิ่นเทศบาลตำบลโกรกพระ"/>
    <n v="0"/>
    <s v="-"/>
    <n v="0"/>
    <s v="-"/>
    <n v="1030"/>
    <n v="1120"/>
    <n v="2150"/>
    <n v="1014"/>
  </r>
  <r>
    <n v="6712"/>
    <n v="60"/>
    <x v="47"/>
    <n v="6096"/>
    <s v="ท้องถิ่นเทศบาลตำบลหนองเบน"/>
    <n v="0"/>
    <s v="-"/>
    <n v="0"/>
    <s v="-"/>
    <n v="1274"/>
    <n v="1564"/>
    <n v="2838"/>
    <n v="1549"/>
  </r>
  <r>
    <n v="6712"/>
    <n v="60"/>
    <x v="47"/>
    <n v="6097"/>
    <s v="ท้องถิ่นเทศบาลเมืองตาคลี"/>
    <n v="0"/>
    <s v="-"/>
    <n v="0"/>
    <s v="-"/>
    <n v="10464"/>
    <n v="11529"/>
    <n v="21993"/>
    <n v="10222"/>
  </r>
  <r>
    <n v="6712"/>
    <n v="60"/>
    <x v="47"/>
    <n v="6098"/>
    <s v="ท้องถิ่นเทศบาลเมืองชุมแสง"/>
    <n v="0"/>
    <s v="-"/>
    <n v="0"/>
    <s v="-"/>
    <n v="3372"/>
    <n v="3775"/>
    <n v="7147"/>
    <n v="3659"/>
  </r>
  <r>
    <n v="6712"/>
    <n v="60"/>
    <x v="47"/>
    <n v="6099"/>
    <s v="ท้องถิ่นเทศบาลนครนครสวรรค์"/>
    <n v="0"/>
    <s v="-"/>
    <n v="0"/>
    <s v="-"/>
    <n v="35919"/>
    <n v="39583"/>
    <n v="75502"/>
    <n v="43397"/>
  </r>
  <r>
    <n v="6712"/>
    <n v="61"/>
    <x v="48"/>
    <n v="0"/>
    <s v="-"/>
    <n v="0"/>
    <s v="-"/>
    <n v="0"/>
    <s v="-"/>
    <n v="156311"/>
    <n v="164134"/>
    <n v="320445"/>
    <n v="132050"/>
  </r>
  <r>
    <n v="6712"/>
    <n v="61"/>
    <x v="48"/>
    <n v="6101"/>
    <s v="อำเภอเมืองอุทัยธานี"/>
    <n v="0"/>
    <s v="-"/>
    <n v="0"/>
    <s v="-"/>
    <n v="16774"/>
    <n v="18295"/>
    <n v="35069"/>
    <n v="14621"/>
  </r>
  <r>
    <n v="6712"/>
    <n v="61"/>
    <x v="48"/>
    <n v="6102"/>
    <s v="อำเภอทัพทัน"/>
    <n v="0"/>
    <s v="-"/>
    <n v="0"/>
    <s v="-"/>
    <n v="7665"/>
    <n v="8048"/>
    <n v="15713"/>
    <n v="5691"/>
  </r>
  <r>
    <n v="6712"/>
    <n v="61"/>
    <x v="48"/>
    <n v="6103"/>
    <s v="อำเภอสว่างอารมณ์"/>
    <n v="0"/>
    <s v="-"/>
    <n v="0"/>
    <s v="-"/>
    <n v="14694"/>
    <n v="14778"/>
    <n v="29472"/>
    <n v="10339"/>
  </r>
  <r>
    <n v="6712"/>
    <n v="61"/>
    <x v="48"/>
    <n v="6104"/>
    <s v="อำเภอหนองฉาง"/>
    <n v="0"/>
    <s v="-"/>
    <n v="0"/>
    <s v="-"/>
    <n v="16210"/>
    <n v="17240"/>
    <n v="33450"/>
    <n v="12418"/>
  </r>
  <r>
    <n v="6712"/>
    <n v="61"/>
    <x v="48"/>
    <n v="6105"/>
    <s v="อำเภอหนองขาหย่าง"/>
    <n v="0"/>
    <s v="-"/>
    <n v="0"/>
    <s v="-"/>
    <n v="7094"/>
    <n v="7970"/>
    <n v="15064"/>
    <n v="6232"/>
  </r>
  <r>
    <n v="6712"/>
    <n v="61"/>
    <x v="48"/>
    <n v="6106"/>
    <s v="อำเภอบ้านไร่"/>
    <n v="0"/>
    <s v="-"/>
    <n v="0"/>
    <s v="-"/>
    <n v="31238"/>
    <n v="31766"/>
    <n v="63004"/>
    <n v="26148"/>
  </r>
  <r>
    <n v="6712"/>
    <n v="61"/>
    <x v="48"/>
    <n v="6107"/>
    <s v="อำเภอลานสัก"/>
    <n v="0"/>
    <s v="-"/>
    <n v="0"/>
    <s v="-"/>
    <n v="27178"/>
    <n v="27676"/>
    <n v="54854"/>
    <n v="19905"/>
  </r>
  <r>
    <n v="6712"/>
    <n v="61"/>
    <x v="48"/>
    <n v="6108"/>
    <s v="อำเภอห้วยคต"/>
    <n v="0"/>
    <s v="-"/>
    <n v="0"/>
    <s v="-"/>
    <n v="9933"/>
    <n v="10192"/>
    <n v="20125"/>
    <n v="7862"/>
  </r>
  <r>
    <n v="6712"/>
    <n v="61"/>
    <x v="48"/>
    <n v="6189"/>
    <s v="ท้องถิ่นเทศบาลตำบลหนองสระ"/>
    <n v="0"/>
    <s v="-"/>
    <n v="0"/>
    <s v="-"/>
    <n v="993"/>
    <n v="1121"/>
    <n v="2114"/>
    <n v="702"/>
  </r>
  <r>
    <n v="6712"/>
    <n v="61"/>
    <x v="48"/>
    <n v="6190"/>
    <s v="ท้องถิ่นเทศบาลตำบลลานสัก"/>
    <n v="0"/>
    <s v="-"/>
    <n v="0"/>
    <s v="-"/>
    <n v="1614"/>
    <n v="1659"/>
    <n v="3273"/>
    <n v="2279"/>
  </r>
  <r>
    <n v="6712"/>
    <n v="61"/>
    <x v="48"/>
    <n v="6191"/>
    <s v="ท้องถิ่นเทศบาลตำบลเมืองการุ้ง"/>
    <n v="0"/>
    <s v="-"/>
    <n v="0"/>
    <s v="-"/>
    <n v="1001"/>
    <n v="1102"/>
    <n v="2103"/>
    <n v="1096"/>
  </r>
  <r>
    <n v="6712"/>
    <n v="61"/>
    <x v="48"/>
    <n v="6192"/>
    <s v="ท้องถิ่นเทศบาลตำบลบ้านไร่"/>
    <n v="0"/>
    <s v="-"/>
    <n v="0"/>
    <s v="-"/>
    <n v="1178"/>
    <n v="1238"/>
    <n v="2416"/>
    <n v="1450"/>
  </r>
  <r>
    <n v="6712"/>
    <n v="61"/>
    <x v="48"/>
    <n v="6193"/>
    <s v="ท้องถิ่นเทศบาลตำบลหนองขาหย่าง"/>
    <n v="0"/>
    <s v="-"/>
    <n v="0"/>
    <s v="-"/>
    <n v="263"/>
    <n v="305"/>
    <n v="568"/>
    <n v="354"/>
  </r>
  <r>
    <n v="6712"/>
    <n v="61"/>
    <x v="48"/>
    <n v="6194"/>
    <s v="ท้องถิ่นเทศบาลตำบลหนองฉาง"/>
    <n v="0"/>
    <s v="-"/>
    <n v="0"/>
    <s v="-"/>
    <n v="1245"/>
    <n v="1414"/>
    <n v="2659"/>
    <n v="1994"/>
  </r>
  <r>
    <n v="6712"/>
    <n v="61"/>
    <x v="48"/>
    <n v="6195"/>
    <s v="ท้องถิ่นเทศบาลตำบลเขาบางแกรก"/>
    <n v="0"/>
    <s v="-"/>
    <n v="0"/>
    <s v="-"/>
    <n v="2889"/>
    <n v="3167"/>
    <n v="6056"/>
    <n v="2484"/>
  </r>
  <r>
    <n v="6712"/>
    <n v="61"/>
    <x v="48"/>
    <n v="6196"/>
    <s v="ท้องถิ่นเทศบาลตำบลสว่างอารมณ์"/>
    <n v="0"/>
    <s v="-"/>
    <n v="0"/>
    <s v="-"/>
    <n v="748"/>
    <n v="820"/>
    <n v="1568"/>
    <n v="1028"/>
  </r>
  <r>
    <n v="6712"/>
    <n v="61"/>
    <x v="48"/>
    <n v="6197"/>
    <s v="ท้องถิ่นเทศบาลตำบลทัพทัน"/>
    <n v="0"/>
    <s v="-"/>
    <n v="0"/>
    <s v="-"/>
    <n v="4122"/>
    <n v="4494"/>
    <n v="8616"/>
    <n v="3836"/>
  </r>
  <r>
    <n v="6712"/>
    <n v="61"/>
    <x v="48"/>
    <n v="6198"/>
    <s v="ท้องถิ่นเทศบาลตำบลตลุกดู่"/>
    <n v="0"/>
    <s v="-"/>
    <n v="0"/>
    <s v="-"/>
    <n v="5386"/>
    <n v="5659"/>
    <n v="11045"/>
    <n v="3795"/>
  </r>
  <r>
    <n v="6712"/>
    <n v="61"/>
    <x v="48"/>
    <n v="6199"/>
    <s v="ท้องถิ่นเทศบาลเมืองอุทัยธานี"/>
    <n v="0"/>
    <s v="-"/>
    <n v="0"/>
    <s v="-"/>
    <n v="6086"/>
    <n v="7190"/>
    <n v="13276"/>
    <n v="9816"/>
  </r>
  <r>
    <n v="6712"/>
    <n v="62"/>
    <x v="49"/>
    <n v="0"/>
    <s v="-"/>
    <n v="0"/>
    <s v="-"/>
    <n v="0"/>
    <s v="-"/>
    <n v="345166"/>
    <n v="355696"/>
    <n v="700862"/>
    <n v="291549"/>
  </r>
  <r>
    <n v="6712"/>
    <n v="62"/>
    <x v="49"/>
    <n v="6201"/>
    <s v="อำเภอเมืองกำแพงเพชร"/>
    <n v="0"/>
    <s v="-"/>
    <n v="0"/>
    <s v="-"/>
    <n v="66087"/>
    <n v="68691"/>
    <n v="134778"/>
    <n v="55772"/>
  </r>
  <r>
    <n v="6712"/>
    <n v="62"/>
    <x v="49"/>
    <n v="6202"/>
    <s v="อำเภอไทรงาม"/>
    <n v="0"/>
    <s v="-"/>
    <n v="0"/>
    <s v="-"/>
    <n v="22013"/>
    <n v="22412"/>
    <n v="44425"/>
    <n v="15521"/>
  </r>
  <r>
    <n v="6712"/>
    <n v="62"/>
    <x v="49"/>
    <n v="6203"/>
    <s v="อำเภอคลองลาน"/>
    <n v="0"/>
    <s v="-"/>
    <n v="0"/>
    <s v="-"/>
    <n v="19903"/>
    <n v="19460"/>
    <n v="39363"/>
    <n v="15701"/>
  </r>
  <r>
    <n v="6712"/>
    <n v="62"/>
    <x v="49"/>
    <n v="6204"/>
    <s v="อำเภอขาณุวรลักษบุรี"/>
    <n v="0"/>
    <s v="-"/>
    <n v="0"/>
    <s v="-"/>
    <n v="33394"/>
    <n v="33970"/>
    <n v="67364"/>
    <n v="26662"/>
  </r>
  <r>
    <n v="6712"/>
    <n v="62"/>
    <x v="49"/>
    <n v="6205"/>
    <s v="อำเภอคลองขลุง"/>
    <n v="0"/>
    <s v="-"/>
    <n v="0"/>
    <s v="-"/>
    <n v="26805"/>
    <n v="27926"/>
    <n v="54731"/>
    <n v="24394"/>
  </r>
  <r>
    <n v="6712"/>
    <n v="62"/>
    <x v="49"/>
    <n v="6206"/>
    <s v="อำเภอพรานกระต่าย"/>
    <n v="0"/>
    <s v="-"/>
    <n v="0"/>
    <s v="-"/>
    <n v="24025"/>
    <n v="24196"/>
    <n v="48221"/>
    <n v="16841"/>
  </r>
  <r>
    <n v="6712"/>
    <n v="62"/>
    <x v="49"/>
    <n v="6207"/>
    <s v="อำเภอลานกระบือ"/>
    <n v="0"/>
    <s v="-"/>
    <n v="0"/>
    <s v="-"/>
    <n v="16073"/>
    <n v="16156"/>
    <n v="32229"/>
    <n v="11655"/>
  </r>
  <r>
    <n v="6712"/>
    <n v="62"/>
    <x v="49"/>
    <n v="6208"/>
    <s v="อำเภอทรายทองวัฒนา"/>
    <n v="0"/>
    <s v="-"/>
    <n v="0"/>
    <s v="-"/>
    <n v="6819"/>
    <n v="6866"/>
    <n v="13685"/>
    <n v="4314"/>
  </r>
  <r>
    <n v="6712"/>
    <n v="62"/>
    <x v="49"/>
    <n v="6209"/>
    <s v="อำเภอปางศิลาทอง"/>
    <n v="0"/>
    <s v="-"/>
    <n v="0"/>
    <s v="-"/>
    <n v="14877"/>
    <n v="14905"/>
    <n v="29782"/>
    <n v="11693"/>
  </r>
  <r>
    <n v="6712"/>
    <n v="62"/>
    <x v="49"/>
    <n v="6210"/>
    <s v="อำเภอบึงสามัคคี"/>
    <n v="0"/>
    <s v="-"/>
    <n v="0"/>
    <s v="-"/>
    <n v="8958"/>
    <n v="9030"/>
    <n v="17988"/>
    <n v="7609"/>
  </r>
  <r>
    <n v="6712"/>
    <n v="62"/>
    <x v="49"/>
    <n v="6211"/>
    <s v="อำเภอโกสัมพีนคร"/>
    <n v="0"/>
    <s v="-"/>
    <n v="0"/>
    <s v="-"/>
    <n v="13768"/>
    <n v="13764"/>
    <n v="27532"/>
    <n v="11187"/>
  </r>
  <r>
    <n v="6712"/>
    <n v="62"/>
    <x v="49"/>
    <n v="6278"/>
    <s v="ท้องถิ่นเทศบาลเมืองปางมะค่า"/>
    <n v="0"/>
    <s v="-"/>
    <n v="0"/>
    <s v="-"/>
    <n v="8616"/>
    <n v="8709"/>
    <n v="17325"/>
    <n v="6982"/>
  </r>
  <r>
    <n v="6712"/>
    <n v="62"/>
    <x v="49"/>
    <n v="6279"/>
    <s v="ท้องถิ่นเทศบาลตำบลบ้านพราน"/>
    <n v="0"/>
    <s v="-"/>
    <n v="0"/>
    <s v="-"/>
    <n v="3535"/>
    <n v="3535"/>
    <n v="7070"/>
    <n v="3056"/>
  </r>
  <r>
    <n v="6712"/>
    <n v="62"/>
    <x v="49"/>
    <n v="6280"/>
    <s v="ท้องถิ่นเทศบาลตำบลระหาน"/>
    <n v="0"/>
    <s v="-"/>
    <n v="0"/>
    <s v="-"/>
    <n v="3497"/>
    <n v="3647"/>
    <n v="7144"/>
    <n v="3720"/>
  </r>
  <r>
    <n v="6712"/>
    <n v="62"/>
    <x v="49"/>
    <n v="6281"/>
    <s v="ท้องถิ่นเทศบาลตำบลคลองพิไกร"/>
    <n v="0"/>
    <s v="-"/>
    <n v="0"/>
    <s v="-"/>
    <n v="2802"/>
    <n v="2947"/>
    <n v="5749"/>
    <n v="2322"/>
  </r>
  <r>
    <n v="6712"/>
    <n v="62"/>
    <x v="49"/>
    <n v="6282"/>
    <s v="ท้องถิ่นเทศบาลตำบลนิคมทุ่งโพธิ์ทะเล"/>
    <n v="0"/>
    <s v="-"/>
    <n v="0"/>
    <s v="-"/>
    <n v="4416"/>
    <n v="4585"/>
    <n v="9001"/>
    <n v="3758"/>
  </r>
  <r>
    <n v="6712"/>
    <n v="62"/>
    <x v="49"/>
    <n v="6283"/>
    <s v="ท้องถิ่นเทศบาลตำบลวังยาง"/>
    <n v="0"/>
    <s v="-"/>
    <n v="0"/>
    <s v="-"/>
    <n v="2622"/>
    <n v="2730"/>
    <n v="5352"/>
    <n v="2170"/>
  </r>
  <r>
    <n v="6712"/>
    <n v="62"/>
    <x v="49"/>
    <n v="6284"/>
    <s v="ท้องถิ่นเทศบาลตำบลทุ่งทราย"/>
    <n v="0"/>
    <s v="-"/>
    <n v="0"/>
    <s v="-"/>
    <n v="4133"/>
    <n v="4337"/>
    <n v="8470"/>
    <n v="3379"/>
  </r>
  <r>
    <n v="6712"/>
    <n v="62"/>
    <x v="49"/>
    <n v="6285"/>
    <s v="ท้องถิ่นเทศบาลตำบลเทพนคร"/>
    <n v="0"/>
    <s v="-"/>
    <n v="0"/>
    <s v="-"/>
    <n v="9772"/>
    <n v="10350"/>
    <n v="20122"/>
    <n v="8895"/>
  </r>
  <r>
    <n v="6712"/>
    <n v="62"/>
    <x v="49"/>
    <n v="6286"/>
    <s v="ท้องถิ่นเทศบาลตำบลคลองลานพัฒนา"/>
    <n v="0"/>
    <s v="-"/>
    <n v="0"/>
    <s v="-"/>
    <n v="10809"/>
    <n v="11268"/>
    <n v="22077"/>
    <n v="8793"/>
  </r>
  <r>
    <n v="6712"/>
    <n v="62"/>
    <x v="49"/>
    <n v="6287"/>
    <s v="ท้องถิ่นเทศบาลตำบลช่องลม"/>
    <n v="0"/>
    <s v="-"/>
    <n v="0"/>
    <s v="-"/>
    <n v="2841"/>
    <n v="2854"/>
    <n v="5695"/>
    <n v="1837"/>
  </r>
  <r>
    <n v="6712"/>
    <n v="62"/>
    <x v="49"/>
    <n v="6288"/>
    <s v="ท้องถิ่นเทศบาลตำบลลานกระบือ"/>
    <n v="0"/>
    <s v="-"/>
    <n v="0"/>
    <s v="-"/>
    <n v="2119"/>
    <n v="2191"/>
    <n v="4310"/>
    <n v="2649"/>
  </r>
  <r>
    <n v="6712"/>
    <n v="62"/>
    <x v="49"/>
    <n v="6289"/>
    <s v="ท้องถิ่นเทศบาลตำบลพรานกระต่าย"/>
    <n v="0"/>
    <s v="-"/>
    <n v="0"/>
    <s v="-"/>
    <n v="3938"/>
    <n v="4307"/>
    <n v="8245"/>
    <n v="3782"/>
  </r>
  <r>
    <n v="6712"/>
    <n v="62"/>
    <x v="49"/>
    <n v="6290"/>
    <s v="ท้องถิ่นเทศบาลตำบลท่ามะเขือ"/>
    <n v="0"/>
    <s v="-"/>
    <n v="0"/>
    <s v="-"/>
    <n v="1769"/>
    <n v="1901"/>
    <n v="3670"/>
    <n v="2081"/>
  </r>
  <r>
    <n v="6712"/>
    <n v="62"/>
    <x v="49"/>
    <n v="6291"/>
    <s v="ท้องถิ่นเทศบาลตำบลท่าพุทรา"/>
    <n v="0"/>
    <s v="-"/>
    <n v="0"/>
    <s v="-"/>
    <n v="718"/>
    <n v="749"/>
    <n v="1467"/>
    <n v="660"/>
  </r>
  <r>
    <n v="6712"/>
    <n v="62"/>
    <x v="49"/>
    <n v="6292"/>
    <s v="ท้องถิ่นเทศบาลตำบลคลองขลุง"/>
    <n v="0"/>
    <s v="-"/>
    <n v="0"/>
    <s v="-"/>
    <n v="935"/>
    <n v="960"/>
    <n v="1895"/>
    <n v="1040"/>
  </r>
  <r>
    <n v="6712"/>
    <n v="62"/>
    <x v="49"/>
    <n v="6293"/>
    <s v="ท้องถิ่นเทศบาลตำบลสลกบาตร"/>
    <n v="0"/>
    <s v="-"/>
    <n v="0"/>
    <s v="-"/>
    <n v="3729"/>
    <n v="4097"/>
    <n v="7826"/>
    <n v="4552"/>
  </r>
  <r>
    <n v="6712"/>
    <n v="62"/>
    <x v="49"/>
    <n v="6294"/>
    <s v="ท้องถิ่นเทศบาลตำบลขาณุวรลักษบุรี"/>
    <n v="0"/>
    <s v="-"/>
    <n v="0"/>
    <s v="-"/>
    <n v="3733"/>
    <n v="4004"/>
    <n v="7737"/>
    <n v="3539"/>
  </r>
  <r>
    <n v="6712"/>
    <n v="62"/>
    <x v="49"/>
    <n v="6295"/>
    <s v="ท้องถิ่นเทศบาลตำบลไทรงาม"/>
    <n v="0"/>
    <s v="-"/>
    <n v="0"/>
    <s v="-"/>
    <n v="2319"/>
    <n v="2555"/>
    <n v="4874"/>
    <n v="2583"/>
  </r>
  <r>
    <n v="6712"/>
    <n v="62"/>
    <x v="49"/>
    <n v="6296"/>
    <s v="ท้องถิ่นเทศบาลตำบลปากดง"/>
    <n v="0"/>
    <s v="-"/>
    <n v="0"/>
    <s v="-"/>
    <n v="1478"/>
    <n v="1619"/>
    <n v="3097"/>
    <n v="1365"/>
  </r>
  <r>
    <n v="6712"/>
    <n v="62"/>
    <x v="49"/>
    <n v="6297"/>
    <s v="ท้องถิ่นเทศบาลตำบลนครชุม"/>
    <n v="0"/>
    <s v="-"/>
    <n v="0"/>
    <s v="-"/>
    <n v="3106"/>
    <n v="3518"/>
    <n v="6624"/>
    <n v="3593"/>
  </r>
  <r>
    <n v="6712"/>
    <n v="62"/>
    <x v="49"/>
    <n v="6298"/>
    <s v="ท้องถิ่นเทศบาลตำบลคลองแม่ลาย"/>
    <n v="0"/>
    <s v="-"/>
    <n v="0"/>
    <s v="-"/>
    <n v="2776"/>
    <n v="2923"/>
    <n v="5699"/>
    <n v="2533"/>
  </r>
  <r>
    <n v="6712"/>
    <n v="62"/>
    <x v="49"/>
    <n v="6299"/>
    <s v="ท้องถิ่นเทศบาลเมืองกำแพงเพชร"/>
    <n v="0"/>
    <s v="-"/>
    <n v="0"/>
    <s v="-"/>
    <n v="12781"/>
    <n v="14534"/>
    <n v="27315"/>
    <n v="16911"/>
  </r>
  <r>
    <n v="6712"/>
    <n v="63"/>
    <x v="50"/>
    <n v="0"/>
    <s v="-"/>
    <n v="0"/>
    <s v="-"/>
    <n v="0"/>
    <s v="-"/>
    <n v="352933"/>
    <n v="345664"/>
    <n v="698597"/>
    <n v="241517"/>
  </r>
  <r>
    <n v="6712"/>
    <n v="63"/>
    <x v="50"/>
    <n v="6301"/>
    <s v="อำเภอเมืองตาก"/>
    <n v="0"/>
    <s v="-"/>
    <n v="0"/>
    <s v="-"/>
    <n v="36761"/>
    <n v="37458"/>
    <n v="74219"/>
    <n v="29973"/>
  </r>
  <r>
    <n v="6712"/>
    <n v="63"/>
    <x v="50"/>
    <n v="6302"/>
    <s v="อำเภอบ้านตาก"/>
    <n v="0"/>
    <s v="-"/>
    <n v="0"/>
    <s v="-"/>
    <n v="15192"/>
    <n v="15558"/>
    <n v="30750"/>
    <n v="11386"/>
  </r>
  <r>
    <n v="6712"/>
    <n v="63"/>
    <x v="50"/>
    <n v="6303"/>
    <s v="อำเภอสามเงา"/>
    <n v="0"/>
    <s v="-"/>
    <n v="0"/>
    <s v="-"/>
    <n v="12327"/>
    <n v="12661"/>
    <n v="24988"/>
    <n v="9820"/>
  </r>
  <r>
    <n v="6712"/>
    <n v="63"/>
    <x v="50"/>
    <n v="6304"/>
    <s v="อำเภอแม่ระมาด"/>
    <n v="0"/>
    <s v="-"/>
    <n v="0"/>
    <s v="-"/>
    <n v="26265"/>
    <n v="24932"/>
    <n v="51197"/>
    <n v="17900"/>
  </r>
  <r>
    <n v="6712"/>
    <n v="63"/>
    <x v="50"/>
    <n v="6305"/>
    <s v="อำเภอท่าสองยาง"/>
    <n v="0"/>
    <s v="-"/>
    <n v="0"/>
    <s v="-"/>
    <n v="49437"/>
    <n v="46717"/>
    <n v="96154"/>
    <n v="25740"/>
  </r>
  <r>
    <n v="6712"/>
    <n v="63"/>
    <x v="50"/>
    <n v="6306"/>
    <s v="อำเภอแม่สอด"/>
    <n v="0"/>
    <s v="-"/>
    <n v="0"/>
    <s v="-"/>
    <n v="53030"/>
    <n v="51965"/>
    <n v="104995"/>
    <n v="40494"/>
  </r>
  <r>
    <n v="6712"/>
    <n v="63"/>
    <x v="50"/>
    <n v="6307"/>
    <s v="อำเภอพบพระ"/>
    <n v="0"/>
    <s v="-"/>
    <n v="0"/>
    <s v="-"/>
    <n v="47042"/>
    <n v="45272"/>
    <n v="92314"/>
    <n v="22051"/>
  </r>
  <r>
    <n v="6712"/>
    <n v="63"/>
    <x v="50"/>
    <n v="6308"/>
    <s v="อำเภออุ้มผาง"/>
    <n v="0"/>
    <s v="-"/>
    <n v="0"/>
    <s v="-"/>
    <n v="24541"/>
    <n v="22687"/>
    <n v="47228"/>
    <n v="12341"/>
  </r>
  <r>
    <n v="6712"/>
    <n v="63"/>
    <x v="50"/>
    <n v="6309"/>
    <s v="อำเภอวังเจ้า"/>
    <n v="0"/>
    <s v="-"/>
    <n v="0"/>
    <s v="-"/>
    <n v="15328"/>
    <n v="15221"/>
    <n v="30549"/>
    <n v="9746"/>
  </r>
  <r>
    <n v="6712"/>
    <n v="63"/>
    <x v="50"/>
    <n v="6386"/>
    <s v="ท้องถิ่นเทศบาลตำบลไม้งาม"/>
    <n v="0"/>
    <s v="-"/>
    <n v="0"/>
    <s v="-"/>
    <n v="6259"/>
    <n v="5190"/>
    <n v="11449"/>
    <n v="6594"/>
  </r>
  <r>
    <n v="6712"/>
    <n v="63"/>
    <x v="50"/>
    <n v="6387"/>
    <s v="ท้องถิ่นเทศบาลตำบลวังเจ้า"/>
    <n v="0"/>
    <s v="-"/>
    <n v="0"/>
    <s v="-"/>
    <n v="2090"/>
    <n v="2086"/>
    <n v="4176"/>
    <n v="2012"/>
  </r>
  <r>
    <n v="6712"/>
    <n v="63"/>
    <x v="50"/>
    <n v="6388"/>
    <s v="ท้องถิ่นเทศบาลตำบลอุ้มผาง"/>
    <n v="0"/>
    <s v="-"/>
    <n v="0"/>
    <s v="-"/>
    <n v="2573"/>
    <n v="2405"/>
    <n v="4978"/>
    <n v="950"/>
  </r>
  <r>
    <n v="6712"/>
    <n v="63"/>
    <x v="50"/>
    <n v="6389"/>
    <s v="ท้องถิ่นเทศบาลตำบลพบพระ"/>
    <n v="0"/>
    <s v="-"/>
    <n v="0"/>
    <s v="-"/>
    <n v="3668"/>
    <n v="3468"/>
    <n v="7136"/>
    <n v="3002"/>
  </r>
  <r>
    <n v="6712"/>
    <n v="63"/>
    <x v="50"/>
    <n v="6390"/>
    <s v="ท้องถิ่นเทศบาลตำบลแม่กุ"/>
    <n v="0"/>
    <s v="-"/>
    <n v="0"/>
    <s v="-"/>
    <n v="3244"/>
    <n v="3399"/>
    <n v="6643"/>
    <n v="3269"/>
  </r>
  <r>
    <n v="6712"/>
    <n v="63"/>
    <x v="50"/>
    <n v="6391"/>
    <s v="ท้องถิ่นเทศบาลตำบลท่าสายลวด"/>
    <n v="0"/>
    <s v="-"/>
    <n v="0"/>
    <s v="-"/>
    <n v="12320"/>
    <n v="11635"/>
    <n v="23955"/>
    <n v="5075"/>
  </r>
  <r>
    <n v="6712"/>
    <n v="63"/>
    <x v="50"/>
    <n v="6392"/>
    <s v="ท้องถิ่นเทศบาลตำบลแม่ต้าน"/>
    <n v="0"/>
    <s v="-"/>
    <n v="0"/>
    <s v="-"/>
    <n v="2276"/>
    <n v="2333"/>
    <n v="4609"/>
    <n v="1467"/>
  </r>
  <r>
    <n v="6712"/>
    <n v="63"/>
    <x v="50"/>
    <n v="6393"/>
    <s v="ท้องถิ่นเทศบาลตำบลแม่ระมาด"/>
    <n v="0"/>
    <s v="-"/>
    <n v="0"/>
    <s v="-"/>
    <n v="1896"/>
    <n v="1928"/>
    <n v="3824"/>
    <n v="1912"/>
  </r>
  <r>
    <n v="6712"/>
    <n v="63"/>
    <x v="50"/>
    <n v="6394"/>
    <s v="ท้องถิ่นเทศบาลตำบลแม่จะเรา"/>
    <n v="0"/>
    <s v="-"/>
    <n v="0"/>
    <s v="-"/>
    <n v="2442"/>
    <n v="2596"/>
    <n v="5038"/>
    <n v="2206"/>
  </r>
  <r>
    <n v="6712"/>
    <n v="63"/>
    <x v="50"/>
    <n v="6395"/>
    <s v="ท้องถิ่นเทศบาลตำบลสามเงา"/>
    <n v="0"/>
    <s v="-"/>
    <n v="0"/>
    <s v="-"/>
    <n v="2067"/>
    <n v="2292"/>
    <n v="4359"/>
    <n v="2223"/>
  </r>
  <r>
    <n v="6712"/>
    <n v="63"/>
    <x v="50"/>
    <n v="6396"/>
    <s v="ท้องถิ่นเทศบาลตำบลบ้านตาก"/>
    <n v="0"/>
    <s v="-"/>
    <n v="0"/>
    <s v="-"/>
    <n v="2859"/>
    <n v="3379"/>
    <n v="6238"/>
    <n v="2772"/>
  </r>
  <r>
    <n v="6712"/>
    <n v="63"/>
    <x v="50"/>
    <n v="6397"/>
    <s v="ท้องถิ่นเทศบาลตำบลทุ่งกระเชาะ"/>
    <n v="0"/>
    <s v="-"/>
    <n v="0"/>
    <s v="-"/>
    <n v="2902"/>
    <n v="2964"/>
    <n v="5866"/>
    <n v="2183"/>
  </r>
  <r>
    <n v="6712"/>
    <n v="63"/>
    <x v="50"/>
    <n v="6398"/>
    <s v="ท้องถิ่นเทศบาลนครแม่สอด"/>
    <n v="0"/>
    <s v="-"/>
    <n v="0"/>
    <s v="-"/>
    <n v="21349"/>
    <n v="21525"/>
    <n v="42874"/>
    <n v="20802"/>
  </r>
  <r>
    <n v="6712"/>
    <n v="63"/>
    <x v="50"/>
    <n v="6399"/>
    <s v="ท้องถิ่นเทศบาลเมืองตาก"/>
    <n v="0"/>
    <s v="-"/>
    <n v="0"/>
    <s v="-"/>
    <n v="7065"/>
    <n v="7993"/>
    <n v="15058"/>
    <n v="7599"/>
  </r>
  <r>
    <n v="6712"/>
    <n v="64"/>
    <x v="51"/>
    <n v="0"/>
    <s v="-"/>
    <n v="0"/>
    <s v="-"/>
    <n v="0"/>
    <s v="-"/>
    <n v="277179"/>
    <n v="296209"/>
    <n v="573388"/>
    <n v="229235"/>
  </r>
  <r>
    <n v="6712"/>
    <n v="64"/>
    <x v="51"/>
    <n v="6401"/>
    <s v="อำเภอเมืองสุโขทัย"/>
    <n v="0"/>
    <s v="-"/>
    <n v="0"/>
    <s v="-"/>
    <n v="28840"/>
    <n v="31136"/>
    <n v="59976"/>
    <n v="23787"/>
  </r>
  <r>
    <n v="6712"/>
    <n v="64"/>
    <x v="51"/>
    <n v="6402"/>
    <s v="อำเภอบ้านด่านลานหอย"/>
    <n v="0"/>
    <s v="-"/>
    <n v="0"/>
    <s v="-"/>
    <n v="21876"/>
    <n v="22173"/>
    <n v="44049"/>
    <n v="15097"/>
  </r>
  <r>
    <n v="6712"/>
    <n v="64"/>
    <x v="51"/>
    <n v="6403"/>
    <s v="อำเภอคีรีมาศ"/>
    <n v="0"/>
    <s v="-"/>
    <n v="0"/>
    <s v="-"/>
    <n v="22494"/>
    <n v="23070"/>
    <n v="45564"/>
    <n v="14916"/>
  </r>
  <r>
    <n v="6712"/>
    <n v="64"/>
    <x v="51"/>
    <n v="6404"/>
    <s v="อำเภอกงไกรลาศ"/>
    <n v="0"/>
    <s v="-"/>
    <n v="0"/>
    <s v="-"/>
    <n v="28261"/>
    <n v="29822"/>
    <n v="58083"/>
    <n v="21194"/>
  </r>
  <r>
    <n v="6712"/>
    <n v="64"/>
    <x v="51"/>
    <n v="6405"/>
    <s v="อำเภอศรีสัชนาลัย"/>
    <n v="0"/>
    <s v="-"/>
    <n v="0"/>
    <s v="-"/>
    <n v="33764"/>
    <n v="35097"/>
    <n v="68861"/>
    <n v="27910"/>
  </r>
  <r>
    <n v="6712"/>
    <n v="64"/>
    <x v="51"/>
    <n v="6406"/>
    <s v="อำเภอศรีสำโรง"/>
    <n v="0"/>
    <s v="-"/>
    <n v="0"/>
    <s v="-"/>
    <n v="28734"/>
    <n v="31204"/>
    <n v="59938"/>
    <n v="23244"/>
  </r>
  <r>
    <n v="6712"/>
    <n v="64"/>
    <x v="51"/>
    <n v="6407"/>
    <s v="อำเภอสวรรคโลก"/>
    <n v="0"/>
    <s v="-"/>
    <n v="0"/>
    <s v="-"/>
    <n v="23522"/>
    <n v="25651"/>
    <n v="49173"/>
    <n v="20740"/>
  </r>
  <r>
    <n v="6712"/>
    <n v="64"/>
    <x v="51"/>
    <n v="6408"/>
    <s v="อำเภอศรีนคร"/>
    <n v="0"/>
    <s v="-"/>
    <n v="0"/>
    <s v="-"/>
    <n v="10601"/>
    <n v="11306"/>
    <n v="21907"/>
    <n v="8404"/>
  </r>
  <r>
    <n v="6712"/>
    <n v="64"/>
    <x v="51"/>
    <n v="6409"/>
    <s v="อำเภอทุ่งเสลี่ยม"/>
    <n v="0"/>
    <s v="-"/>
    <n v="0"/>
    <s v="-"/>
    <n v="20175"/>
    <n v="20797"/>
    <n v="40972"/>
    <n v="15441"/>
  </r>
  <r>
    <n v="6712"/>
    <n v="64"/>
    <x v="51"/>
    <n v="6484"/>
    <s v="ท้องถิ่นเทศบาลตำบลในเมือง"/>
    <n v="0"/>
    <s v="-"/>
    <n v="0"/>
    <s v="-"/>
    <n v="3946"/>
    <n v="4136"/>
    <n v="8082"/>
    <n v="3514"/>
  </r>
  <r>
    <n v="6712"/>
    <n v="64"/>
    <x v="51"/>
    <n v="6485"/>
    <s v="ท้องถิ่นเทศบาลตำบลป่ากุมเกาะ"/>
    <n v="0"/>
    <s v="-"/>
    <n v="0"/>
    <s v="-"/>
    <n v="3627"/>
    <n v="3902"/>
    <n v="7529"/>
    <n v="2861"/>
  </r>
  <r>
    <n v="6712"/>
    <n v="64"/>
    <x v="51"/>
    <n v="6486"/>
    <s v="ท้องถิ่นเทศบาลตำบลบ้านกล้วย"/>
    <n v="0"/>
    <s v="-"/>
    <n v="0"/>
    <s v="-"/>
    <n v="7396"/>
    <n v="8346"/>
    <n v="15742"/>
    <n v="7465"/>
  </r>
  <r>
    <n v="6712"/>
    <n v="64"/>
    <x v="51"/>
    <n v="6487"/>
    <s v="ท้องถิ่นเทศบาลตำบลทุ่งเสลี่ยม"/>
    <n v="0"/>
    <s v="-"/>
    <n v="0"/>
    <s v="-"/>
    <n v="3334"/>
    <n v="3687"/>
    <n v="7021"/>
    <n v="3106"/>
  </r>
  <r>
    <n v="6712"/>
    <n v="64"/>
    <x v="51"/>
    <n v="6488"/>
    <s v="ท้องถิ่นเทศบาลตำบลศรีนคร"/>
    <n v="0"/>
    <s v="-"/>
    <n v="0"/>
    <s v="-"/>
    <n v="1383"/>
    <n v="1591"/>
    <n v="2974"/>
    <n v="1724"/>
  </r>
  <r>
    <n v="6712"/>
    <n v="64"/>
    <x v="51"/>
    <n v="6489"/>
    <s v="ท้องถิ่นเทศบาลตำบลศรีสำโรง"/>
    <n v="0"/>
    <s v="-"/>
    <n v="0"/>
    <s v="-"/>
    <n v="3280"/>
    <n v="3802"/>
    <n v="7082"/>
    <n v="3614"/>
  </r>
  <r>
    <n v="6712"/>
    <n v="64"/>
    <x v="51"/>
    <n v="6490"/>
    <s v="ท้องถิ่นเทศบาลตำบลหาดเสี้ยว"/>
    <n v="0"/>
    <s v="-"/>
    <n v="0"/>
    <s v="-"/>
    <n v="2955"/>
    <n v="3335"/>
    <n v="6290"/>
    <n v="3722"/>
  </r>
  <r>
    <n v="6712"/>
    <n v="64"/>
    <x v="51"/>
    <n v="6491"/>
    <s v="ท้องถิ่นเทศบาลเมืองศรีสัชนาลัย"/>
    <n v="0"/>
    <s v="-"/>
    <n v="0"/>
    <s v="-"/>
    <n v="6961"/>
    <n v="7619"/>
    <n v="14580"/>
    <n v="5984"/>
  </r>
  <r>
    <n v="6712"/>
    <n v="64"/>
    <x v="51"/>
    <n v="6492"/>
    <s v="ท้องถิ่นเทศบาลตำบลกงไกรลาศ"/>
    <n v="0"/>
    <s v="-"/>
    <n v="0"/>
    <s v="-"/>
    <n v="1877"/>
    <n v="2088"/>
    <n v="3965"/>
    <n v="2090"/>
  </r>
  <r>
    <n v="6712"/>
    <n v="64"/>
    <x v="51"/>
    <n v="6493"/>
    <s v="ท้องถิ่นเทศบาลตำบลบ้านโตนด"/>
    <n v="0"/>
    <s v="-"/>
    <n v="0"/>
    <s v="-"/>
    <n v="1375"/>
    <n v="1551"/>
    <n v="2926"/>
    <n v="1685"/>
  </r>
  <r>
    <n v="6712"/>
    <n v="64"/>
    <x v="51"/>
    <n v="6494"/>
    <s v="ท้องถิ่นเทศบาลตำบลทุ่งหลวง"/>
    <n v="0"/>
    <s v="-"/>
    <n v="0"/>
    <s v="-"/>
    <n v="3277"/>
    <n v="3626"/>
    <n v="6903"/>
    <n v="2472"/>
  </r>
  <r>
    <n v="6712"/>
    <n v="64"/>
    <x v="51"/>
    <n v="6495"/>
    <s v="ท้องถิ่นเทศบาลตำบลลานหอย"/>
    <n v="0"/>
    <s v="-"/>
    <n v="0"/>
    <s v="-"/>
    <n v="1645"/>
    <n v="1792"/>
    <n v="3437"/>
    <n v="1761"/>
  </r>
  <r>
    <n v="6712"/>
    <n v="64"/>
    <x v="51"/>
    <n v="6496"/>
    <s v="ท้องถิ่นเทศบาลตำบลเมืองเก่า"/>
    <n v="0"/>
    <s v="-"/>
    <n v="0"/>
    <s v="-"/>
    <n v="3238"/>
    <n v="3783"/>
    <n v="7021"/>
    <n v="2721"/>
  </r>
  <r>
    <n v="6712"/>
    <n v="64"/>
    <x v="51"/>
    <n v="6497"/>
    <s v="ท้องถิ่นเทศบาลตำบลบ้านสวน"/>
    <n v="0"/>
    <s v="-"/>
    <n v="0"/>
    <s v="-"/>
    <n v="1927"/>
    <n v="2151"/>
    <n v="4078"/>
    <n v="1735"/>
  </r>
  <r>
    <n v="6712"/>
    <n v="64"/>
    <x v="51"/>
    <n v="6498"/>
    <s v="ท้องถิ่นเทศบาลเมืองสวรรคโลก"/>
    <n v="0"/>
    <s v="-"/>
    <n v="0"/>
    <s v="-"/>
    <n v="6506"/>
    <n v="7398"/>
    <n v="13904"/>
    <n v="6855"/>
  </r>
  <r>
    <n v="6712"/>
    <n v="64"/>
    <x v="51"/>
    <n v="6499"/>
    <s v="ท้องถิ่นเทศบาลเมืองสุโขทัยธานี"/>
    <n v="0"/>
    <s v="-"/>
    <n v="0"/>
    <s v="-"/>
    <n v="6185"/>
    <n v="7146"/>
    <n v="13331"/>
    <n v="7193"/>
  </r>
  <r>
    <n v="6712"/>
    <n v="65"/>
    <x v="52"/>
    <n v="0"/>
    <s v="-"/>
    <n v="0"/>
    <s v="-"/>
    <n v="0"/>
    <s v="-"/>
    <n v="409596"/>
    <n v="429520"/>
    <n v="839116"/>
    <n v="372740"/>
  </r>
  <r>
    <n v="6712"/>
    <n v="65"/>
    <x v="52"/>
    <n v="6501"/>
    <s v="อำเภอเมืองพิษณุโลก"/>
    <n v="0"/>
    <s v="-"/>
    <n v="0"/>
    <s v="-"/>
    <n v="87748"/>
    <n v="94344"/>
    <n v="182092"/>
    <n v="92279"/>
  </r>
  <r>
    <n v="6712"/>
    <n v="65"/>
    <x v="52"/>
    <n v="6502"/>
    <s v="อำเภอนครไทย"/>
    <n v="0"/>
    <s v="-"/>
    <n v="0"/>
    <s v="-"/>
    <n v="32799"/>
    <n v="33301"/>
    <n v="66100"/>
    <n v="24693"/>
  </r>
  <r>
    <n v="6712"/>
    <n v="65"/>
    <x v="52"/>
    <n v="6503"/>
    <s v="อำเภอชาติตระการ"/>
    <n v="0"/>
    <s v="-"/>
    <n v="0"/>
    <s v="-"/>
    <n v="18303"/>
    <n v="17984"/>
    <n v="36287"/>
    <n v="12891"/>
  </r>
  <r>
    <n v="6712"/>
    <n v="65"/>
    <x v="52"/>
    <n v="6504"/>
    <s v="อำเภอบางระกำ"/>
    <n v="0"/>
    <s v="-"/>
    <n v="0"/>
    <s v="-"/>
    <n v="36094"/>
    <n v="37438"/>
    <n v="73532"/>
    <n v="27265"/>
  </r>
  <r>
    <n v="6712"/>
    <n v="65"/>
    <x v="52"/>
    <n v="6505"/>
    <s v="อำเภอบางกระทุ่ม"/>
    <n v="0"/>
    <s v="-"/>
    <n v="0"/>
    <s v="-"/>
    <n v="15503"/>
    <n v="16434"/>
    <n v="31937"/>
    <n v="12352"/>
  </r>
  <r>
    <n v="6712"/>
    <n v="65"/>
    <x v="52"/>
    <n v="6506"/>
    <s v="อำเภอพรหมพิราม"/>
    <n v="0"/>
    <s v="-"/>
    <n v="0"/>
    <s v="-"/>
    <n v="38585"/>
    <n v="40733"/>
    <n v="79318"/>
    <n v="31721"/>
  </r>
  <r>
    <n v="6712"/>
    <n v="65"/>
    <x v="52"/>
    <n v="6507"/>
    <s v="อำเภอวัดโบสถ์"/>
    <n v="0"/>
    <s v="-"/>
    <n v="0"/>
    <s v="-"/>
    <n v="14342"/>
    <n v="14685"/>
    <n v="29027"/>
    <n v="11675"/>
  </r>
  <r>
    <n v="6712"/>
    <n v="65"/>
    <x v="52"/>
    <n v="6508"/>
    <s v="อำเภอวังทอง"/>
    <n v="0"/>
    <s v="-"/>
    <n v="0"/>
    <s v="-"/>
    <n v="55920"/>
    <n v="57530"/>
    <n v="113450"/>
    <n v="45986"/>
  </r>
  <r>
    <n v="6712"/>
    <n v="65"/>
    <x v="52"/>
    <n v="6509"/>
    <s v="อำเภอเนินมะปราง"/>
    <n v="0"/>
    <s v="-"/>
    <n v="0"/>
    <s v="-"/>
    <n v="18860"/>
    <n v="19082"/>
    <n v="37942"/>
    <n v="15431"/>
  </r>
  <r>
    <n v="6712"/>
    <n v="65"/>
    <x v="52"/>
    <n v="6580"/>
    <s v="ท้องถิ่นเทศบาลเมืองอรัญญิก"/>
    <n v="0"/>
    <s v="-"/>
    <n v="0"/>
    <s v="-"/>
    <n v="15918"/>
    <n v="13364"/>
    <n v="29282"/>
    <n v="14707"/>
  </r>
  <r>
    <n v="6712"/>
    <n v="65"/>
    <x v="52"/>
    <n v="6581"/>
    <s v="ท้องถิ่นเทศบาลตำบลบ้านมุง"/>
    <n v="0"/>
    <s v="-"/>
    <n v="0"/>
    <s v="-"/>
    <n v="3395"/>
    <n v="3447"/>
    <n v="6842"/>
    <n v="2773"/>
  </r>
  <r>
    <n v="6712"/>
    <n v="65"/>
    <x v="52"/>
    <n v="6582"/>
    <s v="ท้องถิ่นเทศบาลตำบลบึงระมาณ"/>
    <n v="0"/>
    <s v="-"/>
    <n v="0"/>
    <s v="-"/>
    <n v="2115"/>
    <n v="2259"/>
    <n v="4374"/>
    <n v="1733"/>
  </r>
  <r>
    <n v="6712"/>
    <n v="65"/>
    <x v="52"/>
    <n v="6583"/>
    <s v="ท้องถิ่นเทศบาลตำบลพลายชุมพล"/>
    <n v="0"/>
    <s v="-"/>
    <n v="0"/>
    <s v="-"/>
    <n v="3796"/>
    <n v="4276"/>
    <n v="8072"/>
    <n v="4608"/>
  </r>
  <r>
    <n v="6712"/>
    <n v="65"/>
    <x v="52"/>
    <n v="6584"/>
    <s v="ท้องถิ่นเทศบาลตำบลพันเสา"/>
    <n v="0"/>
    <s v="-"/>
    <n v="0"/>
    <s v="-"/>
    <n v="2955"/>
    <n v="3023"/>
    <n v="5978"/>
    <n v="2159"/>
  </r>
  <r>
    <n v="6712"/>
    <n v="65"/>
    <x v="52"/>
    <n v="6585"/>
    <s v="ท้องถิ่นเทศบาลตำบลไทรย้อย"/>
    <n v="0"/>
    <s v="-"/>
    <n v="0"/>
    <s v="-"/>
    <n v="4089"/>
    <n v="4213"/>
    <n v="8302"/>
    <n v="3282"/>
  </r>
  <r>
    <n v="6712"/>
    <n v="65"/>
    <x v="52"/>
    <n v="6586"/>
    <s v="ท้องถิ่นเทศบาลตำบลบ้านแยง"/>
    <n v="0"/>
    <s v="-"/>
    <n v="0"/>
    <s v="-"/>
    <n v="5130"/>
    <n v="5002"/>
    <n v="10132"/>
    <n v="4971"/>
  </r>
  <r>
    <n v="6712"/>
    <n v="65"/>
    <x v="52"/>
    <n v="6587"/>
    <s v="ท้องถิ่นเทศบาลตำบลเนินมะปราง"/>
    <n v="0"/>
    <s v="-"/>
    <n v="0"/>
    <s v="-"/>
    <n v="1620"/>
    <n v="1778"/>
    <n v="3398"/>
    <n v="1704"/>
  </r>
  <r>
    <n v="6712"/>
    <n v="65"/>
    <x v="52"/>
    <n v="6588"/>
    <s v="ท้องถิ่นเทศบาลตำบลวังทอง"/>
    <n v="0"/>
    <s v="-"/>
    <n v="0"/>
    <s v="-"/>
    <n v="1852"/>
    <n v="2139"/>
    <n v="3991"/>
    <n v="1751"/>
  </r>
  <r>
    <n v="6712"/>
    <n v="65"/>
    <x v="52"/>
    <n v="6589"/>
    <s v="ท้องถิ่นเทศบาลตำบลวัดโบสถ์"/>
    <n v="0"/>
    <s v="-"/>
    <n v="0"/>
    <s v="-"/>
    <n v="3688"/>
    <n v="4138"/>
    <n v="7826"/>
    <n v="4216"/>
  </r>
  <r>
    <n v="6712"/>
    <n v="65"/>
    <x v="52"/>
    <n v="6590"/>
    <s v="ท้องถิ่นเทศบาลตำบลวงฆ้อง"/>
    <n v="0"/>
    <s v="-"/>
    <n v="0"/>
    <s v="-"/>
    <n v="1472"/>
    <n v="1534"/>
    <n v="3006"/>
    <n v="1600"/>
  </r>
  <r>
    <n v="6712"/>
    <n v="65"/>
    <x v="52"/>
    <n v="6591"/>
    <s v="ท้องถิ่นเทศบาลตำบลพรหมพิราม"/>
    <n v="0"/>
    <s v="-"/>
    <n v="0"/>
    <s v="-"/>
    <n v="500"/>
    <n v="603"/>
    <n v="1103"/>
    <n v="556"/>
  </r>
  <r>
    <n v="6712"/>
    <n v="65"/>
    <x v="52"/>
    <n v="6592"/>
    <s v="ท้องถิ่นเทศบาลตำบลบางกระทุ่ม"/>
    <n v="0"/>
    <s v="-"/>
    <n v="0"/>
    <s v="-"/>
    <n v="747"/>
    <n v="770"/>
    <n v="1517"/>
    <n v="625"/>
  </r>
  <r>
    <n v="6712"/>
    <n v="65"/>
    <x v="52"/>
    <n v="6593"/>
    <s v="ท้องถิ่นเทศบาลตำบลเนินกุ่ม"/>
    <n v="0"/>
    <s v="-"/>
    <n v="0"/>
    <s v="-"/>
    <n v="5591"/>
    <n v="5878"/>
    <n v="11469"/>
    <n v="4699"/>
  </r>
  <r>
    <n v="6712"/>
    <n v="65"/>
    <x v="52"/>
    <n v="6594"/>
    <s v="ท้องถิ่นเทศบาลตำบลปลักแรด"/>
    <n v="0"/>
    <s v="-"/>
    <n v="0"/>
    <s v="-"/>
    <n v="1653"/>
    <n v="1813"/>
    <n v="3466"/>
    <n v="1361"/>
  </r>
  <r>
    <n v="6712"/>
    <n v="65"/>
    <x v="52"/>
    <n v="6595"/>
    <s v="ท้องถิ่นเทศบาลตำบลบางระกำ"/>
    <n v="0"/>
    <s v="-"/>
    <n v="0"/>
    <s v="-"/>
    <n v="1891"/>
    <n v="2117"/>
    <n v="4008"/>
    <n v="2041"/>
  </r>
  <r>
    <n v="6712"/>
    <n v="65"/>
    <x v="52"/>
    <n v="6596"/>
    <s v="ท้องถิ่นเทศบาลตำบลป่าแดง"/>
    <n v="0"/>
    <s v="-"/>
    <n v="0"/>
    <s v="-"/>
    <n v="2546"/>
    <n v="2712"/>
    <n v="5258"/>
    <n v="2690"/>
  </r>
  <r>
    <n v="6712"/>
    <n v="65"/>
    <x v="52"/>
    <n v="6597"/>
    <s v="ท้องถิ่นเทศบาลตำบลนครไทย"/>
    <n v="0"/>
    <s v="-"/>
    <n v="0"/>
    <s v="-"/>
    <n v="4195"/>
    <n v="4501"/>
    <n v="8696"/>
    <n v="4202"/>
  </r>
  <r>
    <n v="6712"/>
    <n v="65"/>
    <x v="52"/>
    <n v="6598"/>
    <s v="ท้องถิ่นเทศบาลตำบลบ้านใหม่"/>
    <n v="0"/>
    <s v="-"/>
    <n v="0"/>
    <s v="-"/>
    <n v="894"/>
    <n v="990"/>
    <n v="1884"/>
    <n v="827"/>
  </r>
  <r>
    <n v="6712"/>
    <n v="65"/>
    <x v="52"/>
    <n v="6599"/>
    <s v="ท้องถิ่นเทศบาลนครพิษณุโลก"/>
    <n v="0"/>
    <s v="-"/>
    <n v="0"/>
    <s v="-"/>
    <n v="27395"/>
    <n v="33432"/>
    <n v="60827"/>
    <n v="37942"/>
  </r>
  <r>
    <n v="6712"/>
    <n v="66"/>
    <x v="53"/>
    <n v="0"/>
    <s v="-"/>
    <n v="0"/>
    <s v="-"/>
    <n v="0"/>
    <s v="-"/>
    <n v="251787"/>
    <n v="265521"/>
    <n v="517308"/>
    <n v="206966"/>
  </r>
  <r>
    <n v="6712"/>
    <n v="66"/>
    <x v="53"/>
    <n v="6601"/>
    <s v="อำเภอเมืองพิจิตร"/>
    <n v="0"/>
    <s v="-"/>
    <n v="0"/>
    <s v="-"/>
    <n v="34873"/>
    <n v="37236"/>
    <n v="72109"/>
    <n v="27851"/>
  </r>
  <r>
    <n v="6712"/>
    <n v="66"/>
    <x v="53"/>
    <n v="6602"/>
    <s v="อำเภอวังทรายพูน"/>
    <n v="0"/>
    <s v="-"/>
    <n v="0"/>
    <s v="-"/>
    <n v="8362"/>
    <n v="8635"/>
    <n v="16997"/>
    <n v="6110"/>
  </r>
  <r>
    <n v="6712"/>
    <n v="66"/>
    <x v="53"/>
    <n v="6603"/>
    <s v="อำเภอโพธิ์ประทับช้าง"/>
    <n v="0"/>
    <s v="-"/>
    <n v="0"/>
    <s v="-"/>
    <n v="16603"/>
    <n v="17065"/>
    <n v="33668"/>
    <n v="12035"/>
  </r>
  <r>
    <n v="6712"/>
    <n v="66"/>
    <x v="53"/>
    <n v="6604"/>
    <s v="อำเภอตะพานหิน"/>
    <n v="0"/>
    <s v="-"/>
    <n v="0"/>
    <s v="-"/>
    <n v="21200"/>
    <n v="22435"/>
    <n v="43635"/>
    <n v="16534"/>
  </r>
  <r>
    <n v="6712"/>
    <n v="66"/>
    <x v="53"/>
    <n v="6605"/>
    <s v="อำเภอบางมูลนาก"/>
    <n v="0"/>
    <s v="-"/>
    <n v="0"/>
    <s v="-"/>
    <n v="9561"/>
    <n v="10267"/>
    <n v="19828"/>
    <n v="8198"/>
  </r>
  <r>
    <n v="6712"/>
    <n v="66"/>
    <x v="53"/>
    <n v="6606"/>
    <s v="อำเภอโพทะเล"/>
    <n v="0"/>
    <s v="-"/>
    <n v="0"/>
    <s v="-"/>
    <n v="26120"/>
    <n v="27296"/>
    <n v="53416"/>
    <n v="19461"/>
  </r>
  <r>
    <n v="6712"/>
    <n v="66"/>
    <x v="53"/>
    <n v="6607"/>
    <s v="อำเภอสามง่าม"/>
    <n v="0"/>
    <s v="-"/>
    <n v="0"/>
    <s v="-"/>
    <n v="12436"/>
    <n v="12757"/>
    <n v="25193"/>
    <n v="9050"/>
  </r>
  <r>
    <n v="6712"/>
    <n v="66"/>
    <x v="53"/>
    <n v="6608"/>
    <s v="อำเภอทับคล้อ"/>
    <n v="0"/>
    <s v="-"/>
    <n v="0"/>
    <s v="-"/>
    <n v="16149"/>
    <n v="16770"/>
    <n v="32919"/>
    <n v="13175"/>
  </r>
  <r>
    <n v="6712"/>
    <n v="66"/>
    <x v="53"/>
    <n v="6609"/>
    <s v="อำเภอสากเหล็ก"/>
    <n v="0"/>
    <s v="-"/>
    <n v="0"/>
    <s v="-"/>
    <n v="8724"/>
    <n v="8850"/>
    <n v="17574"/>
    <n v="6349"/>
  </r>
  <r>
    <n v="6712"/>
    <n v="66"/>
    <x v="53"/>
    <n v="6610"/>
    <s v="อำเภอบึงนาราง"/>
    <n v="0"/>
    <s v="-"/>
    <n v="0"/>
    <s v="-"/>
    <n v="13972"/>
    <n v="14588"/>
    <n v="28560"/>
    <n v="11128"/>
  </r>
  <r>
    <n v="6712"/>
    <n v="66"/>
    <x v="53"/>
    <n v="6611"/>
    <s v="อำเภอดงเจริญ"/>
    <n v="0"/>
    <s v="-"/>
    <n v="0"/>
    <s v="-"/>
    <n v="8248"/>
    <n v="8524"/>
    <n v="16772"/>
    <n v="6604"/>
  </r>
  <r>
    <n v="6712"/>
    <n v="66"/>
    <x v="53"/>
    <n v="6612"/>
    <s v="อำเภอวชิรบารมี"/>
    <n v="0"/>
    <s v="-"/>
    <n v="0"/>
    <s v="-"/>
    <n v="15139"/>
    <n v="15524"/>
    <n v="30663"/>
    <n v="11520"/>
  </r>
  <r>
    <n v="6712"/>
    <n v="66"/>
    <x v="53"/>
    <n v="6676"/>
    <s v="ท้องถิ่นเทศบาลตำบลหนองพยอม"/>
    <n v="0"/>
    <s v="-"/>
    <n v="0"/>
    <s v="-"/>
    <n v="3280"/>
    <n v="3442"/>
    <n v="6722"/>
    <n v="2419"/>
  </r>
  <r>
    <n v="6712"/>
    <n v="66"/>
    <x v="53"/>
    <n v="6677"/>
    <s v="ท้องถิ่นเทศบาลตำบลหนองปล้อง"/>
    <n v="0"/>
    <s v="-"/>
    <n v="0"/>
    <s v="-"/>
    <n v="1641"/>
    <n v="1694"/>
    <n v="3335"/>
    <n v="1192"/>
  </r>
  <r>
    <n v="6712"/>
    <n v="66"/>
    <x v="53"/>
    <n v="6678"/>
    <s v="ท้องถิ่นเทศบาลตำบลเนินมะกอก"/>
    <n v="0"/>
    <s v="-"/>
    <n v="0"/>
    <s v="-"/>
    <n v="3173"/>
    <n v="3486"/>
    <n v="6659"/>
    <n v="3145"/>
  </r>
  <r>
    <n v="6712"/>
    <n v="66"/>
    <x v="53"/>
    <n v="6679"/>
    <s v="ท้องถิ่นเทศบาลตำบลหอไกร"/>
    <n v="0"/>
    <s v="-"/>
    <n v="0"/>
    <s v="-"/>
    <n v="2811"/>
    <n v="2991"/>
    <n v="5802"/>
    <n v="2787"/>
  </r>
  <r>
    <n v="6712"/>
    <n v="66"/>
    <x v="53"/>
    <n v="6680"/>
    <s v="ท้องถิ่นเทศบาลตำบลดงป่าคำ"/>
    <n v="0"/>
    <s v="-"/>
    <n v="0"/>
    <s v="-"/>
    <n v="2281"/>
    <n v="2372"/>
    <n v="4653"/>
    <n v="1656"/>
  </r>
  <r>
    <n v="6712"/>
    <n v="66"/>
    <x v="53"/>
    <n v="6681"/>
    <s v="ท้องถิ่นเทศบาลตำบลเนินปอ"/>
    <n v="0"/>
    <s v="-"/>
    <n v="0"/>
    <s v="-"/>
    <n v="4458"/>
    <n v="4521"/>
    <n v="8979"/>
    <n v="3230"/>
  </r>
  <r>
    <n v="6712"/>
    <n v="66"/>
    <x v="53"/>
    <n v="6682"/>
    <s v="ท้องถิ่นเทศบาลตำบลสำนักขุนเณร"/>
    <n v="0"/>
    <s v="-"/>
    <n v="0"/>
    <s v="-"/>
    <n v="1057"/>
    <n v="1069"/>
    <n v="2126"/>
    <n v="934"/>
  </r>
  <r>
    <n v="6712"/>
    <n v="66"/>
    <x v="53"/>
    <n v="6683"/>
    <s v="ท้องถิ่นเทศบาลตำบลสากเหล็ก"/>
    <n v="0"/>
    <s v="-"/>
    <n v="0"/>
    <s v="-"/>
    <n v="2450"/>
    <n v="2700"/>
    <n v="5150"/>
    <n v="2464"/>
  </r>
  <r>
    <n v="6712"/>
    <n v="66"/>
    <x v="53"/>
    <n v="6684"/>
    <s v="ท้องถิ่นเทศบาลตำบลทับคล้อ"/>
    <n v="0"/>
    <s v="-"/>
    <n v="0"/>
    <s v="-"/>
    <n v="1931"/>
    <n v="2103"/>
    <n v="4034"/>
    <n v="1810"/>
  </r>
  <r>
    <n v="6712"/>
    <n v="66"/>
    <x v="53"/>
    <n v="6685"/>
    <s v="ท้องถิ่นเทศบาลตำบลเขาทราย"/>
    <n v="0"/>
    <s v="-"/>
    <n v="0"/>
    <s v="-"/>
    <n v="2019"/>
    <n v="2072"/>
    <n v="4091"/>
    <n v="1945"/>
  </r>
  <r>
    <n v="6712"/>
    <n v="66"/>
    <x v="53"/>
    <n v="6686"/>
    <s v="ท้องถิ่นเทศบาลตำบลสามง่าม"/>
    <n v="0"/>
    <s v="-"/>
    <n v="0"/>
    <s v="-"/>
    <n v="2115"/>
    <n v="2444"/>
    <n v="4559"/>
    <n v="2293"/>
  </r>
  <r>
    <n v="6712"/>
    <n v="66"/>
    <x v="53"/>
    <n v="6687"/>
    <s v="ท้องถิ่นเทศบาลตำบลกำแพงดิน"/>
    <n v="0"/>
    <s v="-"/>
    <n v="0"/>
    <s v="-"/>
    <n v="1010"/>
    <n v="1097"/>
    <n v="2107"/>
    <n v="833"/>
  </r>
  <r>
    <n v="6712"/>
    <n v="66"/>
    <x v="53"/>
    <n v="6688"/>
    <s v="ท้องถิ่นเทศบาลตำบลโพทะเล"/>
    <n v="0"/>
    <s v="-"/>
    <n v="0"/>
    <s v="-"/>
    <n v="1118"/>
    <n v="1200"/>
    <n v="2318"/>
    <n v="1041"/>
  </r>
  <r>
    <n v="6712"/>
    <n v="66"/>
    <x v="53"/>
    <n v="6689"/>
    <s v="ท้องถิ่นเทศบาลตำบลท่าเสา"/>
    <n v="0"/>
    <s v="-"/>
    <n v="0"/>
    <s v="-"/>
    <n v="739"/>
    <n v="719"/>
    <n v="1458"/>
    <n v="538"/>
  </r>
  <r>
    <n v="6712"/>
    <n v="66"/>
    <x v="53"/>
    <n v="6690"/>
    <s v="ท้องถิ่นเทศบาลตำบลวังตะกู"/>
    <n v="0"/>
    <s v="-"/>
    <n v="0"/>
    <s v="-"/>
    <n v="778"/>
    <n v="771"/>
    <n v="1549"/>
    <n v="660"/>
  </r>
  <r>
    <n v="6712"/>
    <n v="66"/>
    <x v="53"/>
    <n v="6691"/>
    <s v="ท้องถิ่นเทศบาลตำบลบางไผ่"/>
    <n v="0"/>
    <s v="-"/>
    <n v="0"/>
    <s v="-"/>
    <n v="696"/>
    <n v="761"/>
    <n v="1457"/>
    <n v="651"/>
  </r>
  <r>
    <n v="6712"/>
    <n v="66"/>
    <x v="53"/>
    <n v="6692"/>
    <s v="ท้องถิ่นเทศบาลตำบลโพธิ์ประทับช้าง"/>
    <n v="0"/>
    <s v="-"/>
    <n v="0"/>
    <s v="-"/>
    <n v="4288"/>
    <n v="4553"/>
    <n v="8841"/>
    <n v="3671"/>
  </r>
  <r>
    <n v="6712"/>
    <n v="66"/>
    <x v="53"/>
    <n v="6693"/>
    <s v="ท้องถิ่นเทศบาลตำบลวังทรายพูน"/>
    <n v="0"/>
    <s v="-"/>
    <n v="0"/>
    <s v="-"/>
    <n v="1573"/>
    <n v="1629"/>
    <n v="3202"/>
    <n v="1303"/>
  </r>
  <r>
    <n v="6712"/>
    <n v="66"/>
    <x v="53"/>
    <n v="6694"/>
    <s v="ท้องถิ่นเทศบาลตำบลหัวดง"/>
    <n v="0"/>
    <s v="-"/>
    <n v="0"/>
    <s v="-"/>
    <n v="1432"/>
    <n v="1535"/>
    <n v="2967"/>
    <n v="1220"/>
  </r>
  <r>
    <n v="6712"/>
    <n v="66"/>
    <x v="53"/>
    <n v="6695"/>
    <s v="ท้องถิ่นเทศบาลตำบลวังกรด"/>
    <n v="0"/>
    <s v="-"/>
    <n v="0"/>
    <s v="-"/>
    <n v="1419"/>
    <n v="1462"/>
    <n v="2881"/>
    <n v="1077"/>
  </r>
  <r>
    <n v="6712"/>
    <n v="66"/>
    <x v="53"/>
    <n v="6696"/>
    <s v="ท้องถิ่นเทศบาลตำบลท่าฬ่อ"/>
    <n v="0"/>
    <s v="-"/>
    <n v="0"/>
    <s v="-"/>
    <n v="1489"/>
    <n v="1625"/>
    <n v="3114"/>
    <n v="1232"/>
  </r>
  <r>
    <n v="6712"/>
    <n v="66"/>
    <x v="53"/>
    <n v="6697"/>
    <s v="ท้องถิ่นเทศบาลเมืองบางมูลนาก"/>
    <n v="0"/>
    <s v="-"/>
    <n v="0"/>
    <s v="-"/>
    <n v="3495"/>
    <n v="3924"/>
    <n v="7419"/>
    <n v="3736"/>
  </r>
  <r>
    <n v="6712"/>
    <n v="66"/>
    <x v="53"/>
    <n v="6698"/>
    <s v="ท้องถิ่นเทศบาลเมืองตะพานหิน"/>
    <n v="0"/>
    <s v="-"/>
    <n v="0"/>
    <s v="-"/>
    <n v="5767"/>
    <n v="6674"/>
    <n v="12441"/>
    <n v="6387"/>
  </r>
  <r>
    <n v="6712"/>
    <n v="66"/>
    <x v="53"/>
    <n v="6699"/>
    <s v="ท้องถิ่นเทศบาลเมืองพิจิตร"/>
    <n v="0"/>
    <s v="-"/>
    <n v="0"/>
    <s v="-"/>
    <n v="9380"/>
    <n v="10730"/>
    <n v="20110"/>
    <n v="12727"/>
  </r>
  <r>
    <n v="6712"/>
    <n v="67"/>
    <x v="54"/>
    <n v="0"/>
    <s v="-"/>
    <n v="0"/>
    <s v="-"/>
    <n v="0"/>
    <s v="-"/>
    <n v="472067"/>
    <n v="488651"/>
    <n v="960718"/>
    <n v="382224"/>
  </r>
  <r>
    <n v="6712"/>
    <n v="67"/>
    <x v="54"/>
    <n v="6701"/>
    <s v="อำเภอเมืองเพชรบูรณ์"/>
    <n v="0"/>
    <s v="-"/>
    <n v="0"/>
    <s v="-"/>
    <n v="78298"/>
    <n v="78940"/>
    <n v="157238"/>
    <n v="65186"/>
  </r>
  <r>
    <n v="6712"/>
    <n v="67"/>
    <x v="54"/>
    <n v="6702"/>
    <s v="อำเภอชนแดน"/>
    <n v="0"/>
    <s v="-"/>
    <n v="0"/>
    <s v="-"/>
    <n v="33181"/>
    <n v="33447"/>
    <n v="66628"/>
    <n v="28853"/>
  </r>
  <r>
    <n v="6712"/>
    <n v="67"/>
    <x v="54"/>
    <n v="6703"/>
    <s v="อำเภอหล่มสัก"/>
    <n v="0"/>
    <s v="-"/>
    <n v="0"/>
    <s v="-"/>
    <n v="68898"/>
    <n v="72868"/>
    <n v="141766"/>
    <n v="51250"/>
  </r>
  <r>
    <n v="6712"/>
    <n v="67"/>
    <x v="54"/>
    <n v="6704"/>
    <s v="อำเภอหล่มเก่า"/>
    <n v="0"/>
    <s v="-"/>
    <n v="0"/>
    <s v="-"/>
    <n v="28559"/>
    <n v="30087"/>
    <n v="58646"/>
    <n v="19775"/>
  </r>
  <r>
    <n v="6712"/>
    <n v="67"/>
    <x v="54"/>
    <n v="6705"/>
    <s v="อำเภอวิเชียรบุรี"/>
    <n v="0"/>
    <s v="-"/>
    <n v="0"/>
    <s v="-"/>
    <n v="48551"/>
    <n v="49903"/>
    <n v="98454"/>
    <n v="34906"/>
  </r>
  <r>
    <n v="6712"/>
    <n v="67"/>
    <x v="54"/>
    <n v="6706"/>
    <s v="อำเภอศรีเทพ"/>
    <n v="0"/>
    <s v="-"/>
    <n v="0"/>
    <s v="-"/>
    <n v="27699"/>
    <n v="28225"/>
    <n v="55924"/>
    <n v="20467"/>
  </r>
  <r>
    <n v="6712"/>
    <n v="67"/>
    <x v="54"/>
    <n v="6707"/>
    <s v="อำเภอหนองไผ่"/>
    <n v="0"/>
    <s v="-"/>
    <n v="0"/>
    <s v="-"/>
    <n v="36867"/>
    <n v="37520"/>
    <n v="74387"/>
    <n v="26138"/>
  </r>
  <r>
    <n v="6712"/>
    <n v="67"/>
    <x v="54"/>
    <n v="6708"/>
    <s v="อำเภอบึงสามพัน"/>
    <n v="0"/>
    <s v="-"/>
    <n v="0"/>
    <s v="-"/>
    <n v="30585"/>
    <n v="31299"/>
    <n v="61884"/>
    <n v="26852"/>
  </r>
  <r>
    <n v="6712"/>
    <n v="67"/>
    <x v="54"/>
    <n v="6709"/>
    <s v="อำเภอน้ำหนาว"/>
    <n v="0"/>
    <s v="-"/>
    <n v="0"/>
    <s v="-"/>
    <n v="9472"/>
    <n v="9136"/>
    <n v="18608"/>
    <n v="7610"/>
  </r>
  <r>
    <n v="6712"/>
    <n v="67"/>
    <x v="54"/>
    <n v="6710"/>
    <s v="อำเภอวังโป่ง"/>
    <n v="0"/>
    <s v="-"/>
    <n v="0"/>
    <s v="-"/>
    <n v="13723"/>
    <n v="14042"/>
    <n v="27765"/>
    <n v="9636"/>
  </r>
  <r>
    <n v="6712"/>
    <n v="67"/>
    <x v="54"/>
    <n v="6711"/>
    <s v="อำเภอเขาค้อ"/>
    <n v="0"/>
    <s v="-"/>
    <n v="0"/>
    <s v="-"/>
    <n v="18245"/>
    <n v="18203"/>
    <n v="36448"/>
    <n v="13251"/>
  </r>
  <r>
    <n v="6712"/>
    <n v="67"/>
    <x v="54"/>
    <n v="6778"/>
    <s v="ท้องถิ่นเทศบาลตำบลแคมป์สน"/>
    <n v="0"/>
    <s v="-"/>
    <n v="0"/>
    <s v="-"/>
    <n v="2565"/>
    <n v="2792"/>
    <n v="5357"/>
    <n v="3336"/>
  </r>
  <r>
    <n v="6712"/>
    <n v="67"/>
    <x v="54"/>
    <n v="6779"/>
    <s v="ท้องถิ่นเทศบาลตำบลโคกสะอาด"/>
    <n v="0"/>
    <s v="-"/>
    <n v="0"/>
    <s v="-"/>
    <n v="3172"/>
    <n v="3222"/>
    <n v="6394"/>
    <n v="2250"/>
  </r>
  <r>
    <n v="6712"/>
    <n v="67"/>
    <x v="54"/>
    <n v="6780"/>
    <s v="ท้องถิ่นเทศบาลตำบลบัววัฒนา"/>
    <n v="0"/>
    <s v="-"/>
    <n v="0"/>
    <s v="-"/>
    <n v="2874"/>
    <n v="2867"/>
    <n v="5741"/>
    <n v="1955"/>
  </r>
  <r>
    <n v="6712"/>
    <n v="67"/>
    <x v="54"/>
    <n v="6781"/>
    <s v="ท้องถิ่นเทศบาลตำบลบ่อไทย"/>
    <n v="0"/>
    <s v="-"/>
    <n v="0"/>
    <s v="-"/>
    <n v="4614"/>
    <n v="4798"/>
    <n v="9412"/>
    <n v="3126"/>
  </r>
  <r>
    <n v="6712"/>
    <n v="67"/>
    <x v="54"/>
    <n v="6782"/>
    <s v="ท้องถิ่นเทศบาลตำบลนางั่ว"/>
    <n v="0"/>
    <s v="-"/>
    <n v="0"/>
    <s v="-"/>
    <n v="5971"/>
    <n v="6711"/>
    <n v="12682"/>
    <n v="5901"/>
  </r>
  <r>
    <n v="6712"/>
    <n v="67"/>
    <x v="54"/>
    <n v="6783"/>
    <s v="ท้องถิ่นเทศบาลตำบลเฉลียงทอง"/>
    <n v="0"/>
    <s v="-"/>
    <n v="0"/>
    <s v="-"/>
    <n v="3636"/>
    <n v="3693"/>
    <n v="7329"/>
    <n v="2659"/>
  </r>
  <r>
    <n v="6712"/>
    <n v="67"/>
    <x v="54"/>
    <n v="6784"/>
    <s v="ท้องถิ่นเทศบาลตำบลวังโป่ง"/>
    <n v="0"/>
    <s v="-"/>
    <n v="0"/>
    <s v="-"/>
    <n v="1769"/>
    <n v="1992"/>
    <n v="3761"/>
    <n v="1570"/>
  </r>
  <r>
    <n v="6712"/>
    <n v="67"/>
    <x v="54"/>
    <n v="6785"/>
    <s v="ท้องถิ่นเทศบาลตำบลท้ายดง"/>
    <n v="0"/>
    <s v="-"/>
    <n v="0"/>
    <s v="-"/>
    <n v="1565"/>
    <n v="1698"/>
    <n v="3263"/>
    <n v="1108"/>
  </r>
  <r>
    <n v="6712"/>
    <n v="67"/>
    <x v="54"/>
    <n v="6786"/>
    <s v="ท้องถิ่นเทศบาลตำบลซับสมอทอด"/>
    <n v="0"/>
    <s v="-"/>
    <n v="0"/>
    <s v="-"/>
    <n v="3996"/>
    <n v="4242"/>
    <n v="8238"/>
    <n v="5186"/>
  </r>
  <r>
    <n v="6712"/>
    <n v="67"/>
    <x v="54"/>
    <n v="6787"/>
    <s v="ท้องถิ่นเทศบาลตำบลหนองไผ่"/>
    <n v="0"/>
    <s v="-"/>
    <n v="0"/>
    <s v="-"/>
    <n v="3284"/>
    <n v="3656"/>
    <n v="6940"/>
    <n v="3906"/>
  </r>
  <r>
    <n v="6712"/>
    <n v="67"/>
    <x v="54"/>
    <n v="6788"/>
    <s v="ท้องถิ่นเทศบาลตำบลนาเฉลียง"/>
    <n v="0"/>
    <s v="-"/>
    <n v="0"/>
    <s v="-"/>
    <n v="1897"/>
    <n v="2137"/>
    <n v="4034"/>
    <n v="1781"/>
  </r>
  <r>
    <n v="6712"/>
    <n v="67"/>
    <x v="54"/>
    <n v="6789"/>
    <s v="ท้องถิ่นเทศบาลตำบลสว่างวัฒนา"/>
    <n v="0"/>
    <s v="-"/>
    <n v="0"/>
    <s v="-"/>
    <n v="3016"/>
    <n v="3331"/>
    <n v="6347"/>
    <n v="3004"/>
  </r>
  <r>
    <n v="6712"/>
    <n v="67"/>
    <x v="54"/>
    <n v="6790"/>
    <s v="ท้องถิ่นเทศบาลเมืองวิเชียรบุรี"/>
    <n v="0"/>
    <s v="-"/>
    <n v="0"/>
    <s v="-"/>
    <n v="10253"/>
    <n v="11339"/>
    <n v="21592"/>
    <n v="9093"/>
  </r>
  <r>
    <n v="6712"/>
    <n v="67"/>
    <x v="54"/>
    <n v="6791"/>
    <s v="ท้องถิ่นเทศบาลตำบลพุเตย"/>
    <n v="0"/>
    <s v="-"/>
    <n v="0"/>
    <s v="-"/>
    <n v="3426"/>
    <n v="3580"/>
    <n v="7006"/>
    <n v="3080"/>
  </r>
  <r>
    <n v="6712"/>
    <n v="67"/>
    <x v="54"/>
    <n v="6792"/>
    <s v="ท้องถิ่นเทศบาลตำบลหล่มเก่า"/>
    <n v="0"/>
    <s v="-"/>
    <n v="0"/>
    <s v="-"/>
    <n v="2589"/>
    <n v="2919"/>
    <n v="5508"/>
    <n v="2697"/>
  </r>
  <r>
    <n v="6712"/>
    <n v="67"/>
    <x v="54"/>
    <n v="6793"/>
    <s v="ท้องถิ่นเทศบาลตำบลท่าข้าม"/>
    <n v="0"/>
    <s v="-"/>
    <n v="0"/>
    <s v="-"/>
    <n v="1192"/>
    <n v="1188"/>
    <n v="2380"/>
    <n v="1001"/>
  </r>
  <r>
    <n v="6712"/>
    <n v="67"/>
    <x v="54"/>
    <n v="6794"/>
    <s v="ท้องถิ่นเทศบาลตำบลดงขุย"/>
    <n v="0"/>
    <s v="-"/>
    <n v="0"/>
    <s v="-"/>
    <n v="1146"/>
    <n v="1288"/>
    <n v="2434"/>
    <n v="1087"/>
  </r>
  <r>
    <n v="6712"/>
    <n v="67"/>
    <x v="54"/>
    <n v="6795"/>
    <s v="ท้องถิ่นเทศบาลตำบลชนแดน"/>
    <n v="0"/>
    <s v="-"/>
    <n v="0"/>
    <s v="-"/>
    <n v="1727"/>
    <n v="1649"/>
    <n v="3376"/>
    <n v="1867"/>
  </r>
  <r>
    <n v="6712"/>
    <n v="67"/>
    <x v="54"/>
    <n v="6796"/>
    <s v="ท้องถิ่นเทศบาลตำบลวังชมภู"/>
    <n v="0"/>
    <s v="-"/>
    <n v="0"/>
    <s v="-"/>
    <n v="1536"/>
    <n v="1760"/>
    <n v="3296"/>
    <n v="1355"/>
  </r>
  <r>
    <n v="6712"/>
    <n v="67"/>
    <x v="54"/>
    <n v="6797"/>
    <s v="ท้องถิ่นเทศบาลตำบลท่าพล"/>
    <n v="0"/>
    <s v="-"/>
    <n v="0"/>
    <s v="-"/>
    <n v="3501"/>
    <n v="3858"/>
    <n v="7359"/>
    <n v="2653"/>
  </r>
  <r>
    <n v="6712"/>
    <n v="67"/>
    <x v="54"/>
    <n v="6798"/>
    <s v="ท้องถิ่นเทศบาลเมืองหล่มสัก"/>
    <n v="0"/>
    <s v="-"/>
    <n v="0"/>
    <s v="-"/>
    <n v="5153"/>
    <n v="5783"/>
    <n v="10936"/>
    <n v="6740"/>
  </r>
  <r>
    <n v="6712"/>
    <n v="67"/>
    <x v="54"/>
    <n v="6799"/>
    <s v="ท้องถิ่นเทศบาลเมืองเพชรบูรณ์"/>
    <n v="0"/>
    <s v="-"/>
    <n v="0"/>
    <s v="-"/>
    <n v="9107"/>
    <n v="10478"/>
    <n v="19585"/>
    <n v="12945"/>
  </r>
  <r>
    <n v="6712"/>
    <n v="70"/>
    <x v="55"/>
    <n v="0"/>
    <s v="-"/>
    <n v="0"/>
    <s v="-"/>
    <n v="0"/>
    <s v="-"/>
    <n v="418947"/>
    <n v="445090"/>
    <n v="864037"/>
    <n v="350718"/>
  </r>
  <r>
    <n v="6712"/>
    <n v="70"/>
    <x v="55"/>
    <n v="7001"/>
    <s v="อำเภอเมืองราชบุรี"/>
    <n v="0"/>
    <s v="-"/>
    <n v="0"/>
    <s v="-"/>
    <n v="60153"/>
    <n v="63962"/>
    <n v="124115"/>
    <n v="52162"/>
  </r>
  <r>
    <n v="6712"/>
    <n v="70"/>
    <x v="55"/>
    <n v="7002"/>
    <s v="อำเภอจอมบึง"/>
    <n v="0"/>
    <s v="-"/>
    <n v="0"/>
    <s v="-"/>
    <n v="28696"/>
    <n v="29645"/>
    <n v="58341"/>
    <n v="20865"/>
  </r>
  <r>
    <n v="6712"/>
    <n v="70"/>
    <x v="55"/>
    <n v="7003"/>
    <s v="อำเภอสวนผึ้ง"/>
    <n v="0"/>
    <s v="-"/>
    <n v="0"/>
    <s v="-"/>
    <n v="25022"/>
    <n v="23126"/>
    <n v="48148"/>
    <n v="15578"/>
  </r>
  <r>
    <n v="6712"/>
    <n v="70"/>
    <x v="55"/>
    <n v="7004"/>
    <s v="อำเภอดำเนินสะดวก"/>
    <n v="0"/>
    <s v="-"/>
    <n v="0"/>
    <s v="-"/>
    <n v="34870"/>
    <n v="37345"/>
    <n v="72215"/>
    <n v="24547"/>
  </r>
  <r>
    <n v="6712"/>
    <n v="70"/>
    <x v="55"/>
    <n v="7005"/>
    <s v="อำเภอบ้านโป่ง"/>
    <n v="0"/>
    <s v="-"/>
    <n v="0"/>
    <s v="-"/>
    <n v="46318"/>
    <n v="50415"/>
    <n v="96733"/>
    <n v="39680"/>
  </r>
  <r>
    <n v="6712"/>
    <n v="70"/>
    <x v="55"/>
    <n v="7006"/>
    <s v="อำเภอบางแพ"/>
    <n v="0"/>
    <s v="-"/>
    <n v="0"/>
    <s v="-"/>
    <n v="8438"/>
    <n v="9222"/>
    <n v="17660"/>
    <n v="6927"/>
  </r>
  <r>
    <n v="6712"/>
    <n v="70"/>
    <x v="55"/>
    <n v="7007"/>
    <s v="อำเภอโพธาราม"/>
    <n v="0"/>
    <s v="-"/>
    <n v="0"/>
    <s v="-"/>
    <n v="34461"/>
    <n v="36798"/>
    <n v="71259"/>
    <n v="27161"/>
  </r>
  <r>
    <n v="6712"/>
    <n v="70"/>
    <x v="55"/>
    <n v="7008"/>
    <s v="อำเภอปากท่อ"/>
    <n v="0"/>
    <s v="-"/>
    <n v="0"/>
    <s v="-"/>
    <n v="25565"/>
    <n v="26158"/>
    <n v="51723"/>
    <n v="19939"/>
  </r>
  <r>
    <n v="6712"/>
    <n v="70"/>
    <x v="55"/>
    <n v="7009"/>
    <s v="อำเภอวัดเพลง"/>
    <n v="0"/>
    <s v="-"/>
    <n v="0"/>
    <s v="-"/>
    <n v="5071"/>
    <n v="5598"/>
    <n v="10669"/>
    <n v="3836"/>
  </r>
  <r>
    <n v="6712"/>
    <n v="70"/>
    <x v="55"/>
    <n v="7010"/>
    <s v="อำเภอบ้านคา"/>
    <n v="0"/>
    <s v="-"/>
    <n v="0"/>
    <s v="-"/>
    <n v="12777"/>
    <n v="12288"/>
    <n v="25065"/>
    <n v="10157"/>
  </r>
  <r>
    <n v="6712"/>
    <n v="70"/>
    <x v="55"/>
    <n v="7070"/>
    <s v="ท้องถิ่นเทศบาลตำบลดอนทราย"/>
    <n v="0"/>
    <s v="-"/>
    <n v="0"/>
    <s v="-"/>
    <n v="3322"/>
    <n v="3706"/>
    <n v="7028"/>
    <n v="3366"/>
  </r>
  <r>
    <n v="6712"/>
    <n v="70"/>
    <x v="55"/>
    <n v="7071"/>
    <s v="ท้องถิ่นเทศบาลตำบลหลุมดิน"/>
    <n v="0"/>
    <s v="-"/>
    <n v="0"/>
    <s v="-"/>
    <n v="2534"/>
    <n v="2675"/>
    <n v="5209"/>
    <n v="2007"/>
  </r>
  <r>
    <n v="6712"/>
    <n v="70"/>
    <x v="55"/>
    <n v="7072"/>
    <s v="ท้องถิ่นเทศบาลตำบลเบิกไพร"/>
    <n v="0"/>
    <s v="-"/>
    <n v="0"/>
    <s v="-"/>
    <n v="7654"/>
    <n v="8712"/>
    <n v="16366"/>
    <n v="7156"/>
  </r>
  <r>
    <n v="6712"/>
    <n v="70"/>
    <x v="55"/>
    <n v="7073"/>
    <s v="ท้องถิ่นเทศบาลตำบลทุ่งหลวง"/>
    <n v="0"/>
    <s v="-"/>
    <n v="0"/>
    <s v="-"/>
    <n v="6903"/>
    <n v="7043"/>
    <n v="13946"/>
    <n v="4712"/>
  </r>
  <r>
    <n v="6712"/>
    <n v="70"/>
    <x v="55"/>
    <n v="7074"/>
    <s v="ท้องถิ่นเทศบาลตำบลบ้านฆ้อง"/>
    <n v="0"/>
    <s v="-"/>
    <n v="0"/>
    <s v="-"/>
    <n v="4122"/>
    <n v="4646"/>
    <n v="8768"/>
    <n v="3860"/>
  </r>
  <r>
    <n v="6712"/>
    <n v="70"/>
    <x v="55"/>
    <n v="7075"/>
    <s v="ท้องถิ่นเทศบาลตำบลกรับใหญ่"/>
    <n v="0"/>
    <s v="-"/>
    <n v="0"/>
    <s v="-"/>
    <n v="6154"/>
    <n v="6710"/>
    <n v="12864"/>
    <n v="4138"/>
  </r>
  <r>
    <n v="6712"/>
    <n v="70"/>
    <x v="55"/>
    <n v="7076"/>
    <s v="ท้องถิ่นเทศบาลตำบลบ้านสิงห์"/>
    <n v="0"/>
    <s v="-"/>
    <n v="0"/>
    <s v="-"/>
    <n v="5694"/>
    <n v="6309"/>
    <n v="12003"/>
    <n v="4825"/>
  </r>
  <r>
    <n v="6712"/>
    <n v="70"/>
    <x v="55"/>
    <n v="7077"/>
    <s v="ท้องถิ่นเทศบาลตำบลวัดเพลง"/>
    <n v="0"/>
    <s v="-"/>
    <n v="0"/>
    <s v="-"/>
    <n v="633"/>
    <n v="704"/>
    <n v="1337"/>
    <n v="569"/>
  </r>
  <r>
    <n v="6712"/>
    <n v="70"/>
    <x v="55"/>
    <n v="7078"/>
    <s v="ท้องถิ่นเทศบาลตำบลปากท่อ"/>
    <n v="0"/>
    <s v="-"/>
    <n v="0"/>
    <s v="-"/>
    <n v="1305"/>
    <n v="1394"/>
    <n v="2699"/>
    <n v="1449"/>
  </r>
  <r>
    <n v="6712"/>
    <n v="70"/>
    <x v="55"/>
    <n v="7079"/>
    <s v="ท้องถิ่นเทศบาลตำบลหนองโพ"/>
    <n v="0"/>
    <s v="-"/>
    <n v="0"/>
    <s v="-"/>
    <n v="1740"/>
    <n v="2025"/>
    <n v="3765"/>
    <n v="2282"/>
  </r>
  <r>
    <n v="6712"/>
    <n v="70"/>
    <x v="55"/>
    <n v="7080"/>
    <s v="ท้องถิ่นเทศบาลตำบลบ้านเลือก"/>
    <n v="0"/>
    <s v="-"/>
    <n v="0"/>
    <s v="-"/>
    <n v="5287"/>
    <n v="5840"/>
    <n v="11127"/>
    <n v="5599"/>
  </r>
  <r>
    <n v="6712"/>
    <n v="70"/>
    <x v="55"/>
    <n v="7081"/>
    <s v="ท้องถิ่นเทศบาลตำบลเจ็ดเสมียน"/>
    <n v="0"/>
    <s v="-"/>
    <n v="0"/>
    <s v="-"/>
    <n v="2752"/>
    <n v="3044"/>
    <n v="5796"/>
    <n v="2484"/>
  </r>
  <r>
    <n v="6712"/>
    <n v="70"/>
    <x v="55"/>
    <n v="7082"/>
    <s v="ท้องถิ่นเทศบาลตำบลเขาขวาง"/>
    <n v="0"/>
    <s v="-"/>
    <n v="0"/>
    <s v="-"/>
    <n v="3528"/>
    <n v="3763"/>
    <n v="7291"/>
    <n v="2763"/>
  </r>
  <r>
    <n v="6712"/>
    <n v="70"/>
    <x v="55"/>
    <n v="7083"/>
    <s v="ท้องถิ่นเทศบาลตำบลโพหัก"/>
    <n v="0"/>
    <s v="-"/>
    <n v="0"/>
    <s v="-"/>
    <n v="5028"/>
    <n v="5360"/>
    <n v="10388"/>
    <n v="3893"/>
  </r>
  <r>
    <n v="6712"/>
    <n v="70"/>
    <x v="55"/>
    <n v="7084"/>
    <s v="ท้องถิ่นเทศบาลตำบลบางแพ"/>
    <n v="0"/>
    <s v="-"/>
    <n v="0"/>
    <s v="-"/>
    <n v="7546"/>
    <n v="8316"/>
    <n v="15862"/>
    <n v="6970"/>
  </r>
  <r>
    <n v="6712"/>
    <n v="70"/>
    <x v="55"/>
    <n v="7085"/>
    <s v="ท้องถิ่นเทศบาลตำบลห้วยกระบอก"/>
    <n v="0"/>
    <s v="-"/>
    <n v="0"/>
    <s v="-"/>
    <n v="781"/>
    <n v="814"/>
    <n v="1595"/>
    <n v="750"/>
  </r>
  <r>
    <n v="6712"/>
    <n v="70"/>
    <x v="55"/>
    <n v="7086"/>
    <s v="ท้องถิ่นเทศบาลเมืองท่าผา"/>
    <n v="0"/>
    <s v="-"/>
    <n v="0"/>
    <s v="-"/>
    <n v="9616"/>
    <n v="10326"/>
    <n v="19942"/>
    <n v="8822"/>
  </r>
  <r>
    <n v="6712"/>
    <n v="70"/>
    <x v="55"/>
    <n v="7087"/>
    <s v="ท้องถิ่นเทศบาลตำบลกระจับ"/>
    <n v="0"/>
    <s v="-"/>
    <n v="0"/>
    <s v="-"/>
    <n v="3695"/>
    <n v="4087"/>
    <n v="7782"/>
    <n v="4028"/>
  </r>
  <r>
    <n v="6712"/>
    <n v="70"/>
    <x v="55"/>
    <n v="7088"/>
    <s v="ท้องถิ่นเทศบาลตำบลศรีดอนไผ่"/>
    <n v="0"/>
    <s v="-"/>
    <n v="0"/>
    <s v="-"/>
    <n v="4870"/>
    <n v="5400"/>
    <n v="10270"/>
    <n v="3637"/>
  </r>
  <r>
    <n v="6712"/>
    <n v="70"/>
    <x v="55"/>
    <n v="7089"/>
    <s v="ท้องถิ่นเทศบาลตำบลดำเนินสะดวก"/>
    <n v="0"/>
    <s v="-"/>
    <n v="0"/>
    <s v="-"/>
    <n v="3204"/>
    <n v="3670"/>
    <n v="6874"/>
    <n v="3361"/>
  </r>
  <r>
    <n v="6712"/>
    <n v="70"/>
    <x v="55"/>
    <n v="7090"/>
    <s v="ท้องถิ่นเทศบาลตำบลสวนผึ้ง"/>
    <n v="0"/>
    <s v="-"/>
    <n v="0"/>
    <s v="-"/>
    <n v="1733"/>
    <n v="1730"/>
    <n v="3463"/>
    <n v="1934"/>
  </r>
  <r>
    <n v="6712"/>
    <n v="70"/>
    <x v="55"/>
    <n v="7091"/>
    <s v="ท้องถิ่นเทศบาลตำบลบ้านชัฏป่าหวาย"/>
    <n v="0"/>
    <s v="-"/>
    <n v="0"/>
    <s v="-"/>
    <n v="1897"/>
    <n v="1901"/>
    <n v="3798"/>
    <n v="2012"/>
  </r>
  <r>
    <n v="6712"/>
    <n v="70"/>
    <x v="55"/>
    <n v="7092"/>
    <s v="ท้องถิ่นเทศบาลตำบลด่านทับตะโก"/>
    <n v="0"/>
    <s v="-"/>
    <n v="0"/>
    <s v="-"/>
    <n v="1249"/>
    <n v="1223"/>
    <n v="2472"/>
    <n v="862"/>
  </r>
  <r>
    <n v="6712"/>
    <n v="70"/>
    <x v="55"/>
    <n v="7093"/>
    <s v="ท้องถิ่นเทศบาลตำบลจอมบึง"/>
    <n v="0"/>
    <s v="-"/>
    <n v="0"/>
    <s v="-"/>
    <n v="2207"/>
    <n v="2536"/>
    <n v="4743"/>
    <n v="3798"/>
  </r>
  <r>
    <n v="6712"/>
    <n v="70"/>
    <x v="55"/>
    <n v="7094"/>
    <s v="ท้องถิ่นเทศบาลตำบลห้วยชินสีห์"/>
    <n v="0"/>
    <s v="-"/>
    <n v="0"/>
    <s v="-"/>
    <n v="5301"/>
    <n v="5761"/>
    <n v="11062"/>
    <n v="4694"/>
  </r>
  <r>
    <n v="6712"/>
    <n v="70"/>
    <x v="55"/>
    <n v="7095"/>
    <s v="ท้องถิ่นเทศบาลตำบลหลักเมือง"/>
    <n v="0"/>
    <s v="-"/>
    <n v="0"/>
    <s v="-"/>
    <n v="8940"/>
    <n v="8092"/>
    <n v="17032"/>
    <n v="7609"/>
  </r>
  <r>
    <n v="6712"/>
    <n v="70"/>
    <x v="55"/>
    <n v="7096"/>
    <s v="ท้องถิ่นเทศบาลตำบลเขางู"/>
    <n v="0"/>
    <s v="-"/>
    <n v="0"/>
    <s v="-"/>
    <n v="4401"/>
    <n v="4930"/>
    <n v="9331"/>
    <n v="3450"/>
  </r>
  <r>
    <n v="6712"/>
    <n v="70"/>
    <x v="55"/>
    <n v="7097"/>
    <s v="ท้องถิ่นเทศบาลเมืองโพธาราม"/>
    <n v="0"/>
    <s v="-"/>
    <n v="0"/>
    <s v="-"/>
    <n v="3770"/>
    <n v="4178"/>
    <n v="7948"/>
    <n v="3801"/>
  </r>
  <r>
    <n v="6712"/>
    <n v="70"/>
    <x v="55"/>
    <n v="7098"/>
    <s v="ท้องถิ่นเทศบาลเมืองบ้านโป่ง"/>
    <n v="0"/>
    <s v="-"/>
    <n v="0"/>
    <s v="-"/>
    <n v="6807"/>
    <n v="7837"/>
    <n v="14644"/>
    <n v="8367"/>
  </r>
  <r>
    <n v="6712"/>
    <n v="70"/>
    <x v="55"/>
    <n v="7099"/>
    <s v="ท้องถิ่นเทศบาลเมืองราชบุรี"/>
    <n v="0"/>
    <s v="-"/>
    <n v="0"/>
    <s v="-"/>
    <n v="14903"/>
    <n v="17801"/>
    <n v="32704"/>
    <n v="16668"/>
  </r>
  <r>
    <n v="6712"/>
    <n v="71"/>
    <x v="56"/>
    <n v="0"/>
    <s v="-"/>
    <n v="0"/>
    <s v="-"/>
    <n v="0"/>
    <s v="-"/>
    <n v="447653"/>
    <n v="448698"/>
    <n v="896351"/>
    <n v="370344"/>
  </r>
  <r>
    <n v="6712"/>
    <n v="71"/>
    <x v="56"/>
    <n v="7101"/>
    <s v="อำเภอเมืองกาญจนบุรี"/>
    <n v="0"/>
    <s v="-"/>
    <n v="0"/>
    <s v="-"/>
    <n v="53705"/>
    <n v="43933"/>
    <n v="97638"/>
    <n v="41020"/>
  </r>
  <r>
    <n v="6712"/>
    <n v="71"/>
    <x v="56"/>
    <n v="7102"/>
    <s v="อำเภอไทรโยค"/>
    <n v="0"/>
    <s v="-"/>
    <n v="0"/>
    <s v="-"/>
    <n v="31203"/>
    <n v="29496"/>
    <n v="60699"/>
    <n v="21755"/>
  </r>
  <r>
    <n v="6712"/>
    <n v="71"/>
    <x v="56"/>
    <n v="7103"/>
    <s v="อำเภอบ่อพลอย"/>
    <n v="0"/>
    <s v="-"/>
    <n v="0"/>
    <s v="-"/>
    <n v="24053"/>
    <n v="24276"/>
    <n v="48329"/>
    <n v="19491"/>
  </r>
  <r>
    <n v="6712"/>
    <n v="71"/>
    <x v="56"/>
    <n v="7104"/>
    <s v="อำเภอศรีสวัสดิ์"/>
    <n v="0"/>
    <s v="-"/>
    <n v="0"/>
    <s v="-"/>
    <n v="13294"/>
    <n v="12550"/>
    <n v="25844"/>
    <n v="10672"/>
  </r>
  <r>
    <n v="6712"/>
    <n v="71"/>
    <x v="56"/>
    <n v="7105"/>
    <s v="อำเภอท่ามะกา"/>
    <n v="0"/>
    <s v="-"/>
    <n v="0"/>
    <s v="-"/>
    <n v="43866"/>
    <n v="46774"/>
    <n v="90640"/>
    <n v="33417"/>
  </r>
  <r>
    <n v="6712"/>
    <n v="71"/>
    <x v="56"/>
    <n v="7106"/>
    <s v="อำเภอท่าม่วง"/>
    <n v="0"/>
    <s v="-"/>
    <n v="0"/>
    <s v="-"/>
    <n v="28199"/>
    <n v="30128"/>
    <n v="58327"/>
    <n v="25626"/>
  </r>
  <r>
    <n v="6712"/>
    <n v="71"/>
    <x v="56"/>
    <n v="7107"/>
    <s v="อำเภอทองผาภูมิ"/>
    <n v="0"/>
    <s v="-"/>
    <n v="0"/>
    <s v="-"/>
    <n v="35360"/>
    <n v="32903"/>
    <n v="68263"/>
    <n v="28793"/>
  </r>
  <r>
    <n v="6712"/>
    <n v="71"/>
    <x v="56"/>
    <n v="7108"/>
    <s v="อำเภอสังขละบุรี"/>
    <n v="0"/>
    <s v="-"/>
    <n v="0"/>
    <s v="-"/>
    <n v="23025"/>
    <n v="21665"/>
    <n v="44690"/>
    <n v="12951"/>
  </r>
  <r>
    <n v="6712"/>
    <n v="71"/>
    <x v="56"/>
    <n v="7109"/>
    <s v="อำเภอพนมทวน"/>
    <n v="0"/>
    <s v="-"/>
    <n v="0"/>
    <s v="-"/>
    <n v="15680"/>
    <n v="16736"/>
    <n v="32416"/>
    <n v="11959"/>
  </r>
  <r>
    <n v="6712"/>
    <n v="71"/>
    <x v="56"/>
    <n v="7110"/>
    <s v="อำเภอเลาขวัญ"/>
    <n v="0"/>
    <s v="-"/>
    <n v="0"/>
    <s v="-"/>
    <n v="26726"/>
    <n v="27010"/>
    <n v="53736"/>
    <n v="19798"/>
  </r>
  <r>
    <n v="6712"/>
    <n v="71"/>
    <x v="56"/>
    <n v="7111"/>
    <s v="อำเภอด่านมะขามเตี้ย"/>
    <n v="0"/>
    <s v="-"/>
    <n v="0"/>
    <s v="-"/>
    <n v="15566"/>
    <n v="15737"/>
    <n v="31303"/>
    <n v="11387"/>
  </r>
  <r>
    <n v="6712"/>
    <n v="71"/>
    <x v="56"/>
    <n v="7112"/>
    <s v="อำเภอหนองปรือ"/>
    <n v="0"/>
    <s v="-"/>
    <n v="0"/>
    <s v="-"/>
    <n v="13847"/>
    <n v="13510"/>
    <n v="27357"/>
    <n v="10106"/>
  </r>
  <r>
    <n v="6712"/>
    <n v="71"/>
    <x v="56"/>
    <n v="7113"/>
    <s v="อำเภอห้วยกระเจา"/>
    <n v="0"/>
    <s v="-"/>
    <n v="0"/>
    <s v="-"/>
    <n v="16684"/>
    <n v="17414"/>
    <n v="34098"/>
    <n v="12599"/>
  </r>
  <r>
    <n v="6712"/>
    <n v="71"/>
    <x v="56"/>
    <n v="7167"/>
    <s v="ท้องถิ่นเทศบาลตำบลรางหวาย"/>
    <n v="0"/>
    <s v="-"/>
    <n v="0"/>
    <s v="-"/>
    <n v="3576"/>
    <n v="3593"/>
    <n v="7169"/>
    <n v="2701"/>
  </r>
  <r>
    <n v="6712"/>
    <n v="71"/>
    <x v="56"/>
    <n v="7168"/>
    <s v="ท้องถิ่นเทศบาลตำบลหนองสาหร่าย"/>
    <n v="0"/>
    <s v="-"/>
    <n v="0"/>
    <s v="-"/>
    <n v="1727"/>
    <n v="1940"/>
    <n v="3667"/>
    <n v="1261"/>
  </r>
  <r>
    <n v="6712"/>
    <n v="71"/>
    <x v="56"/>
    <n v="7169"/>
    <s v="ท้องถิ่นเทศบาลเมืองปากแพรก"/>
    <n v="0"/>
    <s v="-"/>
    <n v="0"/>
    <s v="-"/>
    <n v="13488"/>
    <n v="15102"/>
    <n v="28590"/>
    <n v="17024"/>
  </r>
  <r>
    <n v="6712"/>
    <n v="71"/>
    <x v="56"/>
    <n v="7170"/>
    <s v="ท้องถิ่นเทศบาลตำบลวังศาลา"/>
    <n v="0"/>
    <s v="-"/>
    <n v="0"/>
    <s v="-"/>
    <n v="5707"/>
    <n v="6074"/>
    <n v="11781"/>
    <n v="5465"/>
  </r>
  <r>
    <n v="6712"/>
    <n v="71"/>
    <x v="56"/>
    <n v="7171"/>
    <s v="ท้องถิ่นเทศบาลตำบลท่าล้อ"/>
    <n v="0"/>
    <s v="-"/>
    <n v="0"/>
    <s v="-"/>
    <n v="4357"/>
    <n v="4873"/>
    <n v="9230"/>
    <n v="4148"/>
  </r>
  <r>
    <n v="6712"/>
    <n v="71"/>
    <x v="56"/>
    <n v="7172"/>
    <s v="ท้องถิ่นเทศบาลตำบลวังขนาย"/>
    <n v="0"/>
    <s v="-"/>
    <n v="0"/>
    <s v="-"/>
    <n v="4399"/>
    <n v="4932"/>
    <n v="9331"/>
    <n v="4092"/>
  </r>
  <r>
    <n v="6712"/>
    <n v="71"/>
    <x v="56"/>
    <n v="7173"/>
    <s v="ท้องถิ่นเทศบาลตำบลหนองปรือ"/>
    <n v="0"/>
    <s v="-"/>
    <n v="0"/>
    <s v="-"/>
    <n v="2107"/>
    <n v="2268"/>
    <n v="4375"/>
    <n v="1899"/>
  </r>
  <r>
    <n v="6712"/>
    <n v="71"/>
    <x v="56"/>
    <n v="7174"/>
    <s v="ท้องถิ่นเทศบาลตำบลด่านมะขามเตี้ย"/>
    <n v="0"/>
    <s v="-"/>
    <n v="0"/>
    <s v="-"/>
    <n v="1185"/>
    <n v="1248"/>
    <n v="2433"/>
    <n v="1333"/>
  </r>
  <r>
    <n v="6712"/>
    <n v="71"/>
    <x v="56"/>
    <n v="7175"/>
    <s v="ท้องถิ่นเทศบาลตำบลหนองฝ้าย"/>
    <n v="0"/>
    <s v="-"/>
    <n v="0"/>
    <s v="-"/>
    <n v="1046"/>
    <n v="1157"/>
    <n v="2203"/>
    <n v="978"/>
  </r>
  <r>
    <n v="6712"/>
    <n v="71"/>
    <x v="56"/>
    <n v="7176"/>
    <s v="ท้องถิ่นเทศบาลตำบลเลาขวัญ"/>
    <n v="0"/>
    <s v="-"/>
    <n v="0"/>
    <s v="-"/>
    <n v="1317"/>
    <n v="1331"/>
    <n v="2648"/>
    <n v="1409"/>
  </r>
  <r>
    <n v="6712"/>
    <n v="71"/>
    <x v="56"/>
    <n v="7177"/>
    <s v="ท้องถิ่นเทศบาลตำบลตลาดเขต"/>
    <n v="0"/>
    <s v="-"/>
    <n v="0"/>
    <s v="-"/>
    <n v="1872"/>
    <n v="2113"/>
    <n v="3985"/>
    <n v="1879"/>
  </r>
  <r>
    <n v="6712"/>
    <n v="71"/>
    <x v="56"/>
    <n v="7178"/>
    <s v="ท้องถิ่นเทศบาลตำบลพนมทวน"/>
    <n v="0"/>
    <s v="-"/>
    <n v="0"/>
    <s v="-"/>
    <n v="2389"/>
    <n v="2693"/>
    <n v="5082"/>
    <n v="2286"/>
  </r>
  <r>
    <n v="6712"/>
    <n v="71"/>
    <x v="56"/>
    <n v="7179"/>
    <s v="ท้องถิ่นเทศบาลตำบลวังกะ"/>
    <n v="0"/>
    <s v="-"/>
    <n v="0"/>
    <s v="-"/>
    <n v="4974"/>
    <n v="4795"/>
    <n v="9769"/>
    <n v="2731"/>
  </r>
  <r>
    <n v="6712"/>
    <n v="71"/>
    <x v="56"/>
    <n v="7180"/>
    <s v="ท้องถิ่นเทศบาลตำบลทองผาภูมิ"/>
    <n v="0"/>
    <s v="-"/>
    <n v="0"/>
    <s v="-"/>
    <n v="1547"/>
    <n v="1505"/>
    <n v="3052"/>
    <n v="1633"/>
  </r>
  <r>
    <n v="6712"/>
    <n v="71"/>
    <x v="56"/>
    <n v="7181"/>
    <s v="ท้องถิ่นเทศบาลตำบลหนองตากยา"/>
    <n v="0"/>
    <s v="-"/>
    <n v="0"/>
    <s v="-"/>
    <n v="1488"/>
    <n v="1557"/>
    <n v="3045"/>
    <n v="1015"/>
  </r>
  <r>
    <n v="6712"/>
    <n v="71"/>
    <x v="56"/>
    <n v="7182"/>
    <s v="ท้องถิ่นเทศบาลตำบลหนองขาว"/>
    <n v="0"/>
    <s v="-"/>
    <n v="0"/>
    <s v="-"/>
    <n v="2297"/>
    <n v="2560"/>
    <n v="4857"/>
    <n v="1637"/>
  </r>
  <r>
    <n v="6712"/>
    <n v="71"/>
    <x v="56"/>
    <n v="7183"/>
    <s v="ท้องถิ่นเทศบาลตำบลสำรอง"/>
    <n v="0"/>
    <s v="-"/>
    <n v="0"/>
    <s v="-"/>
    <n v="872"/>
    <n v="906"/>
    <n v="1778"/>
    <n v="669"/>
  </r>
  <r>
    <n v="6712"/>
    <n v="71"/>
    <x v="56"/>
    <n v="7184"/>
    <s v="ท้องถิ่นเทศบาลตำบลท่าม่วง"/>
    <n v="0"/>
    <s v="-"/>
    <n v="0"/>
    <s v="-"/>
    <n v="4305"/>
    <n v="5046"/>
    <n v="9351"/>
    <n v="5595"/>
  </r>
  <r>
    <n v="6712"/>
    <n v="71"/>
    <x v="56"/>
    <n v="7185"/>
    <s v="ท้องถิ่นเทศบาลตำบลหวายเหนียว"/>
    <n v="0"/>
    <s v="-"/>
    <n v="0"/>
    <s v="-"/>
    <n v="2116"/>
    <n v="2273"/>
    <n v="4389"/>
    <n v="2056"/>
  </r>
  <r>
    <n v="6712"/>
    <n v="71"/>
    <x v="56"/>
    <n v="7186"/>
    <s v="ท้องถิ่นเทศบาลตำบลพระแท่น"/>
    <n v="0"/>
    <s v="-"/>
    <n v="0"/>
    <s v="-"/>
    <n v="2949"/>
    <n v="3246"/>
    <n v="6195"/>
    <n v="2327"/>
  </r>
  <r>
    <n v="6712"/>
    <n v="71"/>
    <x v="56"/>
    <n v="7187"/>
    <s v="ท้องถิ่นเทศบาลตำบลท่าไม้"/>
    <n v="0"/>
    <s v="-"/>
    <n v="0"/>
    <s v="-"/>
    <n v="4259"/>
    <n v="4625"/>
    <n v="8884"/>
    <n v="4014"/>
  </r>
  <r>
    <n v="6712"/>
    <n v="71"/>
    <x v="56"/>
    <n v="7188"/>
    <s v="ท้องถิ่นเทศบาลตำบลท่ามะกา"/>
    <n v="0"/>
    <s v="-"/>
    <n v="0"/>
    <s v="-"/>
    <n v="3713"/>
    <n v="4314"/>
    <n v="8027"/>
    <n v="4803"/>
  </r>
  <r>
    <n v="6712"/>
    <n v="71"/>
    <x v="56"/>
    <n v="7189"/>
    <s v="ท้องถิ่นเทศบาลตำบลลูกแก"/>
    <n v="0"/>
    <s v="-"/>
    <n v="0"/>
    <s v="-"/>
    <n v="1526"/>
    <n v="1779"/>
    <n v="3305"/>
    <n v="1530"/>
  </r>
  <r>
    <n v="6712"/>
    <n v="71"/>
    <x v="56"/>
    <n v="7190"/>
    <s v="ท้องถิ่นเทศบาลตำบลเอราวัณ"/>
    <n v="0"/>
    <s v="-"/>
    <n v="0"/>
    <s v="-"/>
    <n v="482"/>
    <n v="531"/>
    <n v="1013"/>
    <n v="727"/>
  </r>
  <r>
    <n v="6712"/>
    <n v="71"/>
    <x v="56"/>
    <n v="7191"/>
    <s v="ท้องถิ่นเทศบาลตำบลหนองรี"/>
    <n v="0"/>
    <s v="-"/>
    <n v="0"/>
    <s v="-"/>
    <n v="1042"/>
    <n v="1113"/>
    <n v="2155"/>
    <n v="856"/>
  </r>
  <r>
    <n v="6712"/>
    <n v="71"/>
    <x v="56"/>
    <n v="7192"/>
    <s v="ท้องถิ่นเทศบาลตำบลบ่อพลอย"/>
    <n v="0"/>
    <s v="-"/>
    <n v="0"/>
    <s v="-"/>
    <n v="3327"/>
    <n v="3365"/>
    <n v="6692"/>
    <n v="2844"/>
  </r>
  <r>
    <n v="6712"/>
    <n v="71"/>
    <x v="56"/>
    <n v="7193"/>
    <s v="ท้องถิ่นเทศบาลตำบลวังโพธิ์"/>
    <n v="0"/>
    <s v="-"/>
    <n v="0"/>
    <s v="-"/>
    <n v="1069"/>
    <n v="1051"/>
    <n v="2120"/>
    <n v="925"/>
  </r>
  <r>
    <n v="6712"/>
    <n v="71"/>
    <x v="56"/>
    <n v="7194"/>
    <s v="ท้องถิ่นเทศบาลตำบลน้ำตกไทรโยคน้อย"/>
    <n v="0"/>
    <s v="-"/>
    <n v="0"/>
    <s v="-"/>
    <n v="1933"/>
    <n v="1981"/>
    <n v="3914"/>
    <n v="1726"/>
  </r>
  <r>
    <n v="6712"/>
    <n v="71"/>
    <x v="56"/>
    <n v="7195"/>
    <s v="ท้องถิ่นเทศบาลตำบลหนองบัว"/>
    <n v="0"/>
    <s v="-"/>
    <n v="0"/>
    <s v="-"/>
    <n v="3355"/>
    <n v="3765"/>
    <n v="7120"/>
    <n v="3399"/>
  </r>
  <r>
    <n v="6712"/>
    <n v="71"/>
    <x v="56"/>
    <n v="7196"/>
    <s v="ท้องถิ่นเทศบาลตำบลลาดหญ้า"/>
    <n v="0"/>
    <s v="-"/>
    <n v="0"/>
    <s v="-"/>
    <n v="2599"/>
    <n v="2814"/>
    <n v="5413"/>
    <n v="2480"/>
  </r>
  <r>
    <n v="6712"/>
    <n v="71"/>
    <x v="56"/>
    <n v="7197"/>
    <s v="ท้องถิ่นเทศบาลตำบลแก่งเสี้ยน"/>
    <n v="0"/>
    <s v="-"/>
    <n v="0"/>
    <s v="-"/>
    <n v="3029"/>
    <n v="3428"/>
    <n v="6457"/>
    <n v="3967"/>
  </r>
  <r>
    <n v="6712"/>
    <n v="71"/>
    <x v="56"/>
    <n v="7198"/>
    <s v="ท้องถิ่นเทศบาลเมืองท่าเรือพระแท่น"/>
    <n v="0"/>
    <s v="-"/>
    <n v="0"/>
    <s v="-"/>
    <n v="4904"/>
    <n v="5453"/>
    <n v="10357"/>
    <n v="5177"/>
  </r>
  <r>
    <n v="6712"/>
    <n v="71"/>
    <x v="56"/>
    <n v="7199"/>
    <s v="ท้องถิ่นเทศบาลเมืองกาญจนบุรี"/>
    <n v="0"/>
    <s v="-"/>
    <n v="0"/>
    <s v="-"/>
    <n v="11489"/>
    <n v="13135"/>
    <n v="24624"/>
    <n v="16184"/>
  </r>
  <r>
    <n v="6712"/>
    <n v="72"/>
    <x v="57"/>
    <n v="0"/>
    <s v="-"/>
    <n v="0"/>
    <s v="-"/>
    <n v="0"/>
    <s v="-"/>
    <n v="395769"/>
    <n v="426442"/>
    <n v="822211"/>
    <n v="324002"/>
  </r>
  <r>
    <n v="6712"/>
    <n v="72"/>
    <x v="57"/>
    <n v="7201"/>
    <s v="อำเภอเมืองสุพรรณบุรี"/>
    <n v="0"/>
    <s v="-"/>
    <n v="0"/>
    <s v="-"/>
    <n v="50456"/>
    <n v="56290"/>
    <n v="106746"/>
    <n v="40705"/>
  </r>
  <r>
    <n v="6712"/>
    <n v="72"/>
    <x v="57"/>
    <n v="7202"/>
    <s v="อำเภอเดิมบางนางบวช"/>
    <n v="0"/>
    <s v="-"/>
    <n v="0"/>
    <s v="-"/>
    <n v="19559"/>
    <n v="20966"/>
    <n v="40525"/>
    <n v="15842"/>
  </r>
  <r>
    <n v="6712"/>
    <n v="72"/>
    <x v="57"/>
    <n v="7203"/>
    <s v="อำเภอด่านช้าง"/>
    <n v="0"/>
    <s v="-"/>
    <n v="0"/>
    <s v="-"/>
    <n v="30223"/>
    <n v="30947"/>
    <n v="61170"/>
    <n v="24388"/>
  </r>
  <r>
    <n v="6712"/>
    <n v="72"/>
    <x v="57"/>
    <n v="7204"/>
    <s v="อำเภอบางปลาม้า"/>
    <n v="0"/>
    <s v="-"/>
    <n v="0"/>
    <s v="-"/>
    <n v="27813"/>
    <n v="29197"/>
    <n v="57010"/>
    <n v="20334"/>
  </r>
  <r>
    <n v="6712"/>
    <n v="72"/>
    <x v="57"/>
    <n v="7205"/>
    <s v="อำเภอศรีประจันต์"/>
    <n v="0"/>
    <s v="-"/>
    <n v="0"/>
    <s v="-"/>
    <n v="18804"/>
    <n v="20602"/>
    <n v="39406"/>
    <n v="15689"/>
  </r>
  <r>
    <n v="6712"/>
    <n v="72"/>
    <x v="57"/>
    <n v="7206"/>
    <s v="อำเภอดอนเจดีย์"/>
    <n v="0"/>
    <s v="-"/>
    <n v="0"/>
    <s v="-"/>
    <n v="19315"/>
    <n v="20878"/>
    <n v="40193"/>
    <n v="15607"/>
  </r>
  <r>
    <n v="6712"/>
    <n v="72"/>
    <x v="57"/>
    <n v="7207"/>
    <s v="อำเภอสองพี่น้อง"/>
    <n v="0"/>
    <s v="-"/>
    <n v="0"/>
    <s v="-"/>
    <n v="53361"/>
    <n v="55629"/>
    <n v="108990"/>
    <n v="37714"/>
  </r>
  <r>
    <n v="6712"/>
    <n v="72"/>
    <x v="57"/>
    <n v="7208"/>
    <s v="อำเภอสามชุก"/>
    <n v="0"/>
    <s v="-"/>
    <n v="0"/>
    <s v="-"/>
    <n v="18647"/>
    <n v="20253"/>
    <n v="38900"/>
    <n v="15603"/>
  </r>
  <r>
    <n v="6712"/>
    <n v="72"/>
    <x v="57"/>
    <n v="7209"/>
    <s v="อำเภออู่ทอง"/>
    <n v="0"/>
    <s v="-"/>
    <n v="0"/>
    <s v="-"/>
    <n v="31338"/>
    <n v="33245"/>
    <n v="64583"/>
    <n v="22947"/>
  </r>
  <r>
    <n v="6712"/>
    <n v="72"/>
    <x v="57"/>
    <n v="7210"/>
    <s v="อำเภอหนองหญ้าไซ"/>
    <n v="0"/>
    <s v="-"/>
    <n v="0"/>
    <s v="-"/>
    <n v="22593"/>
    <n v="23740"/>
    <n v="46333"/>
    <n v="17555"/>
  </r>
  <r>
    <n v="6712"/>
    <n v="72"/>
    <x v="57"/>
    <n v="7265"/>
    <s v="ท้องถิ่นเทศบาลตำบลปากน้ำ"/>
    <n v="0"/>
    <s v="-"/>
    <n v="0"/>
    <s v="-"/>
    <n v="2099"/>
    <n v="2302"/>
    <n v="4401"/>
    <n v="1828"/>
  </r>
  <r>
    <n v="6712"/>
    <n v="72"/>
    <x v="57"/>
    <n v="7266"/>
    <s v="ท้องถิ่นเทศบาลตำบลท้าวอู่ทอง"/>
    <n v="0"/>
    <s v="-"/>
    <n v="0"/>
    <s v="-"/>
    <n v="7595"/>
    <n v="8031"/>
    <n v="15626"/>
    <n v="6169"/>
  </r>
  <r>
    <n v="6712"/>
    <n v="72"/>
    <x v="57"/>
    <n v="7267"/>
    <s v="ท้องถิ่นเทศบาลตำบลกระจัน"/>
    <n v="0"/>
    <s v="-"/>
    <n v="0"/>
    <s v="-"/>
    <n v="3568"/>
    <n v="3733"/>
    <n v="7301"/>
    <n v="2042"/>
  </r>
  <r>
    <n v="6712"/>
    <n v="72"/>
    <x v="57"/>
    <n v="7268"/>
    <s v="ท้องถิ่นเทศบาลตำบลบ้านโข้ง"/>
    <n v="0"/>
    <s v="-"/>
    <n v="0"/>
    <s v="-"/>
    <n v="4428"/>
    <n v="4535"/>
    <n v="8963"/>
    <n v="3526"/>
  </r>
  <r>
    <n v="6712"/>
    <n v="72"/>
    <x v="57"/>
    <n v="7269"/>
    <s v="ท้องถิ่นเทศบาลตำบลเดิมบาง"/>
    <n v="0"/>
    <s v="-"/>
    <n v="0"/>
    <s v="-"/>
    <n v="3097"/>
    <n v="3544"/>
    <n v="6641"/>
    <n v="2939"/>
  </r>
  <r>
    <n v="6712"/>
    <n v="72"/>
    <x v="57"/>
    <n v="7270"/>
    <s v="ท้องถิ่นเทศบาลตำบลบางกุ้ง"/>
    <n v="0"/>
    <s v="-"/>
    <n v="0"/>
    <s v="-"/>
    <n v="900"/>
    <n v="961"/>
    <n v="1861"/>
    <n v="599"/>
  </r>
  <r>
    <n v="6712"/>
    <n v="72"/>
    <x v="57"/>
    <n v="7271"/>
    <s v="ท้องถิ่นเทศบาลตำบลท่าระหัด"/>
    <n v="0"/>
    <s v="-"/>
    <n v="0"/>
    <s v="-"/>
    <n v="4251"/>
    <n v="5046"/>
    <n v="9297"/>
    <n v="5656"/>
  </r>
  <r>
    <n v="6712"/>
    <n v="72"/>
    <x v="57"/>
    <n v="7272"/>
    <s v="ท้องถิ่นเทศบาลตำบลตะค่า"/>
    <n v="0"/>
    <s v="-"/>
    <n v="0"/>
    <s v="-"/>
    <n v="2600"/>
    <n v="2798"/>
    <n v="5398"/>
    <n v="1981"/>
  </r>
  <r>
    <n v="6712"/>
    <n v="72"/>
    <x v="57"/>
    <n v="7273"/>
    <s v="ท้องถิ่นเทศบาลตำบลบ้านดอน"/>
    <n v="0"/>
    <s v="-"/>
    <n v="0"/>
    <s v="-"/>
    <n v="3612"/>
    <n v="3847"/>
    <n v="7459"/>
    <n v="2116"/>
  </r>
  <r>
    <n v="6712"/>
    <n v="72"/>
    <x v="57"/>
    <n v="7274"/>
    <s v="ท้องถิ่นเทศบาลตำบลต้นคราม"/>
    <n v="0"/>
    <s v="-"/>
    <n v="0"/>
    <s v="-"/>
    <n v="2532"/>
    <n v="2756"/>
    <n v="5288"/>
    <n v="2107"/>
  </r>
  <r>
    <n v="6712"/>
    <n v="72"/>
    <x v="57"/>
    <n v="7275"/>
    <s v="ท้องถิ่นเทศบาลตำบลปลายนา"/>
    <n v="0"/>
    <s v="-"/>
    <n v="0"/>
    <s v="-"/>
    <n v="3878"/>
    <n v="4244"/>
    <n v="8122"/>
    <n v="2994"/>
  </r>
  <r>
    <n v="6712"/>
    <n v="72"/>
    <x v="57"/>
    <n v="7276"/>
    <s v="ท้องถิ่นเทศบาลตำบลขุนพัดเพ็ง"/>
    <n v="0"/>
    <s v="-"/>
    <n v="0"/>
    <s v="-"/>
    <n v="2617"/>
    <n v="2662"/>
    <n v="5279"/>
    <n v="1991"/>
  </r>
  <r>
    <n v="6712"/>
    <n v="72"/>
    <x v="57"/>
    <n v="7277"/>
    <s v="ท้องถิ่นเทศบาลตำบลวังยาง"/>
    <n v="0"/>
    <s v="-"/>
    <n v="0"/>
    <s v="-"/>
    <n v="3209"/>
    <n v="3568"/>
    <n v="6777"/>
    <n v="2877"/>
  </r>
  <r>
    <n v="6712"/>
    <n v="72"/>
    <x v="57"/>
    <n v="7278"/>
    <s v="ท้องถิ่นเทศบาลตำบลเขาดิน"/>
    <n v="0"/>
    <s v="-"/>
    <n v="0"/>
    <s v="-"/>
    <n v="2896"/>
    <n v="3082"/>
    <n v="5978"/>
    <n v="2140"/>
  </r>
  <r>
    <n v="6712"/>
    <n v="72"/>
    <x v="57"/>
    <n v="7279"/>
    <s v="ท้องถิ่นเทศบาลตำบลหนองหญ้าไซ"/>
    <n v="0"/>
    <s v="-"/>
    <n v="0"/>
    <s v="-"/>
    <n v="1103"/>
    <n v="1257"/>
    <n v="2360"/>
    <n v="1166"/>
  </r>
  <r>
    <n v="6712"/>
    <n v="72"/>
    <x v="57"/>
    <n v="7280"/>
    <s v="ท้องถิ่นเทศบาลตำบลอู่ทอง"/>
    <n v="0"/>
    <s v="-"/>
    <n v="0"/>
    <s v="-"/>
    <n v="3414"/>
    <n v="3839"/>
    <n v="7253"/>
    <n v="3699"/>
  </r>
  <r>
    <n v="6712"/>
    <n v="72"/>
    <x v="57"/>
    <n v="7281"/>
    <s v="ท้องถิ่นเทศบาลตำบลสระยายโสม"/>
    <n v="0"/>
    <s v="-"/>
    <n v="0"/>
    <s v="-"/>
    <n v="1280"/>
    <n v="1440"/>
    <n v="2720"/>
    <n v="1083"/>
  </r>
  <r>
    <n v="6712"/>
    <n v="72"/>
    <x v="57"/>
    <n v="7282"/>
    <s v="ท้องถิ่นเทศบาลตำบลสามชุก"/>
    <n v="0"/>
    <s v="-"/>
    <n v="0"/>
    <s v="-"/>
    <n v="5723"/>
    <n v="6521"/>
    <n v="12244"/>
    <n v="6947"/>
  </r>
  <r>
    <n v="6712"/>
    <n v="72"/>
    <x v="57"/>
    <n v="7283"/>
    <s v="ท้องถิ่นเทศบาลตำบลทุ่งคอก"/>
    <n v="0"/>
    <s v="-"/>
    <n v="0"/>
    <s v="-"/>
    <n v="1507"/>
    <n v="1770"/>
    <n v="3277"/>
    <n v="1336"/>
  </r>
  <r>
    <n v="6712"/>
    <n v="72"/>
    <x v="57"/>
    <n v="7284"/>
    <s v="ท้องถิ่นเทศบาลตำบลสระกระโจม"/>
    <n v="0"/>
    <s v="-"/>
    <n v="0"/>
    <s v="-"/>
    <n v="1187"/>
    <n v="1160"/>
    <n v="2347"/>
    <n v="1074"/>
  </r>
  <r>
    <n v="6712"/>
    <n v="72"/>
    <x v="57"/>
    <n v="7285"/>
    <s v="ท้องถิ่นเทศบาลตำบลดอนเจดีย์"/>
    <n v="0"/>
    <s v="-"/>
    <n v="0"/>
    <s v="-"/>
    <n v="1370"/>
    <n v="1487"/>
    <n v="2857"/>
    <n v="1425"/>
  </r>
  <r>
    <n v="6712"/>
    <n v="72"/>
    <x v="57"/>
    <n v="7286"/>
    <s v="ท้องถิ่นเทศบาลตำบลศรีประจันต์"/>
    <n v="0"/>
    <s v="-"/>
    <n v="0"/>
    <s v="-"/>
    <n v="2557"/>
    <n v="2878"/>
    <n v="5435"/>
    <n v="2699"/>
  </r>
  <r>
    <n v="6712"/>
    <n v="72"/>
    <x v="57"/>
    <n v="7287"/>
    <s v="ท้องถิ่นเทศบาลตำบลไผ่กองดิน"/>
    <n v="0"/>
    <s v="-"/>
    <n v="0"/>
    <s v="-"/>
    <n v="808"/>
    <n v="861"/>
    <n v="1669"/>
    <n v="619"/>
  </r>
  <r>
    <n v="6712"/>
    <n v="72"/>
    <x v="57"/>
    <n v="7288"/>
    <s v="ท้องถิ่นเทศบาลตำบลบ้านแหลม"/>
    <n v="0"/>
    <s v="-"/>
    <n v="0"/>
    <s v="-"/>
    <n v="571"/>
    <n v="569"/>
    <n v="1140"/>
    <n v="461"/>
  </r>
  <r>
    <n v="6712"/>
    <n v="72"/>
    <x v="57"/>
    <n v="7289"/>
    <s v="ท้องถิ่นเทศบาลตำบลบางปลาม้า"/>
    <n v="0"/>
    <s v="-"/>
    <n v="0"/>
    <s v="-"/>
    <n v="880"/>
    <n v="913"/>
    <n v="1793"/>
    <n v="693"/>
  </r>
  <r>
    <n v="6712"/>
    <n v="72"/>
    <x v="57"/>
    <n v="7290"/>
    <s v="ท้องถิ่นเทศบาลตำบลโคกคราม"/>
    <n v="0"/>
    <s v="-"/>
    <n v="0"/>
    <s v="-"/>
    <n v="709"/>
    <n v="758"/>
    <n v="1467"/>
    <n v="902"/>
  </r>
  <r>
    <n v="6712"/>
    <n v="72"/>
    <x v="57"/>
    <n v="7291"/>
    <s v="ท้องถิ่นเทศบาลตำบลด่านช้าง"/>
    <n v="0"/>
    <s v="-"/>
    <n v="0"/>
    <s v="-"/>
    <n v="2592"/>
    <n v="2956"/>
    <n v="5548"/>
    <n v="3456"/>
  </r>
  <r>
    <n v="6712"/>
    <n v="72"/>
    <x v="57"/>
    <n v="7292"/>
    <s v="ท้องถิ่นเทศบาลตำบลบ่อกรุ"/>
    <n v="0"/>
    <s v="-"/>
    <n v="0"/>
    <s v="-"/>
    <n v="892"/>
    <n v="1031"/>
    <n v="1923"/>
    <n v="788"/>
  </r>
  <r>
    <n v="6712"/>
    <n v="72"/>
    <x v="57"/>
    <n v="7293"/>
    <s v="ท้องถิ่นเทศบาลตำบลนางบวช"/>
    <n v="0"/>
    <s v="-"/>
    <n v="0"/>
    <s v="-"/>
    <n v="2030"/>
    <n v="2156"/>
    <n v="4186"/>
    <n v="1721"/>
  </r>
  <r>
    <n v="6712"/>
    <n v="72"/>
    <x v="57"/>
    <n v="7294"/>
    <s v="ท้องถิ่นเทศบาลตำบลเขาพระ"/>
    <n v="0"/>
    <s v="-"/>
    <n v="0"/>
    <s v="-"/>
    <n v="2495"/>
    <n v="2918"/>
    <n v="5413"/>
    <n v="3334"/>
  </r>
  <r>
    <n v="6712"/>
    <n v="72"/>
    <x v="57"/>
    <n v="7295"/>
    <s v="ท้องถิ่นเทศบาลตำบลสวนแตง"/>
    <n v="0"/>
    <s v="-"/>
    <n v="0"/>
    <s v="-"/>
    <n v="3051"/>
    <n v="3281"/>
    <n v="6332"/>
    <n v="2387"/>
  </r>
  <r>
    <n v="6712"/>
    <n v="72"/>
    <x v="57"/>
    <n v="7296"/>
    <s v="ท้องถิ่นเทศบาลตำบลโพธิ์พระยา"/>
    <n v="0"/>
    <s v="-"/>
    <n v="0"/>
    <s v="-"/>
    <n v="1465"/>
    <n v="1820"/>
    <n v="3285"/>
    <n v="1722"/>
  </r>
  <r>
    <n v="6712"/>
    <n v="72"/>
    <x v="57"/>
    <n v="7297"/>
    <s v="ท้องถิ่นเทศบาลตำบลท่าเสด็จ"/>
    <n v="0"/>
    <s v="-"/>
    <n v="0"/>
    <s v="-"/>
    <n v="6583"/>
    <n v="7024"/>
    <n v="13607"/>
    <n v="4599"/>
  </r>
  <r>
    <n v="6712"/>
    <n v="72"/>
    <x v="57"/>
    <n v="7298"/>
    <s v="ท้องถิ่นเทศบาลเมืองสองพี่น้อง"/>
    <n v="0"/>
    <s v="-"/>
    <n v="0"/>
    <s v="-"/>
    <n v="5497"/>
    <n v="6294"/>
    <n v="11791"/>
    <n v="5380"/>
  </r>
  <r>
    <n v="6712"/>
    <n v="72"/>
    <x v="57"/>
    <n v="7299"/>
    <s v="ท้องถิ่นเทศบาลเมืองสุพรรณบุรี"/>
    <n v="0"/>
    <s v="-"/>
    <n v="0"/>
    <s v="-"/>
    <n v="10664"/>
    <n v="12653"/>
    <n v="23317"/>
    <n v="13162"/>
  </r>
  <r>
    <n v="6712"/>
    <n v="73"/>
    <x v="58"/>
    <n v="0"/>
    <s v="-"/>
    <n v="0"/>
    <s v="-"/>
    <n v="0"/>
    <s v="-"/>
    <n v="443395"/>
    <n v="482363"/>
    <n v="925758"/>
    <n v="442482"/>
  </r>
  <r>
    <n v="6712"/>
    <n v="73"/>
    <x v="58"/>
    <n v="7301"/>
    <s v="อำเภอเมืองนครปฐม"/>
    <n v="0"/>
    <s v="-"/>
    <n v="0"/>
    <s v="-"/>
    <n v="84488"/>
    <n v="92481"/>
    <n v="176969"/>
    <n v="72539"/>
  </r>
  <r>
    <n v="6712"/>
    <n v="73"/>
    <x v="58"/>
    <n v="7302"/>
    <s v="อำเภอกำแพงแสน"/>
    <n v="0"/>
    <s v="-"/>
    <n v="0"/>
    <s v="-"/>
    <n v="57664"/>
    <n v="60873"/>
    <n v="118537"/>
    <n v="42452"/>
  </r>
  <r>
    <n v="6712"/>
    <n v="73"/>
    <x v="58"/>
    <n v="7303"/>
    <s v="อำเภอนครชัยศรี"/>
    <n v="0"/>
    <s v="-"/>
    <n v="0"/>
    <s v="-"/>
    <n v="48155"/>
    <n v="53201"/>
    <n v="101356"/>
    <n v="41862"/>
  </r>
  <r>
    <n v="6712"/>
    <n v="73"/>
    <x v="58"/>
    <n v="7304"/>
    <s v="อำเภอดอนตูม"/>
    <n v="0"/>
    <s v="-"/>
    <n v="0"/>
    <s v="-"/>
    <n v="17445"/>
    <n v="18389"/>
    <n v="35834"/>
    <n v="11946"/>
  </r>
  <r>
    <n v="6712"/>
    <n v="73"/>
    <x v="58"/>
    <n v="7305"/>
    <s v="อำเภอบางเลน"/>
    <n v="0"/>
    <s v="-"/>
    <n v="0"/>
    <s v="-"/>
    <n v="39587"/>
    <n v="40747"/>
    <n v="80334"/>
    <n v="31433"/>
  </r>
  <r>
    <n v="6712"/>
    <n v="73"/>
    <x v="58"/>
    <n v="7306"/>
    <s v="อำเภอสามพราน"/>
    <n v="0"/>
    <s v="-"/>
    <n v="0"/>
    <s v="-"/>
    <n v="47571"/>
    <n v="52910"/>
    <n v="100481"/>
    <n v="52185"/>
  </r>
  <r>
    <n v="6712"/>
    <n v="73"/>
    <x v="58"/>
    <n v="7307"/>
    <s v="อำเภอพุทธมณฑล"/>
    <n v="0"/>
    <s v="-"/>
    <n v="0"/>
    <s v="-"/>
    <n v="10584"/>
    <n v="12458"/>
    <n v="23042"/>
    <n v="12471"/>
  </r>
  <r>
    <n v="6712"/>
    <n v="73"/>
    <x v="58"/>
    <n v="7380"/>
    <s v="ท้องถิ่นเทศบาลตำบลบ่อพลับ"/>
    <n v="0"/>
    <s v="-"/>
    <n v="0"/>
    <s v="-"/>
    <n v="4598"/>
    <n v="5111"/>
    <n v="9709"/>
    <n v="5079"/>
  </r>
  <r>
    <n v="6712"/>
    <n v="73"/>
    <x v="58"/>
    <n v="7381"/>
    <s v="ท้องถิ่นเทศบาลตำบลบางกระทึก"/>
    <n v="0"/>
    <s v="-"/>
    <n v="0"/>
    <s v="-"/>
    <n v="7218"/>
    <n v="8384"/>
    <n v="15602"/>
    <n v="9517"/>
  </r>
  <r>
    <n v="6712"/>
    <n v="73"/>
    <x v="58"/>
    <n v="7382"/>
    <s v="ท้องถิ่นเทศบาลเมืองกระทุ่มล้ม"/>
    <n v="0"/>
    <s v="-"/>
    <n v="0"/>
    <s v="-"/>
    <n v="13578"/>
    <n v="15931"/>
    <n v="29509"/>
    <n v="19092"/>
  </r>
  <r>
    <n v="6712"/>
    <n v="73"/>
    <x v="58"/>
    <n v="7383"/>
    <s v="ท้องถิ่นเทศบาลเมืองไร่ขิง"/>
    <n v="0"/>
    <s v="-"/>
    <n v="0"/>
    <s v="-"/>
    <n v="17045"/>
    <n v="19441"/>
    <n v="36486"/>
    <n v="27294"/>
  </r>
  <r>
    <n v="6712"/>
    <n v="73"/>
    <x v="58"/>
    <n v="7384"/>
    <s v="ท้องถิ่นเทศบาลตำบลคลองโยง"/>
    <n v="0"/>
    <s v="-"/>
    <n v="0"/>
    <s v="-"/>
    <n v="5169"/>
    <n v="5783"/>
    <n v="10952"/>
    <n v="4670"/>
  </r>
  <r>
    <n v="6712"/>
    <n v="73"/>
    <x v="58"/>
    <n v="7385"/>
    <s v="ท้องถิ่นเทศบาลตำบลศาลายา"/>
    <n v="0"/>
    <s v="-"/>
    <n v="0"/>
    <s v="-"/>
    <n v="6551"/>
    <n v="5279"/>
    <n v="11830"/>
    <n v="9858"/>
  </r>
  <r>
    <n v="6712"/>
    <n v="73"/>
    <x v="58"/>
    <n v="7386"/>
    <s v="ท้องถิ่นเทศบาลตำบลอ้อมใหญ่"/>
    <n v="0"/>
    <s v="-"/>
    <n v="0"/>
    <s v="-"/>
    <n v="11551"/>
    <n v="12823"/>
    <n v="24374"/>
    <n v="22440"/>
  </r>
  <r>
    <n v="6712"/>
    <n v="73"/>
    <x v="58"/>
    <n v="7387"/>
    <s v="ท้องถิ่นเทศบาลเมืองสามพราน"/>
    <n v="0"/>
    <s v="-"/>
    <n v="0"/>
    <s v="-"/>
    <n v="8520"/>
    <n v="7587"/>
    <n v="16107"/>
    <n v="9310"/>
  </r>
  <r>
    <n v="6712"/>
    <n v="73"/>
    <x v="58"/>
    <n v="7388"/>
    <s v="ท้องถิ่นเทศบาลตำบลลำพญา"/>
    <n v="0"/>
    <s v="-"/>
    <n v="0"/>
    <s v="-"/>
    <n v="902"/>
    <n v="977"/>
    <n v="1879"/>
    <n v="665"/>
  </r>
  <r>
    <n v="6712"/>
    <n v="73"/>
    <x v="58"/>
    <n v="7389"/>
    <s v="ท้องถิ่นเทศบาลตำบลรางกระทุ่ม"/>
    <n v="0"/>
    <s v="-"/>
    <n v="0"/>
    <s v="-"/>
    <n v="981"/>
    <n v="1024"/>
    <n v="2005"/>
    <n v="753"/>
  </r>
  <r>
    <n v="6712"/>
    <n v="73"/>
    <x v="58"/>
    <n v="7390"/>
    <s v="ท้องถิ่นเทศบาลตำบลบางหลวง"/>
    <n v="0"/>
    <s v="-"/>
    <n v="0"/>
    <s v="-"/>
    <n v="976"/>
    <n v="1010"/>
    <n v="1986"/>
    <n v="738"/>
  </r>
  <r>
    <n v="6712"/>
    <n v="73"/>
    <x v="58"/>
    <n v="7391"/>
    <s v="ท้องถิ่นเทศบาลตำบลบางเลน"/>
    <n v="0"/>
    <s v="-"/>
    <n v="0"/>
    <s v="-"/>
    <n v="4169"/>
    <n v="4205"/>
    <n v="8374"/>
    <n v="4440"/>
  </r>
  <r>
    <n v="6712"/>
    <n v="73"/>
    <x v="58"/>
    <n v="7392"/>
    <s v="ท้องถิ่นเทศบาลตำบลสามง่าม"/>
    <n v="0"/>
    <s v="-"/>
    <n v="0"/>
    <s v="-"/>
    <n v="6636"/>
    <n v="7291"/>
    <n v="13927"/>
    <n v="5216"/>
  </r>
  <r>
    <n v="6712"/>
    <n v="73"/>
    <x v="58"/>
    <n v="7393"/>
    <s v="ท้องถิ่นเทศบาลตำบลห้วยพลู"/>
    <n v="0"/>
    <s v="-"/>
    <n v="0"/>
    <s v="-"/>
    <n v="1015"/>
    <n v="1132"/>
    <n v="2147"/>
    <n v="943"/>
  </r>
  <r>
    <n v="6712"/>
    <n v="73"/>
    <x v="58"/>
    <n v="7394"/>
    <s v="ท้องถิ่นเทศบาลตำบลนครชัยศรี"/>
    <n v="0"/>
    <s v="-"/>
    <n v="0"/>
    <s v="-"/>
    <n v="3573"/>
    <n v="4304"/>
    <n v="7877"/>
    <n v="5210"/>
  </r>
  <r>
    <n v="6712"/>
    <n v="73"/>
    <x v="58"/>
    <n v="7395"/>
    <s v="ท้องถิ่นเทศบาลตำบลกำแพงแสน"/>
    <n v="0"/>
    <s v="-"/>
    <n v="0"/>
    <s v="-"/>
    <n v="3151"/>
    <n v="3597"/>
    <n v="6748"/>
    <n v="4369"/>
  </r>
  <r>
    <n v="6712"/>
    <n v="73"/>
    <x v="58"/>
    <n v="7396"/>
    <s v="ท้องถิ่นเทศบาลตำบลโพรงมะเดื่อ"/>
    <n v="0"/>
    <s v="-"/>
    <n v="0"/>
    <s v="-"/>
    <n v="5124"/>
    <n v="5668"/>
    <n v="10792"/>
    <n v="4471"/>
  </r>
  <r>
    <n v="6712"/>
    <n v="73"/>
    <x v="58"/>
    <n v="7397"/>
    <s v="ท้องถิ่นเทศบาลตำบลธรรมศาลา"/>
    <n v="0"/>
    <s v="-"/>
    <n v="0"/>
    <s v="-"/>
    <n v="3218"/>
    <n v="3586"/>
    <n v="6804"/>
    <n v="3082"/>
  </r>
  <r>
    <n v="6712"/>
    <n v="73"/>
    <x v="58"/>
    <n v="7398"/>
    <s v="ท้องถิ่นเทศบาลตำบลดอนยายหอม"/>
    <n v="0"/>
    <s v="-"/>
    <n v="0"/>
    <s v="-"/>
    <n v="3010"/>
    <n v="3273"/>
    <n v="6283"/>
    <n v="2278"/>
  </r>
  <r>
    <n v="6712"/>
    <n v="73"/>
    <x v="58"/>
    <n v="7399"/>
    <s v="ท้องถิ่นเทศบาลนครนครปฐม"/>
    <n v="0"/>
    <s v="-"/>
    <n v="0"/>
    <s v="-"/>
    <n v="30916"/>
    <n v="34898"/>
    <n v="65814"/>
    <n v="38169"/>
  </r>
  <r>
    <n v="6712"/>
    <n v="74"/>
    <x v="59"/>
    <n v="0"/>
    <s v="-"/>
    <n v="0"/>
    <s v="-"/>
    <n v="0"/>
    <s v="-"/>
    <n v="283460"/>
    <n v="307407"/>
    <n v="590867"/>
    <n v="323332"/>
  </r>
  <r>
    <n v="6712"/>
    <n v="74"/>
    <x v="59"/>
    <n v="7401"/>
    <s v="อำเภอเมืองสมุทรสาคร"/>
    <n v="0"/>
    <s v="-"/>
    <n v="0"/>
    <s v="-"/>
    <n v="103022"/>
    <n v="113467"/>
    <n v="216489"/>
    <n v="126839"/>
  </r>
  <r>
    <n v="6712"/>
    <n v="74"/>
    <x v="59"/>
    <n v="7402"/>
    <s v="อำเภอกระทุ่มแบน"/>
    <n v="0"/>
    <s v="-"/>
    <n v="0"/>
    <s v="-"/>
    <n v="32519"/>
    <n v="35259"/>
    <n v="67778"/>
    <n v="40695"/>
  </r>
  <r>
    <n v="6712"/>
    <n v="74"/>
    <x v="59"/>
    <n v="7403"/>
    <s v="อำเภอบ้านแพ้ว"/>
    <n v="0"/>
    <s v="-"/>
    <n v="0"/>
    <s v="-"/>
    <n v="24371"/>
    <n v="26606"/>
    <n v="50977"/>
    <n v="17232"/>
  </r>
  <r>
    <n v="6712"/>
    <n v="74"/>
    <x v="59"/>
    <n v="7491"/>
    <s v="ท้องถิ่นเทศบาลตำบลสวนหลวง"/>
    <n v="0"/>
    <s v="-"/>
    <n v="0"/>
    <s v="-"/>
    <n v="19300"/>
    <n v="19707"/>
    <n v="39007"/>
    <n v="24172"/>
  </r>
  <r>
    <n v="6712"/>
    <n v="74"/>
    <x v="59"/>
    <n v="7492"/>
    <s v="ท้องถิ่นเทศบาลตำบลนาดี"/>
    <n v="0"/>
    <s v="-"/>
    <n v="0"/>
    <s v="-"/>
    <n v="13395"/>
    <n v="14943"/>
    <n v="28338"/>
    <n v="17422"/>
  </r>
  <r>
    <n v="6712"/>
    <n v="74"/>
    <x v="59"/>
    <n v="7493"/>
    <s v="ท้องถิ่นเทศบาลตำบลหลักห้า"/>
    <n v="0"/>
    <s v="-"/>
    <n v="0"/>
    <s v="-"/>
    <n v="20494"/>
    <n v="21802"/>
    <n v="42296"/>
    <n v="11441"/>
  </r>
  <r>
    <n v="6712"/>
    <n v="74"/>
    <x v="59"/>
    <n v="7494"/>
    <s v="ท้องถิ่นเทศบาลตำบลบ้านแพ้ว"/>
    <n v="0"/>
    <s v="-"/>
    <n v="0"/>
    <s v="-"/>
    <n v="1351"/>
    <n v="1421"/>
    <n v="2772"/>
    <n v="1062"/>
  </r>
  <r>
    <n v="6712"/>
    <n v="74"/>
    <x v="59"/>
    <n v="7495"/>
    <s v="ท้องถิ่นเทศบาลตำบลเกษตรพัฒนา"/>
    <n v="0"/>
    <s v="-"/>
    <n v="0"/>
    <s v="-"/>
    <n v="2533"/>
    <n v="2688"/>
    <n v="5221"/>
    <n v="1677"/>
  </r>
  <r>
    <n v="6712"/>
    <n v="74"/>
    <x v="59"/>
    <n v="7496"/>
    <s v="ท้องถิ่นเทศบาลตำบลบางปลา"/>
    <n v="0"/>
    <s v="-"/>
    <n v="0"/>
    <s v="-"/>
    <n v="3660"/>
    <n v="3990"/>
    <n v="7650"/>
    <n v="4956"/>
  </r>
  <r>
    <n v="6712"/>
    <n v="74"/>
    <x v="59"/>
    <n v="7497"/>
    <s v="ท้องถิ่นเทศบาลนครอ้อมน้อย"/>
    <n v="0"/>
    <s v="-"/>
    <n v="0"/>
    <s v="-"/>
    <n v="25497"/>
    <n v="28417"/>
    <n v="53914"/>
    <n v="51913"/>
  </r>
  <r>
    <n v="6712"/>
    <n v="74"/>
    <x v="59"/>
    <n v="7498"/>
    <s v="ท้องถิ่นเทศบาลเมืองกระทุ่มแบน"/>
    <n v="0"/>
    <s v="-"/>
    <n v="0"/>
    <s v="-"/>
    <n v="11274"/>
    <n v="11930"/>
    <n v="23204"/>
    <n v="6688"/>
  </r>
  <r>
    <n v="6712"/>
    <n v="74"/>
    <x v="59"/>
    <n v="7499"/>
    <s v="ท้องถิ่นเทศบาลนครสมุทรสาคร"/>
    <n v="0"/>
    <s v="-"/>
    <n v="0"/>
    <s v="-"/>
    <n v="26044"/>
    <n v="27177"/>
    <n v="53221"/>
    <n v="19235"/>
  </r>
  <r>
    <n v="6712"/>
    <n v="75"/>
    <x v="60"/>
    <n v="0"/>
    <s v="-"/>
    <n v="0"/>
    <s v="-"/>
    <n v="0"/>
    <s v="-"/>
    <n v="89040"/>
    <n v="97744"/>
    <n v="186784"/>
    <n v="77393"/>
  </r>
  <r>
    <n v="6712"/>
    <n v="75"/>
    <x v="60"/>
    <n v="7501"/>
    <s v="อำเภอเมืองสมุทรสงคราม"/>
    <n v="0"/>
    <s v="-"/>
    <n v="0"/>
    <s v="-"/>
    <n v="37394"/>
    <n v="40985"/>
    <n v="78379"/>
    <n v="34397"/>
  </r>
  <r>
    <n v="6712"/>
    <n v="75"/>
    <x v="60"/>
    <n v="7502"/>
    <s v="อำเภอบางคนที"/>
    <n v="0"/>
    <s v="-"/>
    <n v="0"/>
    <s v="-"/>
    <n v="12533"/>
    <n v="13833"/>
    <n v="26366"/>
    <n v="10382"/>
  </r>
  <r>
    <n v="6712"/>
    <n v="75"/>
    <x v="60"/>
    <n v="7503"/>
    <s v="อำเภออัมพวา"/>
    <n v="0"/>
    <s v="-"/>
    <n v="0"/>
    <s v="-"/>
    <n v="22591"/>
    <n v="24417"/>
    <n v="47008"/>
    <n v="16641"/>
  </r>
  <r>
    <n v="6712"/>
    <n v="75"/>
    <x v="60"/>
    <n v="7595"/>
    <s v="ท้องถิ่นเทศบาลตำบลเหมืองใหม่"/>
    <n v="0"/>
    <s v="-"/>
    <n v="0"/>
    <s v="-"/>
    <n v="888"/>
    <n v="958"/>
    <n v="1846"/>
    <n v="810"/>
  </r>
  <r>
    <n v="6712"/>
    <n v="75"/>
    <x v="60"/>
    <n v="7596"/>
    <s v="ท้องถิ่นเทศบาลตำบลบางนกแขวก"/>
    <n v="0"/>
    <s v="-"/>
    <n v="0"/>
    <s v="-"/>
    <n v="780"/>
    <n v="915"/>
    <n v="1695"/>
    <n v="865"/>
  </r>
  <r>
    <n v="6712"/>
    <n v="75"/>
    <x v="60"/>
    <n v="7597"/>
    <s v="ท้องถิ่นเทศบาลตำบลกระดังงา"/>
    <n v="0"/>
    <s v="-"/>
    <n v="0"/>
    <s v="-"/>
    <n v="973"/>
    <n v="1128"/>
    <n v="2101"/>
    <n v="882"/>
  </r>
  <r>
    <n v="6712"/>
    <n v="75"/>
    <x v="60"/>
    <n v="7598"/>
    <s v="ท้องถิ่นเทศบาลตำบลอัมพวา"/>
    <n v="0"/>
    <s v="-"/>
    <n v="0"/>
    <s v="-"/>
    <n v="2071"/>
    <n v="2288"/>
    <n v="4359"/>
    <n v="2028"/>
  </r>
  <r>
    <n v="6712"/>
    <n v="75"/>
    <x v="60"/>
    <n v="7599"/>
    <s v="ท้องถิ่นเทศบาลเมืองสมุทรสงคราม"/>
    <n v="0"/>
    <s v="-"/>
    <n v="0"/>
    <s v="-"/>
    <n v="11810"/>
    <n v="13220"/>
    <n v="25030"/>
    <n v="11388"/>
  </r>
  <r>
    <n v="6712"/>
    <n v="76"/>
    <x v="61"/>
    <n v="0"/>
    <s v="-"/>
    <n v="0"/>
    <s v="-"/>
    <n v="0"/>
    <s v="-"/>
    <n v="232930"/>
    <n v="251215"/>
    <n v="484145"/>
    <n v="237512"/>
  </r>
  <r>
    <n v="6712"/>
    <n v="76"/>
    <x v="61"/>
    <n v="7601"/>
    <s v="อำเภอเมืองเพชรบุรี"/>
    <n v="0"/>
    <s v="-"/>
    <n v="0"/>
    <s v="-"/>
    <n v="42451"/>
    <n v="48646"/>
    <n v="91097"/>
    <n v="37991"/>
  </r>
  <r>
    <n v="6712"/>
    <n v="76"/>
    <x v="61"/>
    <n v="7602"/>
    <s v="อำเภอเขาย้อย"/>
    <n v="0"/>
    <s v="-"/>
    <n v="0"/>
    <s v="-"/>
    <n v="11493"/>
    <n v="12141"/>
    <n v="23634"/>
    <n v="11748"/>
  </r>
  <r>
    <n v="6712"/>
    <n v="76"/>
    <x v="61"/>
    <n v="7603"/>
    <s v="อำเภอหนองหญ้าปล้อง"/>
    <n v="0"/>
    <s v="-"/>
    <n v="0"/>
    <s v="-"/>
    <n v="8238"/>
    <n v="8265"/>
    <n v="16503"/>
    <n v="7327"/>
  </r>
  <r>
    <n v="6712"/>
    <n v="76"/>
    <x v="61"/>
    <n v="7604"/>
    <s v="อำเภอชะอำ"/>
    <n v="0"/>
    <s v="-"/>
    <n v="0"/>
    <s v="-"/>
    <n v="11199"/>
    <n v="11323"/>
    <n v="22522"/>
    <n v="9709"/>
  </r>
  <r>
    <n v="6712"/>
    <n v="76"/>
    <x v="61"/>
    <n v="7605"/>
    <s v="อำเภอท่ายาง"/>
    <n v="0"/>
    <s v="-"/>
    <n v="0"/>
    <s v="-"/>
    <n v="23768"/>
    <n v="25094"/>
    <n v="48862"/>
    <n v="20888"/>
  </r>
  <r>
    <n v="6712"/>
    <n v="76"/>
    <x v="61"/>
    <n v="7606"/>
    <s v="อำเภอบ้านลาด"/>
    <n v="0"/>
    <s v="-"/>
    <n v="0"/>
    <s v="-"/>
    <n v="22932"/>
    <n v="25160"/>
    <n v="48092"/>
    <n v="16808"/>
  </r>
  <r>
    <n v="6712"/>
    <n v="76"/>
    <x v="61"/>
    <n v="7607"/>
    <s v="อำเภอบ้านแหลม"/>
    <n v="0"/>
    <s v="-"/>
    <n v="0"/>
    <s v="-"/>
    <n v="17654"/>
    <n v="18305"/>
    <n v="35959"/>
    <n v="12322"/>
  </r>
  <r>
    <n v="6712"/>
    <n v="76"/>
    <x v="61"/>
    <n v="7608"/>
    <s v="อำเภอแก่งกระจาน"/>
    <n v="0"/>
    <s v="-"/>
    <n v="0"/>
    <s v="-"/>
    <n v="17592"/>
    <n v="16638"/>
    <n v="34230"/>
    <n v="16353"/>
  </r>
  <r>
    <n v="6712"/>
    <n v="76"/>
    <x v="61"/>
    <n v="7688"/>
    <s v="ท้องถิ่นเทศบาลตำบลท่าแลง"/>
    <n v="0"/>
    <s v="-"/>
    <n v="0"/>
    <s v="-"/>
    <n v="3069"/>
    <n v="3256"/>
    <n v="6325"/>
    <n v="2276"/>
  </r>
  <r>
    <n v="6712"/>
    <n v="76"/>
    <x v="61"/>
    <n v="7689"/>
    <s v="ท้องถิ่นเทศบาลตำบลบ้านแหลม"/>
    <n v="0"/>
    <s v="-"/>
    <n v="0"/>
    <s v="-"/>
    <n v="5371"/>
    <n v="5747"/>
    <n v="11118"/>
    <n v="4341"/>
  </r>
  <r>
    <n v="6712"/>
    <n v="76"/>
    <x v="61"/>
    <n v="7690"/>
    <s v="ท้องถิ่นเทศบาลตำบลบางตะบูน"/>
    <n v="0"/>
    <s v="-"/>
    <n v="0"/>
    <s v="-"/>
    <n v="2370"/>
    <n v="2509"/>
    <n v="4879"/>
    <n v="1919"/>
  </r>
  <r>
    <n v="6712"/>
    <n v="76"/>
    <x v="61"/>
    <n v="7691"/>
    <s v="ท้องถิ่นเทศบาลตำบลบ้านลาด"/>
    <n v="0"/>
    <s v="-"/>
    <n v="0"/>
    <s v="-"/>
    <n v="1689"/>
    <n v="2006"/>
    <n v="3695"/>
    <n v="1784"/>
  </r>
  <r>
    <n v="6712"/>
    <n v="76"/>
    <x v="61"/>
    <n v="7692"/>
    <s v="ท้องถิ่นเทศบาลตำบลหนองจอก"/>
    <n v="0"/>
    <s v="-"/>
    <n v="0"/>
    <s v="-"/>
    <n v="1272"/>
    <n v="1408"/>
    <n v="2680"/>
    <n v="1070"/>
  </r>
  <r>
    <n v="6712"/>
    <n v="76"/>
    <x v="61"/>
    <n v="7693"/>
    <s v="ท้องถิ่นเทศบาลตำบลท่ายาง"/>
    <n v="0"/>
    <s v="-"/>
    <n v="0"/>
    <s v="-"/>
    <n v="13035"/>
    <n v="14519"/>
    <n v="27554"/>
    <n v="12080"/>
  </r>
  <r>
    <n v="6712"/>
    <n v="76"/>
    <x v="61"/>
    <n v="7694"/>
    <s v="ท้องถิ่นเทศบาลตำบลนายาง"/>
    <n v="0"/>
    <s v="-"/>
    <n v="0"/>
    <s v="-"/>
    <n v="9185"/>
    <n v="9924"/>
    <n v="19109"/>
    <n v="7778"/>
  </r>
  <r>
    <n v="6712"/>
    <n v="76"/>
    <x v="61"/>
    <n v="7695"/>
    <s v="ท้องถิ่นเทศบาลตำบลเขาย้อย"/>
    <n v="0"/>
    <s v="-"/>
    <n v="0"/>
    <s v="-"/>
    <n v="7125"/>
    <n v="7805"/>
    <n v="14930"/>
    <n v="8918"/>
  </r>
  <r>
    <n v="6712"/>
    <n v="76"/>
    <x v="61"/>
    <n v="7696"/>
    <s v="ท้องถิ่นเทศบาลตำบลหาดเจ้าสำราญ"/>
    <n v="0"/>
    <s v="-"/>
    <n v="0"/>
    <s v="-"/>
    <n v="2363"/>
    <n v="2571"/>
    <n v="4934"/>
    <n v="2704"/>
  </r>
  <r>
    <n v="6712"/>
    <n v="76"/>
    <x v="61"/>
    <n v="7697"/>
    <s v="ท้องถิ่นเทศบาลตำบลหัวสะพาน"/>
    <n v="0"/>
    <s v="-"/>
    <n v="0"/>
    <s v="-"/>
    <n v="2754"/>
    <n v="3087"/>
    <n v="5841"/>
    <n v="2095"/>
  </r>
  <r>
    <n v="6712"/>
    <n v="76"/>
    <x v="61"/>
    <n v="7698"/>
    <s v="ท้องถิ่นเทศบาลเมืองชะอำ"/>
    <n v="0"/>
    <s v="-"/>
    <n v="0"/>
    <s v="-"/>
    <n v="20271"/>
    <n v="22448"/>
    <n v="42719"/>
    <n v="48985"/>
  </r>
  <r>
    <n v="6712"/>
    <n v="76"/>
    <x v="61"/>
    <n v="7699"/>
    <s v="ท้องถิ่นเทศบาลเมืองเพชรบุรี"/>
    <n v="0"/>
    <s v="-"/>
    <n v="0"/>
    <s v="-"/>
    <n v="9099"/>
    <n v="10363"/>
    <n v="19462"/>
    <n v="10416"/>
  </r>
  <r>
    <n v="6712"/>
    <n v="77"/>
    <x v="62"/>
    <n v="0"/>
    <s v="-"/>
    <n v="0"/>
    <s v="-"/>
    <n v="0"/>
    <s v="-"/>
    <n v="270215"/>
    <n v="281554"/>
    <n v="551769"/>
    <n v="293330"/>
  </r>
  <r>
    <n v="6712"/>
    <n v="77"/>
    <x v="62"/>
    <n v="7701"/>
    <s v="อำเภอเมืองประจวบคีรีขันธ์"/>
    <n v="0"/>
    <s v="-"/>
    <n v="0"/>
    <s v="-"/>
    <n v="32319"/>
    <n v="32593"/>
    <n v="64912"/>
    <n v="28197"/>
  </r>
  <r>
    <n v="6712"/>
    <n v="77"/>
    <x v="62"/>
    <n v="7702"/>
    <s v="อำเภอกุยบุรี"/>
    <n v="0"/>
    <s v="-"/>
    <n v="0"/>
    <s v="-"/>
    <n v="17085"/>
    <n v="17635"/>
    <n v="34720"/>
    <n v="11953"/>
  </r>
  <r>
    <n v="6712"/>
    <n v="77"/>
    <x v="62"/>
    <n v="7703"/>
    <s v="อำเภอทับสะแก"/>
    <n v="0"/>
    <s v="-"/>
    <n v="0"/>
    <s v="-"/>
    <n v="21048"/>
    <n v="21550"/>
    <n v="42598"/>
    <n v="15857"/>
  </r>
  <r>
    <n v="6712"/>
    <n v="77"/>
    <x v="62"/>
    <n v="7704"/>
    <s v="อำเภอบางสะพาน"/>
    <n v="0"/>
    <s v="-"/>
    <n v="0"/>
    <s v="-"/>
    <n v="30552"/>
    <n v="31086"/>
    <n v="61638"/>
    <n v="28124"/>
  </r>
  <r>
    <n v="6712"/>
    <n v="77"/>
    <x v="62"/>
    <n v="7705"/>
    <s v="อำเภอบางสะพานน้อย"/>
    <n v="0"/>
    <s v="-"/>
    <n v="0"/>
    <s v="-"/>
    <n v="18256"/>
    <n v="18425"/>
    <n v="36681"/>
    <n v="16976"/>
  </r>
  <r>
    <n v="6712"/>
    <n v="77"/>
    <x v="62"/>
    <n v="7706"/>
    <s v="อำเภอปราณบุรี"/>
    <n v="0"/>
    <s v="-"/>
    <n v="0"/>
    <s v="-"/>
    <n v="21188"/>
    <n v="22661"/>
    <n v="43849"/>
    <n v="23077"/>
  </r>
  <r>
    <n v="6712"/>
    <n v="77"/>
    <x v="62"/>
    <n v="7707"/>
    <s v="อำเภอหัวหิน"/>
    <n v="0"/>
    <s v="-"/>
    <n v="0"/>
    <s v="-"/>
    <n v="28557"/>
    <n v="31186"/>
    <n v="59743"/>
    <n v="33943"/>
  </r>
  <r>
    <n v="6712"/>
    <n v="77"/>
    <x v="62"/>
    <n v="7708"/>
    <s v="อำเภอสามร้อยยอด"/>
    <n v="0"/>
    <s v="-"/>
    <n v="0"/>
    <s v="-"/>
    <n v="15698"/>
    <n v="16048"/>
    <n v="31746"/>
    <n v="13284"/>
  </r>
  <r>
    <n v="6712"/>
    <n v="77"/>
    <x v="62"/>
    <n v="7784"/>
    <s v="ท้องถิ่นเทศบาลตำบลเขาน้อย"/>
    <n v="0"/>
    <s v="-"/>
    <n v="0"/>
    <s v="-"/>
    <n v="6744"/>
    <n v="3073"/>
    <n v="9817"/>
    <n v="6147"/>
  </r>
  <r>
    <n v="6712"/>
    <n v="77"/>
    <x v="62"/>
    <n v="7785"/>
    <s v="ท้องถิ่นเทศบาลตำบลไร่เก่า"/>
    <n v="0"/>
    <s v="-"/>
    <n v="0"/>
    <s v="-"/>
    <n v="5193"/>
    <n v="5347"/>
    <n v="10540"/>
    <n v="4397"/>
  </r>
  <r>
    <n v="6712"/>
    <n v="77"/>
    <x v="62"/>
    <n v="7786"/>
    <s v="ท้องถิ่นเทศบาลตำบลหนองพลับ"/>
    <n v="0"/>
    <s v="-"/>
    <n v="0"/>
    <s v="-"/>
    <n v="2395"/>
    <n v="2605"/>
    <n v="5000"/>
    <n v="2993"/>
  </r>
  <r>
    <n v="6712"/>
    <n v="77"/>
    <x v="62"/>
    <n v="7787"/>
    <s v="ท้องถิ่นเทศบาลตำบลปากน้ำปราณ"/>
    <n v="0"/>
    <s v="-"/>
    <n v="0"/>
    <s v="-"/>
    <n v="3796"/>
    <n v="3809"/>
    <n v="7605"/>
    <n v="3580"/>
  </r>
  <r>
    <n v="6712"/>
    <n v="77"/>
    <x v="62"/>
    <n v="7788"/>
    <s v="ท้องถิ่นเทศบาลตำบลปราณบุรี"/>
    <n v="0"/>
    <s v="-"/>
    <n v="0"/>
    <s v="-"/>
    <n v="7882"/>
    <n v="8619"/>
    <n v="16501"/>
    <n v="9896"/>
  </r>
  <r>
    <n v="6712"/>
    <n v="77"/>
    <x v="62"/>
    <n v="7789"/>
    <s v="ท้องถิ่นเทศบาลตำบลบางสะพานน้อย"/>
    <n v="0"/>
    <s v="-"/>
    <n v="0"/>
    <s v="-"/>
    <n v="1459"/>
    <n v="1492"/>
    <n v="2951"/>
    <n v="1647"/>
  </r>
  <r>
    <n v="6712"/>
    <n v="77"/>
    <x v="62"/>
    <n v="7790"/>
    <s v="ท้องถิ่นเทศบาลตำบลร่อนทอง"/>
    <n v="0"/>
    <s v="-"/>
    <n v="0"/>
    <s v="-"/>
    <n v="3798"/>
    <n v="3929"/>
    <n v="7727"/>
    <n v="3635"/>
  </r>
  <r>
    <n v="6712"/>
    <n v="77"/>
    <x v="62"/>
    <n v="7791"/>
    <s v="ท้องถิ่นเทศบาลตำบลบ้านกรูด"/>
    <n v="0"/>
    <s v="-"/>
    <n v="0"/>
    <s v="-"/>
    <n v="1960"/>
    <n v="2153"/>
    <n v="4113"/>
    <n v="2463"/>
  </r>
  <r>
    <n v="6712"/>
    <n v="77"/>
    <x v="62"/>
    <n v="7792"/>
    <s v="ท้องถิ่นเทศบาลตำบลกำเนิดนพคุณ"/>
    <n v="0"/>
    <s v="-"/>
    <n v="0"/>
    <s v="-"/>
    <n v="1233"/>
    <n v="1272"/>
    <n v="2505"/>
    <n v="1678"/>
  </r>
  <r>
    <n v="6712"/>
    <n v="77"/>
    <x v="62"/>
    <n v="7793"/>
    <s v="ท้องถิ่นเทศบาลตำบลทับสะแก"/>
    <n v="0"/>
    <s v="-"/>
    <n v="0"/>
    <s v="-"/>
    <n v="2903"/>
    <n v="3327"/>
    <n v="6230"/>
    <n v="3639"/>
  </r>
  <r>
    <n v="6712"/>
    <n v="77"/>
    <x v="62"/>
    <n v="7794"/>
    <s v="ท้องถิ่นเทศบาลตำบลไร่ใหม่"/>
    <n v="0"/>
    <s v="-"/>
    <n v="0"/>
    <s v="-"/>
    <n v="3634"/>
    <n v="3941"/>
    <n v="7575"/>
    <n v="3032"/>
  </r>
  <r>
    <n v="6712"/>
    <n v="77"/>
    <x v="62"/>
    <n v="7795"/>
    <s v="ท้องถิ่นเทศบาลตำบลกุยบุรี"/>
    <n v="0"/>
    <s v="-"/>
    <n v="0"/>
    <s v="-"/>
    <n v="4071"/>
    <n v="4408"/>
    <n v="8479"/>
    <n v="4434"/>
  </r>
  <r>
    <n v="6712"/>
    <n v="77"/>
    <x v="62"/>
    <n v="7796"/>
    <s v="ท้องถิ่นเทศบาลตำบลคลองวาฬ"/>
    <n v="0"/>
    <s v="-"/>
    <n v="0"/>
    <s v="-"/>
    <n v="2031"/>
    <n v="2180"/>
    <n v="4211"/>
    <n v="1918"/>
  </r>
  <r>
    <n v="6712"/>
    <n v="77"/>
    <x v="62"/>
    <n v="7797"/>
    <s v="ท้องถิ่นเทศบาลตำบล กม.5"/>
    <n v="0"/>
    <s v="-"/>
    <n v="0"/>
    <s v="-"/>
    <n v="1756"/>
    <n v="1854"/>
    <n v="3610"/>
    <n v="1469"/>
  </r>
  <r>
    <n v="6712"/>
    <n v="77"/>
    <x v="62"/>
    <n v="7798"/>
    <s v="ท้องถิ่นเทศบาลเมืองหัวหิน"/>
    <n v="0"/>
    <s v="-"/>
    <n v="0"/>
    <s v="-"/>
    <n v="28609"/>
    <n v="32878"/>
    <n v="61487"/>
    <n v="59601"/>
  </r>
  <r>
    <n v="6712"/>
    <n v="77"/>
    <x v="62"/>
    <n v="7799"/>
    <s v="ท้องถิ่นเทศบาลเมืองประจวบคีรีขันธ์"/>
    <n v="0"/>
    <s v="-"/>
    <n v="0"/>
    <s v="-"/>
    <n v="8048"/>
    <n v="9483"/>
    <n v="17531"/>
    <n v="11390"/>
  </r>
  <r>
    <n v="6712"/>
    <n v="80"/>
    <x v="63"/>
    <n v="0"/>
    <s v="-"/>
    <n v="0"/>
    <s v="-"/>
    <n v="0"/>
    <s v="-"/>
    <n v="757539"/>
    <n v="777114"/>
    <n v="1534653"/>
    <n v="616268"/>
  </r>
  <r>
    <n v="6712"/>
    <n v="80"/>
    <x v="63"/>
    <n v="8001"/>
    <s v="อำเภอเมืองนครศรีธรรมราช"/>
    <n v="0"/>
    <s v="-"/>
    <n v="0"/>
    <s v="-"/>
    <n v="79562"/>
    <n v="82345"/>
    <n v="161907"/>
    <n v="67890"/>
  </r>
  <r>
    <n v="6712"/>
    <n v="80"/>
    <x v="63"/>
    <n v="8002"/>
    <s v="อำเภอพรหมคีรี"/>
    <n v="0"/>
    <s v="-"/>
    <n v="0"/>
    <s v="-"/>
    <n v="13425"/>
    <n v="13886"/>
    <n v="27311"/>
    <n v="9589"/>
  </r>
  <r>
    <n v="6712"/>
    <n v="80"/>
    <x v="63"/>
    <n v="8003"/>
    <s v="อำเภอลานสกา"/>
    <n v="0"/>
    <s v="-"/>
    <n v="0"/>
    <s v="-"/>
    <n v="19006"/>
    <n v="19954"/>
    <n v="38960"/>
    <n v="15293"/>
  </r>
  <r>
    <n v="6712"/>
    <n v="80"/>
    <x v="63"/>
    <n v="8004"/>
    <s v="อำเภอฉวาง"/>
    <n v="0"/>
    <s v="-"/>
    <n v="0"/>
    <s v="-"/>
    <n v="25571"/>
    <n v="26665"/>
    <n v="52236"/>
    <n v="19753"/>
  </r>
  <r>
    <n v="6712"/>
    <n v="80"/>
    <x v="63"/>
    <n v="8005"/>
    <s v="อำเภอพิปูน"/>
    <n v="0"/>
    <s v="-"/>
    <n v="0"/>
    <s v="-"/>
    <n v="8743"/>
    <n v="9103"/>
    <n v="17846"/>
    <n v="7525"/>
  </r>
  <r>
    <n v="6712"/>
    <n v="80"/>
    <x v="63"/>
    <n v="8006"/>
    <s v="อำเภอเชียรใหญ่"/>
    <n v="0"/>
    <s v="-"/>
    <n v="0"/>
    <s v="-"/>
    <n v="20028"/>
    <n v="19917"/>
    <n v="39945"/>
    <n v="15269"/>
  </r>
  <r>
    <n v="6712"/>
    <n v="80"/>
    <x v="63"/>
    <n v="8007"/>
    <s v="อำเภอชะอวด"/>
    <n v="0"/>
    <s v="-"/>
    <n v="0"/>
    <s v="-"/>
    <n v="40246"/>
    <n v="40897"/>
    <n v="81143"/>
    <n v="31051"/>
  </r>
  <r>
    <n v="6712"/>
    <n v="80"/>
    <x v="63"/>
    <n v="8008"/>
    <s v="อำเภอท่าศาลา"/>
    <n v="0"/>
    <s v="-"/>
    <n v="0"/>
    <s v="-"/>
    <n v="55911"/>
    <n v="57587"/>
    <n v="113498"/>
    <n v="38972"/>
  </r>
  <r>
    <n v="6712"/>
    <n v="80"/>
    <x v="63"/>
    <n v="8009"/>
    <s v="อำเภอทุ่งสง"/>
    <n v="0"/>
    <s v="-"/>
    <n v="0"/>
    <s v="-"/>
    <n v="58596"/>
    <n v="57458"/>
    <n v="116054"/>
    <n v="50742"/>
  </r>
  <r>
    <n v="6712"/>
    <n v="80"/>
    <x v="63"/>
    <n v="8010"/>
    <s v="อำเภอนาบอน"/>
    <n v="0"/>
    <s v="-"/>
    <n v="0"/>
    <s v="-"/>
    <n v="11863"/>
    <n v="12084"/>
    <n v="23947"/>
    <n v="8901"/>
  </r>
  <r>
    <n v="6712"/>
    <n v="80"/>
    <x v="63"/>
    <n v="8011"/>
    <s v="อำเภอทุ่งใหญ่"/>
    <n v="0"/>
    <s v="-"/>
    <n v="0"/>
    <s v="-"/>
    <n v="34488"/>
    <n v="34694"/>
    <n v="69182"/>
    <n v="25093"/>
  </r>
  <r>
    <n v="6712"/>
    <n v="80"/>
    <x v="63"/>
    <n v="8012"/>
    <s v="อำเภอปากพนัง"/>
    <n v="0"/>
    <s v="-"/>
    <n v="0"/>
    <s v="-"/>
    <n v="38592"/>
    <n v="38076"/>
    <n v="76668"/>
    <n v="27499"/>
  </r>
  <r>
    <n v="6712"/>
    <n v="80"/>
    <x v="63"/>
    <n v="8013"/>
    <s v="อำเภอร่อนพิบูลย์"/>
    <n v="0"/>
    <s v="-"/>
    <n v="0"/>
    <s v="-"/>
    <n v="30501"/>
    <n v="30702"/>
    <n v="61203"/>
    <n v="21226"/>
  </r>
  <r>
    <n v="6712"/>
    <n v="80"/>
    <x v="63"/>
    <n v="8014"/>
    <s v="อำเภอสิชล"/>
    <n v="0"/>
    <s v="-"/>
    <n v="0"/>
    <s v="-"/>
    <n v="40428"/>
    <n v="41182"/>
    <n v="81610"/>
    <n v="30774"/>
  </r>
  <r>
    <n v="6712"/>
    <n v="80"/>
    <x v="63"/>
    <n v="8015"/>
    <s v="อำเภอขนอม"/>
    <n v="0"/>
    <s v="-"/>
    <n v="0"/>
    <s v="-"/>
    <n v="10160"/>
    <n v="10556"/>
    <n v="20716"/>
    <n v="10275"/>
  </r>
  <r>
    <n v="6712"/>
    <n v="80"/>
    <x v="63"/>
    <n v="8016"/>
    <s v="อำเภอหัวไทร"/>
    <n v="0"/>
    <s v="-"/>
    <n v="0"/>
    <s v="-"/>
    <n v="21524"/>
    <n v="21753"/>
    <n v="43277"/>
    <n v="18583"/>
  </r>
  <r>
    <n v="6712"/>
    <n v="80"/>
    <x v="63"/>
    <n v="8017"/>
    <s v="อำเภอบางขัน"/>
    <n v="0"/>
    <s v="-"/>
    <n v="0"/>
    <s v="-"/>
    <n v="23939"/>
    <n v="23284"/>
    <n v="47223"/>
    <n v="17409"/>
  </r>
  <r>
    <n v="6712"/>
    <n v="80"/>
    <x v="63"/>
    <n v="8018"/>
    <s v="อำเภอถ้ำพรรณรา"/>
    <n v="0"/>
    <s v="-"/>
    <n v="0"/>
    <s v="-"/>
    <n v="9540"/>
    <n v="9505"/>
    <n v="19045"/>
    <n v="7663"/>
  </r>
  <r>
    <n v="6712"/>
    <n v="80"/>
    <x v="63"/>
    <n v="8019"/>
    <s v="อำเภอจุฬาภรณ์"/>
    <n v="0"/>
    <s v="-"/>
    <n v="0"/>
    <s v="-"/>
    <n v="15434"/>
    <n v="15870"/>
    <n v="31304"/>
    <n v="11289"/>
  </r>
  <r>
    <n v="6712"/>
    <n v="80"/>
    <x v="63"/>
    <n v="8020"/>
    <s v="อำเภอพระพรหม"/>
    <n v="0"/>
    <s v="-"/>
    <n v="0"/>
    <s v="-"/>
    <n v="21995"/>
    <n v="22672"/>
    <n v="44667"/>
    <n v="17455"/>
  </r>
  <r>
    <n v="6712"/>
    <n v="80"/>
    <x v="63"/>
    <n v="8021"/>
    <s v="อำเภอนบพิตำ"/>
    <n v="0"/>
    <s v="-"/>
    <n v="0"/>
    <s v="-"/>
    <n v="17066"/>
    <n v="16910"/>
    <n v="33976"/>
    <n v="12795"/>
  </r>
  <r>
    <n v="6712"/>
    <n v="80"/>
    <x v="63"/>
    <n v="8022"/>
    <s v="อำเภอช้างกลาง"/>
    <n v="0"/>
    <s v="-"/>
    <n v="0"/>
    <s v="-"/>
    <n v="13638"/>
    <n v="14176"/>
    <n v="27814"/>
    <n v="11314"/>
  </r>
  <r>
    <n v="6712"/>
    <n v="80"/>
    <x v="63"/>
    <n v="8023"/>
    <s v="อำเภอเฉลิมพระเกียรติ"/>
    <n v="0"/>
    <s v="-"/>
    <n v="0"/>
    <s v="-"/>
    <n v="10880"/>
    <n v="11000"/>
    <n v="21880"/>
    <n v="8275"/>
  </r>
  <r>
    <n v="6712"/>
    <n v="80"/>
    <x v="63"/>
    <n v="8070"/>
    <s v="ท้องถิ่นเทศบาลตำบลหน้าสตน"/>
    <n v="0"/>
    <s v="-"/>
    <n v="0"/>
    <s v="-"/>
    <n v="4027"/>
    <n v="3971"/>
    <n v="7998"/>
    <n v="3014"/>
  </r>
  <r>
    <n v="6712"/>
    <n v="80"/>
    <x v="63"/>
    <n v="8071"/>
    <s v="ท้องถิ่นเทศบาลตำบลเขาพระ"/>
    <n v="0"/>
    <s v="-"/>
    <n v="0"/>
    <s v="-"/>
    <n v="4042"/>
    <n v="4070"/>
    <n v="8112"/>
    <n v="3433"/>
  </r>
  <r>
    <n v="6712"/>
    <n v="80"/>
    <x v="63"/>
    <n v="8072"/>
    <s v="ท้องถิ่นเทศบาลตำบลเกาะเพชร"/>
    <n v="0"/>
    <s v="-"/>
    <n v="0"/>
    <s v="-"/>
    <n v="3399"/>
    <n v="3349"/>
    <n v="6748"/>
    <n v="2257"/>
  </r>
  <r>
    <n v="6712"/>
    <n v="80"/>
    <x v="63"/>
    <n v="8073"/>
    <s v="ท้องถิ่นเทศบาลตำบลทางพูน"/>
    <n v="0"/>
    <s v="-"/>
    <n v="0"/>
    <s v="-"/>
    <n v="4527"/>
    <n v="4281"/>
    <n v="8808"/>
    <n v="3001"/>
  </r>
  <r>
    <n v="6712"/>
    <n v="80"/>
    <x v="63"/>
    <n v="8074"/>
    <s v="ท้องถิ่นเทศบาลตำบลที่วัง"/>
    <n v="0"/>
    <s v="-"/>
    <n v="0"/>
    <s v="-"/>
    <n v="7270"/>
    <n v="7337"/>
    <n v="14607"/>
    <n v="6818"/>
  </r>
  <r>
    <n v="6712"/>
    <n v="80"/>
    <x v="63"/>
    <n v="8075"/>
    <s v="ท้องถิ่นเทศบาลตำบลท้องเนียน"/>
    <n v="0"/>
    <s v="-"/>
    <n v="0"/>
    <s v="-"/>
    <n v="2853"/>
    <n v="2867"/>
    <n v="5720"/>
    <n v="3428"/>
  </r>
  <r>
    <n v="6712"/>
    <n v="80"/>
    <x v="63"/>
    <n v="8076"/>
    <s v="ท้องถิ่นเทศบาลตำบลหัวไทร"/>
    <n v="0"/>
    <s v="-"/>
    <n v="0"/>
    <s v="-"/>
    <n v="1883"/>
    <n v="2081"/>
    <n v="3964"/>
    <n v="1928"/>
  </r>
  <r>
    <n v="6712"/>
    <n v="80"/>
    <x v="63"/>
    <n v="8077"/>
    <s v="ท้องถิ่นเทศบาลตำบลขนอม"/>
    <n v="0"/>
    <s v="-"/>
    <n v="0"/>
    <s v="-"/>
    <n v="2163"/>
    <n v="2204"/>
    <n v="4367"/>
    <n v="2540"/>
  </r>
  <r>
    <n v="6712"/>
    <n v="80"/>
    <x v="63"/>
    <n v="8078"/>
    <s v="ท้องถิ่นเทศบาลตำบลสิชล"/>
    <n v="0"/>
    <s v="-"/>
    <n v="0"/>
    <s v="-"/>
    <n v="3261"/>
    <n v="3538"/>
    <n v="6799"/>
    <n v="4205"/>
  </r>
  <r>
    <n v="6712"/>
    <n v="80"/>
    <x v="63"/>
    <n v="8079"/>
    <s v="ท้องถิ่นเทศบาลตำบลหินตก"/>
    <n v="0"/>
    <s v="-"/>
    <n v="0"/>
    <s v="-"/>
    <n v="4252"/>
    <n v="4215"/>
    <n v="8467"/>
    <n v="2924"/>
  </r>
  <r>
    <n v="6712"/>
    <n v="80"/>
    <x v="63"/>
    <n v="8080"/>
    <s v="ท้องถิ่นเทศบาลตำบลร่อนพิบูลย์"/>
    <n v="0"/>
    <s v="-"/>
    <n v="0"/>
    <s v="-"/>
    <n v="3599"/>
    <n v="3938"/>
    <n v="7537"/>
    <n v="3468"/>
  </r>
  <r>
    <n v="6712"/>
    <n v="80"/>
    <x v="63"/>
    <n v="8081"/>
    <s v="ท้องถิ่นเทศบาลตำบลเขาชุมทอง"/>
    <n v="0"/>
    <s v="-"/>
    <n v="0"/>
    <s v="-"/>
    <n v="2085"/>
    <n v="2218"/>
    <n v="4303"/>
    <n v="1399"/>
  </r>
  <r>
    <n v="6712"/>
    <n v="80"/>
    <x v="63"/>
    <n v="8082"/>
    <s v="ท้องถิ่นเทศบาลตำบลท่ายาง"/>
    <n v="0"/>
    <s v="-"/>
    <n v="0"/>
    <s v="-"/>
    <n v="2418"/>
    <n v="2600"/>
    <n v="5018"/>
    <n v="3140"/>
  </r>
  <r>
    <n v="6712"/>
    <n v="80"/>
    <x v="63"/>
    <n v="8083"/>
    <s v="ท้องถิ่นเทศบาลตำบลนาบอน"/>
    <n v="0"/>
    <s v="-"/>
    <n v="0"/>
    <s v="-"/>
    <n v="1023"/>
    <n v="1086"/>
    <n v="2109"/>
    <n v="1167"/>
  </r>
  <r>
    <n v="6712"/>
    <n v="80"/>
    <x v="63"/>
    <n v="8084"/>
    <s v="ท้องถิ่นเทศบาลตำบลท่าศาลา"/>
    <n v="0"/>
    <s v="-"/>
    <n v="0"/>
    <s v="-"/>
    <n v="1305"/>
    <n v="1466"/>
    <n v="2771"/>
    <n v="1838"/>
  </r>
  <r>
    <n v="6712"/>
    <n v="80"/>
    <x v="63"/>
    <n v="8085"/>
    <s v="ท้องถิ่นเทศบาลตำบลชะอวด"/>
    <n v="0"/>
    <s v="-"/>
    <n v="0"/>
    <s v="-"/>
    <n v="1557"/>
    <n v="1829"/>
    <n v="3386"/>
    <n v="1687"/>
  </r>
  <r>
    <n v="6712"/>
    <n v="80"/>
    <x v="63"/>
    <n v="8086"/>
    <s v="ท้องถิ่นเทศบาลตำบลเชียรใหญ่"/>
    <n v="0"/>
    <s v="-"/>
    <n v="0"/>
    <s v="-"/>
    <n v="782"/>
    <n v="831"/>
    <n v="1613"/>
    <n v="802"/>
  </r>
  <r>
    <n v="6712"/>
    <n v="80"/>
    <x v="63"/>
    <n v="8087"/>
    <s v="ท้องถิ่นเทศบาลตำบลพิปูน"/>
    <n v="0"/>
    <s v="-"/>
    <n v="0"/>
    <s v="-"/>
    <n v="1300"/>
    <n v="1396"/>
    <n v="2696"/>
    <n v="1158"/>
  </r>
  <r>
    <n v="6712"/>
    <n v="80"/>
    <x v="63"/>
    <n v="8088"/>
    <s v="ท้องถิ่นเทศบาลตำบลไม้เรียง"/>
    <n v="0"/>
    <s v="-"/>
    <n v="0"/>
    <s v="-"/>
    <n v="1126"/>
    <n v="1171"/>
    <n v="2297"/>
    <n v="1273"/>
  </r>
  <r>
    <n v="6712"/>
    <n v="80"/>
    <x v="63"/>
    <n v="8089"/>
    <s v="ท้องถิ่นเทศบาลตำบลฉวาง"/>
    <n v="0"/>
    <s v="-"/>
    <n v="0"/>
    <s v="-"/>
    <n v="1183"/>
    <n v="1216"/>
    <n v="2399"/>
    <n v="1313"/>
  </r>
  <r>
    <n v="6712"/>
    <n v="80"/>
    <x v="63"/>
    <n v="8090"/>
    <s v="ท้องถิ่นเทศบาลตำบลจันดี"/>
    <n v="0"/>
    <s v="-"/>
    <n v="0"/>
    <s v="-"/>
    <n v="3442"/>
    <n v="3832"/>
    <n v="7274"/>
    <n v="4043"/>
  </r>
  <r>
    <n v="6712"/>
    <n v="80"/>
    <x v="63"/>
    <n v="8091"/>
    <s v="ท้องถิ่นเทศบาลตำบลลานสกา"/>
    <n v="0"/>
    <s v="-"/>
    <n v="0"/>
    <s v="-"/>
    <n v="866"/>
    <n v="956"/>
    <n v="1822"/>
    <n v="1051"/>
  </r>
  <r>
    <n v="6712"/>
    <n v="80"/>
    <x v="63"/>
    <n v="8092"/>
    <s v="ท้องถิ่นเทศบาลตำบลพรหมโลก"/>
    <n v="0"/>
    <s v="-"/>
    <n v="0"/>
    <s v="-"/>
    <n v="3264"/>
    <n v="3404"/>
    <n v="6668"/>
    <n v="2856"/>
  </r>
  <r>
    <n v="6712"/>
    <n v="80"/>
    <x v="63"/>
    <n v="8093"/>
    <s v="ท้องถิ่นเทศบาลตำบลทอนหงส์"/>
    <n v="0"/>
    <s v="-"/>
    <n v="0"/>
    <s v="-"/>
    <n v="1699"/>
    <n v="1729"/>
    <n v="3428"/>
    <n v="1172"/>
  </r>
  <r>
    <n v="6712"/>
    <n v="80"/>
    <x v="63"/>
    <n v="8094"/>
    <s v="ท้องถิ่นเทศบาลตำบลปากนคร"/>
    <n v="0"/>
    <s v="-"/>
    <n v="0"/>
    <s v="-"/>
    <n v="3112"/>
    <n v="3030"/>
    <n v="6142"/>
    <n v="2112"/>
  </r>
  <r>
    <n v="6712"/>
    <n v="80"/>
    <x v="63"/>
    <n v="8095"/>
    <s v="ท้องถิ่นเทศบาลตำบลบางจาก"/>
    <n v="0"/>
    <s v="-"/>
    <n v="0"/>
    <s v="-"/>
    <n v="886"/>
    <n v="936"/>
    <n v="1822"/>
    <n v="702"/>
  </r>
  <r>
    <n v="6712"/>
    <n v="80"/>
    <x v="63"/>
    <n v="8096"/>
    <s v="ท้องถิ่นเทศบาลตำบลท่าแพ"/>
    <n v="0"/>
    <s v="-"/>
    <n v="0"/>
    <s v="-"/>
    <n v="1826"/>
    <n v="1868"/>
    <n v="3694"/>
    <n v="1291"/>
  </r>
  <r>
    <n v="6712"/>
    <n v="80"/>
    <x v="63"/>
    <n v="8097"/>
    <s v="ท้องถิ่นเทศบาลเมืองทุ่งสง"/>
    <n v="0"/>
    <s v="-"/>
    <n v="0"/>
    <s v="-"/>
    <n v="13248"/>
    <n v="15629"/>
    <n v="28877"/>
    <n v="11809"/>
  </r>
  <r>
    <n v="6712"/>
    <n v="80"/>
    <x v="63"/>
    <n v="8098"/>
    <s v="ท้องถิ่นเทศบาลเมืองปากพนัง"/>
    <n v="0"/>
    <s v="-"/>
    <n v="0"/>
    <s v="-"/>
    <n v="9111"/>
    <n v="9353"/>
    <n v="18464"/>
    <n v="8254"/>
  </r>
  <r>
    <n v="6712"/>
    <n v="80"/>
    <x v="63"/>
    <n v="8099"/>
    <s v="ท้องถิ่นเทศบาลนครนครศรีธรรมราช"/>
    <n v="0"/>
    <s v="-"/>
    <n v="0"/>
    <s v="-"/>
    <n v="44894"/>
    <n v="50437"/>
    <n v="95331"/>
    <n v="47550"/>
  </r>
  <r>
    <n v="6712"/>
    <n v="81"/>
    <x v="64"/>
    <n v="0"/>
    <s v="-"/>
    <n v="0"/>
    <s v="-"/>
    <n v="0"/>
    <s v="-"/>
    <n v="240313"/>
    <n v="243542"/>
    <n v="483855"/>
    <n v="208232"/>
  </r>
  <r>
    <n v="6712"/>
    <n v="81"/>
    <x v="64"/>
    <n v="8101"/>
    <s v="อำเภอเมืองกระบี่"/>
    <n v="0"/>
    <s v="-"/>
    <n v="0"/>
    <s v="-"/>
    <n v="37954"/>
    <n v="38721"/>
    <n v="76675"/>
    <n v="42038"/>
  </r>
  <r>
    <n v="6712"/>
    <n v="81"/>
    <x v="64"/>
    <n v="8102"/>
    <s v="อำเภอเขาพนม"/>
    <n v="0"/>
    <s v="-"/>
    <n v="0"/>
    <s v="-"/>
    <n v="25489"/>
    <n v="25287"/>
    <n v="50776"/>
    <n v="19101"/>
  </r>
  <r>
    <n v="6712"/>
    <n v="81"/>
    <x v="64"/>
    <n v="8103"/>
    <s v="อำเภอเกาะลันตา"/>
    <n v="0"/>
    <s v="-"/>
    <n v="0"/>
    <s v="-"/>
    <n v="17891"/>
    <n v="17429"/>
    <n v="35320"/>
    <n v="15683"/>
  </r>
  <r>
    <n v="6712"/>
    <n v="81"/>
    <x v="64"/>
    <n v="8104"/>
    <s v="อำเภอคลองท่อม"/>
    <n v="0"/>
    <s v="-"/>
    <n v="0"/>
    <s v="-"/>
    <n v="36838"/>
    <n v="35594"/>
    <n v="72432"/>
    <n v="26167"/>
  </r>
  <r>
    <n v="6712"/>
    <n v="81"/>
    <x v="64"/>
    <n v="8105"/>
    <s v="อำเภออ่าวลึก"/>
    <n v="0"/>
    <s v="-"/>
    <n v="0"/>
    <s v="-"/>
    <n v="23420"/>
    <n v="23642"/>
    <n v="47062"/>
    <n v="17520"/>
  </r>
  <r>
    <n v="6712"/>
    <n v="81"/>
    <x v="64"/>
    <n v="8106"/>
    <s v="อำเภอปลายพระยา"/>
    <n v="0"/>
    <s v="-"/>
    <n v="0"/>
    <s v="-"/>
    <n v="16244"/>
    <n v="16208"/>
    <n v="32452"/>
    <n v="11615"/>
  </r>
  <r>
    <n v="6712"/>
    <n v="81"/>
    <x v="64"/>
    <n v="8107"/>
    <s v="อำเภอลำทับ"/>
    <n v="0"/>
    <s v="-"/>
    <n v="0"/>
    <s v="-"/>
    <n v="10280"/>
    <n v="9995"/>
    <n v="20275"/>
    <n v="7616"/>
  </r>
  <r>
    <n v="6712"/>
    <n v="81"/>
    <x v="64"/>
    <n v="8108"/>
    <s v="อำเภอเหนือคลอง"/>
    <n v="0"/>
    <s v="-"/>
    <n v="0"/>
    <s v="-"/>
    <n v="30340"/>
    <n v="31034"/>
    <n v="61374"/>
    <n v="21765"/>
  </r>
  <r>
    <n v="6712"/>
    <n v="81"/>
    <x v="64"/>
    <n v="8189"/>
    <s v="ท้องถิ่นเทศบาลตำบลกระบี่น้อย"/>
    <n v="0"/>
    <s v="-"/>
    <n v="0"/>
    <s v="-"/>
    <n v="9703"/>
    <n v="10085"/>
    <n v="19788"/>
    <n v="9878"/>
  </r>
  <r>
    <n v="6712"/>
    <n v="81"/>
    <x v="64"/>
    <n v="8190"/>
    <s v="ท้องถิ่นเทศบาลตำบลเหนือคลอง"/>
    <n v="0"/>
    <s v="-"/>
    <n v="0"/>
    <s v="-"/>
    <n v="2089"/>
    <n v="2267"/>
    <n v="4356"/>
    <n v="2505"/>
  </r>
  <r>
    <n v="6712"/>
    <n v="81"/>
    <x v="64"/>
    <n v="8191"/>
    <s v="ท้องถิ่นเทศบาลตำบลลำทับ"/>
    <n v="0"/>
    <s v="-"/>
    <n v="0"/>
    <s v="-"/>
    <n v="2096"/>
    <n v="2270"/>
    <n v="4366"/>
    <n v="2482"/>
  </r>
  <r>
    <n v="6712"/>
    <n v="81"/>
    <x v="64"/>
    <n v="8192"/>
    <s v="ท้องถิ่นเทศบาลตำบลปลายพระยา"/>
    <n v="0"/>
    <s v="-"/>
    <n v="0"/>
    <s v="-"/>
    <n v="3012"/>
    <n v="3034"/>
    <n v="6046"/>
    <n v="2719"/>
  </r>
  <r>
    <n v="6712"/>
    <n v="81"/>
    <x v="64"/>
    <n v="8193"/>
    <s v="ท้องถิ่นเทศบาลตำบลอ่าวลึกใต้"/>
    <n v="0"/>
    <s v="-"/>
    <n v="0"/>
    <s v="-"/>
    <n v="2591"/>
    <n v="2811"/>
    <n v="5402"/>
    <n v="3090"/>
  </r>
  <r>
    <n v="6712"/>
    <n v="81"/>
    <x v="64"/>
    <n v="8194"/>
    <s v="ท้องถิ่นเทศบาลตำบลแหลมสัก"/>
    <n v="0"/>
    <s v="-"/>
    <n v="0"/>
    <s v="-"/>
    <n v="2057"/>
    <n v="2044"/>
    <n v="4101"/>
    <n v="1306"/>
  </r>
  <r>
    <n v="6712"/>
    <n v="81"/>
    <x v="64"/>
    <n v="8195"/>
    <s v="ท้องถิ่นเทศบาลตำบลคลองพน"/>
    <n v="0"/>
    <s v="-"/>
    <n v="0"/>
    <s v="-"/>
    <n v="1421"/>
    <n v="1475"/>
    <n v="2896"/>
    <n v="1371"/>
  </r>
  <r>
    <n v="6712"/>
    <n v="81"/>
    <x v="64"/>
    <n v="8196"/>
    <s v="ท้องถิ่นเทศบาลตำบลคลองท่อมใต้"/>
    <n v="0"/>
    <s v="-"/>
    <n v="0"/>
    <s v="-"/>
    <n v="1491"/>
    <n v="1683"/>
    <n v="3174"/>
    <n v="1836"/>
  </r>
  <r>
    <n v="6712"/>
    <n v="81"/>
    <x v="64"/>
    <n v="8197"/>
    <s v="ท้องถิ่นเทศบาลตำบลเกาะลันตาใหญ่"/>
    <n v="0"/>
    <s v="-"/>
    <n v="0"/>
    <s v="-"/>
    <n v="563"/>
    <n v="589"/>
    <n v="1152"/>
    <n v="513"/>
  </r>
  <r>
    <n v="6712"/>
    <n v="81"/>
    <x v="64"/>
    <n v="8198"/>
    <s v="ท้องถิ่นเทศบาลตำบลเขาพนม"/>
    <n v="0"/>
    <s v="-"/>
    <n v="0"/>
    <s v="-"/>
    <n v="2613"/>
    <n v="2773"/>
    <n v="5386"/>
    <n v="2577"/>
  </r>
  <r>
    <n v="6712"/>
    <n v="81"/>
    <x v="64"/>
    <n v="8199"/>
    <s v="ท้องถิ่นเทศบาลเมืองกระบี่"/>
    <n v="0"/>
    <s v="-"/>
    <n v="0"/>
    <s v="-"/>
    <n v="14221"/>
    <n v="16601"/>
    <n v="30822"/>
    <n v="18450"/>
  </r>
  <r>
    <n v="6712"/>
    <n v="82"/>
    <x v="65"/>
    <n v="0"/>
    <s v="-"/>
    <n v="0"/>
    <s v="-"/>
    <n v="0"/>
    <s v="-"/>
    <n v="132910"/>
    <n v="133386"/>
    <n v="266296"/>
    <n v="125443"/>
  </r>
  <r>
    <n v="6712"/>
    <n v="82"/>
    <x v="65"/>
    <n v="8201"/>
    <s v="อำเภอเมืองพังงา"/>
    <n v="0"/>
    <s v="-"/>
    <n v="0"/>
    <s v="-"/>
    <n v="15197"/>
    <n v="15685"/>
    <n v="30882"/>
    <n v="12960"/>
  </r>
  <r>
    <n v="6712"/>
    <n v="82"/>
    <x v="65"/>
    <n v="8202"/>
    <s v="อำเภอเกาะยาว"/>
    <n v="0"/>
    <s v="-"/>
    <n v="0"/>
    <s v="-"/>
    <n v="7423"/>
    <n v="7281"/>
    <n v="14704"/>
    <n v="6231"/>
  </r>
  <r>
    <n v="6712"/>
    <n v="82"/>
    <x v="65"/>
    <n v="8203"/>
    <s v="อำเภอกะปง"/>
    <n v="0"/>
    <s v="-"/>
    <n v="0"/>
    <s v="-"/>
    <n v="6682"/>
    <n v="6642"/>
    <n v="13324"/>
    <n v="6241"/>
  </r>
  <r>
    <n v="6712"/>
    <n v="82"/>
    <x v="65"/>
    <n v="8204"/>
    <s v="อำเภอตะกั่วทุ่ง"/>
    <n v="0"/>
    <s v="-"/>
    <n v="0"/>
    <s v="-"/>
    <n v="19706"/>
    <n v="19511"/>
    <n v="39217"/>
    <n v="16946"/>
  </r>
  <r>
    <n v="6712"/>
    <n v="82"/>
    <x v="65"/>
    <n v="8205"/>
    <s v="อำเภอตะกั่วป่า"/>
    <n v="0"/>
    <s v="-"/>
    <n v="0"/>
    <s v="-"/>
    <n v="20836"/>
    <n v="21091"/>
    <n v="41927"/>
    <n v="25190"/>
  </r>
  <r>
    <n v="6712"/>
    <n v="82"/>
    <x v="65"/>
    <n v="8206"/>
    <s v="อำเภอคุระบุรี"/>
    <n v="0"/>
    <s v="-"/>
    <n v="0"/>
    <s v="-"/>
    <n v="12642"/>
    <n v="12270"/>
    <n v="24912"/>
    <n v="10816"/>
  </r>
  <r>
    <n v="6712"/>
    <n v="82"/>
    <x v="65"/>
    <n v="8207"/>
    <s v="อำเภอทับปุด"/>
    <n v="0"/>
    <s v="-"/>
    <n v="0"/>
    <s v="-"/>
    <n v="12459"/>
    <n v="12375"/>
    <n v="24834"/>
    <n v="8557"/>
  </r>
  <r>
    <n v="6712"/>
    <n v="82"/>
    <x v="65"/>
    <n v="8208"/>
    <s v="อำเภอท้ายเหมือง"/>
    <n v="0"/>
    <s v="-"/>
    <n v="0"/>
    <s v="-"/>
    <n v="22787"/>
    <n v="22069"/>
    <n v="44856"/>
    <n v="21765"/>
  </r>
  <r>
    <n v="6712"/>
    <n v="82"/>
    <x v="65"/>
    <n v="8291"/>
    <s v="ท้องถิ่นเทศบาลตำบลท้ายเหมือง"/>
    <n v="0"/>
    <s v="-"/>
    <n v="0"/>
    <s v="-"/>
    <n v="1474"/>
    <n v="1586"/>
    <n v="3060"/>
    <n v="1786"/>
  </r>
  <r>
    <n v="6712"/>
    <n v="82"/>
    <x v="65"/>
    <n v="8292"/>
    <s v="ท้องถิ่นเทศบาลตำบลทับปุด"/>
    <n v="0"/>
    <s v="-"/>
    <n v="0"/>
    <s v="-"/>
    <n v="480"/>
    <n v="493"/>
    <n v="973"/>
    <n v="623"/>
  </r>
  <r>
    <n v="6712"/>
    <n v="82"/>
    <x v="65"/>
    <n v="8293"/>
    <s v="ท้องถิ่นเทศบาลตำบลคุระบุรี"/>
    <n v="0"/>
    <s v="-"/>
    <n v="0"/>
    <s v="-"/>
    <n v="1689"/>
    <n v="1710"/>
    <n v="3399"/>
    <n v="2230"/>
  </r>
  <r>
    <n v="6712"/>
    <n v="82"/>
    <x v="65"/>
    <n v="8294"/>
    <s v="ท้องถิ่นเทศบาลตำบลโคกกลอย"/>
    <n v="0"/>
    <s v="-"/>
    <n v="0"/>
    <s v="-"/>
    <n v="1826"/>
    <n v="2067"/>
    <n v="3893"/>
    <n v="1772"/>
  </r>
  <r>
    <n v="6712"/>
    <n v="82"/>
    <x v="65"/>
    <n v="8295"/>
    <s v="ท้องถิ่นเทศบาลตำบลกระโสม"/>
    <n v="0"/>
    <s v="-"/>
    <n v="0"/>
    <s v="-"/>
    <n v="852"/>
    <n v="958"/>
    <n v="1810"/>
    <n v="791"/>
  </r>
  <r>
    <n v="6712"/>
    <n v="82"/>
    <x v="65"/>
    <n v="8296"/>
    <s v="ท้องถิ่นเทศบาลตำบลท่านา"/>
    <n v="0"/>
    <s v="-"/>
    <n v="0"/>
    <s v="-"/>
    <n v="488"/>
    <n v="549"/>
    <n v="1037"/>
    <n v="600"/>
  </r>
  <r>
    <n v="6712"/>
    <n v="82"/>
    <x v="65"/>
    <n v="8298"/>
    <s v="ท้องถิ่นเทศบาลเมืองตะกั่วป่า"/>
    <n v="0"/>
    <s v="-"/>
    <n v="0"/>
    <s v="-"/>
    <n v="3616"/>
    <n v="4010"/>
    <n v="7626"/>
    <n v="2841"/>
  </r>
  <r>
    <n v="6712"/>
    <n v="82"/>
    <x v="65"/>
    <n v="8299"/>
    <s v="ท้องถิ่นเทศบาลเมืองพังงา"/>
    <n v="0"/>
    <s v="-"/>
    <n v="0"/>
    <s v="-"/>
    <n v="4753"/>
    <n v="5089"/>
    <n v="9842"/>
    <n v="6094"/>
  </r>
  <r>
    <n v="6712"/>
    <n v="83"/>
    <x v="66"/>
    <n v="0"/>
    <s v="-"/>
    <n v="0"/>
    <s v="-"/>
    <n v="0"/>
    <s v="-"/>
    <n v="201988"/>
    <n v="227595"/>
    <n v="429583"/>
    <n v="294383"/>
  </r>
  <r>
    <n v="6712"/>
    <n v="83"/>
    <x v="66"/>
    <n v="8301"/>
    <s v="อำเภอเมืองภูเก็ต"/>
    <n v="0"/>
    <s v="-"/>
    <n v="0"/>
    <s v="-"/>
    <n v="22166"/>
    <n v="25064"/>
    <n v="47230"/>
    <n v="32419"/>
  </r>
  <r>
    <n v="6712"/>
    <n v="83"/>
    <x v="66"/>
    <n v="8302"/>
    <s v="อำเภอกะทู้"/>
    <n v="0"/>
    <s v="-"/>
    <n v="0"/>
    <s v="-"/>
    <n v="3404"/>
    <n v="3760"/>
    <n v="7164"/>
    <n v="7745"/>
  </r>
  <r>
    <n v="6712"/>
    <n v="83"/>
    <x v="66"/>
    <n v="8303"/>
    <s v="อำเภอถลาง"/>
    <n v="0"/>
    <s v="-"/>
    <n v="0"/>
    <s v="-"/>
    <n v="48607"/>
    <n v="51911"/>
    <n v="100518"/>
    <n v="79963"/>
  </r>
  <r>
    <n v="6712"/>
    <n v="83"/>
    <x v="66"/>
    <n v="8391"/>
    <s v="ท้องถิ่นเทศบาลตำบลวิชิต"/>
    <n v="0"/>
    <s v="-"/>
    <n v="0"/>
    <s v="-"/>
    <n v="25810"/>
    <n v="29824"/>
    <n v="55634"/>
    <n v="36111"/>
  </r>
  <r>
    <n v="6712"/>
    <n v="83"/>
    <x v="66"/>
    <n v="8392"/>
    <s v="ท้องถิ่นเทศบาลตำบลราไวย์"/>
    <n v="0"/>
    <s v="-"/>
    <n v="0"/>
    <s v="-"/>
    <n v="9104"/>
    <n v="10414"/>
    <n v="19518"/>
    <n v="21246"/>
  </r>
  <r>
    <n v="6712"/>
    <n v="83"/>
    <x v="66"/>
    <n v="8393"/>
    <s v="ท้องถิ่นเทศบาลตำบลรัษฎา"/>
    <n v="0"/>
    <s v="-"/>
    <n v="0"/>
    <s v="-"/>
    <n v="24093"/>
    <n v="27129"/>
    <n v="51222"/>
    <n v="32097"/>
  </r>
  <r>
    <n v="6712"/>
    <n v="83"/>
    <x v="66"/>
    <n v="8394"/>
    <s v="ท้องถิ่นเทศบาลตำบลเทพกระษัตรี"/>
    <n v="0"/>
    <s v="-"/>
    <n v="0"/>
    <s v="-"/>
    <n v="4808"/>
    <n v="5106"/>
    <n v="9914"/>
    <n v="5270"/>
  </r>
  <r>
    <n v="6712"/>
    <n v="83"/>
    <x v="66"/>
    <n v="8395"/>
    <s v="ท้องถิ่นเทศบาลตำบลเชิงทะเล"/>
    <n v="0"/>
    <s v="-"/>
    <n v="0"/>
    <s v="-"/>
    <n v="3092"/>
    <n v="3864"/>
    <n v="6956"/>
    <n v="3815"/>
  </r>
  <r>
    <n v="6712"/>
    <n v="83"/>
    <x v="66"/>
    <n v="8396"/>
    <s v="ท้องถิ่นเทศบาลเมืองกะทู้"/>
    <n v="0"/>
    <s v="-"/>
    <n v="0"/>
    <s v="-"/>
    <n v="15048"/>
    <n v="17711"/>
    <n v="32759"/>
    <n v="22837"/>
  </r>
  <r>
    <n v="6712"/>
    <n v="83"/>
    <x v="66"/>
    <n v="8397"/>
    <s v="ท้องถิ่นเทศบาลตำบลกะรน"/>
    <n v="0"/>
    <s v="-"/>
    <n v="0"/>
    <s v="-"/>
    <n v="3603"/>
    <n v="4024"/>
    <n v="7627"/>
    <n v="9210"/>
  </r>
  <r>
    <n v="6712"/>
    <n v="83"/>
    <x v="66"/>
    <n v="8398"/>
    <s v="ท้องถิ่นเทศบาลเมืองป่าตอง"/>
    <n v="0"/>
    <s v="-"/>
    <n v="0"/>
    <s v="-"/>
    <n v="9469"/>
    <n v="10288"/>
    <n v="19757"/>
    <n v="16662"/>
  </r>
  <r>
    <n v="6712"/>
    <n v="83"/>
    <x v="66"/>
    <n v="8399"/>
    <s v="ท้องถิ่นเทศบาลนครภูเก็ต"/>
    <n v="0"/>
    <s v="-"/>
    <n v="0"/>
    <s v="-"/>
    <n v="32784"/>
    <n v="38500"/>
    <n v="71284"/>
    <n v="27008"/>
  </r>
  <r>
    <n v="6712"/>
    <n v="84"/>
    <x v="67"/>
    <n v="0"/>
    <s v="-"/>
    <n v="0"/>
    <s v="-"/>
    <n v="0"/>
    <s v="-"/>
    <n v="529077"/>
    <n v="547589"/>
    <n v="1076666"/>
    <n v="550373"/>
  </r>
  <r>
    <n v="6712"/>
    <n v="84"/>
    <x v="67"/>
    <n v="8401"/>
    <s v="อำเภอเมืองสุราษฎร์ธานี"/>
    <n v="0"/>
    <s v="-"/>
    <n v="0"/>
    <s v="-"/>
    <n v="9133"/>
    <n v="10044"/>
    <n v="19177"/>
    <n v="8794"/>
  </r>
  <r>
    <n v="6712"/>
    <n v="84"/>
    <x v="67"/>
    <n v="8402"/>
    <s v="อำเภอกาญจนดิษฐ์"/>
    <n v="0"/>
    <s v="-"/>
    <n v="0"/>
    <s v="-"/>
    <n v="41142"/>
    <n v="41970"/>
    <n v="83112"/>
    <n v="36100"/>
  </r>
  <r>
    <n v="6712"/>
    <n v="84"/>
    <x v="67"/>
    <n v="8403"/>
    <s v="อำเภอดอนสัก"/>
    <n v="0"/>
    <s v="-"/>
    <n v="0"/>
    <s v="-"/>
    <n v="12458"/>
    <n v="12419"/>
    <n v="24877"/>
    <n v="11061"/>
  </r>
  <r>
    <n v="6712"/>
    <n v="84"/>
    <x v="67"/>
    <n v="8405"/>
    <s v="อำเภอเกาะพะงัน"/>
    <n v="0"/>
    <s v="-"/>
    <n v="0"/>
    <s v="-"/>
    <n v="5937"/>
    <n v="5682"/>
    <n v="11619"/>
    <n v="14031"/>
  </r>
  <r>
    <n v="6712"/>
    <n v="84"/>
    <x v="67"/>
    <n v="8406"/>
    <s v="อำเภอไชยา"/>
    <n v="0"/>
    <s v="-"/>
    <n v="0"/>
    <s v="-"/>
    <n v="18939"/>
    <n v="19770"/>
    <n v="38709"/>
    <n v="17756"/>
  </r>
  <r>
    <n v="6712"/>
    <n v="84"/>
    <x v="67"/>
    <n v="8407"/>
    <s v="อำเภอท่าชนะ"/>
    <n v="0"/>
    <s v="-"/>
    <n v="0"/>
    <s v="-"/>
    <n v="26010"/>
    <n v="25584"/>
    <n v="51594"/>
    <n v="23599"/>
  </r>
  <r>
    <n v="6712"/>
    <n v="84"/>
    <x v="67"/>
    <n v="8408"/>
    <s v="อำเภอคีรีรัฐนิคม"/>
    <n v="0"/>
    <s v="-"/>
    <n v="0"/>
    <s v="-"/>
    <n v="21053"/>
    <n v="21195"/>
    <n v="42248"/>
    <n v="17704"/>
  </r>
  <r>
    <n v="6712"/>
    <n v="84"/>
    <x v="67"/>
    <n v="8409"/>
    <s v="อำเภอบ้านตาขุน"/>
    <n v="0"/>
    <s v="-"/>
    <n v="0"/>
    <s v="-"/>
    <n v="4613"/>
    <n v="4674"/>
    <n v="9287"/>
    <n v="4136"/>
  </r>
  <r>
    <n v="6712"/>
    <n v="84"/>
    <x v="67"/>
    <n v="8410"/>
    <s v="อำเภอพนม"/>
    <n v="0"/>
    <s v="-"/>
    <n v="0"/>
    <s v="-"/>
    <n v="12499"/>
    <n v="12016"/>
    <n v="24515"/>
    <n v="9865"/>
  </r>
  <r>
    <n v="6712"/>
    <n v="84"/>
    <x v="67"/>
    <n v="8411"/>
    <s v="อำเภอท่าฉาง"/>
    <n v="0"/>
    <s v="-"/>
    <n v="0"/>
    <s v="-"/>
    <n v="14912"/>
    <n v="14745"/>
    <n v="29657"/>
    <n v="13632"/>
  </r>
  <r>
    <n v="6712"/>
    <n v="84"/>
    <x v="67"/>
    <n v="8412"/>
    <s v="อำเภอบ้านนาสาร"/>
    <n v="0"/>
    <s v="-"/>
    <n v="0"/>
    <s v="-"/>
    <n v="25135"/>
    <n v="25621"/>
    <n v="50756"/>
    <n v="19007"/>
  </r>
  <r>
    <n v="6712"/>
    <n v="84"/>
    <x v="67"/>
    <n v="8413"/>
    <s v="อำเภอบ้านนาเดิม"/>
    <n v="0"/>
    <s v="-"/>
    <n v="0"/>
    <s v="-"/>
    <n v="10286"/>
    <n v="10484"/>
    <n v="20770"/>
    <n v="8086"/>
  </r>
  <r>
    <n v="6712"/>
    <n v="84"/>
    <x v="67"/>
    <n v="8414"/>
    <s v="อำเภอเคียนซา"/>
    <n v="0"/>
    <s v="-"/>
    <n v="0"/>
    <s v="-"/>
    <n v="13791"/>
    <n v="13784"/>
    <n v="27575"/>
    <n v="11781"/>
  </r>
  <r>
    <n v="6712"/>
    <n v="84"/>
    <x v="67"/>
    <n v="8415"/>
    <s v="อำเภอเวียงสระ"/>
    <n v="0"/>
    <s v="-"/>
    <n v="0"/>
    <s v="-"/>
    <n v="8560"/>
    <n v="8833"/>
    <n v="17393"/>
    <n v="7281"/>
  </r>
  <r>
    <n v="6712"/>
    <n v="84"/>
    <x v="67"/>
    <n v="8416"/>
    <s v="อำเภอพระแสง"/>
    <n v="0"/>
    <s v="-"/>
    <n v="0"/>
    <s v="-"/>
    <n v="31583"/>
    <n v="31205"/>
    <n v="62788"/>
    <n v="25331"/>
  </r>
  <r>
    <n v="6712"/>
    <n v="84"/>
    <x v="67"/>
    <n v="8417"/>
    <s v="อำเภอพุนพิน"/>
    <n v="0"/>
    <s v="-"/>
    <n v="0"/>
    <s v="-"/>
    <n v="37668"/>
    <n v="37830"/>
    <n v="75498"/>
    <n v="38068"/>
  </r>
  <r>
    <n v="6712"/>
    <n v="84"/>
    <x v="67"/>
    <n v="8418"/>
    <s v="อำเภอชัยบุรี"/>
    <n v="0"/>
    <s v="-"/>
    <n v="0"/>
    <s v="-"/>
    <n v="14313"/>
    <n v="14090"/>
    <n v="28403"/>
    <n v="12017"/>
  </r>
  <r>
    <n v="6712"/>
    <n v="84"/>
    <x v="67"/>
    <n v="8419"/>
    <s v="อำเภอวิภาวดี"/>
    <n v="0"/>
    <s v="-"/>
    <n v="0"/>
    <s v="-"/>
    <n v="8232"/>
    <n v="7689"/>
    <n v="15921"/>
    <n v="7667"/>
  </r>
  <r>
    <n v="6712"/>
    <n v="84"/>
    <x v="67"/>
    <n v="8471"/>
    <s v="ท้องถิ่นเทศบาลตำบลบ้านเสด็จ"/>
    <n v="0"/>
    <s v="-"/>
    <n v="0"/>
    <s v="-"/>
    <n v="9771"/>
    <n v="9537"/>
    <n v="19308"/>
    <n v="8130"/>
  </r>
  <r>
    <n v="6712"/>
    <n v="84"/>
    <x v="67"/>
    <n v="8472"/>
    <s v="ท้องถิ่นเทศบาลตำบลคลองชะอุ่น"/>
    <n v="0"/>
    <s v="-"/>
    <n v="0"/>
    <s v="-"/>
    <n v="4941"/>
    <n v="4899"/>
    <n v="9840"/>
    <n v="3573"/>
  </r>
  <r>
    <n v="6712"/>
    <n v="84"/>
    <x v="67"/>
    <n v="8473"/>
    <s v="ท้องถิ่นเทศบาลตำบลทุ่งหลวง"/>
    <n v="0"/>
    <s v="-"/>
    <n v="0"/>
    <s v="-"/>
    <n v="5406"/>
    <n v="5719"/>
    <n v="11125"/>
    <n v="4378"/>
  </r>
  <r>
    <n v="6712"/>
    <n v="84"/>
    <x v="67"/>
    <n v="8474"/>
    <s v="ท้องถิ่นเทศบาลตำบลขุนทะเล"/>
    <n v="0"/>
    <s v="-"/>
    <n v="0"/>
    <s v="-"/>
    <n v="7429"/>
    <n v="9238"/>
    <n v="16667"/>
    <n v="12007"/>
  </r>
  <r>
    <n v="6712"/>
    <n v="84"/>
    <x v="67"/>
    <n v="8475"/>
    <s v="ท้องถิ่นเทศบาลตำบลช้างซ้าย"/>
    <n v="0"/>
    <s v="-"/>
    <n v="0"/>
    <s v="-"/>
    <n v="5593"/>
    <n v="5648"/>
    <n v="11241"/>
    <n v="4141"/>
  </r>
  <r>
    <n v="6712"/>
    <n v="84"/>
    <x v="67"/>
    <n v="8476"/>
    <s v="ท้องถิ่นเทศบาลตำบลเขานิพันธ์"/>
    <n v="0"/>
    <s v="-"/>
    <n v="0"/>
    <s v="-"/>
    <n v="3392"/>
    <n v="3430"/>
    <n v="6822"/>
    <n v="3104"/>
  </r>
  <r>
    <n v="6712"/>
    <n v="84"/>
    <x v="67"/>
    <n v="8477"/>
    <s v="ท้องถิ่นเทศบาลตำบลวัดประดู่"/>
    <n v="0"/>
    <s v="-"/>
    <n v="0"/>
    <s v="-"/>
    <n v="9950"/>
    <n v="11146"/>
    <n v="21096"/>
    <n v="13336"/>
  </r>
  <r>
    <n v="6712"/>
    <n v="84"/>
    <x v="67"/>
    <n v="8478"/>
    <s v="ท้องถิ่นเทศบาลตำบลบ้านส้อง"/>
    <n v="0"/>
    <s v="-"/>
    <n v="0"/>
    <s v="-"/>
    <n v="8727"/>
    <n v="9015"/>
    <n v="17742"/>
    <n v="7417"/>
  </r>
  <r>
    <n v="6712"/>
    <n v="84"/>
    <x v="67"/>
    <n v="8479"/>
    <s v="ท้องถิ่นเทศบาลตำบลย่านดินแดง"/>
    <n v="0"/>
    <s v="-"/>
    <n v="0"/>
    <s v="-"/>
    <n v="1111"/>
    <n v="1146"/>
    <n v="2257"/>
    <n v="1103"/>
  </r>
  <r>
    <n v="6712"/>
    <n v="84"/>
    <x v="67"/>
    <n v="8480"/>
    <s v="ท้องถิ่นเทศบาลตำบลบางสวรรค์"/>
    <n v="0"/>
    <s v="-"/>
    <n v="0"/>
    <s v="-"/>
    <n v="2077"/>
    <n v="2147"/>
    <n v="4224"/>
    <n v="2093"/>
  </r>
  <r>
    <n v="6712"/>
    <n v="84"/>
    <x v="67"/>
    <n v="8481"/>
    <s v="ท้องถิ่นเทศบาลตำบลเวียงสระ"/>
    <n v="0"/>
    <s v="-"/>
    <n v="0"/>
    <s v="-"/>
    <n v="4430"/>
    <n v="4993"/>
    <n v="9423"/>
    <n v="5983"/>
  </r>
  <r>
    <n v="6712"/>
    <n v="84"/>
    <x v="67"/>
    <n v="8482"/>
    <s v="ท้องถิ่นเทศบาลตำบลเคียนซา"/>
    <n v="0"/>
    <s v="-"/>
    <n v="0"/>
    <s v="-"/>
    <n v="849"/>
    <n v="802"/>
    <n v="1651"/>
    <n v="762"/>
  </r>
  <r>
    <n v="6712"/>
    <n v="84"/>
    <x v="67"/>
    <n v="8483"/>
    <s v="ท้องถิ่นเทศบาลตำบลบ้านนา"/>
    <n v="0"/>
    <s v="-"/>
    <n v="0"/>
    <s v="-"/>
    <n v="1550"/>
    <n v="1684"/>
    <n v="3234"/>
    <n v="1755"/>
  </r>
  <r>
    <n v="6712"/>
    <n v="84"/>
    <x v="67"/>
    <n v="8484"/>
    <s v="ท้องถิ่นเทศบาลตำบลท่าฉาง"/>
    <n v="0"/>
    <s v="-"/>
    <n v="0"/>
    <s v="-"/>
    <n v="2235"/>
    <n v="2425"/>
    <n v="4660"/>
    <n v="2018"/>
  </r>
  <r>
    <n v="6712"/>
    <n v="84"/>
    <x v="67"/>
    <n v="8485"/>
    <s v="ท้องถิ่นเทศบาลตำบลพนม"/>
    <n v="0"/>
    <s v="-"/>
    <n v="0"/>
    <s v="-"/>
    <n v="2451"/>
    <n v="2469"/>
    <n v="4920"/>
    <n v="2083"/>
  </r>
  <r>
    <n v="6712"/>
    <n v="84"/>
    <x v="67"/>
    <n v="8486"/>
    <s v="ท้องถิ่นเทศบาลตำบลบ้านตาขุน"/>
    <n v="0"/>
    <s v="-"/>
    <n v="0"/>
    <s v="-"/>
    <n v="1164"/>
    <n v="1249"/>
    <n v="2413"/>
    <n v="1921"/>
  </r>
  <r>
    <n v="6712"/>
    <n v="84"/>
    <x v="67"/>
    <n v="8487"/>
    <s v="ท้องถิ่นเทศบาลตำบลบ้านเชี่ยวหลาน"/>
    <n v="0"/>
    <s v="-"/>
    <n v="0"/>
    <s v="-"/>
    <n v="2282"/>
    <n v="2295"/>
    <n v="4577"/>
    <n v="2091"/>
  </r>
  <r>
    <n v="6712"/>
    <n v="84"/>
    <x v="67"/>
    <n v="8488"/>
    <s v="ท้องถิ่นเทศบาลตำบลท่าขนอน"/>
    <n v="0"/>
    <s v="-"/>
    <n v="0"/>
    <s v="-"/>
    <n v="924"/>
    <n v="892"/>
    <n v="1816"/>
    <n v="1120"/>
  </r>
  <r>
    <n v="6712"/>
    <n v="84"/>
    <x v="67"/>
    <n v="8489"/>
    <s v="ท้องถิ่นเทศบาลตำบลท่าชนะ"/>
    <n v="0"/>
    <s v="-"/>
    <n v="0"/>
    <s v="-"/>
    <n v="1357"/>
    <n v="1509"/>
    <n v="2866"/>
    <n v="1837"/>
  </r>
  <r>
    <n v="6712"/>
    <n v="84"/>
    <x v="67"/>
    <n v="8490"/>
    <s v="ท้องถิ่นเทศบาลตำบลพุมเรียง"/>
    <n v="0"/>
    <s v="-"/>
    <n v="0"/>
    <s v="-"/>
    <n v="3827"/>
    <n v="3999"/>
    <n v="7826"/>
    <n v="2972"/>
  </r>
  <r>
    <n v="6712"/>
    <n v="84"/>
    <x v="67"/>
    <n v="8491"/>
    <s v="ท้องถิ่นเทศบาลตำบลตลาดไชยา"/>
    <n v="0"/>
    <s v="-"/>
    <n v="0"/>
    <s v="-"/>
    <n v="2347"/>
    <n v="2669"/>
    <n v="5016"/>
    <n v="3045"/>
  </r>
  <r>
    <n v="6712"/>
    <n v="84"/>
    <x v="67"/>
    <n v="8492"/>
    <s v="ท้องถิ่นเทศบาลตำบลเกาะพะงัน"/>
    <n v="0"/>
    <s v="-"/>
    <n v="0"/>
    <s v="-"/>
    <n v="4059"/>
    <n v="4121"/>
    <n v="8180"/>
    <n v="6452"/>
  </r>
  <r>
    <n v="6712"/>
    <n v="84"/>
    <x v="67"/>
    <n v="8493"/>
    <s v="ท้องถิ่นเทศบาลนครเกาะสมุย"/>
    <n v="0"/>
    <s v="-"/>
    <n v="0"/>
    <s v="-"/>
    <n v="33390"/>
    <n v="36299"/>
    <n v="69689"/>
    <n v="61602"/>
  </r>
  <r>
    <n v="6712"/>
    <n v="84"/>
    <x v="67"/>
    <n v="8494"/>
    <s v="ท้องถิ่นเทศบาลเมืองดอนสัก"/>
    <n v="0"/>
    <s v="-"/>
    <n v="0"/>
    <s v="-"/>
    <n v="5919"/>
    <n v="6199"/>
    <n v="12118"/>
    <n v="6109"/>
  </r>
  <r>
    <n v="6712"/>
    <n v="84"/>
    <x v="67"/>
    <n v="8495"/>
    <s v="ท้องถิ่นเทศบาลตำบลท่าทองใหม่"/>
    <n v="0"/>
    <s v="-"/>
    <n v="0"/>
    <s v="-"/>
    <n v="3575"/>
    <n v="3633"/>
    <n v="7208"/>
    <n v="3336"/>
  </r>
  <r>
    <n v="6712"/>
    <n v="84"/>
    <x v="67"/>
    <n v="8496"/>
    <s v="ท้องถิ่นเทศบาลตำบลกาญจนดิษฐ์"/>
    <n v="0"/>
    <s v="-"/>
    <n v="0"/>
    <s v="-"/>
    <n v="4452"/>
    <n v="4836"/>
    <n v="9288"/>
    <n v="4989"/>
  </r>
  <r>
    <n v="6712"/>
    <n v="84"/>
    <x v="67"/>
    <n v="8497"/>
    <s v="ท้องถิ่นเทศบาลเมืองท่าข้าม"/>
    <n v="0"/>
    <s v="-"/>
    <n v="0"/>
    <s v="-"/>
    <n v="8526"/>
    <n v="9166"/>
    <n v="17692"/>
    <n v="9232"/>
  </r>
  <r>
    <n v="6712"/>
    <n v="84"/>
    <x v="67"/>
    <n v="8498"/>
    <s v="ท้องถิ่นเทศบาลเมืองนาสาร"/>
    <n v="0"/>
    <s v="-"/>
    <n v="0"/>
    <s v="-"/>
    <n v="9254"/>
    <n v="9729"/>
    <n v="18983"/>
    <n v="8609"/>
  </r>
  <r>
    <n v="6712"/>
    <n v="84"/>
    <x v="67"/>
    <n v="8499"/>
    <s v="ท้องถิ่นเทศบาลนครสุราษฎร์ธานี"/>
    <n v="0"/>
    <s v="-"/>
    <n v="0"/>
    <s v="-"/>
    <n v="61825"/>
    <n v="69060"/>
    <n v="130885"/>
    <n v="79259"/>
  </r>
  <r>
    <n v="6712"/>
    <n v="85"/>
    <x v="68"/>
    <n v="0"/>
    <s v="-"/>
    <n v="0"/>
    <s v="-"/>
    <n v="0"/>
    <s v="-"/>
    <n v="96944"/>
    <n v="95983"/>
    <n v="192927"/>
    <n v="98370"/>
  </r>
  <r>
    <n v="6712"/>
    <n v="85"/>
    <x v="68"/>
    <n v="8501"/>
    <s v="อำเภอเมืองระนอง"/>
    <n v="0"/>
    <s v="-"/>
    <n v="0"/>
    <s v="-"/>
    <n v="35589"/>
    <n v="35295"/>
    <n v="70884"/>
    <n v="40595"/>
  </r>
  <r>
    <n v="6712"/>
    <n v="85"/>
    <x v="68"/>
    <n v="8502"/>
    <s v="อำเภอละอุ่น"/>
    <n v="0"/>
    <s v="-"/>
    <n v="0"/>
    <s v="-"/>
    <n v="6413"/>
    <n v="6238"/>
    <n v="12651"/>
    <n v="5838"/>
  </r>
  <r>
    <n v="6712"/>
    <n v="85"/>
    <x v="68"/>
    <n v="8503"/>
    <s v="อำเภอกะเปอร์"/>
    <n v="0"/>
    <s v="-"/>
    <n v="0"/>
    <s v="-"/>
    <n v="10441"/>
    <n v="10188"/>
    <n v="20629"/>
    <n v="8463"/>
  </r>
  <r>
    <n v="6712"/>
    <n v="85"/>
    <x v="68"/>
    <n v="8504"/>
    <s v="อำเภอกระบุรี"/>
    <n v="0"/>
    <s v="-"/>
    <n v="0"/>
    <s v="-"/>
    <n v="22683"/>
    <n v="21923"/>
    <n v="44606"/>
    <n v="23388"/>
  </r>
  <r>
    <n v="6712"/>
    <n v="85"/>
    <x v="68"/>
    <n v="8505"/>
    <s v="อำเภอสุขสำราญ"/>
    <n v="0"/>
    <s v="-"/>
    <n v="0"/>
    <s v="-"/>
    <n v="7389"/>
    <n v="7461"/>
    <n v="14850"/>
    <n v="4845"/>
  </r>
  <r>
    <n v="6712"/>
    <n v="85"/>
    <x v="68"/>
    <n v="8594"/>
    <s v="ท้องถิ่นเทศบาลตำบลน้ำจืด"/>
    <n v="0"/>
    <s v="-"/>
    <n v="0"/>
    <s v="-"/>
    <n v="1697"/>
    <n v="1744"/>
    <n v="3441"/>
    <n v="2010"/>
  </r>
  <r>
    <n v="6712"/>
    <n v="85"/>
    <x v="68"/>
    <n v="8595"/>
    <s v="ท้องถิ่นเทศบาลตำบลกะเปอร์"/>
    <n v="0"/>
    <s v="-"/>
    <n v="0"/>
    <s v="-"/>
    <n v="765"/>
    <n v="798"/>
    <n v="1563"/>
    <n v="687"/>
  </r>
  <r>
    <n v="6712"/>
    <n v="85"/>
    <x v="68"/>
    <n v="8596"/>
    <s v="ท้องถิ่นเทศบาลตำบลละอุ่น"/>
    <n v="0"/>
    <s v="-"/>
    <n v="0"/>
    <s v="-"/>
    <n v="1344"/>
    <n v="1287"/>
    <n v="2631"/>
    <n v="1244"/>
  </r>
  <r>
    <n v="6712"/>
    <n v="85"/>
    <x v="68"/>
    <n v="8597"/>
    <s v="ท้องถิ่นเทศบาลตำบลหงาว"/>
    <n v="0"/>
    <s v="-"/>
    <n v="0"/>
    <s v="-"/>
    <n v="1159"/>
    <n v="1259"/>
    <n v="2418"/>
    <n v="1131"/>
  </r>
  <r>
    <n v="6712"/>
    <n v="85"/>
    <x v="68"/>
    <n v="8598"/>
    <s v="ท้องถิ่นเทศบาลตำบลปากน้ำ"/>
    <n v="0"/>
    <s v="-"/>
    <n v="0"/>
    <s v="-"/>
    <n v="1220"/>
    <n v="1125"/>
    <n v="2345"/>
    <n v="1836"/>
  </r>
  <r>
    <n v="6712"/>
    <n v="85"/>
    <x v="68"/>
    <n v="8599"/>
    <s v="ท้องถิ่นเทศบาลเมืองระนอง"/>
    <n v="0"/>
    <s v="-"/>
    <n v="0"/>
    <s v="-"/>
    <n v="8244"/>
    <n v="8665"/>
    <n v="16909"/>
    <n v="8333"/>
  </r>
  <r>
    <n v="6712"/>
    <n v="86"/>
    <x v="69"/>
    <n v="0"/>
    <s v="-"/>
    <n v="0"/>
    <s v="-"/>
    <n v="0"/>
    <s v="-"/>
    <n v="250267"/>
    <n v="257786"/>
    <n v="508053"/>
    <n v="256148"/>
  </r>
  <r>
    <n v="6712"/>
    <n v="86"/>
    <x v="69"/>
    <n v="8601"/>
    <s v="อำเภอเมืองชุมพร"/>
    <n v="0"/>
    <s v="-"/>
    <n v="0"/>
    <s v="-"/>
    <n v="46282"/>
    <n v="47336"/>
    <n v="93618"/>
    <n v="47513"/>
  </r>
  <r>
    <n v="6712"/>
    <n v="86"/>
    <x v="69"/>
    <n v="8602"/>
    <s v="อำเภอท่าแซะ"/>
    <n v="0"/>
    <s v="-"/>
    <n v="0"/>
    <s v="-"/>
    <n v="41279"/>
    <n v="41506"/>
    <n v="82785"/>
    <n v="37440"/>
  </r>
  <r>
    <n v="6712"/>
    <n v="86"/>
    <x v="69"/>
    <n v="8603"/>
    <s v="อำเภอปะทิว"/>
    <n v="0"/>
    <s v="-"/>
    <n v="0"/>
    <s v="-"/>
    <n v="19659"/>
    <n v="20161"/>
    <n v="39820"/>
    <n v="19062"/>
  </r>
  <r>
    <n v="6712"/>
    <n v="86"/>
    <x v="69"/>
    <n v="8604"/>
    <s v="อำเภอหลังสวน"/>
    <n v="0"/>
    <s v="-"/>
    <n v="0"/>
    <s v="-"/>
    <n v="27594"/>
    <n v="28722"/>
    <n v="56316"/>
    <n v="26186"/>
  </r>
  <r>
    <n v="6712"/>
    <n v="86"/>
    <x v="69"/>
    <n v="8605"/>
    <s v="อำเภอละแม"/>
    <n v="0"/>
    <s v="-"/>
    <n v="0"/>
    <s v="-"/>
    <n v="12994"/>
    <n v="12964"/>
    <n v="25958"/>
    <n v="12433"/>
  </r>
  <r>
    <n v="6712"/>
    <n v="86"/>
    <x v="69"/>
    <n v="8606"/>
    <s v="อำเภอพะโต๊ะ"/>
    <n v="0"/>
    <s v="-"/>
    <n v="0"/>
    <s v="-"/>
    <n v="11829"/>
    <n v="11426"/>
    <n v="23255"/>
    <n v="11354"/>
  </r>
  <r>
    <n v="6712"/>
    <n v="86"/>
    <x v="69"/>
    <n v="8607"/>
    <s v="อำเภอสวี"/>
    <n v="0"/>
    <s v="-"/>
    <n v="0"/>
    <s v="-"/>
    <n v="34696"/>
    <n v="35098"/>
    <n v="69794"/>
    <n v="33712"/>
  </r>
  <r>
    <n v="6712"/>
    <n v="86"/>
    <x v="69"/>
    <n v="8608"/>
    <s v="อำเภอทุ่งตะโก"/>
    <n v="0"/>
    <s v="-"/>
    <n v="0"/>
    <s v="-"/>
    <n v="10881"/>
    <n v="10855"/>
    <n v="21736"/>
    <n v="10400"/>
  </r>
  <r>
    <n v="6712"/>
    <n v="86"/>
    <x v="69"/>
    <n v="8685"/>
    <s v="ท้องถิ่นเทศบาลเมืองท่ายาง"/>
    <n v="0"/>
    <s v="-"/>
    <n v="0"/>
    <s v="-"/>
    <n v="5037"/>
    <n v="5312"/>
    <n v="10349"/>
    <n v="4985"/>
  </r>
  <r>
    <n v="6712"/>
    <n v="86"/>
    <x v="69"/>
    <n v="8686"/>
    <s v="ท้องถิ่นเทศบาลตำบลปากตะโก"/>
    <n v="0"/>
    <s v="-"/>
    <n v="0"/>
    <s v="-"/>
    <n v="2027"/>
    <n v="1986"/>
    <n v="4013"/>
    <n v="1719"/>
  </r>
  <r>
    <n v="6712"/>
    <n v="86"/>
    <x v="69"/>
    <n v="8687"/>
    <s v="ท้องถิ่นเทศบาลตำบลนาโพธิ์"/>
    <n v="0"/>
    <s v="-"/>
    <n v="0"/>
    <s v="-"/>
    <n v="1348"/>
    <n v="1535"/>
    <n v="2883"/>
    <n v="1726"/>
  </r>
  <r>
    <n v="6712"/>
    <n v="86"/>
    <x v="69"/>
    <n v="8688"/>
    <s v="ท้องถิ่นเทศบาลตำบลพะโต๊ะ"/>
    <n v="0"/>
    <s v="-"/>
    <n v="0"/>
    <s v="-"/>
    <n v="760"/>
    <n v="753"/>
    <n v="1513"/>
    <n v="717"/>
  </r>
  <r>
    <n v="6712"/>
    <n v="86"/>
    <x v="69"/>
    <n v="8689"/>
    <s v="ท้องถิ่นเทศบาลตำบลละแม"/>
    <n v="0"/>
    <s v="-"/>
    <n v="0"/>
    <s v="-"/>
    <n v="1582"/>
    <n v="1701"/>
    <n v="3283"/>
    <n v="2038"/>
  </r>
  <r>
    <n v="6712"/>
    <n v="86"/>
    <x v="69"/>
    <n v="8690"/>
    <s v="ท้องถิ่นเทศบาลตำบลปากน้ำหลังสวน"/>
    <n v="0"/>
    <s v="-"/>
    <n v="0"/>
    <s v="-"/>
    <n v="3105"/>
    <n v="3201"/>
    <n v="6306"/>
    <n v="3210"/>
  </r>
  <r>
    <n v="6712"/>
    <n v="86"/>
    <x v="69"/>
    <n v="8691"/>
    <s v="ท้องถิ่นเทศบาลตำบลสะพลี"/>
    <n v="0"/>
    <s v="-"/>
    <n v="0"/>
    <s v="-"/>
    <n v="1030"/>
    <n v="1101"/>
    <n v="2131"/>
    <n v="1212"/>
  </r>
  <r>
    <n v="6712"/>
    <n v="86"/>
    <x v="69"/>
    <n v="8692"/>
    <s v="ท้องถิ่นเทศบาลตำบลมาบอำมฤต"/>
    <n v="0"/>
    <s v="-"/>
    <n v="0"/>
    <s v="-"/>
    <n v="1740"/>
    <n v="1810"/>
    <n v="3550"/>
    <n v="2307"/>
  </r>
  <r>
    <n v="6712"/>
    <n v="86"/>
    <x v="69"/>
    <n v="8693"/>
    <s v="ท้องถิ่นเทศบาลตำบลปะทิว"/>
    <n v="0"/>
    <s v="-"/>
    <n v="0"/>
    <s v="-"/>
    <n v="582"/>
    <n v="657"/>
    <n v="1239"/>
    <n v="908"/>
  </r>
  <r>
    <n v="6712"/>
    <n v="86"/>
    <x v="69"/>
    <n v="8694"/>
    <s v="ท้องถิ่นเทศบาลตำบลเนินสันติ"/>
    <n v="0"/>
    <s v="-"/>
    <n v="0"/>
    <s v="-"/>
    <n v="920"/>
    <n v="959"/>
    <n v="1879"/>
    <n v="1346"/>
  </r>
  <r>
    <n v="6712"/>
    <n v="86"/>
    <x v="69"/>
    <n v="8695"/>
    <s v="ท้องถิ่นเทศบาลตำบลท่าแซะ"/>
    <n v="0"/>
    <s v="-"/>
    <n v="0"/>
    <s v="-"/>
    <n v="938"/>
    <n v="1046"/>
    <n v="1984"/>
    <n v="1439"/>
  </r>
  <r>
    <n v="6712"/>
    <n v="86"/>
    <x v="69"/>
    <n v="8696"/>
    <s v="ท้องถิ่นเทศบาลตำบลวังไผ่"/>
    <n v="0"/>
    <s v="-"/>
    <n v="0"/>
    <s v="-"/>
    <n v="3184"/>
    <n v="3513"/>
    <n v="6697"/>
    <n v="4920"/>
  </r>
  <r>
    <n v="6712"/>
    <n v="86"/>
    <x v="69"/>
    <n v="8697"/>
    <s v="ท้องถิ่นเทศบาลตำบลปากน้ำชุมพร"/>
    <n v="0"/>
    <s v="-"/>
    <n v="0"/>
    <s v="-"/>
    <n v="2894"/>
    <n v="3044"/>
    <n v="5938"/>
    <n v="3466"/>
  </r>
  <r>
    <n v="6712"/>
    <n v="86"/>
    <x v="69"/>
    <n v="8698"/>
    <s v="ท้องถิ่นเทศบาลเมืองหลังสวน"/>
    <n v="0"/>
    <s v="-"/>
    <n v="0"/>
    <s v="-"/>
    <n v="5050"/>
    <n v="5808"/>
    <n v="10858"/>
    <n v="7243"/>
  </r>
  <r>
    <n v="6712"/>
    <n v="86"/>
    <x v="69"/>
    <n v="8699"/>
    <s v="ท้องถิ่นเทศบาลเมืองชุมพร"/>
    <n v="0"/>
    <s v="-"/>
    <n v="0"/>
    <s v="-"/>
    <n v="14856"/>
    <n v="17292"/>
    <n v="32148"/>
    <n v="20812"/>
  </r>
  <r>
    <n v="6712"/>
    <n v="90"/>
    <x v="70"/>
    <n v="0"/>
    <s v="-"/>
    <n v="0"/>
    <s v="-"/>
    <n v="0"/>
    <s v="-"/>
    <n v="695802"/>
    <n v="735305"/>
    <n v="1431107"/>
    <n v="593923"/>
  </r>
  <r>
    <n v="6712"/>
    <n v="90"/>
    <x v="70"/>
    <n v="9001"/>
    <s v="อำเภอเมืองสงขลา"/>
    <n v="0"/>
    <s v="-"/>
    <n v="0"/>
    <s v="-"/>
    <n v="7272"/>
    <n v="7930"/>
    <n v="15202"/>
    <n v="5918"/>
  </r>
  <r>
    <n v="6712"/>
    <n v="90"/>
    <x v="70"/>
    <n v="9002"/>
    <s v="อำเภอสทิงพระ"/>
    <n v="0"/>
    <s v="-"/>
    <n v="0"/>
    <s v="-"/>
    <n v="21446"/>
    <n v="22447"/>
    <n v="43893"/>
    <n v="14551"/>
  </r>
  <r>
    <n v="6712"/>
    <n v="90"/>
    <x v="70"/>
    <n v="9003"/>
    <s v="อำเภอจะนะ"/>
    <n v="0"/>
    <s v="-"/>
    <n v="0"/>
    <s v="-"/>
    <n v="50876"/>
    <n v="51458"/>
    <n v="102334"/>
    <n v="29763"/>
  </r>
  <r>
    <n v="6712"/>
    <n v="90"/>
    <x v="70"/>
    <n v="9004"/>
    <s v="อำเภอนาทวี"/>
    <n v="0"/>
    <s v="-"/>
    <n v="0"/>
    <s v="-"/>
    <n v="31791"/>
    <n v="31167"/>
    <n v="62958"/>
    <n v="20460"/>
  </r>
  <r>
    <n v="6712"/>
    <n v="90"/>
    <x v="70"/>
    <n v="9005"/>
    <s v="อำเภอเทพา"/>
    <n v="0"/>
    <s v="-"/>
    <n v="0"/>
    <s v="-"/>
    <n v="30974"/>
    <n v="29515"/>
    <n v="60489"/>
    <n v="17541"/>
  </r>
  <r>
    <n v="6712"/>
    <n v="90"/>
    <x v="70"/>
    <n v="9006"/>
    <s v="อำเภอสะบ้าย้อย"/>
    <n v="0"/>
    <s v="-"/>
    <n v="0"/>
    <s v="-"/>
    <n v="40468"/>
    <n v="39840"/>
    <n v="80308"/>
    <n v="20407"/>
  </r>
  <r>
    <n v="6712"/>
    <n v="90"/>
    <x v="70"/>
    <n v="9007"/>
    <s v="อำเภอระโนด"/>
    <n v="0"/>
    <s v="-"/>
    <n v="0"/>
    <s v="-"/>
    <n v="23485"/>
    <n v="23966"/>
    <n v="47451"/>
    <n v="20201"/>
  </r>
  <r>
    <n v="6712"/>
    <n v="90"/>
    <x v="70"/>
    <n v="9008"/>
    <s v="อำเภอกระแสสินธุ์"/>
    <n v="0"/>
    <s v="-"/>
    <n v="0"/>
    <s v="-"/>
    <n v="7156"/>
    <n v="7453"/>
    <n v="14609"/>
    <n v="5499"/>
  </r>
  <r>
    <n v="6712"/>
    <n v="90"/>
    <x v="70"/>
    <n v="9009"/>
    <s v="อำเภอรัตภูมิ"/>
    <n v="0"/>
    <s v="-"/>
    <n v="0"/>
    <s v="-"/>
    <n v="33783"/>
    <n v="34135"/>
    <n v="67918"/>
    <n v="23493"/>
  </r>
  <r>
    <n v="6712"/>
    <n v="90"/>
    <x v="70"/>
    <n v="9010"/>
    <s v="อำเภอสะเดา"/>
    <n v="0"/>
    <s v="-"/>
    <n v="0"/>
    <s v="-"/>
    <n v="29594"/>
    <n v="29333"/>
    <n v="58927"/>
    <n v="22395"/>
  </r>
  <r>
    <n v="6712"/>
    <n v="90"/>
    <x v="70"/>
    <n v="9011"/>
    <s v="อำเภอหาดใหญ่"/>
    <n v="0"/>
    <s v="-"/>
    <n v="0"/>
    <s v="-"/>
    <n v="15637"/>
    <n v="17032"/>
    <n v="32669"/>
    <n v="15251"/>
  </r>
  <r>
    <n v="6712"/>
    <n v="90"/>
    <x v="70"/>
    <n v="9012"/>
    <s v="อำเภอนาหม่อม"/>
    <n v="0"/>
    <s v="-"/>
    <n v="0"/>
    <s v="-"/>
    <n v="11101"/>
    <n v="11964"/>
    <n v="23065"/>
    <n v="9810"/>
  </r>
  <r>
    <n v="6712"/>
    <n v="90"/>
    <x v="70"/>
    <n v="9013"/>
    <s v="อำเภอควนเนียง"/>
    <n v="0"/>
    <s v="-"/>
    <n v="0"/>
    <s v="-"/>
    <n v="14787"/>
    <n v="15300"/>
    <n v="30087"/>
    <n v="10564"/>
  </r>
  <r>
    <n v="6712"/>
    <n v="90"/>
    <x v="70"/>
    <n v="9014"/>
    <s v="อำเภอบางกล่ำ"/>
    <n v="0"/>
    <s v="-"/>
    <n v="0"/>
    <s v="-"/>
    <n v="5161"/>
    <n v="5299"/>
    <n v="10460"/>
    <n v="3991"/>
  </r>
  <r>
    <n v="6712"/>
    <n v="90"/>
    <x v="70"/>
    <n v="9015"/>
    <s v="อำเภอสิงหนคร"/>
    <n v="0"/>
    <s v="-"/>
    <n v="0"/>
    <s v="-"/>
    <n v="21415"/>
    <n v="22386"/>
    <n v="43801"/>
    <n v="15721"/>
  </r>
  <r>
    <n v="6712"/>
    <n v="90"/>
    <x v="70"/>
    <n v="9016"/>
    <s v="อำเภอคลองหอยโข่ง"/>
    <n v="0"/>
    <s v="-"/>
    <n v="0"/>
    <s v="-"/>
    <n v="5898"/>
    <n v="5888"/>
    <n v="11786"/>
    <n v="5470"/>
  </r>
  <r>
    <n v="6712"/>
    <n v="90"/>
    <x v="70"/>
    <n v="9066"/>
    <s v="ท้องถิ่นเทศบาลเมืองทุ่งตำเสา"/>
    <n v="0"/>
    <s v="-"/>
    <n v="0"/>
    <s v="-"/>
    <n v="8439"/>
    <n v="8946"/>
    <n v="17385"/>
    <n v="6860"/>
  </r>
  <r>
    <n v="6712"/>
    <n v="90"/>
    <x v="70"/>
    <n v="9067"/>
    <s v="ท้องถิ่นเทศบาลตำบลโคกม่วง"/>
    <n v="0"/>
    <s v="-"/>
    <n v="0"/>
    <s v="-"/>
    <n v="4107"/>
    <n v="3502"/>
    <n v="7609"/>
    <n v="2938"/>
  </r>
  <r>
    <n v="6712"/>
    <n v="90"/>
    <x v="70"/>
    <n v="9068"/>
    <s v="ท้องถิ่นเทศบาลตำบลทุ่งลาน"/>
    <n v="0"/>
    <s v="-"/>
    <n v="0"/>
    <s v="-"/>
    <n v="3737"/>
    <n v="4013"/>
    <n v="7750"/>
    <n v="2822"/>
  </r>
  <r>
    <n v="6712"/>
    <n v="90"/>
    <x v="70"/>
    <n v="9069"/>
    <s v="ท้องถิ่นเทศบาลตำบลเกาะแต้ว"/>
    <n v="0"/>
    <s v="-"/>
    <n v="0"/>
    <s v="-"/>
    <n v="5644"/>
    <n v="5982"/>
    <n v="11626"/>
    <n v="4057"/>
  </r>
  <r>
    <n v="6712"/>
    <n v="90"/>
    <x v="70"/>
    <n v="9070"/>
    <s v="ท้องถิ่นเทศบาลตำบลคูเต่า"/>
    <n v="0"/>
    <s v="-"/>
    <n v="0"/>
    <s v="-"/>
    <n v="5904"/>
    <n v="6017"/>
    <n v="11921"/>
    <n v="3473"/>
  </r>
  <r>
    <n v="6712"/>
    <n v="90"/>
    <x v="70"/>
    <n v="9071"/>
    <s v="ท้องถิ่นเทศบาลตำบลท่าช้าง"/>
    <n v="0"/>
    <s v="-"/>
    <n v="0"/>
    <s v="-"/>
    <n v="11781"/>
    <n v="11869"/>
    <n v="23650"/>
    <n v="11027"/>
  </r>
  <r>
    <n v="6712"/>
    <n v="90"/>
    <x v="70"/>
    <n v="9072"/>
    <s v="ท้องถิ่นเทศบาลตำบลน้ำน้อย"/>
    <n v="0"/>
    <s v="-"/>
    <n v="0"/>
    <s v="-"/>
    <n v="7300"/>
    <n v="8200"/>
    <n v="15500"/>
    <n v="6875"/>
  </r>
  <r>
    <n v="6712"/>
    <n v="90"/>
    <x v="70"/>
    <n v="9073"/>
    <s v="ท้องถิ่นเทศบาลตำบลลำไพล"/>
    <n v="0"/>
    <s v="-"/>
    <n v="0"/>
    <s v="-"/>
    <n v="7835"/>
    <n v="8057"/>
    <n v="15892"/>
    <n v="4841"/>
  </r>
  <r>
    <n v="6712"/>
    <n v="90"/>
    <x v="70"/>
    <n v="9074"/>
    <s v="ท้องถิ่นเทศบาลตำบลบ้านไร่"/>
    <n v="0"/>
    <s v="-"/>
    <n v="0"/>
    <s v="-"/>
    <n v="4047"/>
    <n v="4312"/>
    <n v="8359"/>
    <n v="3689"/>
  </r>
  <r>
    <n v="6712"/>
    <n v="90"/>
    <x v="70"/>
    <n v="9075"/>
    <s v="ท้องถิ่นเทศบาลตำบลพะวง"/>
    <n v="0"/>
    <s v="-"/>
    <n v="0"/>
    <s v="-"/>
    <n v="17014"/>
    <n v="18749"/>
    <n v="35763"/>
    <n v="16945"/>
  </r>
  <r>
    <n v="6712"/>
    <n v="90"/>
    <x v="70"/>
    <n v="9076"/>
    <s v="ท้องถิ่นเทศบาลเมืองเขารูปช้าง"/>
    <n v="0"/>
    <s v="-"/>
    <n v="0"/>
    <s v="-"/>
    <n v="20410"/>
    <n v="22757"/>
    <n v="43167"/>
    <n v="22492"/>
  </r>
  <r>
    <n v="6712"/>
    <n v="90"/>
    <x v="70"/>
    <n v="9077"/>
    <s v="ท้องถิ่นเทศบาลตำบลสำนักขาม"/>
    <n v="0"/>
    <s v="-"/>
    <n v="0"/>
    <s v="-"/>
    <n v="6394"/>
    <n v="7429"/>
    <n v="13823"/>
    <n v="9493"/>
  </r>
  <r>
    <n v="6712"/>
    <n v="90"/>
    <x v="70"/>
    <n v="9078"/>
    <s v="ท้องถิ่นเทศบาลเมืองคลองแห"/>
    <n v="0"/>
    <s v="-"/>
    <n v="0"/>
    <s v="-"/>
    <n v="20931"/>
    <n v="23852"/>
    <n v="44783"/>
    <n v="23597"/>
  </r>
  <r>
    <n v="6712"/>
    <n v="90"/>
    <x v="70"/>
    <n v="9079"/>
    <s v="ท้องถิ่นเทศบาลเมืองควนลัง"/>
    <n v="0"/>
    <s v="-"/>
    <n v="0"/>
    <s v="-"/>
    <n v="24657"/>
    <n v="28190"/>
    <n v="52847"/>
    <n v="28678"/>
  </r>
  <r>
    <n v="6712"/>
    <n v="90"/>
    <x v="70"/>
    <n v="9080"/>
    <s v="ท้องถิ่นเทศบาลเมืองคอหงส์"/>
    <n v="0"/>
    <s v="-"/>
    <n v="0"/>
    <s v="-"/>
    <n v="21610"/>
    <n v="24487"/>
    <n v="46097"/>
    <n v="30251"/>
  </r>
  <r>
    <n v="6712"/>
    <n v="90"/>
    <x v="70"/>
    <n v="9081"/>
    <s v="ท้องถิ่นเทศบาลเมืองสิงหนคร"/>
    <n v="0"/>
    <s v="-"/>
    <n v="0"/>
    <s v="-"/>
    <n v="19852"/>
    <n v="20281"/>
    <n v="40133"/>
    <n v="14173"/>
  </r>
  <r>
    <n v="6712"/>
    <n v="90"/>
    <x v="70"/>
    <n v="9082"/>
    <s v="ท้องถิ่นเทศบาลตำบลควนเนียง"/>
    <n v="0"/>
    <s v="-"/>
    <n v="0"/>
    <s v="-"/>
    <n v="1872"/>
    <n v="2132"/>
    <n v="4004"/>
    <n v="1831"/>
  </r>
  <r>
    <n v="6712"/>
    <n v="90"/>
    <x v="70"/>
    <n v="9083"/>
    <s v="ท้องถิ่นเทศบาลตำบลพะตง"/>
    <n v="0"/>
    <s v="-"/>
    <n v="0"/>
    <s v="-"/>
    <n v="3660"/>
    <n v="4094"/>
    <n v="7754"/>
    <n v="4992"/>
  </r>
  <r>
    <n v="6712"/>
    <n v="90"/>
    <x v="70"/>
    <n v="9084"/>
    <s v="ท้องถิ่นเทศบาลตำบลคลองแงะ"/>
    <n v="0"/>
    <s v="-"/>
    <n v="0"/>
    <s v="-"/>
    <n v="3916"/>
    <n v="4154"/>
    <n v="8070"/>
    <n v="3252"/>
  </r>
  <r>
    <n v="6712"/>
    <n v="90"/>
    <x v="70"/>
    <n v="9085"/>
    <s v="ท้องถิ่นเทศบาลเมืองปาดังเบซาร์"/>
    <n v="0"/>
    <s v="-"/>
    <n v="0"/>
    <s v="-"/>
    <n v="7703"/>
    <n v="8163"/>
    <n v="15866"/>
    <n v="6450"/>
  </r>
  <r>
    <n v="6712"/>
    <n v="90"/>
    <x v="70"/>
    <n v="9086"/>
    <s v="ท้องถิ่นเทศบาลตำบลปริก"/>
    <n v="0"/>
    <s v="-"/>
    <n v="0"/>
    <s v="-"/>
    <n v="3138"/>
    <n v="3322"/>
    <n v="6460"/>
    <n v="2170"/>
  </r>
  <r>
    <n v="6712"/>
    <n v="90"/>
    <x v="70"/>
    <n v="9087"/>
    <s v="ท้องถิ่นเทศบาลตำบลนาสีทอง"/>
    <n v="0"/>
    <s v="-"/>
    <n v="0"/>
    <s v="-"/>
    <n v="1388"/>
    <n v="1551"/>
    <n v="2939"/>
    <n v="1190"/>
  </r>
  <r>
    <n v="6712"/>
    <n v="90"/>
    <x v="70"/>
    <n v="9088"/>
    <s v="ท้องถิ่นเทศบาลตำบลกำแพงเพชร"/>
    <n v="0"/>
    <s v="-"/>
    <n v="0"/>
    <s v="-"/>
    <n v="2315"/>
    <n v="2554"/>
    <n v="4869"/>
    <n v="2704"/>
  </r>
  <r>
    <n v="6712"/>
    <n v="90"/>
    <x v="70"/>
    <n v="9089"/>
    <s v="ท้องถิ่นเทศบาลตำบลระโนด"/>
    <n v="0"/>
    <s v="-"/>
    <n v="0"/>
    <s v="-"/>
    <n v="2006"/>
    <n v="2208"/>
    <n v="4214"/>
    <n v="2029"/>
  </r>
  <r>
    <n v="6712"/>
    <n v="90"/>
    <x v="70"/>
    <n v="9090"/>
    <s v="ท้องถิ่นเทศบาลตำบลบ่อตรุ"/>
    <n v="0"/>
    <s v="-"/>
    <n v="0"/>
    <s v="-"/>
    <n v="5240"/>
    <n v="5480"/>
    <n v="10720"/>
    <n v="3648"/>
  </r>
  <r>
    <n v="6712"/>
    <n v="90"/>
    <x v="70"/>
    <n v="9091"/>
    <s v="ท้องถิ่นเทศบาลตำบลสะบ้าย้อย"/>
    <n v="0"/>
    <s v="-"/>
    <n v="0"/>
    <s v="-"/>
    <n v="640"/>
    <n v="688"/>
    <n v="1328"/>
    <n v="809"/>
  </r>
  <r>
    <n v="6712"/>
    <n v="90"/>
    <x v="70"/>
    <n v="9092"/>
    <s v="ท้องถิ่นเทศบาลตำบลเทพา"/>
    <n v="0"/>
    <s v="-"/>
    <n v="0"/>
    <s v="-"/>
    <n v="1370"/>
    <n v="1329"/>
    <n v="2699"/>
    <n v="1125"/>
  </r>
  <r>
    <n v="6712"/>
    <n v="90"/>
    <x v="70"/>
    <n v="9093"/>
    <s v="ท้องถิ่นเทศบาลตำบลนาทวี"/>
    <n v="0"/>
    <s v="-"/>
    <n v="0"/>
    <s v="-"/>
    <n v="2939"/>
    <n v="2991"/>
    <n v="5930"/>
    <n v="3858"/>
  </r>
  <r>
    <n v="6712"/>
    <n v="90"/>
    <x v="70"/>
    <n v="9094"/>
    <s v="ท้องถิ่นเทศบาลตำบลจะนะ"/>
    <n v="0"/>
    <s v="-"/>
    <n v="0"/>
    <s v="-"/>
    <n v="3291"/>
    <n v="3418"/>
    <n v="6709"/>
    <n v="3478"/>
  </r>
  <r>
    <n v="6712"/>
    <n v="90"/>
    <x v="70"/>
    <n v="9095"/>
    <s v="ท้องถิ่นเทศบาลตำบลสทิงพระ"/>
    <n v="0"/>
    <s v="-"/>
    <n v="0"/>
    <s v="-"/>
    <n v="1353"/>
    <n v="1477"/>
    <n v="2830"/>
    <n v="1336"/>
  </r>
  <r>
    <n v="6712"/>
    <n v="90"/>
    <x v="70"/>
    <n v="9096"/>
    <s v="ท้องถิ่นเทศบาลเมืองบ้านพรุ"/>
    <n v="0"/>
    <s v="-"/>
    <n v="0"/>
    <s v="-"/>
    <n v="13456"/>
    <n v="14894"/>
    <n v="28350"/>
    <n v="13986"/>
  </r>
  <r>
    <n v="6712"/>
    <n v="90"/>
    <x v="70"/>
    <n v="9097"/>
    <s v="ท้องถิ่นเทศบาลเมืองสะเดา"/>
    <n v="0"/>
    <s v="-"/>
    <n v="0"/>
    <s v="-"/>
    <n v="10347"/>
    <n v="10949"/>
    <n v="21296"/>
    <n v="9238"/>
  </r>
  <r>
    <n v="6712"/>
    <n v="90"/>
    <x v="70"/>
    <n v="9098"/>
    <s v="ท้องถิ่นเทศบาลนครหาดใหญ่"/>
    <n v="0"/>
    <s v="-"/>
    <n v="0"/>
    <s v="-"/>
    <n v="64864"/>
    <n v="75987"/>
    <n v="140851"/>
    <n v="70703"/>
  </r>
  <r>
    <n v="6712"/>
    <n v="90"/>
    <x v="70"/>
    <n v="9099"/>
    <s v="ท้องถิ่นเทศบาลนครสงขลา"/>
    <n v="0"/>
    <s v="-"/>
    <n v="0"/>
    <s v="-"/>
    <n v="25798"/>
    <n v="28158"/>
    <n v="53956"/>
    <n v="27878"/>
  </r>
  <r>
    <n v="6712"/>
    <n v="91"/>
    <x v="71"/>
    <n v="0"/>
    <s v="-"/>
    <n v="0"/>
    <s v="-"/>
    <n v="0"/>
    <s v="-"/>
    <n v="161667"/>
    <n v="163212"/>
    <n v="324879"/>
    <n v="111775"/>
  </r>
  <r>
    <n v="6712"/>
    <n v="91"/>
    <x v="71"/>
    <n v="9101"/>
    <s v="อำเภอเมืองสตูล"/>
    <n v="0"/>
    <s v="-"/>
    <n v="0"/>
    <s v="-"/>
    <n v="32816"/>
    <n v="33625"/>
    <n v="66441"/>
    <n v="19610"/>
  </r>
  <r>
    <n v="6712"/>
    <n v="91"/>
    <x v="71"/>
    <n v="9102"/>
    <s v="อำเภอควนโดน"/>
    <n v="0"/>
    <s v="-"/>
    <n v="0"/>
    <s v="-"/>
    <n v="11067"/>
    <n v="11161"/>
    <n v="22228"/>
    <n v="6347"/>
  </r>
  <r>
    <n v="6712"/>
    <n v="91"/>
    <x v="71"/>
    <n v="9103"/>
    <s v="อำเภอควนกาหลง"/>
    <n v="0"/>
    <s v="-"/>
    <n v="0"/>
    <s v="-"/>
    <n v="17766"/>
    <n v="17717"/>
    <n v="35483"/>
    <n v="12380"/>
  </r>
  <r>
    <n v="6712"/>
    <n v="91"/>
    <x v="71"/>
    <n v="9104"/>
    <s v="อำเภอท่าแพ"/>
    <n v="0"/>
    <s v="-"/>
    <n v="0"/>
    <s v="-"/>
    <n v="14873"/>
    <n v="15070"/>
    <n v="29943"/>
    <n v="9197"/>
  </r>
  <r>
    <n v="6712"/>
    <n v="91"/>
    <x v="71"/>
    <n v="9105"/>
    <s v="อำเภอละงู"/>
    <n v="0"/>
    <s v="-"/>
    <n v="0"/>
    <s v="-"/>
    <n v="34386"/>
    <n v="34751"/>
    <n v="69137"/>
    <n v="22266"/>
  </r>
  <r>
    <n v="6712"/>
    <n v="91"/>
    <x v="71"/>
    <n v="9106"/>
    <s v="อำเภอทุ่งหว้า"/>
    <n v="0"/>
    <s v="-"/>
    <n v="0"/>
    <s v="-"/>
    <n v="10770"/>
    <n v="10601"/>
    <n v="21371"/>
    <n v="7074"/>
  </r>
  <r>
    <n v="6712"/>
    <n v="91"/>
    <x v="71"/>
    <n v="9107"/>
    <s v="อำเภอมะนัง"/>
    <n v="0"/>
    <s v="-"/>
    <n v="0"/>
    <s v="-"/>
    <n v="9531"/>
    <n v="9171"/>
    <n v="18702"/>
    <n v="6715"/>
  </r>
  <r>
    <n v="6712"/>
    <n v="91"/>
    <x v="71"/>
    <n v="9193"/>
    <s v="ท้องถิ่นเทศบาลตำบลคลองขุด"/>
    <n v="0"/>
    <s v="-"/>
    <n v="0"/>
    <s v="-"/>
    <n v="10529"/>
    <n v="9964"/>
    <n v="20493"/>
    <n v="9640"/>
  </r>
  <r>
    <n v="6712"/>
    <n v="91"/>
    <x v="71"/>
    <n v="9194"/>
    <s v="ท้องถิ่นเทศบาลตำบลทุ่งหว้า"/>
    <n v="0"/>
    <s v="-"/>
    <n v="0"/>
    <s v="-"/>
    <n v="1603"/>
    <n v="1626"/>
    <n v="3229"/>
    <n v="1271"/>
  </r>
  <r>
    <n v="6712"/>
    <n v="91"/>
    <x v="71"/>
    <n v="9195"/>
    <s v="ท้องถิ่นเทศบาลตำบลกำแพง"/>
    <n v="0"/>
    <s v="-"/>
    <n v="0"/>
    <s v="-"/>
    <n v="2326"/>
    <n v="2570"/>
    <n v="4896"/>
    <n v="2953"/>
  </r>
  <r>
    <n v="6712"/>
    <n v="91"/>
    <x v="71"/>
    <n v="9196"/>
    <s v="ท้องถิ่นเทศบาลตำบลควนโดน"/>
    <n v="0"/>
    <s v="-"/>
    <n v="0"/>
    <s v="-"/>
    <n v="2684"/>
    <n v="2783"/>
    <n v="5467"/>
    <n v="2028"/>
  </r>
  <r>
    <n v="6712"/>
    <n v="91"/>
    <x v="71"/>
    <n v="9197"/>
    <s v="ท้องถิ่นเทศบาลตำบลฉลุง"/>
    <n v="0"/>
    <s v="-"/>
    <n v="0"/>
    <s v="-"/>
    <n v="1094"/>
    <n v="1221"/>
    <n v="2315"/>
    <n v="1046"/>
  </r>
  <r>
    <n v="6712"/>
    <n v="91"/>
    <x v="71"/>
    <n v="9198"/>
    <s v="ท้องถิ่นเทศบาลตำบลเจ๊ะบิลัง"/>
    <n v="0"/>
    <s v="-"/>
    <n v="0"/>
    <s v="-"/>
    <n v="2007"/>
    <n v="2030"/>
    <n v="4037"/>
    <n v="1041"/>
  </r>
  <r>
    <n v="6712"/>
    <n v="91"/>
    <x v="71"/>
    <n v="9199"/>
    <s v="ท้องถิ่นเทศบาลเมืองสตูล"/>
    <n v="0"/>
    <s v="-"/>
    <n v="0"/>
    <s v="-"/>
    <n v="10215"/>
    <n v="10922"/>
    <n v="21137"/>
    <n v="10207"/>
  </r>
  <r>
    <n v="6712"/>
    <n v="92"/>
    <x v="72"/>
    <n v="0"/>
    <s v="-"/>
    <n v="0"/>
    <s v="-"/>
    <n v="0"/>
    <s v="-"/>
    <n v="310045"/>
    <n v="324914"/>
    <n v="634959"/>
    <n v="246853"/>
  </r>
  <r>
    <n v="6712"/>
    <n v="92"/>
    <x v="72"/>
    <n v="9201"/>
    <s v="อำเภอเมืองตรัง"/>
    <n v="0"/>
    <s v="-"/>
    <n v="0"/>
    <s v="-"/>
    <n v="46421"/>
    <n v="50340"/>
    <n v="96761"/>
    <n v="43309"/>
  </r>
  <r>
    <n v="6712"/>
    <n v="92"/>
    <x v="72"/>
    <n v="9202"/>
    <s v="อำเภอกันตัง"/>
    <n v="0"/>
    <s v="-"/>
    <n v="0"/>
    <s v="-"/>
    <n v="37295"/>
    <n v="38060"/>
    <n v="75355"/>
    <n v="25257"/>
  </r>
  <r>
    <n v="6712"/>
    <n v="92"/>
    <x v="72"/>
    <n v="9203"/>
    <s v="อำเภอย่านตาขาว"/>
    <n v="0"/>
    <s v="-"/>
    <n v="0"/>
    <s v="-"/>
    <n v="27718"/>
    <n v="28645"/>
    <n v="56363"/>
    <n v="18750"/>
  </r>
  <r>
    <n v="6712"/>
    <n v="92"/>
    <x v="72"/>
    <n v="9204"/>
    <s v="อำเภอปะเหลียน"/>
    <n v="0"/>
    <s v="-"/>
    <n v="0"/>
    <s v="-"/>
    <n v="30666"/>
    <n v="31394"/>
    <n v="62060"/>
    <n v="22375"/>
  </r>
  <r>
    <n v="6712"/>
    <n v="92"/>
    <x v="72"/>
    <n v="9205"/>
    <s v="อำเภอสิเกา"/>
    <n v="0"/>
    <s v="-"/>
    <n v="0"/>
    <s v="-"/>
    <n v="17651"/>
    <n v="17239"/>
    <n v="34890"/>
    <n v="13112"/>
  </r>
  <r>
    <n v="6712"/>
    <n v="92"/>
    <x v="72"/>
    <n v="9206"/>
    <s v="อำเภอห้วยยอด"/>
    <n v="0"/>
    <s v="-"/>
    <n v="0"/>
    <s v="-"/>
    <n v="38286"/>
    <n v="39412"/>
    <n v="77698"/>
    <n v="27826"/>
  </r>
  <r>
    <n v="6712"/>
    <n v="92"/>
    <x v="72"/>
    <n v="9207"/>
    <s v="อำเภอวังวิเศษ"/>
    <n v="0"/>
    <s v="-"/>
    <n v="0"/>
    <s v="-"/>
    <n v="20002"/>
    <n v="20267"/>
    <n v="40269"/>
    <n v="14381"/>
  </r>
  <r>
    <n v="6712"/>
    <n v="92"/>
    <x v="72"/>
    <n v="9208"/>
    <s v="อำเภอนาโยง"/>
    <n v="0"/>
    <s v="-"/>
    <n v="0"/>
    <s v="-"/>
    <n v="19839"/>
    <n v="21050"/>
    <n v="40889"/>
    <n v="14157"/>
  </r>
  <r>
    <n v="6712"/>
    <n v="92"/>
    <x v="72"/>
    <n v="9209"/>
    <s v="อำเภอรัษฎา"/>
    <n v="0"/>
    <s v="-"/>
    <n v="0"/>
    <s v="-"/>
    <n v="13174"/>
    <n v="13518"/>
    <n v="26692"/>
    <n v="10197"/>
  </r>
  <r>
    <n v="6712"/>
    <n v="92"/>
    <x v="72"/>
    <n v="9210"/>
    <s v="อำเภอหาดสำราญ"/>
    <n v="0"/>
    <s v="-"/>
    <n v="0"/>
    <s v="-"/>
    <n v="8420"/>
    <n v="8331"/>
    <n v="16751"/>
    <n v="5144"/>
  </r>
  <r>
    <n v="6712"/>
    <n v="92"/>
    <x v="72"/>
    <n v="9286"/>
    <s v="ท้องถิ่นเทศบาลตำบลคลองปาง"/>
    <n v="0"/>
    <s v="-"/>
    <n v="0"/>
    <s v="-"/>
    <n v="1155"/>
    <n v="1272"/>
    <n v="2427"/>
    <n v="1379"/>
  </r>
  <r>
    <n v="6712"/>
    <n v="92"/>
    <x v="72"/>
    <n v="9287"/>
    <s v="ท้องถิ่นเทศบาลตำบลนาโยงเหนือ"/>
    <n v="0"/>
    <s v="-"/>
    <n v="0"/>
    <s v="-"/>
    <n v="1611"/>
    <n v="1806"/>
    <n v="3417"/>
    <n v="1618"/>
  </r>
  <r>
    <n v="6712"/>
    <n v="92"/>
    <x v="72"/>
    <n v="9288"/>
    <s v="ท้องถิ่นเทศบาลตำบลวังวิเศษ"/>
    <n v="0"/>
    <s v="-"/>
    <n v="0"/>
    <s v="-"/>
    <n v="1466"/>
    <n v="1488"/>
    <n v="2954"/>
    <n v="1411"/>
  </r>
  <r>
    <n v="6712"/>
    <n v="92"/>
    <x v="72"/>
    <n v="9289"/>
    <s v="ท้องถิ่นเทศบาลตำบลลำภูรา"/>
    <n v="0"/>
    <s v="-"/>
    <n v="0"/>
    <s v="-"/>
    <n v="1780"/>
    <n v="1457"/>
    <n v="3237"/>
    <n v="1476"/>
  </r>
  <r>
    <n v="6712"/>
    <n v="92"/>
    <x v="72"/>
    <n v="9290"/>
    <s v="ท้องถิ่นเทศบาลตำบลนาวง"/>
    <n v="0"/>
    <s v="-"/>
    <n v="0"/>
    <s v="-"/>
    <n v="1927"/>
    <n v="2049"/>
    <n v="3976"/>
    <n v="1888"/>
  </r>
  <r>
    <n v="6712"/>
    <n v="92"/>
    <x v="72"/>
    <n v="9291"/>
    <s v="ท้องถิ่นเทศบาลตำบลสิเกา"/>
    <n v="0"/>
    <s v="-"/>
    <n v="0"/>
    <s v="-"/>
    <n v="619"/>
    <n v="683"/>
    <n v="1302"/>
    <n v="664"/>
  </r>
  <r>
    <n v="6712"/>
    <n v="92"/>
    <x v="72"/>
    <n v="9292"/>
    <s v="ท้องถิ่นเทศบาลตำบลควนกุน"/>
    <n v="0"/>
    <s v="-"/>
    <n v="0"/>
    <s v="-"/>
    <n v="1013"/>
    <n v="1068"/>
    <n v="2081"/>
    <n v="790"/>
  </r>
  <r>
    <n v="6712"/>
    <n v="92"/>
    <x v="72"/>
    <n v="9293"/>
    <s v="ท้องถิ่นเทศบาลตำบลทุ่งยาว"/>
    <n v="0"/>
    <s v="-"/>
    <n v="0"/>
    <s v="-"/>
    <n v="1096"/>
    <n v="1238"/>
    <n v="2334"/>
    <n v="1117"/>
  </r>
  <r>
    <n v="6712"/>
    <n v="92"/>
    <x v="72"/>
    <n v="9294"/>
    <s v="ท้องถิ่นเทศบาลตำบลท่าข้าม"/>
    <n v="0"/>
    <s v="-"/>
    <n v="0"/>
    <s v="-"/>
    <n v="645"/>
    <n v="655"/>
    <n v="1300"/>
    <n v="670"/>
  </r>
  <r>
    <n v="6712"/>
    <n v="92"/>
    <x v="72"/>
    <n v="9295"/>
    <s v="ท้องถิ่นเทศบาลตำบลย่านตาขาว"/>
    <n v="0"/>
    <s v="-"/>
    <n v="0"/>
    <s v="-"/>
    <n v="3432"/>
    <n v="3987"/>
    <n v="7419"/>
    <n v="3874"/>
  </r>
  <r>
    <n v="6712"/>
    <n v="92"/>
    <x v="72"/>
    <n v="9296"/>
    <s v="ท้องถิ่นเทศบาลตำบลคลองเต็ง"/>
    <n v="0"/>
    <s v="-"/>
    <n v="0"/>
    <s v="-"/>
    <n v="1848"/>
    <n v="2009"/>
    <n v="3857"/>
    <n v="1819"/>
  </r>
  <r>
    <n v="6712"/>
    <n v="92"/>
    <x v="72"/>
    <n v="9297"/>
    <s v="ท้องถิ่นเทศบาลตำบลห้วยยอด"/>
    <n v="0"/>
    <s v="-"/>
    <n v="0"/>
    <s v="-"/>
    <n v="3691"/>
    <n v="4103"/>
    <n v="7794"/>
    <n v="4232"/>
  </r>
  <r>
    <n v="6712"/>
    <n v="92"/>
    <x v="72"/>
    <n v="9298"/>
    <s v="ท้องถิ่นเทศบาลเมืองกันตัง"/>
    <n v="0"/>
    <s v="-"/>
    <n v="0"/>
    <s v="-"/>
    <n v="5483"/>
    <n v="5705"/>
    <n v="11188"/>
    <n v="5143"/>
  </r>
  <r>
    <n v="6712"/>
    <n v="92"/>
    <x v="72"/>
    <n v="9299"/>
    <s v="ท้องถิ่นเทศบาลนครตรัง"/>
    <n v="0"/>
    <s v="-"/>
    <n v="0"/>
    <s v="-"/>
    <n v="24807"/>
    <n v="29138"/>
    <n v="53945"/>
    <n v="26264"/>
  </r>
  <r>
    <n v="6712"/>
    <n v="93"/>
    <x v="73"/>
    <n v="0"/>
    <s v="-"/>
    <n v="0"/>
    <s v="-"/>
    <n v="0"/>
    <s v="-"/>
    <n v="252460"/>
    <n v="266980"/>
    <n v="519440"/>
    <n v="207767"/>
  </r>
  <r>
    <n v="6712"/>
    <n v="93"/>
    <x v="73"/>
    <n v="9301"/>
    <s v="อำเภอเมืองพัทลุง"/>
    <n v="0"/>
    <s v="-"/>
    <n v="0"/>
    <s v="-"/>
    <n v="42603"/>
    <n v="46931"/>
    <n v="89534"/>
    <n v="36125"/>
  </r>
  <r>
    <n v="6712"/>
    <n v="93"/>
    <x v="73"/>
    <n v="9302"/>
    <s v="อำเภอกงหรา"/>
    <n v="0"/>
    <s v="-"/>
    <n v="0"/>
    <s v="-"/>
    <n v="14689"/>
    <n v="14882"/>
    <n v="29571"/>
    <n v="9934"/>
  </r>
  <r>
    <n v="6712"/>
    <n v="93"/>
    <x v="73"/>
    <n v="9303"/>
    <s v="อำเภอเขาชัยสน"/>
    <n v="0"/>
    <s v="-"/>
    <n v="0"/>
    <s v="-"/>
    <n v="15074"/>
    <n v="15762"/>
    <n v="30836"/>
    <n v="12083"/>
  </r>
  <r>
    <n v="6712"/>
    <n v="93"/>
    <x v="73"/>
    <n v="9304"/>
    <s v="อำเภอตะโหมด"/>
    <n v="0"/>
    <s v="-"/>
    <n v="0"/>
    <s v="-"/>
    <n v="7123"/>
    <n v="7215"/>
    <n v="14338"/>
    <n v="4992"/>
  </r>
  <r>
    <n v="6712"/>
    <n v="93"/>
    <x v="73"/>
    <n v="9305"/>
    <s v="อำเภอควนขนุน"/>
    <n v="0"/>
    <s v="-"/>
    <n v="0"/>
    <s v="-"/>
    <n v="37631"/>
    <n v="40840"/>
    <n v="78471"/>
    <n v="31374"/>
  </r>
  <r>
    <n v="6712"/>
    <n v="93"/>
    <x v="73"/>
    <n v="9306"/>
    <s v="อำเภอปากพะยูน"/>
    <n v="0"/>
    <s v="-"/>
    <n v="0"/>
    <s v="-"/>
    <n v="16042"/>
    <n v="16641"/>
    <n v="32683"/>
    <n v="11544"/>
  </r>
  <r>
    <n v="6712"/>
    <n v="93"/>
    <x v="73"/>
    <n v="9307"/>
    <s v="อำเภอศรีบรรพต"/>
    <n v="0"/>
    <s v="-"/>
    <n v="0"/>
    <s v="-"/>
    <n v="8993"/>
    <n v="9026"/>
    <n v="18019"/>
    <n v="7138"/>
  </r>
  <r>
    <n v="6712"/>
    <n v="93"/>
    <x v="73"/>
    <n v="9308"/>
    <s v="อำเภอป่าบอน"/>
    <n v="0"/>
    <s v="-"/>
    <n v="0"/>
    <s v="-"/>
    <n v="21390"/>
    <n v="21810"/>
    <n v="43200"/>
    <n v="16564"/>
  </r>
  <r>
    <n v="6712"/>
    <n v="93"/>
    <x v="73"/>
    <n v="9309"/>
    <s v="อำเภอบางแก้ว"/>
    <n v="0"/>
    <s v="-"/>
    <n v="0"/>
    <s v="-"/>
    <n v="8928"/>
    <n v="9106"/>
    <n v="18034"/>
    <n v="6797"/>
  </r>
  <r>
    <n v="6712"/>
    <n v="93"/>
    <x v="73"/>
    <n v="9310"/>
    <s v="อำเภอป่าพะยอม"/>
    <n v="0"/>
    <s v="-"/>
    <n v="0"/>
    <s v="-"/>
    <n v="13126"/>
    <n v="13667"/>
    <n v="26793"/>
    <n v="11251"/>
  </r>
  <r>
    <n v="6712"/>
    <n v="93"/>
    <x v="73"/>
    <n v="9311"/>
    <s v="อำเภอศรีนครินทร์"/>
    <n v="0"/>
    <s v="-"/>
    <n v="0"/>
    <s v="-"/>
    <n v="5122"/>
    <n v="5270"/>
    <n v="10392"/>
    <n v="3790"/>
  </r>
  <r>
    <n v="6712"/>
    <n v="93"/>
    <x v="73"/>
    <n v="9382"/>
    <s v="ท้องถิ่นเทศบาลตำบลเขาหัวช้าง"/>
    <n v="0"/>
    <s v="-"/>
    <n v="0"/>
    <s v="-"/>
    <n v="3603"/>
    <n v="3583"/>
    <n v="7186"/>
    <n v="2281"/>
  </r>
  <r>
    <n v="6712"/>
    <n v="93"/>
    <x v="73"/>
    <n v="9383"/>
    <s v="ท้องถิ่นเทศบาลตำบลชะรัด"/>
    <n v="0"/>
    <s v="-"/>
    <n v="0"/>
    <s v="-"/>
    <n v="3632"/>
    <n v="3688"/>
    <n v="7320"/>
    <n v="2390"/>
  </r>
  <r>
    <n v="6712"/>
    <n v="93"/>
    <x v="73"/>
    <n v="9384"/>
    <s v="ท้องถิ่นเทศบาลตำบลหารเทา"/>
    <n v="0"/>
    <s v="-"/>
    <n v="0"/>
    <s v="-"/>
    <n v="4881"/>
    <n v="5085"/>
    <n v="9966"/>
    <n v="3624"/>
  </r>
  <r>
    <n v="6712"/>
    <n v="93"/>
    <x v="73"/>
    <n v="9385"/>
    <s v="ท้องถิ่นเทศบาลตำบลบางแก้ว"/>
    <n v="0"/>
    <s v="-"/>
    <n v="0"/>
    <s v="-"/>
    <n v="1892"/>
    <n v="1945"/>
    <n v="3837"/>
    <n v="1498"/>
  </r>
  <r>
    <n v="6712"/>
    <n v="93"/>
    <x v="73"/>
    <n v="9386"/>
    <s v="ท้องถิ่นเทศบาลตำบลอ่าวพะยูน"/>
    <n v="0"/>
    <s v="-"/>
    <n v="0"/>
    <s v="-"/>
    <n v="2249"/>
    <n v="2325"/>
    <n v="4574"/>
    <n v="1729"/>
  </r>
  <r>
    <n v="6712"/>
    <n v="93"/>
    <x v="73"/>
    <n v="9387"/>
    <s v="ท้องถิ่นเทศบาลตำบลชุมพล"/>
    <n v="0"/>
    <s v="-"/>
    <n v="0"/>
    <s v="-"/>
    <n v="4781"/>
    <n v="4138"/>
    <n v="8919"/>
    <n v="3688"/>
  </r>
  <r>
    <n v="6712"/>
    <n v="93"/>
    <x v="73"/>
    <n v="9388"/>
    <s v="ท้องถิ่นเทศบาลตำบลโคกม่วง"/>
    <n v="0"/>
    <s v="-"/>
    <n v="0"/>
    <s v="-"/>
    <n v="5045"/>
    <n v="5294"/>
    <n v="10339"/>
    <n v="3784"/>
  </r>
  <r>
    <n v="6712"/>
    <n v="93"/>
    <x v="73"/>
    <n v="9389"/>
    <s v="ท้องถิ่นเทศบาลตำบลบ้านนา"/>
    <n v="0"/>
    <s v="-"/>
    <n v="0"/>
    <s v="-"/>
    <n v="3687"/>
    <n v="3782"/>
    <n v="7469"/>
    <n v="3288"/>
  </r>
  <r>
    <n v="6712"/>
    <n v="93"/>
    <x v="73"/>
    <n v="9390"/>
    <s v="ท้องถิ่นเทศบาลตำบลลานข่อย"/>
    <n v="0"/>
    <s v="-"/>
    <n v="0"/>
    <s v="-"/>
    <n v="4233"/>
    <n v="4459"/>
    <n v="8692"/>
    <n v="3081"/>
  </r>
  <r>
    <n v="6712"/>
    <n v="93"/>
    <x v="73"/>
    <n v="9391"/>
    <s v="ท้องถิ่นเทศบาลตำบลท่ามะเดื่อ"/>
    <n v="0"/>
    <s v="-"/>
    <n v="0"/>
    <s v="-"/>
    <n v="1900"/>
    <n v="2090"/>
    <n v="3990"/>
    <n v="1934"/>
  </r>
  <r>
    <n v="6712"/>
    <n v="93"/>
    <x v="73"/>
    <n v="9392"/>
    <s v="ท้องถิ่นเทศบาลตำบลป่าบอน"/>
    <n v="0"/>
    <s v="-"/>
    <n v="0"/>
    <s v="-"/>
    <n v="2015"/>
    <n v="2087"/>
    <n v="4102"/>
    <n v="1828"/>
  </r>
  <r>
    <n v="6712"/>
    <n v="93"/>
    <x v="73"/>
    <n v="9393"/>
    <s v="ท้องถิ่นเทศบาลตำบลปากพะยูน"/>
    <n v="0"/>
    <s v="-"/>
    <n v="0"/>
    <s v="-"/>
    <n v="1447"/>
    <n v="1610"/>
    <n v="3057"/>
    <n v="1546"/>
  </r>
  <r>
    <n v="6712"/>
    <n v="93"/>
    <x v="73"/>
    <n v="9394"/>
    <s v="ท้องถิ่นเทศบาลตำบลมะกอกเหนือ"/>
    <n v="0"/>
    <s v="-"/>
    <n v="0"/>
    <s v="-"/>
    <n v="1009"/>
    <n v="1153"/>
    <n v="2162"/>
    <n v="811"/>
  </r>
  <r>
    <n v="6712"/>
    <n v="93"/>
    <x v="73"/>
    <n v="9395"/>
    <s v="ท้องถิ่นเทศบาลตำบลควนขนุน"/>
    <n v="0"/>
    <s v="-"/>
    <n v="0"/>
    <s v="-"/>
    <n v="890"/>
    <n v="1072"/>
    <n v="1962"/>
    <n v="1212"/>
  </r>
  <r>
    <n v="6712"/>
    <n v="93"/>
    <x v="73"/>
    <n v="9396"/>
    <s v="ท้องถิ่นเทศบาลตำบลแม่ขรี"/>
    <n v="0"/>
    <s v="-"/>
    <n v="0"/>
    <s v="-"/>
    <n v="2949"/>
    <n v="3227"/>
    <n v="6176"/>
    <n v="3579"/>
  </r>
  <r>
    <n v="6712"/>
    <n v="93"/>
    <x v="73"/>
    <n v="9397"/>
    <s v="ท้องถิ่นเทศบาลตำบลตะโหมด"/>
    <n v="0"/>
    <s v="-"/>
    <n v="0"/>
    <s v="-"/>
    <n v="2051"/>
    <n v="2187"/>
    <n v="4238"/>
    <n v="1609"/>
  </r>
  <r>
    <n v="6712"/>
    <n v="93"/>
    <x v="73"/>
    <n v="9398"/>
    <s v="ท้องถิ่นเทศบาลตำบลเขาชัยสน"/>
    <n v="0"/>
    <s v="-"/>
    <n v="0"/>
    <s v="-"/>
    <n v="1623"/>
    <n v="1788"/>
    <n v="3411"/>
    <n v="1678"/>
  </r>
  <r>
    <n v="6712"/>
    <n v="93"/>
    <x v="73"/>
    <n v="9399"/>
    <s v="ท้องถิ่นเทศบาลเมืองพัทลุง"/>
    <n v="0"/>
    <s v="-"/>
    <n v="0"/>
    <s v="-"/>
    <n v="13852"/>
    <n v="16317"/>
    <n v="30169"/>
    <n v="16615"/>
  </r>
  <r>
    <n v="6712"/>
    <n v="94"/>
    <x v="74"/>
    <n v="0"/>
    <s v="-"/>
    <n v="0"/>
    <s v="-"/>
    <n v="0"/>
    <s v="-"/>
    <n v="366532"/>
    <n v="374372"/>
    <n v="740904"/>
    <n v="208009"/>
  </r>
  <r>
    <n v="6712"/>
    <n v="94"/>
    <x v="74"/>
    <n v="9401"/>
    <s v="อำเภอเมืองปัตตานี"/>
    <n v="0"/>
    <s v="-"/>
    <n v="0"/>
    <s v="-"/>
    <n v="44632"/>
    <n v="46805"/>
    <n v="91437"/>
    <n v="33717"/>
  </r>
  <r>
    <n v="6712"/>
    <n v="94"/>
    <x v="74"/>
    <n v="9402"/>
    <s v="อำเภอโคกโพธิ์"/>
    <n v="0"/>
    <s v="-"/>
    <n v="0"/>
    <s v="-"/>
    <n v="30823"/>
    <n v="32294"/>
    <n v="63117"/>
    <n v="18698"/>
  </r>
  <r>
    <n v="6712"/>
    <n v="94"/>
    <x v="74"/>
    <n v="9403"/>
    <s v="อำเภอหนองจิก"/>
    <n v="0"/>
    <s v="-"/>
    <n v="0"/>
    <s v="-"/>
    <n v="30475"/>
    <n v="30901"/>
    <n v="61376"/>
    <n v="14493"/>
  </r>
  <r>
    <n v="6712"/>
    <n v="94"/>
    <x v="74"/>
    <n v="9404"/>
    <s v="อำเภอปะนาเระ"/>
    <n v="0"/>
    <s v="-"/>
    <n v="0"/>
    <s v="-"/>
    <n v="18363"/>
    <n v="19031"/>
    <n v="37394"/>
    <n v="10039"/>
  </r>
  <r>
    <n v="6712"/>
    <n v="94"/>
    <x v="74"/>
    <n v="9405"/>
    <s v="อำเภอมายอ"/>
    <n v="0"/>
    <s v="-"/>
    <n v="0"/>
    <s v="-"/>
    <n v="28830"/>
    <n v="29394"/>
    <n v="58224"/>
    <n v="13685"/>
  </r>
  <r>
    <n v="6712"/>
    <n v="94"/>
    <x v="74"/>
    <n v="9406"/>
    <s v="อำเภอทุ่งยางแดง"/>
    <n v="0"/>
    <s v="-"/>
    <n v="0"/>
    <s v="-"/>
    <n v="12906"/>
    <n v="13306"/>
    <n v="26212"/>
    <n v="6218"/>
  </r>
  <r>
    <n v="6712"/>
    <n v="94"/>
    <x v="74"/>
    <n v="9407"/>
    <s v="อำเภอสายบุรี"/>
    <n v="0"/>
    <s v="-"/>
    <n v="0"/>
    <s v="-"/>
    <n v="28555"/>
    <n v="29784"/>
    <n v="58339"/>
    <n v="14331"/>
  </r>
  <r>
    <n v="6712"/>
    <n v="94"/>
    <x v="74"/>
    <n v="9408"/>
    <s v="อำเภอไม้แก่น"/>
    <n v="0"/>
    <s v="-"/>
    <n v="0"/>
    <s v="-"/>
    <n v="6506"/>
    <n v="6746"/>
    <n v="13252"/>
    <n v="3645"/>
  </r>
  <r>
    <n v="6712"/>
    <n v="94"/>
    <x v="74"/>
    <n v="9409"/>
    <s v="อำเภอยะหริ่ง"/>
    <n v="0"/>
    <s v="-"/>
    <n v="0"/>
    <s v="-"/>
    <n v="36391"/>
    <n v="36861"/>
    <n v="73252"/>
    <n v="17067"/>
  </r>
  <r>
    <n v="6712"/>
    <n v="94"/>
    <x v="74"/>
    <n v="9410"/>
    <s v="อำเภอยะรัง"/>
    <n v="0"/>
    <s v="-"/>
    <n v="0"/>
    <s v="-"/>
    <n v="46438"/>
    <n v="46759"/>
    <n v="93197"/>
    <n v="22771"/>
  </r>
  <r>
    <n v="6712"/>
    <n v="94"/>
    <x v="74"/>
    <n v="9411"/>
    <s v="อำเภอกะพ้อ"/>
    <n v="0"/>
    <s v="-"/>
    <n v="0"/>
    <s v="-"/>
    <n v="9658"/>
    <n v="9883"/>
    <n v="19541"/>
    <n v="4678"/>
  </r>
  <r>
    <n v="6712"/>
    <n v="94"/>
    <x v="74"/>
    <n v="9412"/>
    <s v="อำเภอแม่ลาน"/>
    <n v="0"/>
    <s v="-"/>
    <n v="0"/>
    <s v="-"/>
    <n v="8910"/>
    <n v="9088"/>
    <n v="17998"/>
    <n v="4803"/>
  </r>
  <r>
    <n v="6712"/>
    <n v="94"/>
    <x v="74"/>
    <n v="9488"/>
    <s v="ท้องถิ่นเทศบาลตำบลยะรัง"/>
    <n v="0"/>
    <s v="-"/>
    <n v="0"/>
    <s v="-"/>
    <n v="2519"/>
    <n v="2671"/>
    <n v="5190"/>
    <n v="1453"/>
  </r>
  <r>
    <n v="6712"/>
    <n v="94"/>
    <x v="74"/>
    <n v="9489"/>
    <s v="ท้องถิ่นเทศบาลตำบลยะหริ่ง"/>
    <n v="0"/>
    <s v="-"/>
    <n v="0"/>
    <s v="-"/>
    <n v="3182"/>
    <n v="3064"/>
    <n v="6246"/>
    <n v="2016"/>
  </r>
  <r>
    <n v="6712"/>
    <n v="94"/>
    <x v="74"/>
    <n v="9490"/>
    <s v="ท้องถิ่นเทศบาลตำบลบางปู"/>
    <n v="0"/>
    <s v="-"/>
    <n v="0"/>
    <s v="-"/>
    <n v="5255"/>
    <n v="5356"/>
    <n v="10611"/>
    <n v="2468"/>
  </r>
  <r>
    <n v="6712"/>
    <n v="94"/>
    <x v="74"/>
    <n v="9491"/>
    <s v="ท้องถิ่นเทศบาลตำบลตันหยง"/>
    <n v="0"/>
    <s v="-"/>
    <n v="0"/>
    <s v="-"/>
    <n v="1362"/>
    <n v="1541"/>
    <n v="2903"/>
    <n v="759"/>
  </r>
  <r>
    <n v="6712"/>
    <n v="94"/>
    <x v="74"/>
    <n v="9492"/>
    <s v="ท้องถิ่นเทศบาลตำบลมายอ"/>
    <n v="0"/>
    <s v="-"/>
    <n v="0"/>
    <s v="-"/>
    <n v="2500"/>
    <n v="2526"/>
    <n v="5026"/>
    <n v="1308"/>
  </r>
  <r>
    <n v="6712"/>
    <n v="94"/>
    <x v="74"/>
    <n v="9493"/>
    <s v="ท้องถิ่นเทศบาลตำบลปะนาเระ"/>
    <n v="0"/>
    <s v="-"/>
    <n v="0"/>
    <s v="-"/>
    <n v="5517"/>
    <n v="5533"/>
    <n v="11050"/>
    <n v="2915"/>
  </r>
  <r>
    <n v="6712"/>
    <n v="94"/>
    <x v="74"/>
    <n v="9494"/>
    <s v="ท้องถิ่นเทศบาลตำบลหนองจิก"/>
    <n v="0"/>
    <s v="-"/>
    <n v="0"/>
    <s v="-"/>
    <n v="3112"/>
    <n v="3132"/>
    <n v="6244"/>
    <n v="2101"/>
  </r>
  <r>
    <n v="6712"/>
    <n v="94"/>
    <x v="74"/>
    <n v="9495"/>
    <s v="ท้องถิ่นเทศบาลตำบลบ่อทอง"/>
    <n v="0"/>
    <s v="-"/>
    <n v="0"/>
    <s v="-"/>
    <n v="9400"/>
    <n v="6618"/>
    <n v="16018"/>
    <n v="6152"/>
  </r>
  <r>
    <n v="6712"/>
    <n v="94"/>
    <x v="74"/>
    <n v="9496"/>
    <s v="ท้องถิ่นเทศบาลตำบลนาประดู่"/>
    <n v="0"/>
    <s v="-"/>
    <n v="0"/>
    <s v="-"/>
    <n v="1469"/>
    <n v="1603"/>
    <n v="3072"/>
    <n v="1469"/>
  </r>
  <r>
    <n v="6712"/>
    <n v="94"/>
    <x v="74"/>
    <n v="9497"/>
    <s v="ท้องถิ่นเทศบาลตำบลโคกโพธิ์"/>
    <n v="0"/>
    <s v="-"/>
    <n v="0"/>
    <s v="-"/>
    <n v="1593"/>
    <n v="1825"/>
    <n v="3418"/>
    <n v="1933"/>
  </r>
  <r>
    <n v="6712"/>
    <n v="94"/>
    <x v="74"/>
    <n v="9498"/>
    <s v="ท้องถิ่นเทศบาลเมืองตะลุบัน"/>
    <n v="0"/>
    <s v="-"/>
    <n v="0"/>
    <s v="-"/>
    <n v="7156"/>
    <n v="7378"/>
    <n v="14534"/>
    <n v="4727"/>
  </r>
  <r>
    <n v="6712"/>
    <n v="94"/>
    <x v="74"/>
    <n v="9499"/>
    <s v="ท้องถิ่นเทศบาลเมืองปัตตานี"/>
    <n v="0"/>
    <s v="-"/>
    <n v="0"/>
    <s v="-"/>
    <n v="20980"/>
    <n v="22273"/>
    <n v="43253"/>
    <n v="16563"/>
  </r>
  <r>
    <n v="6712"/>
    <n v="95"/>
    <x v="75"/>
    <n v="0"/>
    <s v="-"/>
    <n v="0"/>
    <s v="-"/>
    <n v="0"/>
    <s v="-"/>
    <n v="274701"/>
    <n v="278273"/>
    <n v="552974"/>
    <n v="181284"/>
  </r>
  <r>
    <n v="6712"/>
    <n v="95"/>
    <x v="75"/>
    <n v="9501"/>
    <s v="อำเภอเมืองยะลา"/>
    <n v="0"/>
    <s v="-"/>
    <n v="0"/>
    <s v="-"/>
    <n v="38800"/>
    <n v="39786"/>
    <n v="78586"/>
    <n v="20212"/>
  </r>
  <r>
    <n v="6712"/>
    <n v="95"/>
    <x v="75"/>
    <n v="9502"/>
    <s v="อำเภอเบตง"/>
    <n v="0"/>
    <s v="-"/>
    <n v="0"/>
    <s v="-"/>
    <n v="18751"/>
    <n v="17716"/>
    <n v="36467"/>
    <n v="16253"/>
  </r>
  <r>
    <n v="6712"/>
    <n v="95"/>
    <x v="75"/>
    <n v="9503"/>
    <s v="อำเภอบันนังสตา"/>
    <n v="0"/>
    <s v="-"/>
    <n v="0"/>
    <s v="-"/>
    <n v="29480"/>
    <n v="28578"/>
    <n v="58058"/>
    <n v="16646"/>
  </r>
  <r>
    <n v="6712"/>
    <n v="95"/>
    <x v="75"/>
    <n v="9504"/>
    <s v="อำเภอธารโต"/>
    <n v="0"/>
    <s v="-"/>
    <n v="0"/>
    <s v="-"/>
    <n v="12941"/>
    <n v="11953"/>
    <n v="24894"/>
    <n v="9444"/>
  </r>
  <r>
    <n v="6712"/>
    <n v="95"/>
    <x v="75"/>
    <n v="9505"/>
    <s v="อำเภอยะหา"/>
    <n v="0"/>
    <s v="-"/>
    <n v="0"/>
    <s v="-"/>
    <n v="31859"/>
    <n v="31696"/>
    <n v="63555"/>
    <n v="15280"/>
  </r>
  <r>
    <n v="6712"/>
    <n v="95"/>
    <x v="75"/>
    <n v="9506"/>
    <s v="อำเภอรามัน"/>
    <n v="0"/>
    <s v="-"/>
    <n v="0"/>
    <s v="-"/>
    <n v="43642"/>
    <n v="44607"/>
    <n v="88249"/>
    <n v="21827"/>
  </r>
  <r>
    <n v="6712"/>
    <n v="95"/>
    <x v="75"/>
    <n v="9507"/>
    <s v="อำเภอกาบัง"/>
    <n v="0"/>
    <s v="-"/>
    <n v="0"/>
    <s v="-"/>
    <n v="13416"/>
    <n v="12801"/>
    <n v="26217"/>
    <n v="7475"/>
  </r>
  <r>
    <n v="6712"/>
    <n v="95"/>
    <x v="75"/>
    <n v="9508"/>
    <s v="อำเภอกรงปินัง"/>
    <n v="0"/>
    <s v="-"/>
    <n v="0"/>
    <s v="-"/>
    <n v="15754"/>
    <n v="15469"/>
    <n v="31223"/>
    <n v="6703"/>
  </r>
  <r>
    <n v="6712"/>
    <n v="95"/>
    <x v="75"/>
    <n v="9590"/>
    <s v="ท้องถิ่นเทศบาลเมืองสะเตงนอก"/>
    <n v="0"/>
    <s v="-"/>
    <n v="0"/>
    <s v="-"/>
    <n v="18302"/>
    <n v="19783"/>
    <n v="38085"/>
    <n v="17414"/>
  </r>
  <r>
    <n v="6712"/>
    <n v="95"/>
    <x v="75"/>
    <n v="9591"/>
    <s v="ท้องถิ่นเทศบาลตำบลเขื่อนบางลาง"/>
    <n v="0"/>
    <s v="-"/>
    <n v="0"/>
    <s v="-"/>
    <n v="2451"/>
    <n v="2209"/>
    <n v="4660"/>
    <n v="2076"/>
  </r>
  <r>
    <n v="6712"/>
    <n v="95"/>
    <x v="75"/>
    <n v="9592"/>
    <s v="ท้องถิ่นเทศบาลตำบลโกตาบารู"/>
    <n v="0"/>
    <s v="-"/>
    <n v="0"/>
    <s v="-"/>
    <n v="2949"/>
    <n v="3076"/>
    <n v="6025"/>
    <n v="1811"/>
  </r>
  <r>
    <n v="6712"/>
    <n v="95"/>
    <x v="75"/>
    <n v="9593"/>
    <s v="ท้องถิ่นเทศบาลตำบลเมืองรามันห์"/>
    <n v="0"/>
    <s v="-"/>
    <n v="0"/>
    <s v="-"/>
    <n v="2537"/>
    <n v="2594"/>
    <n v="5131"/>
    <n v="1960"/>
  </r>
  <r>
    <n v="6712"/>
    <n v="95"/>
    <x v="75"/>
    <n v="9594"/>
    <s v="ท้องถิ่นเทศบาลตำบลยะหา"/>
    <n v="0"/>
    <s v="-"/>
    <n v="0"/>
    <s v="-"/>
    <n v="1246"/>
    <n v="1215"/>
    <n v="2461"/>
    <n v="812"/>
  </r>
  <r>
    <n v="6712"/>
    <n v="95"/>
    <x v="75"/>
    <n v="9595"/>
    <s v="ท้องถิ่นเทศบาลตำบลคอกช้าง"/>
    <n v="0"/>
    <s v="-"/>
    <n v="0"/>
    <s v="-"/>
    <n v="719"/>
    <n v="706"/>
    <n v="1425"/>
    <n v="603"/>
  </r>
  <r>
    <n v="6712"/>
    <n v="95"/>
    <x v="75"/>
    <n v="9596"/>
    <s v="ท้องถิ่นเทศบาลตำบลบันนังสตา"/>
    <n v="0"/>
    <s v="-"/>
    <n v="0"/>
    <s v="-"/>
    <n v="1268"/>
    <n v="1275"/>
    <n v="2543"/>
    <n v="1060"/>
  </r>
  <r>
    <n v="6712"/>
    <n v="95"/>
    <x v="75"/>
    <n v="9597"/>
    <s v="ท้องถิ่นเทศบาลตำบลลำใหม่"/>
    <n v="0"/>
    <s v="-"/>
    <n v="0"/>
    <s v="-"/>
    <n v="514"/>
    <n v="527"/>
    <n v="1041"/>
    <n v="393"/>
  </r>
  <r>
    <n v="6712"/>
    <n v="95"/>
    <x v="75"/>
    <n v="9598"/>
    <s v="ท้องถิ่นเทศบาลเมืองเบตง"/>
    <n v="0"/>
    <s v="-"/>
    <n v="0"/>
    <s v="-"/>
    <n v="12437"/>
    <n v="13467"/>
    <n v="25904"/>
    <n v="11651"/>
  </r>
  <r>
    <n v="6712"/>
    <n v="95"/>
    <x v="75"/>
    <n v="9599"/>
    <s v="ท้องถิ่นเทศบาลนครยะลา"/>
    <n v="0"/>
    <s v="-"/>
    <n v="0"/>
    <s v="-"/>
    <n v="27635"/>
    <n v="30815"/>
    <n v="58450"/>
    <n v="29664"/>
  </r>
  <r>
    <n v="6712"/>
    <n v="96"/>
    <x v="76"/>
    <n v="0"/>
    <s v="-"/>
    <n v="0"/>
    <s v="-"/>
    <n v="0"/>
    <s v="-"/>
    <n v="407632"/>
    <n v="416364"/>
    <n v="823996"/>
    <n v="232664"/>
  </r>
  <r>
    <n v="6712"/>
    <n v="96"/>
    <x v="76"/>
    <n v="9601"/>
    <s v="อำเภอเมืองนราธิวาส"/>
    <n v="0"/>
    <s v="-"/>
    <n v="0"/>
    <s v="-"/>
    <n v="44411"/>
    <n v="44203"/>
    <n v="88614"/>
    <n v="28297"/>
  </r>
  <r>
    <n v="6712"/>
    <n v="96"/>
    <x v="76"/>
    <n v="9602"/>
    <s v="อำเภอตากใบ"/>
    <n v="0"/>
    <s v="-"/>
    <n v="0"/>
    <s v="-"/>
    <n v="27379"/>
    <n v="28121"/>
    <n v="55500"/>
    <n v="12788"/>
  </r>
  <r>
    <n v="6712"/>
    <n v="96"/>
    <x v="76"/>
    <n v="9603"/>
    <s v="อำเภอบาเจาะ"/>
    <n v="0"/>
    <s v="-"/>
    <n v="0"/>
    <s v="-"/>
    <n v="20807"/>
    <n v="21493"/>
    <n v="42300"/>
    <n v="9876"/>
  </r>
  <r>
    <n v="6712"/>
    <n v="96"/>
    <x v="76"/>
    <n v="9604"/>
    <s v="อำเภอยี่งอ"/>
    <n v="0"/>
    <s v="-"/>
    <n v="0"/>
    <s v="-"/>
    <n v="22357"/>
    <n v="22972"/>
    <n v="45329"/>
    <n v="11101"/>
  </r>
  <r>
    <n v="6712"/>
    <n v="96"/>
    <x v="76"/>
    <n v="9605"/>
    <s v="อำเภอระแงะ"/>
    <n v="0"/>
    <s v="-"/>
    <n v="0"/>
    <s v="-"/>
    <n v="39255"/>
    <n v="40607"/>
    <n v="79862"/>
    <n v="18377"/>
  </r>
  <r>
    <n v="6712"/>
    <n v="96"/>
    <x v="76"/>
    <n v="9606"/>
    <s v="อำเภอรือเสาะ"/>
    <n v="0"/>
    <s v="-"/>
    <n v="0"/>
    <s v="-"/>
    <n v="34281"/>
    <n v="34309"/>
    <n v="68590"/>
    <n v="16441"/>
  </r>
  <r>
    <n v="6712"/>
    <n v="96"/>
    <x v="76"/>
    <n v="9607"/>
    <s v="อำเภอศรีสาคร"/>
    <n v="0"/>
    <s v="-"/>
    <n v="0"/>
    <s v="-"/>
    <n v="19201"/>
    <n v="18678"/>
    <n v="37879"/>
    <n v="10045"/>
  </r>
  <r>
    <n v="6712"/>
    <n v="96"/>
    <x v="76"/>
    <n v="9608"/>
    <s v="อำเภอแว้ง"/>
    <n v="0"/>
    <s v="-"/>
    <n v="0"/>
    <s v="-"/>
    <n v="22201"/>
    <n v="22633"/>
    <n v="44834"/>
    <n v="10977"/>
  </r>
  <r>
    <n v="6712"/>
    <n v="96"/>
    <x v="76"/>
    <n v="9609"/>
    <s v="อำเภอสุคิริน"/>
    <n v="0"/>
    <s v="-"/>
    <n v="0"/>
    <s v="-"/>
    <n v="11786"/>
    <n v="11357"/>
    <n v="23143"/>
    <n v="7666"/>
  </r>
  <r>
    <n v="6712"/>
    <n v="96"/>
    <x v="76"/>
    <n v="9610"/>
    <s v="อำเภอสุไหงโกลก"/>
    <n v="0"/>
    <s v="-"/>
    <n v="0"/>
    <s v="-"/>
    <n v="19057"/>
    <n v="20215"/>
    <n v="39272"/>
    <n v="11845"/>
  </r>
  <r>
    <n v="6712"/>
    <n v="96"/>
    <x v="76"/>
    <n v="9611"/>
    <s v="อำเภอสุไหงปาดี"/>
    <n v="0"/>
    <s v="-"/>
    <n v="0"/>
    <s v="-"/>
    <n v="24342"/>
    <n v="24998"/>
    <n v="49340"/>
    <n v="12786"/>
  </r>
  <r>
    <n v="6712"/>
    <n v="96"/>
    <x v="76"/>
    <n v="9612"/>
    <s v="อำเภอจะแนะ"/>
    <n v="0"/>
    <s v="-"/>
    <n v="0"/>
    <s v="-"/>
    <n v="20540"/>
    <n v="19989"/>
    <n v="40529"/>
    <n v="10159"/>
  </r>
  <r>
    <n v="6712"/>
    <n v="96"/>
    <x v="76"/>
    <n v="9613"/>
    <s v="อำเภอเจาะไอร้อง"/>
    <n v="0"/>
    <s v="-"/>
    <n v="0"/>
    <s v="-"/>
    <n v="20774"/>
    <n v="20945"/>
    <n v="41719"/>
    <n v="10241"/>
  </r>
  <r>
    <n v="6712"/>
    <n v="96"/>
    <x v="76"/>
    <n v="9686"/>
    <s v="ท้องถิ่นเทศบาลตำบลปะลุรู"/>
    <n v="0"/>
    <s v="-"/>
    <n v="0"/>
    <s v="-"/>
    <n v="3400"/>
    <n v="3578"/>
    <n v="6978"/>
    <n v="2172"/>
  </r>
  <r>
    <n v="6712"/>
    <n v="96"/>
    <x v="76"/>
    <n v="9687"/>
    <s v="ท้องถิ่นเทศบาลตำบลสุคิริน"/>
    <n v="0"/>
    <s v="-"/>
    <n v="0"/>
    <s v="-"/>
    <n v="1754"/>
    <n v="1685"/>
    <n v="3439"/>
    <n v="1650"/>
  </r>
  <r>
    <n v="6712"/>
    <n v="96"/>
    <x v="76"/>
    <n v="9688"/>
    <s v="ท้องถิ่นเทศบาลตำบลแว้ง"/>
    <n v="0"/>
    <s v="-"/>
    <n v="0"/>
    <s v="-"/>
    <n v="2561"/>
    <n v="2708"/>
    <n v="5269"/>
    <n v="1731"/>
  </r>
  <r>
    <n v="6712"/>
    <n v="96"/>
    <x v="76"/>
    <n v="9689"/>
    <s v="ท้องถิ่นเทศบาลตำบลบูเก๊ะตา"/>
    <n v="0"/>
    <s v="-"/>
    <n v="0"/>
    <s v="-"/>
    <n v="2553"/>
    <n v="2716"/>
    <n v="5269"/>
    <n v="1484"/>
  </r>
  <r>
    <n v="6712"/>
    <n v="96"/>
    <x v="76"/>
    <n v="9690"/>
    <s v="ท้องถิ่นเทศบาลตำบลศรีสาคร"/>
    <n v="0"/>
    <s v="-"/>
    <n v="0"/>
    <s v="-"/>
    <n v="2635"/>
    <n v="2565"/>
    <n v="5200"/>
    <n v="1924"/>
  </r>
  <r>
    <n v="6712"/>
    <n v="96"/>
    <x v="76"/>
    <n v="9691"/>
    <s v="ท้องถิ่นเทศบาลตำบลรือเสาะ"/>
    <n v="0"/>
    <s v="-"/>
    <n v="0"/>
    <s v="-"/>
    <n v="3672"/>
    <n v="3817"/>
    <n v="7489"/>
    <n v="3753"/>
  </r>
  <r>
    <n v="6712"/>
    <n v="96"/>
    <x v="76"/>
    <n v="9692"/>
    <s v="ท้องถิ่นเทศบาลตำบลมะรือโบตก"/>
    <n v="0"/>
    <s v="-"/>
    <n v="0"/>
    <s v="-"/>
    <n v="4399"/>
    <n v="4280"/>
    <n v="8679"/>
    <n v="1842"/>
  </r>
  <r>
    <n v="6712"/>
    <n v="96"/>
    <x v="76"/>
    <n v="9693"/>
    <s v="ท้องถิ่นเทศบาลตำบลตันหยงมัส"/>
    <n v="0"/>
    <s v="-"/>
    <n v="0"/>
    <s v="-"/>
    <n v="3251"/>
    <n v="3501"/>
    <n v="6752"/>
    <n v="3920"/>
  </r>
  <r>
    <n v="6712"/>
    <n v="96"/>
    <x v="76"/>
    <n v="9694"/>
    <s v="ท้องถิ่นเทศบาลตำบลยี่งอ"/>
    <n v="0"/>
    <s v="-"/>
    <n v="0"/>
    <s v="-"/>
    <n v="1549"/>
    <n v="1538"/>
    <n v="3087"/>
    <n v="1148"/>
  </r>
  <r>
    <n v="6712"/>
    <n v="96"/>
    <x v="76"/>
    <n v="9695"/>
    <s v="ท้องถิ่นเทศบาลตำบลบาเจาะ"/>
    <n v="0"/>
    <s v="-"/>
    <n v="0"/>
    <s v="-"/>
    <n v="4857"/>
    <n v="4863"/>
    <n v="9720"/>
    <n v="2380"/>
  </r>
  <r>
    <n v="6712"/>
    <n v="96"/>
    <x v="76"/>
    <n v="9696"/>
    <s v="ท้องถิ่นเทศบาลตำบลต้นไทร"/>
    <n v="0"/>
    <s v="-"/>
    <n v="0"/>
    <s v="-"/>
    <n v="2472"/>
    <n v="2696"/>
    <n v="5168"/>
    <n v="1501"/>
  </r>
  <r>
    <n v="6712"/>
    <n v="96"/>
    <x v="76"/>
    <n v="9697"/>
    <s v="ท้องถิ่นเทศบาลเมืองตากใบ"/>
    <n v="0"/>
    <s v="-"/>
    <n v="0"/>
    <s v="-"/>
    <n v="9814"/>
    <n v="10377"/>
    <n v="20191"/>
    <n v="6005"/>
  </r>
  <r>
    <n v="6712"/>
    <n v="96"/>
    <x v="76"/>
    <n v="9698"/>
    <s v="ท้องถิ่นเทศบาลเมืองสุไหงโกลก"/>
    <n v="0"/>
    <s v="-"/>
    <n v="0"/>
    <s v="-"/>
    <n v="18723"/>
    <n v="20858"/>
    <n v="39581"/>
    <n v="15884"/>
  </r>
  <r>
    <n v="6712"/>
    <n v="96"/>
    <x v="76"/>
    <n v="9699"/>
    <s v="ท้องถิ่นเทศบาลเมืองนราธิวาส"/>
    <n v="0"/>
    <s v="-"/>
    <n v="0"/>
    <s v="-"/>
    <n v="19601"/>
    <n v="20662"/>
    <n v="40263"/>
    <n v="166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0">
  <r>
    <n v="10"/>
    <x v="0"/>
    <x v="0"/>
    <n v="2544400"/>
    <n v="2910620"/>
    <n v="5455020"/>
    <n v="3304462"/>
  </r>
  <r>
    <n v="10"/>
    <x v="0"/>
    <x v="0"/>
    <n v="19110"/>
    <n v="20235"/>
    <n v="39345"/>
    <n v="19016"/>
  </r>
  <r>
    <n v="10"/>
    <x v="0"/>
    <x v="0"/>
    <n v="39732"/>
    <n v="34852"/>
    <n v="74584"/>
    <n v="32869"/>
  </r>
  <r>
    <n v="10"/>
    <x v="0"/>
    <x v="0"/>
    <n v="90282"/>
    <n v="95945"/>
    <n v="186227"/>
    <n v="74844"/>
  </r>
  <r>
    <n v="10"/>
    <x v="0"/>
    <x v="0"/>
    <n v="19497"/>
    <n v="22204"/>
    <n v="41701"/>
    <n v="36025"/>
  </r>
  <r>
    <n v="10"/>
    <x v="0"/>
    <x v="0"/>
    <n v="85680"/>
    <n v="98551"/>
    <n v="184231"/>
    <n v="119489"/>
  </r>
  <r>
    <n v="10"/>
    <x v="0"/>
    <x v="0"/>
    <n v="63927"/>
    <n v="77485"/>
    <n v="141412"/>
    <n v="117821"/>
  </r>
  <r>
    <n v="10"/>
    <x v="0"/>
    <x v="0"/>
    <n v="18530"/>
    <n v="20869"/>
    <n v="39399"/>
    <n v="32452"/>
  </r>
  <r>
    <n v="10"/>
    <x v="0"/>
    <x v="0"/>
    <n v="18021"/>
    <n v="18884"/>
    <n v="36905"/>
    <n v="19623"/>
  </r>
  <r>
    <n v="10"/>
    <x v="0"/>
    <x v="0"/>
    <n v="37951"/>
    <n v="47119"/>
    <n v="85070"/>
    <n v="65282"/>
  </r>
  <r>
    <n v="10"/>
    <x v="0"/>
    <x v="0"/>
    <n v="66126"/>
    <n v="74626"/>
    <n v="140752"/>
    <n v="66394"/>
  </r>
  <r>
    <n v="10"/>
    <x v="0"/>
    <x v="0"/>
    <n v="85480"/>
    <n v="95773"/>
    <n v="181253"/>
    <n v="108362"/>
  </r>
  <r>
    <n v="10"/>
    <x v="0"/>
    <x v="0"/>
    <n v="33567"/>
    <n v="39266"/>
    <n v="72833"/>
    <n v="54412"/>
  </r>
  <r>
    <n v="10"/>
    <x v="0"/>
    <x v="0"/>
    <n v="9144"/>
    <n v="9701"/>
    <n v="18845"/>
    <n v="13160"/>
  </r>
  <r>
    <n v="10"/>
    <x v="0"/>
    <x v="0"/>
    <n v="30205"/>
    <n v="32820"/>
    <n v="63025"/>
    <n v="46536"/>
  </r>
  <r>
    <n v="10"/>
    <x v="0"/>
    <x v="0"/>
    <n v="45180"/>
    <n v="51989"/>
    <n v="97169"/>
    <n v="65530"/>
  </r>
  <r>
    <n v="10"/>
    <x v="0"/>
    <x v="0"/>
    <n v="27759"/>
    <n v="32038"/>
    <n v="59797"/>
    <n v="32954"/>
  </r>
  <r>
    <n v="10"/>
    <x v="0"/>
    <x v="0"/>
    <n v="37334"/>
    <n v="46624"/>
    <n v="83958"/>
    <n v="95001"/>
  </r>
  <r>
    <n v="10"/>
    <x v="0"/>
    <x v="0"/>
    <n v="29066"/>
    <n v="34291"/>
    <n v="63357"/>
    <n v="42956"/>
  </r>
  <r>
    <n v="10"/>
    <x v="0"/>
    <x v="0"/>
    <n v="46929"/>
    <n v="53958"/>
    <n v="100887"/>
    <n v="45173"/>
  </r>
  <r>
    <n v="10"/>
    <x v="0"/>
    <x v="0"/>
    <n v="44877"/>
    <n v="51868"/>
    <n v="96745"/>
    <n v="55591"/>
  </r>
  <r>
    <n v="10"/>
    <x v="0"/>
    <x v="0"/>
    <n v="87025"/>
    <n v="98570"/>
    <n v="185595"/>
    <n v="95111"/>
  </r>
  <r>
    <n v="10"/>
    <x v="0"/>
    <x v="0"/>
    <n v="56096"/>
    <n v="65620"/>
    <n v="121716"/>
    <n v="69711"/>
  </r>
  <r>
    <n v="10"/>
    <x v="0"/>
    <x v="0"/>
    <n v="71814"/>
    <n v="83142"/>
    <n v="154956"/>
    <n v="66262"/>
  </r>
  <r>
    <n v="10"/>
    <x v="0"/>
    <x v="0"/>
    <n v="35669"/>
    <n v="39308"/>
    <n v="74977"/>
    <n v="39190"/>
  </r>
  <r>
    <n v="10"/>
    <x v="0"/>
    <x v="0"/>
    <n v="39053"/>
    <n v="47518"/>
    <n v="86571"/>
    <n v="60745"/>
  </r>
  <r>
    <n v="10"/>
    <x v="0"/>
    <x v="0"/>
    <n v="50731"/>
    <n v="60049"/>
    <n v="110780"/>
    <n v="65046"/>
  </r>
  <r>
    <n v="10"/>
    <x v="0"/>
    <x v="0"/>
    <n v="61733"/>
    <n v="74375"/>
    <n v="136108"/>
    <n v="77441"/>
  </r>
  <r>
    <n v="10"/>
    <x v="0"/>
    <x v="0"/>
    <n v="33209"/>
    <n v="37111"/>
    <n v="70320"/>
    <n v="45256"/>
  </r>
  <r>
    <n v="10"/>
    <x v="0"/>
    <x v="0"/>
    <n v="54023"/>
    <n v="63483"/>
    <n v="117506"/>
    <n v="78559"/>
  </r>
  <r>
    <n v="10"/>
    <x v="0"/>
    <x v="0"/>
    <n v="70502"/>
    <n v="83998"/>
    <n v="154500"/>
    <n v="140621"/>
  </r>
  <r>
    <n v="10"/>
    <x v="0"/>
    <x v="0"/>
    <n v="35777"/>
    <n v="40447"/>
    <n v="76224"/>
    <n v="40867"/>
  </r>
  <r>
    <n v="10"/>
    <x v="0"/>
    <x v="0"/>
    <n v="86073"/>
    <n v="98282"/>
    <n v="184355"/>
    <n v="97910"/>
  </r>
  <r>
    <n v="10"/>
    <x v="0"/>
    <x v="0"/>
    <n v="41969"/>
    <n v="47044"/>
    <n v="89013"/>
    <n v="83803"/>
  </r>
  <r>
    <n v="10"/>
    <x v="0"/>
    <x v="0"/>
    <n v="56013"/>
    <n v="67392"/>
    <n v="123405"/>
    <n v="85646"/>
  </r>
  <r>
    <n v="10"/>
    <x v="0"/>
    <x v="0"/>
    <n v="65638"/>
    <n v="73789"/>
    <n v="139427"/>
    <n v="74595"/>
  </r>
  <r>
    <n v="10"/>
    <x v="0"/>
    <x v="0"/>
    <n v="82415"/>
    <n v="83632"/>
    <n v="166047"/>
    <n v="83308"/>
  </r>
  <r>
    <n v="10"/>
    <x v="0"/>
    <x v="0"/>
    <n v="29553"/>
    <n v="33079"/>
    <n v="62632"/>
    <n v="58075"/>
  </r>
  <r>
    <n v="10"/>
    <x v="0"/>
    <x v="0"/>
    <n v="50667"/>
    <n v="61419"/>
    <n v="112086"/>
    <n v="60732"/>
  </r>
  <r>
    <n v="10"/>
    <x v="0"/>
    <x v="0"/>
    <n v="37206"/>
    <n v="43066"/>
    <n v="80272"/>
    <n v="87305"/>
  </r>
  <r>
    <n v="10"/>
    <x v="0"/>
    <x v="0"/>
    <n v="88757"/>
    <n v="103724"/>
    <n v="192481"/>
    <n v="97890"/>
  </r>
  <r>
    <n v="10"/>
    <x v="0"/>
    <x v="0"/>
    <n v="46653"/>
    <n v="51524"/>
    <n v="98177"/>
    <n v="62353"/>
  </r>
  <r>
    <n v="10"/>
    <x v="0"/>
    <x v="0"/>
    <n v="99098"/>
    <n v="113477"/>
    <n v="212575"/>
    <n v="112297"/>
  </r>
  <r>
    <n v="10"/>
    <x v="0"/>
    <x v="0"/>
    <n v="43668"/>
    <n v="50526"/>
    <n v="94194"/>
    <n v="48118"/>
  </r>
  <r>
    <n v="10"/>
    <x v="0"/>
    <x v="0"/>
    <n v="44684"/>
    <n v="52975"/>
    <n v="97659"/>
    <n v="43914"/>
  </r>
  <r>
    <n v="10"/>
    <x v="0"/>
    <x v="0"/>
    <n v="46600"/>
    <n v="56456"/>
    <n v="103056"/>
    <n v="65168"/>
  </r>
  <r>
    <n v="10"/>
    <x v="0"/>
    <x v="0"/>
    <n v="100401"/>
    <n v="113910"/>
    <n v="214311"/>
    <n v="93955"/>
  </r>
  <r>
    <n v="10"/>
    <x v="0"/>
    <x v="0"/>
    <n v="39112"/>
    <n v="45889"/>
    <n v="85001"/>
    <n v="78445"/>
  </r>
  <r>
    <n v="10"/>
    <x v="0"/>
    <x v="0"/>
    <n v="37026"/>
    <n v="43323"/>
    <n v="80349"/>
    <n v="37042"/>
  </r>
  <r>
    <n v="10"/>
    <x v="0"/>
    <x v="0"/>
    <n v="57702"/>
    <n v="66362"/>
    <n v="124064"/>
    <n v="57688"/>
  </r>
  <r>
    <n v="10"/>
    <x v="0"/>
    <x v="0"/>
    <n v="47136"/>
    <n v="52032"/>
    <n v="99168"/>
    <n v="53919"/>
  </r>
  <r>
    <n v="11"/>
    <x v="1"/>
    <x v="0"/>
    <n v="654057"/>
    <n v="726769"/>
    <n v="1380826"/>
    <n v="783230"/>
  </r>
  <r>
    <n v="11"/>
    <x v="1"/>
    <x v="0"/>
    <n v="61166"/>
    <n v="68415"/>
    <n v="129581"/>
    <n v="61601"/>
  </r>
  <r>
    <n v="11"/>
    <x v="1"/>
    <x v="0"/>
    <n v="48301"/>
    <n v="51734"/>
    <n v="100035"/>
    <n v="52769"/>
  </r>
  <r>
    <n v="11"/>
    <x v="1"/>
    <x v="0"/>
    <n v="133427"/>
    <n v="152067"/>
    <n v="285494"/>
    <n v="192624"/>
  </r>
  <r>
    <n v="11"/>
    <x v="1"/>
    <x v="0"/>
    <n v="17857"/>
    <n v="19426"/>
    <n v="37283"/>
    <n v="13733"/>
  </r>
  <r>
    <n v="11"/>
    <x v="1"/>
    <x v="0"/>
    <n v="60736"/>
    <n v="66527"/>
    <n v="127263"/>
    <n v="61264"/>
  </r>
  <r>
    <n v="11"/>
    <x v="1"/>
    <x v="0"/>
    <n v="30437"/>
    <n v="33064"/>
    <n v="63501"/>
    <n v="48202"/>
  </r>
  <r>
    <n v="11"/>
    <x v="1"/>
    <x v="0"/>
    <n v="19139"/>
    <n v="22020"/>
    <n v="41159"/>
    <n v="17887"/>
  </r>
  <r>
    <n v="11"/>
    <x v="1"/>
    <x v="0"/>
    <n v="9566"/>
    <n v="10654"/>
    <n v="20220"/>
    <n v="18771"/>
  </r>
  <r>
    <n v="11"/>
    <x v="1"/>
    <x v="0"/>
    <n v="10700"/>
    <n v="11358"/>
    <n v="22058"/>
    <n v="9612"/>
  </r>
  <r>
    <n v="11"/>
    <x v="1"/>
    <x v="0"/>
    <n v="5441"/>
    <n v="5681"/>
    <n v="11122"/>
    <n v="5764"/>
  </r>
  <r>
    <n v="11"/>
    <x v="1"/>
    <x v="0"/>
    <n v="5358"/>
    <n v="5382"/>
    <n v="10740"/>
    <n v="2252"/>
  </r>
  <r>
    <n v="11"/>
    <x v="1"/>
    <x v="0"/>
    <n v="3087"/>
    <n v="3393"/>
    <n v="6480"/>
    <n v="2520"/>
  </r>
  <r>
    <n v="11"/>
    <x v="1"/>
    <x v="0"/>
    <n v="1368"/>
    <n v="1420"/>
    <n v="2788"/>
    <n v="928"/>
  </r>
  <r>
    <n v="11"/>
    <x v="1"/>
    <x v="0"/>
    <n v="5388"/>
    <n v="5663"/>
    <n v="11051"/>
    <n v="3327"/>
  </r>
  <r>
    <n v="11"/>
    <x v="1"/>
    <x v="0"/>
    <n v="57311"/>
    <n v="62508"/>
    <n v="119819"/>
    <n v="62862"/>
  </r>
  <r>
    <n v="11"/>
    <x v="1"/>
    <x v="0"/>
    <n v="12070"/>
    <n v="13823"/>
    <n v="25893"/>
    <n v="15843"/>
  </r>
  <r>
    <n v="11"/>
    <x v="1"/>
    <x v="0"/>
    <n v="44467"/>
    <n v="51284"/>
    <n v="95751"/>
    <n v="50820"/>
  </r>
  <r>
    <n v="11"/>
    <x v="1"/>
    <x v="0"/>
    <n v="24941"/>
    <n v="28638"/>
    <n v="53579"/>
    <n v="29381"/>
  </r>
  <r>
    <n v="11"/>
    <x v="1"/>
    <x v="0"/>
    <n v="32662"/>
    <n v="34961"/>
    <n v="67623"/>
    <n v="36471"/>
  </r>
  <r>
    <n v="11"/>
    <x v="1"/>
    <x v="0"/>
    <n v="13772"/>
    <n v="16775"/>
    <n v="30547"/>
    <n v="31575"/>
  </r>
  <r>
    <n v="11"/>
    <x v="1"/>
    <x v="0"/>
    <n v="31356"/>
    <n v="34584"/>
    <n v="65940"/>
    <n v="38716"/>
  </r>
  <r>
    <n v="11"/>
    <x v="1"/>
    <x v="0"/>
    <n v="3836"/>
    <n v="4128"/>
    <n v="7964"/>
    <n v="2187"/>
  </r>
  <r>
    <n v="11"/>
    <x v="1"/>
    <x v="0"/>
    <n v="21671"/>
    <n v="23264"/>
    <n v="44935"/>
    <n v="24121"/>
  </r>
  <r>
    <n v="12"/>
    <x v="2"/>
    <x v="0"/>
    <n v="609722"/>
    <n v="708197"/>
    <n v="1317919"/>
    <n v="768221"/>
  </r>
  <r>
    <n v="12"/>
    <x v="2"/>
    <x v="0"/>
    <n v="27551"/>
    <n v="32083"/>
    <n v="59634"/>
    <n v="32547"/>
  </r>
  <r>
    <n v="12"/>
    <x v="2"/>
    <x v="0"/>
    <n v="16983"/>
    <n v="20085"/>
    <n v="37068"/>
    <n v="21583"/>
  </r>
  <r>
    <n v="12"/>
    <x v="2"/>
    <x v="0"/>
    <n v="52035"/>
    <n v="60762"/>
    <n v="112797"/>
    <n v="57746"/>
  </r>
  <r>
    <n v="12"/>
    <x v="2"/>
    <x v="0"/>
    <n v="71049"/>
    <n v="81309"/>
    <n v="152358"/>
    <n v="87928"/>
  </r>
  <r>
    <n v="12"/>
    <x v="2"/>
    <x v="0"/>
    <n v="35700"/>
    <n v="39636"/>
    <n v="75336"/>
    <n v="37897"/>
  </r>
  <r>
    <n v="12"/>
    <x v="2"/>
    <x v="0"/>
    <n v="25423"/>
    <n v="28622"/>
    <n v="54045"/>
    <n v="27816"/>
  </r>
  <r>
    <n v="12"/>
    <x v="2"/>
    <x v="0"/>
    <n v="19010"/>
    <n v="22221"/>
    <n v="41231"/>
    <n v="17483"/>
  </r>
  <r>
    <n v="12"/>
    <x v="2"/>
    <x v="0"/>
    <n v="18241"/>
    <n v="22123"/>
    <n v="40364"/>
    <n v="27183"/>
  </r>
  <r>
    <n v="12"/>
    <x v="2"/>
    <x v="0"/>
    <n v="5654"/>
    <n v="6530"/>
    <n v="12184"/>
    <n v="7024"/>
  </r>
  <r>
    <n v="12"/>
    <x v="2"/>
    <x v="0"/>
    <n v="23889"/>
    <n v="28185"/>
    <n v="52074"/>
    <n v="25259"/>
  </r>
  <r>
    <n v="12"/>
    <x v="2"/>
    <x v="0"/>
    <n v="11408"/>
    <n v="13521"/>
    <n v="24929"/>
    <n v="13668"/>
  </r>
  <r>
    <n v="12"/>
    <x v="2"/>
    <x v="0"/>
    <n v="11264"/>
    <n v="13370"/>
    <n v="24634"/>
    <n v="16101"/>
  </r>
  <r>
    <n v="12"/>
    <x v="2"/>
    <x v="0"/>
    <n v="1294"/>
    <n v="1305"/>
    <n v="2599"/>
    <n v="1237"/>
  </r>
  <r>
    <n v="12"/>
    <x v="2"/>
    <x v="0"/>
    <n v="6621"/>
    <n v="7376"/>
    <n v="13997"/>
    <n v="6572"/>
  </r>
  <r>
    <n v="12"/>
    <x v="2"/>
    <x v="0"/>
    <n v="2932"/>
    <n v="3071"/>
    <n v="6003"/>
    <n v="2847"/>
  </r>
  <r>
    <n v="12"/>
    <x v="2"/>
    <x v="0"/>
    <n v="22198"/>
    <n v="26310"/>
    <n v="48508"/>
    <n v="24758"/>
  </r>
  <r>
    <n v="12"/>
    <x v="2"/>
    <x v="0"/>
    <n v="15241"/>
    <n v="17920"/>
    <n v="33161"/>
    <n v="13922"/>
  </r>
  <r>
    <n v="12"/>
    <x v="2"/>
    <x v="0"/>
    <n v="20294"/>
    <n v="24158"/>
    <n v="44452"/>
    <n v="23084"/>
  </r>
  <r>
    <n v="12"/>
    <x v="2"/>
    <x v="0"/>
    <n v="86885"/>
    <n v="101978"/>
    <n v="188863"/>
    <n v="141775"/>
  </r>
  <r>
    <n v="12"/>
    <x v="2"/>
    <x v="0"/>
    <n v="23979"/>
    <n v="28520"/>
    <n v="52499"/>
    <n v="27957"/>
  </r>
  <r>
    <n v="12"/>
    <x v="2"/>
    <x v="0"/>
    <n v="112071"/>
    <n v="129112"/>
    <n v="241183"/>
    <n v="153834"/>
  </r>
  <r>
    <n v="13"/>
    <x v="3"/>
    <x v="0"/>
    <n v="584170"/>
    <n v="652301"/>
    <n v="1236471"/>
    <n v="716096"/>
  </r>
  <r>
    <n v="13"/>
    <x v="3"/>
    <x v="0"/>
    <n v="49341"/>
    <n v="54354"/>
    <n v="103695"/>
    <n v="53829"/>
  </r>
  <r>
    <n v="13"/>
    <x v="3"/>
    <x v="0"/>
    <n v="74503"/>
    <n v="82914"/>
    <n v="157417"/>
    <n v="79158"/>
  </r>
  <r>
    <n v="13"/>
    <x v="3"/>
    <x v="0"/>
    <n v="26334"/>
    <n v="26896"/>
    <n v="53230"/>
    <n v="18370"/>
  </r>
  <r>
    <n v="13"/>
    <x v="3"/>
    <x v="0"/>
    <n v="30143"/>
    <n v="31837"/>
    <n v="61980"/>
    <n v="32552"/>
  </r>
  <r>
    <n v="13"/>
    <x v="3"/>
    <x v="0"/>
    <n v="44499"/>
    <n v="47784"/>
    <n v="92283"/>
    <n v="47687"/>
  </r>
  <r>
    <n v="13"/>
    <x v="3"/>
    <x v="0"/>
    <n v="22500"/>
    <n v="24085"/>
    <n v="46585"/>
    <n v="21923"/>
  </r>
  <r>
    <n v="13"/>
    <x v="3"/>
    <x v="0"/>
    <n v="34392"/>
    <n v="39735"/>
    <n v="74127"/>
    <n v="43060"/>
  </r>
  <r>
    <n v="13"/>
    <x v="3"/>
    <x v="0"/>
    <n v="12562"/>
    <n v="14183"/>
    <n v="26745"/>
    <n v="22598"/>
  </r>
  <r>
    <n v="13"/>
    <x v="3"/>
    <x v="0"/>
    <n v="6278"/>
    <n v="7143"/>
    <n v="13421"/>
    <n v="7614"/>
  </r>
  <r>
    <n v="13"/>
    <x v="3"/>
    <x v="0"/>
    <n v="30376"/>
    <n v="35368"/>
    <n v="65744"/>
    <n v="34215"/>
  </r>
  <r>
    <n v="13"/>
    <x v="3"/>
    <x v="0"/>
    <n v="15493"/>
    <n v="17926"/>
    <n v="33419"/>
    <n v="21232"/>
  </r>
  <r>
    <n v="13"/>
    <x v="3"/>
    <x v="0"/>
    <n v="15807"/>
    <n v="18801"/>
    <n v="34608"/>
    <n v="16961"/>
  </r>
  <r>
    <n v="13"/>
    <x v="3"/>
    <x v="0"/>
    <n v="7665"/>
    <n v="8824"/>
    <n v="16489"/>
    <n v="9185"/>
  </r>
  <r>
    <n v="13"/>
    <x v="3"/>
    <x v="0"/>
    <n v="5540"/>
    <n v="5929"/>
    <n v="11469"/>
    <n v="5209"/>
  </r>
  <r>
    <n v="13"/>
    <x v="3"/>
    <x v="0"/>
    <n v="10211"/>
    <n v="11422"/>
    <n v="21633"/>
    <n v="11782"/>
  </r>
  <r>
    <n v="13"/>
    <x v="3"/>
    <x v="0"/>
    <n v="1334"/>
    <n v="1399"/>
    <n v="2733"/>
    <n v="1088"/>
  </r>
  <r>
    <n v="13"/>
    <x v="3"/>
    <x v="0"/>
    <n v="5387"/>
    <n v="5788"/>
    <n v="11175"/>
    <n v="6073"/>
  </r>
  <r>
    <n v="13"/>
    <x v="3"/>
    <x v="0"/>
    <n v="1995"/>
    <n v="2067"/>
    <n v="4062"/>
    <n v="2019"/>
  </r>
  <r>
    <n v="13"/>
    <x v="3"/>
    <x v="0"/>
    <n v="15645"/>
    <n v="17542"/>
    <n v="33187"/>
    <n v="18204"/>
  </r>
  <r>
    <n v="13"/>
    <x v="3"/>
    <x v="0"/>
    <n v="31208"/>
    <n v="34678"/>
    <n v="65886"/>
    <n v="35018"/>
  </r>
  <r>
    <n v="13"/>
    <x v="3"/>
    <x v="0"/>
    <n v="34625"/>
    <n v="39684"/>
    <n v="74309"/>
    <n v="65588"/>
  </r>
  <r>
    <n v="13"/>
    <x v="3"/>
    <x v="0"/>
    <n v="3751"/>
    <n v="4220"/>
    <n v="7971"/>
    <n v="4625"/>
  </r>
  <r>
    <n v="13"/>
    <x v="3"/>
    <x v="0"/>
    <n v="34959"/>
    <n v="39828"/>
    <n v="74787"/>
    <n v="60771"/>
  </r>
  <r>
    <n v="13"/>
    <x v="3"/>
    <x v="0"/>
    <n v="19829"/>
    <n v="22243"/>
    <n v="42072"/>
    <n v="29248"/>
  </r>
  <r>
    <n v="13"/>
    <x v="3"/>
    <x v="0"/>
    <n v="39418"/>
    <n v="45906"/>
    <n v="85324"/>
    <n v="58403"/>
  </r>
  <r>
    <n v="13"/>
    <x v="3"/>
    <x v="0"/>
    <n v="10375"/>
    <n v="11745"/>
    <n v="22120"/>
    <n v="9684"/>
  </r>
  <r>
    <n v="14"/>
    <x v="4"/>
    <x v="0"/>
    <n v="394331"/>
    <n v="428389"/>
    <n v="822720"/>
    <n v="362285"/>
  </r>
  <r>
    <n v="14"/>
    <x v="4"/>
    <x v="0"/>
    <n v="34471"/>
    <n v="37891"/>
    <n v="72362"/>
    <n v="27558"/>
  </r>
  <r>
    <n v="14"/>
    <x v="4"/>
    <x v="0"/>
    <n v="14680"/>
    <n v="16177"/>
    <n v="30857"/>
    <n v="12016"/>
  </r>
  <r>
    <n v="14"/>
    <x v="4"/>
    <x v="0"/>
    <n v="10547"/>
    <n v="11571"/>
    <n v="22118"/>
    <n v="12395"/>
  </r>
  <r>
    <n v="14"/>
    <x v="4"/>
    <x v="0"/>
    <n v="15281"/>
    <n v="16112"/>
    <n v="31393"/>
    <n v="11241"/>
  </r>
  <r>
    <n v="14"/>
    <x v="4"/>
    <x v="0"/>
    <n v="6817"/>
    <n v="7399"/>
    <n v="14216"/>
    <n v="5639"/>
  </r>
  <r>
    <n v="14"/>
    <x v="4"/>
    <x v="0"/>
    <n v="19043"/>
    <n v="20931"/>
    <n v="39974"/>
    <n v="19079"/>
  </r>
  <r>
    <n v="14"/>
    <x v="4"/>
    <x v="0"/>
    <n v="17399"/>
    <n v="18569"/>
    <n v="35968"/>
    <n v="13122"/>
  </r>
  <r>
    <n v="14"/>
    <x v="4"/>
    <x v="0"/>
    <n v="10398"/>
    <n v="11217"/>
    <n v="21615"/>
    <n v="7573"/>
  </r>
  <r>
    <n v="14"/>
    <x v="4"/>
    <x v="0"/>
    <n v="12548"/>
    <n v="13293"/>
    <n v="25841"/>
    <n v="8876"/>
  </r>
  <r>
    <n v="14"/>
    <x v="4"/>
    <x v="0"/>
    <n v="14649"/>
    <n v="15025"/>
    <n v="29674"/>
    <n v="10235"/>
  </r>
  <r>
    <n v="14"/>
    <x v="4"/>
    <x v="0"/>
    <n v="28592"/>
    <n v="30246"/>
    <n v="58838"/>
    <n v="28560"/>
  </r>
  <r>
    <n v="14"/>
    <x v="4"/>
    <x v="0"/>
    <n v="14780"/>
    <n v="15677"/>
    <n v="30457"/>
    <n v="10296"/>
  </r>
  <r>
    <n v="14"/>
    <x v="4"/>
    <x v="0"/>
    <n v="6745"/>
    <n v="6895"/>
    <n v="13640"/>
    <n v="4652"/>
  </r>
  <r>
    <n v="14"/>
    <x v="4"/>
    <x v="0"/>
    <n v="22617"/>
    <n v="24526"/>
    <n v="47143"/>
    <n v="23369"/>
  </r>
  <r>
    <n v="14"/>
    <x v="4"/>
    <x v="0"/>
    <n v="6364"/>
    <n v="6984"/>
    <n v="13348"/>
    <n v="5342"/>
  </r>
  <r>
    <n v="14"/>
    <x v="4"/>
    <x v="0"/>
    <n v="3121"/>
    <n v="3568"/>
    <n v="6689"/>
    <n v="2766"/>
  </r>
  <r>
    <n v="14"/>
    <x v="4"/>
    <x v="0"/>
    <n v="6931"/>
    <n v="8122"/>
    <n v="15053"/>
    <n v="10719"/>
  </r>
  <r>
    <n v="14"/>
    <x v="4"/>
    <x v="0"/>
    <n v="3670"/>
    <n v="3823"/>
    <n v="7493"/>
    <n v="3061"/>
  </r>
  <r>
    <n v="14"/>
    <x v="4"/>
    <x v="0"/>
    <n v="3199"/>
    <n v="3550"/>
    <n v="6749"/>
    <n v="3047"/>
  </r>
  <r>
    <n v="14"/>
    <x v="4"/>
    <x v="0"/>
    <n v="3673"/>
    <n v="4150"/>
    <n v="7823"/>
    <n v="4352"/>
  </r>
  <r>
    <n v="14"/>
    <x v="4"/>
    <x v="0"/>
    <n v="6321"/>
    <n v="7321"/>
    <n v="13642"/>
    <n v="6045"/>
  </r>
  <r>
    <n v="14"/>
    <x v="4"/>
    <x v="0"/>
    <n v="4982"/>
    <n v="5303"/>
    <n v="10285"/>
    <n v="4727"/>
  </r>
  <r>
    <n v="14"/>
    <x v="4"/>
    <x v="0"/>
    <n v="4598"/>
    <n v="5163"/>
    <n v="9761"/>
    <n v="6103"/>
  </r>
  <r>
    <n v="14"/>
    <x v="4"/>
    <x v="0"/>
    <n v="2487"/>
    <n v="2823"/>
    <n v="5310"/>
    <n v="3511"/>
  </r>
  <r>
    <n v="14"/>
    <x v="4"/>
    <x v="0"/>
    <n v="921"/>
    <n v="1000"/>
    <n v="1921"/>
    <n v="892"/>
  </r>
  <r>
    <n v="14"/>
    <x v="4"/>
    <x v="0"/>
    <n v="2913"/>
    <n v="3180"/>
    <n v="6093"/>
    <n v="2573"/>
  </r>
  <r>
    <n v="14"/>
    <x v="4"/>
    <x v="0"/>
    <n v="1541"/>
    <n v="1631"/>
    <n v="3172"/>
    <n v="1506"/>
  </r>
  <r>
    <n v="14"/>
    <x v="4"/>
    <x v="0"/>
    <n v="3461"/>
    <n v="3980"/>
    <n v="7441"/>
    <n v="4734"/>
  </r>
  <r>
    <n v="14"/>
    <x v="4"/>
    <x v="0"/>
    <n v="2507"/>
    <n v="2679"/>
    <n v="5186"/>
    <n v="1957"/>
  </r>
  <r>
    <n v="14"/>
    <x v="4"/>
    <x v="0"/>
    <n v="2710"/>
    <n v="2955"/>
    <n v="5665"/>
    <n v="1860"/>
  </r>
  <r>
    <n v="14"/>
    <x v="4"/>
    <x v="0"/>
    <n v="10705"/>
    <n v="11338"/>
    <n v="22043"/>
    <n v="10322"/>
  </r>
  <r>
    <n v="14"/>
    <x v="4"/>
    <x v="0"/>
    <n v="1264"/>
    <n v="1308"/>
    <n v="2572"/>
    <n v="1459"/>
  </r>
  <r>
    <n v="14"/>
    <x v="4"/>
    <x v="0"/>
    <n v="2417"/>
    <n v="2758"/>
    <n v="5175"/>
    <n v="2642"/>
  </r>
  <r>
    <n v="14"/>
    <x v="4"/>
    <x v="0"/>
    <n v="3530"/>
    <n v="3701"/>
    <n v="7231"/>
    <n v="2858"/>
  </r>
  <r>
    <n v="14"/>
    <x v="4"/>
    <x v="0"/>
    <n v="4401"/>
    <n v="4688"/>
    <n v="9089"/>
    <n v="4451"/>
  </r>
  <r>
    <n v="14"/>
    <x v="4"/>
    <x v="0"/>
    <n v="4436"/>
    <n v="5032"/>
    <n v="9468"/>
    <n v="6919"/>
  </r>
  <r>
    <n v="14"/>
    <x v="4"/>
    <x v="0"/>
    <n v="5322"/>
    <n v="6152"/>
    <n v="11474"/>
    <n v="7605"/>
  </r>
  <r>
    <n v="14"/>
    <x v="4"/>
    <x v="0"/>
    <n v="3124"/>
    <n v="3222"/>
    <n v="6346"/>
    <n v="2210"/>
  </r>
  <r>
    <n v="14"/>
    <x v="4"/>
    <x v="0"/>
    <n v="2413"/>
    <n v="2707"/>
    <n v="5120"/>
    <n v="2280"/>
  </r>
  <r>
    <n v="14"/>
    <x v="4"/>
    <x v="0"/>
    <n v="4037"/>
    <n v="4286"/>
    <n v="8323"/>
    <n v="3426"/>
  </r>
  <r>
    <n v="14"/>
    <x v="4"/>
    <x v="0"/>
    <n v="5094"/>
    <n v="5592"/>
    <n v="10686"/>
    <n v="3851"/>
  </r>
  <r>
    <n v="14"/>
    <x v="4"/>
    <x v="0"/>
    <n v="3011"/>
    <n v="3090"/>
    <n v="6101"/>
    <n v="1900"/>
  </r>
  <r>
    <n v="14"/>
    <x v="4"/>
    <x v="0"/>
    <n v="4910"/>
    <n v="5127"/>
    <n v="10037"/>
    <n v="4048"/>
  </r>
  <r>
    <n v="14"/>
    <x v="4"/>
    <x v="0"/>
    <n v="3653"/>
    <n v="3907"/>
    <n v="7560"/>
    <n v="2910"/>
  </r>
  <r>
    <n v="14"/>
    <x v="4"/>
    <x v="0"/>
    <n v="3229"/>
    <n v="3520"/>
    <n v="6749"/>
    <n v="3079"/>
  </r>
  <r>
    <n v="14"/>
    <x v="4"/>
    <x v="0"/>
    <n v="3793"/>
    <n v="4241"/>
    <n v="8034"/>
    <n v="4190"/>
  </r>
  <r>
    <n v="14"/>
    <x v="4"/>
    <x v="0"/>
    <n v="9053"/>
    <n v="10645"/>
    <n v="19698"/>
    <n v="11524"/>
  </r>
  <r>
    <n v="14"/>
    <x v="4"/>
    <x v="0"/>
    <n v="5066"/>
    <n v="5525"/>
    <n v="10591"/>
    <n v="3362"/>
  </r>
  <r>
    <n v="14"/>
    <x v="4"/>
    <x v="0"/>
    <n v="2910"/>
    <n v="3318"/>
    <n v="6228"/>
    <n v="3261"/>
  </r>
  <r>
    <n v="14"/>
    <x v="4"/>
    <x v="0"/>
    <n v="1615"/>
    <n v="1794"/>
    <n v="3409"/>
    <n v="1500"/>
  </r>
  <r>
    <n v="14"/>
    <x v="4"/>
    <x v="0"/>
    <n v="22382"/>
    <n v="24677"/>
    <n v="47059"/>
    <n v="20682"/>
  </r>
  <r>
    <n v="15"/>
    <x v="5"/>
    <x v="0"/>
    <n v="128445"/>
    <n v="140430"/>
    <n v="268875"/>
    <n v="105354"/>
  </r>
  <r>
    <n v="15"/>
    <x v="5"/>
    <x v="0"/>
    <n v="20501"/>
    <n v="22698"/>
    <n v="43199"/>
    <n v="17828"/>
  </r>
  <r>
    <n v="15"/>
    <x v="5"/>
    <x v="0"/>
    <n v="3383"/>
    <n v="3604"/>
    <n v="6987"/>
    <n v="2535"/>
  </r>
  <r>
    <n v="15"/>
    <x v="5"/>
    <x v="0"/>
    <n v="8767"/>
    <n v="9637"/>
    <n v="18404"/>
    <n v="6972"/>
  </r>
  <r>
    <n v="15"/>
    <x v="5"/>
    <x v="0"/>
    <n v="20382"/>
    <n v="22485"/>
    <n v="42867"/>
    <n v="15483"/>
  </r>
  <r>
    <n v="15"/>
    <x v="5"/>
    <x v="0"/>
    <n v="14659"/>
    <n v="15391"/>
    <n v="30050"/>
    <n v="10515"/>
  </r>
  <r>
    <n v="15"/>
    <x v="5"/>
    <x v="0"/>
    <n v="23882"/>
    <n v="25891"/>
    <n v="49773"/>
    <n v="19007"/>
  </r>
  <r>
    <n v="15"/>
    <x v="5"/>
    <x v="0"/>
    <n v="3985"/>
    <n v="4246"/>
    <n v="8231"/>
    <n v="2957"/>
  </r>
  <r>
    <n v="15"/>
    <x v="5"/>
    <x v="0"/>
    <n v="4955"/>
    <n v="5467"/>
    <n v="10422"/>
    <n v="3734"/>
  </r>
  <r>
    <n v="15"/>
    <x v="5"/>
    <x v="0"/>
    <n v="2539"/>
    <n v="3081"/>
    <n v="5620"/>
    <n v="3067"/>
  </r>
  <r>
    <n v="15"/>
    <x v="5"/>
    <x v="0"/>
    <n v="3519"/>
    <n v="3867"/>
    <n v="7386"/>
    <n v="2914"/>
  </r>
  <r>
    <n v="15"/>
    <x v="5"/>
    <x v="0"/>
    <n v="1490"/>
    <n v="1611"/>
    <n v="3101"/>
    <n v="1292"/>
  </r>
  <r>
    <n v="15"/>
    <x v="5"/>
    <x v="0"/>
    <n v="1946"/>
    <n v="2140"/>
    <n v="4086"/>
    <n v="1536"/>
  </r>
  <r>
    <n v="15"/>
    <x v="5"/>
    <x v="0"/>
    <n v="1923"/>
    <n v="2158"/>
    <n v="4081"/>
    <n v="1766"/>
  </r>
  <r>
    <n v="15"/>
    <x v="5"/>
    <x v="0"/>
    <n v="5925"/>
    <n v="6380"/>
    <n v="12305"/>
    <n v="4352"/>
  </r>
  <r>
    <n v="15"/>
    <x v="5"/>
    <x v="0"/>
    <n v="1305"/>
    <n v="1398"/>
    <n v="2703"/>
    <n v="1047"/>
  </r>
  <r>
    <n v="15"/>
    <x v="5"/>
    <x v="0"/>
    <n v="4001"/>
    <n v="4436"/>
    <n v="8437"/>
    <n v="3645"/>
  </r>
  <r>
    <n v="15"/>
    <x v="5"/>
    <x v="0"/>
    <n v="5283"/>
    <n v="5940"/>
    <n v="11223"/>
    <n v="6704"/>
  </r>
  <r>
    <n v="16"/>
    <x v="6"/>
    <x v="0"/>
    <n v="360040"/>
    <n v="365226"/>
    <n v="725266"/>
    <n v="306787"/>
  </r>
  <r>
    <n v="16"/>
    <x v="6"/>
    <x v="0"/>
    <n v="48899"/>
    <n v="50068"/>
    <n v="98967"/>
    <n v="42967"/>
  </r>
  <r>
    <n v="16"/>
    <x v="6"/>
    <x v="0"/>
    <n v="27092"/>
    <n v="28062"/>
    <n v="55154"/>
    <n v="24942"/>
  </r>
  <r>
    <n v="16"/>
    <x v="6"/>
    <x v="0"/>
    <n v="36982"/>
    <n v="37818"/>
    <n v="74800"/>
    <n v="29980"/>
  </r>
  <r>
    <n v="16"/>
    <x v="6"/>
    <x v="0"/>
    <n v="36093"/>
    <n v="36928"/>
    <n v="73021"/>
    <n v="29362"/>
  </r>
  <r>
    <n v="16"/>
    <x v="6"/>
    <x v="0"/>
    <n v="20612"/>
    <n v="22431"/>
    <n v="43043"/>
    <n v="14624"/>
  </r>
  <r>
    <n v="16"/>
    <x v="6"/>
    <x v="0"/>
    <n v="32006"/>
    <n v="34773"/>
    <n v="66779"/>
    <n v="24176"/>
  </r>
  <r>
    <n v="16"/>
    <x v="6"/>
    <x v="0"/>
    <n v="12697"/>
    <n v="13021"/>
    <n v="25718"/>
    <n v="8933"/>
  </r>
  <r>
    <n v="16"/>
    <x v="6"/>
    <x v="0"/>
    <n v="7034"/>
    <n v="6901"/>
    <n v="13935"/>
    <n v="5500"/>
  </r>
  <r>
    <n v="16"/>
    <x v="6"/>
    <x v="0"/>
    <n v="12049"/>
    <n v="12080"/>
    <n v="24129"/>
    <n v="8178"/>
  </r>
  <r>
    <n v="16"/>
    <x v="6"/>
    <x v="0"/>
    <n v="13320"/>
    <n v="13602"/>
    <n v="26922"/>
    <n v="9872"/>
  </r>
  <r>
    <n v="16"/>
    <x v="6"/>
    <x v="0"/>
    <n v="13460"/>
    <n v="13956"/>
    <n v="27416"/>
    <n v="10512"/>
  </r>
  <r>
    <n v="16"/>
    <x v="6"/>
    <x v="0"/>
    <n v="5180"/>
    <n v="6093"/>
    <n v="11273"/>
    <n v="6169"/>
  </r>
  <r>
    <n v="16"/>
    <x v="6"/>
    <x v="0"/>
    <n v="6044"/>
    <n v="5086"/>
    <n v="11130"/>
    <n v="5000"/>
  </r>
  <r>
    <n v="16"/>
    <x v="6"/>
    <x v="0"/>
    <n v="15304"/>
    <n v="12993"/>
    <n v="28297"/>
    <n v="13166"/>
  </r>
  <r>
    <n v="16"/>
    <x v="6"/>
    <x v="0"/>
    <n v="6730"/>
    <n v="7628"/>
    <n v="14358"/>
    <n v="7340"/>
  </r>
  <r>
    <n v="16"/>
    <x v="6"/>
    <x v="0"/>
    <n v="3889"/>
    <n v="4167"/>
    <n v="8056"/>
    <n v="3955"/>
  </r>
  <r>
    <n v="16"/>
    <x v="6"/>
    <x v="0"/>
    <n v="14600"/>
    <n v="8666"/>
    <n v="23266"/>
    <n v="12062"/>
  </r>
  <r>
    <n v="16"/>
    <x v="6"/>
    <x v="0"/>
    <n v="3337"/>
    <n v="3610"/>
    <n v="6947"/>
    <n v="3246"/>
  </r>
  <r>
    <n v="16"/>
    <x v="6"/>
    <x v="0"/>
    <n v="1853"/>
    <n v="1882"/>
    <n v="3735"/>
    <n v="2222"/>
  </r>
  <r>
    <n v="16"/>
    <x v="6"/>
    <x v="0"/>
    <n v="992"/>
    <n v="1053"/>
    <n v="2045"/>
    <n v="916"/>
  </r>
  <r>
    <n v="16"/>
    <x v="6"/>
    <x v="0"/>
    <n v="1017"/>
    <n v="1181"/>
    <n v="2198"/>
    <n v="1044"/>
  </r>
  <r>
    <n v="16"/>
    <x v="6"/>
    <x v="0"/>
    <n v="7288"/>
    <n v="7844"/>
    <n v="15132"/>
    <n v="8808"/>
  </r>
  <r>
    <n v="16"/>
    <x v="6"/>
    <x v="0"/>
    <n v="2298"/>
    <n v="2454"/>
    <n v="4752"/>
    <n v="2181"/>
  </r>
  <r>
    <n v="16"/>
    <x v="6"/>
    <x v="0"/>
    <n v="1430"/>
    <n v="1608"/>
    <n v="3038"/>
    <n v="1485"/>
  </r>
  <r>
    <n v="16"/>
    <x v="6"/>
    <x v="0"/>
    <n v="1382"/>
    <n v="1424"/>
    <n v="2806"/>
    <n v="1151"/>
  </r>
  <r>
    <n v="16"/>
    <x v="6"/>
    <x v="0"/>
    <n v="14913"/>
    <n v="15304"/>
    <n v="30217"/>
    <n v="12398"/>
  </r>
  <r>
    <n v="16"/>
    <x v="6"/>
    <x v="0"/>
    <n v="2636"/>
    <n v="2855"/>
    <n v="5491"/>
    <n v="2445"/>
  </r>
  <r>
    <n v="16"/>
    <x v="6"/>
    <x v="0"/>
    <n v="1410"/>
    <n v="1572"/>
    <n v="2982"/>
    <n v="1345"/>
  </r>
  <r>
    <n v="16"/>
    <x v="6"/>
    <x v="0"/>
    <n v="9493"/>
    <n v="10166"/>
    <n v="19659"/>
    <n v="12808"/>
  </r>
  <r>
    <n v="17"/>
    <x v="7"/>
    <x v="0"/>
    <n v="94895"/>
    <n v="104908"/>
    <n v="199803"/>
    <n v="81992"/>
  </r>
  <r>
    <n v="17"/>
    <x v="7"/>
    <x v="0"/>
    <n v="16819"/>
    <n v="19331"/>
    <n v="36150"/>
    <n v="14194"/>
  </r>
  <r>
    <n v="17"/>
    <x v="7"/>
    <x v="0"/>
    <n v="9154"/>
    <n v="9773"/>
    <n v="18927"/>
    <n v="7396"/>
  </r>
  <r>
    <n v="17"/>
    <x v="7"/>
    <x v="0"/>
    <n v="12264"/>
    <n v="13165"/>
    <n v="25429"/>
    <n v="9318"/>
  </r>
  <r>
    <n v="17"/>
    <x v="7"/>
    <x v="0"/>
    <n v="7587"/>
    <n v="8421"/>
    <n v="16008"/>
    <n v="6153"/>
  </r>
  <r>
    <n v="17"/>
    <x v="7"/>
    <x v="0"/>
    <n v="2482"/>
    <n v="2803"/>
    <n v="5285"/>
    <n v="1928"/>
  </r>
  <r>
    <n v="17"/>
    <x v="7"/>
    <x v="0"/>
    <n v="22738"/>
    <n v="24680"/>
    <n v="47418"/>
    <n v="18239"/>
  </r>
  <r>
    <n v="17"/>
    <x v="7"/>
    <x v="0"/>
    <n v="1998"/>
    <n v="2195"/>
    <n v="4193"/>
    <n v="2304"/>
  </r>
  <r>
    <n v="17"/>
    <x v="7"/>
    <x v="0"/>
    <n v="4017"/>
    <n v="4374"/>
    <n v="8391"/>
    <n v="3544"/>
  </r>
  <r>
    <n v="17"/>
    <x v="7"/>
    <x v="0"/>
    <n v="1479"/>
    <n v="1582"/>
    <n v="3061"/>
    <n v="1335"/>
  </r>
  <r>
    <n v="17"/>
    <x v="7"/>
    <x v="0"/>
    <n v="1561"/>
    <n v="1709"/>
    <n v="3270"/>
    <n v="1426"/>
  </r>
  <r>
    <n v="17"/>
    <x v="7"/>
    <x v="0"/>
    <n v="910"/>
    <n v="1015"/>
    <n v="1925"/>
    <n v="868"/>
  </r>
  <r>
    <n v="17"/>
    <x v="7"/>
    <x v="0"/>
    <n v="6289"/>
    <n v="7093"/>
    <n v="13382"/>
    <n v="5839"/>
  </r>
  <r>
    <n v="17"/>
    <x v="7"/>
    <x v="0"/>
    <n v="7597"/>
    <n v="8767"/>
    <n v="16364"/>
    <n v="9448"/>
  </r>
  <r>
    <n v="18"/>
    <x v="8"/>
    <x v="0"/>
    <n v="150495"/>
    <n v="163264"/>
    <n v="313759"/>
    <n v="132908"/>
  </r>
  <r>
    <n v="18"/>
    <x v="8"/>
    <x v="0"/>
    <n v="10954"/>
    <n v="11729"/>
    <n v="22683"/>
    <n v="9117"/>
  </r>
  <r>
    <n v="18"/>
    <x v="8"/>
    <x v="0"/>
    <n v="11065"/>
    <n v="12139"/>
    <n v="23204"/>
    <n v="9341"/>
  </r>
  <r>
    <n v="18"/>
    <x v="8"/>
    <x v="0"/>
    <n v="10487"/>
    <n v="11203"/>
    <n v="21690"/>
    <n v="9659"/>
  </r>
  <r>
    <n v="18"/>
    <x v="8"/>
    <x v="0"/>
    <n v="14409"/>
    <n v="15479"/>
    <n v="29888"/>
    <n v="12121"/>
  </r>
  <r>
    <n v="18"/>
    <x v="8"/>
    <x v="0"/>
    <n v="28442"/>
    <n v="30956"/>
    <n v="59398"/>
    <n v="22886"/>
  </r>
  <r>
    <n v="18"/>
    <x v="8"/>
    <x v="0"/>
    <n v="19462"/>
    <n v="20748"/>
    <n v="40210"/>
    <n v="15267"/>
  </r>
  <r>
    <n v="18"/>
    <x v="8"/>
    <x v="0"/>
    <n v="6199"/>
    <n v="6426"/>
    <n v="12625"/>
    <n v="5316"/>
  </r>
  <r>
    <n v="18"/>
    <x v="8"/>
    <x v="0"/>
    <n v="5241"/>
    <n v="5436"/>
    <n v="10677"/>
    <n v="4139"/>
  </r>
  <r>
    <n v="18"/>
    <x v="8"/>
    <x v="0"/>
    <n v="2396"/>
    <n v="2684"/>
    <n v="5080"/>
    <n v="2670"/>
  </r>
  <r>
    <n v="18"/>
    <x v="8"/>
    <x v="0"/>
    <n v="3469"/>
    <n v="3879"/>
    <n v="7348"/>
    <n v="2656"/>
  </r>
  <r>
    <n v="18"/>
    <x v="8"/>
    <x v="0"/>
    <n v="3604"/>
    <n v="3787"/>
    <n v="7391"/>
    <n v="2559"/>
  </r>
  <r>
    <n v="18"/>
    <x v="8"/>
    <x v="0"/>
    <n v="2391"/>
    <n v="2539"/>
    <n v="4930"/>
    <n v="1886"/>
  </r>
  <r>
    <n v="18"/>
    <x v="8"/>
    <x v="0"/>
    <n v="3511"/>
    <n v="4250"/>
    <n v="7761"/>
    <n v="2794"/>
  </r>
  <r>
    <n v="18"/>
    <x v="8"/>
    <x v="0"/>
    <n v="3322"/>
    <n v="3775"/>
    <n v="7097"/>
    <n v="3800"/>
  </r>
  <r>
    <n v="18"/>
    <x v="8"/>
    <x v="0"/>
    <n v="3682"/>
    <n v="3844"/>
    <n v="7526"/>
    <n v="2908"/>
  </r>
  <r>
    <n v="18"/>
    <x v="8"/>
    <x v="0"/>
    <n v="3212"/>
    <n v="3381"/>
    <n v="6593"/>
    <n v="2587"/>
  </r>
  <r>
    <n v="18"/>
    <x v="8"/>
    <x v="0"/>
    <n v="2799"/>
    <n v="3095"/>
    <n v="5894"/>
    <n v="2800"/>
  </r>
  <r>
    <n v="18"/>
    <x v="8"/>
    <x v="0"/>
    <n v="1845"/>
    <n v="2070"/>
    <n v="3915"/>
    <n v="2504"/>
  </r>
  <r>
    <n v="18"/>
    <x v="8"/>
    <x v="0"/>
    <n v="597"/>
    <n v="644"/>
    <n v="1241"/>
    <n v="492"/>
  </r>
  <r>
    <n v="18"/>
    <x v="8"/>
    <x v="0"/>
    <n v="1110"/>
    <n v="1264"/>
    <n v="2374"/>
    <n v="1401"/>
  </r>
  <r>
    <n v="18"/>
    <x v="8"/>
    <x v="0"/>
    <n v="1421"/>
    <n v="1509"/>
    <n v="2930"/>
    <n v="1399"/>
  </r>
  <r>
    <n v="18"/>
    <x v="8"/>
    <x v="0"/>
    <n v="689"/>
    <n v="781"/>
    <n v="1470"/>
    <n v="585"/>
  </r>
  <r>
    <n v="18"/>
    <x v="8"/>
    <x v="0"/>
    <n v="2886"/>
    <n v="3140"/>
    <n v="6026"/>
    <n v="3329"/>
  </r>
  <r>
    <n v="18"/>
    <x v="8"/>
    <x v="0"/>
    <n v="845"/>
    <n v="929"/>
    <n v="1774"/>
    <n v="1015"/>
  </r>
  <r>
    <n v="18"/>
    <x v="8"/>
    <x v="0"/>
    <n v="1418"/>
    <n v="1587"/>
    <n v="3005"/>
    <n v="1989"/>
  </r>
  <r>
    <n v="18"/>
    <x v="8"/>
    <x v="0"/>
    <n v="5039"/>
    <n v="5990"/>
    <n v="11029"/>
    <n v="7688"/>
  </r>
  <r>
    <n v="19"/>
    <x v="9"/>
    <x v="0"/>
    <n v="313262"/>
    <n v="325903"/>
    <n v="639165"/>
    <n v="305526"/>
  </r>
  <r>
    <n v="19"/>
    <x v="9"/>
    <x v="0"/>
    <n v="26031"/>
    <n v="22612"/>
    <n v="48643"/>
    <n v="21717"/>
  </r>
  <r>
    <n v="19"/>
    <x v="9"/>
    <x v="0"/>
    <n v="34838"/>
    <n v="35823"/>
    <n v="70661"/>
    <n v="33528"/>
  </r>
  <r>
    <n v="19"/>
    <x v="9"/>
    <x v="0"/>
    <n v="33161"/>
    <n v="35329"/>
    <n v="68490"/>
    <n v="36588"/>
  </r>
  <r>
    <n v="19"/>
    <x v="9"/>
    <x v="0"/>
    <n v="16252"/>
    <n v="17001"/>
    <n v="33253"/>
    <n v="12991"/>
  </r>
  <r>
    <n v="19"/>
    <x v="9"/>
    <x v="0"/>
    <n v="6158"/>
    <n v="6875"/>
    <n v="13033"/>
    <n v="4803"/>
  </r>
  <r>
    <n v="19"/>
    <x v="9"/>
    <x v="0"/>
    <n v="15150"/>
    <n v="16198"/>
    <n v="31348"/>
    <n v="13085"/>
  </r>
  <r>
    <n v="19"/>
    <x v="9"/>
    <x v="0"/>
    <n v="977"/>
    <n v="1072"/>
    <n v="2049"/>
    <n v="685"/>
  </r>
  <r>
    <n v="19"/>
    <x v="9"/>
    <x v="0"/>
    <n v="5497"/>
    <n v="5825"/>
    <n v="11322"/>
    <n v="4811"/>
  </r>
  <r>
    <n v="19"/>
    <x v="9"/>
    <x v="0"/>
    <n v="12169"/>
    <n v="12970"/>
    <n v="25139"/>
    <n v="10928"/>
  </r>
  <r>
    <n v="19"/>
    <x v="9"/>
    <x v="0"/>
    <n v="10617"/>
    <n v="11643"/>
    <n v="22260"/>
    <n v="9050"/>
  </r>
  <r>
    <n v="19"/>
    <x v="9"/>
    <x v="0"/>
    <n v="24982"/>
    <n v="24992"/>
    <n v="49974"/>
    <n v="23406"/>
  </r>
  <r>
    <n v="19"/>
    <x v="9"/>
    <x v="0"/>
    <n v="5638"/>
    <n v="5929"/>
    <n v="11567"/>
    <n v="4845"/>
  </r>
  <r>
    <n v="19"/>
    <x v="9"/>
    <x v="0"/>
    <n v="14832"/>
    <n v="15760"/>
    <n v="30592"/>
    <n v="13862"/>
  </r>
  <r>
    <n v="19"/>
    <x v="9"/>
    <x v="0"/>
    <n v="3295"/>
    <n v="3502"/>
    <n v="6797"/>
    <n v="2581"/>
  </r>
  <r>
    <n v="19"/>
    <x v="9"/>
    <x v="0"/>
    <n v="2099"/>
    <n v="2182"/>
    <n v="4281"/>
    <n v="2230"/>
  </r>
  <r>
    <n v="19"/>
    <x v="9"/>
    <x v="0"/>
    <n v="2084"/>
    <n v="2129"/>
    <n v="4213"/>
    <n v="2425"/>
  </r>
  <r>
    <n v="19"/>
    <x v="9"/>
    <x v="0"/>
    <n v="2375"/>
    <n v="2527"/>
    <n v="4902"/>
    <n v="2445"/>
  </r>
  <r>
    <n v="19"/>
    <x v="9"/>
    <x v="0"/>
    <n v="3053"/>
    <n v="3251"/>
    <n v="6304"/>
    <n v="2863"/>
  </r>
  <r>
    <n v="19"/>
    <x v="9"/>
    <x v="0"/>
    <n v="3717"/>
    <n v="3730"/>
    <n v="7447"/>
    <n v="3414"/>
  </r>
  <r>
    <n v="19"/>
    <x v="9"/>
    <x v="0"/>
    <n v="2095"/>
    <n v="2215"/>
    <n v="4310"/>
    <n v="2723"/>
  </r>
  <r>
    <n v="19"/>
    <x v="9"/>
    <x v="0"/>
    <n v="3179"/>
    <n v="3410"/>
    <n v="6589"/>
    <n v="4531"/>
  </r>
  <r>
    <n v="19"/>
    <x v="9"/>
    <x v="0"/>
    <n v="1441"/>
    <n v="1583"/>
    <n v="3024"/>
    <n v="1581"/>
  </r>
  <r>
    <n v="19"/>
    <x v="9"/>
    <x v="0"/>
    <n v="3748"/>
    <n v="4176"/>
    <n v="7924"/>
    <n v="4461"/>
  </r>
  <r>
    <n v="19"/>
    <x v="9"/>
    <x v="0"/>
    <n v="721"/>
    <n v="766"/>
    <n v="1487"/>
    <n v="419"/>
  </r>
  <r>
    <n v="19"/>
    <x v="9"/>
    <x v="0"/>
    <n v="1104"/>
    <n v="1227"/>
    <n v="2331"/>
    <n v="1063"/>
  </r>
  <r>
    <n v="19"/>
    <x v="9"/>
    <x v="0"/>
    <n v="2260"/>
    <n v="2312"/>
    <n v="4572"/>
    <n v="1918"/>
  </r>
  <r>
    <n v="19"/>
    <x v="9"/>
    <x v="0"/>
    <n v="1177"/>
    <n v="1282"/>
    <n v="2459"/>
    <n v="1352"/>
  </r>
  <r>
    <n v="19"/>
    <x v="9"/>
    <x v="0"/>
    <n v="3573"/>
    <n v="3832"/>
    <n v="7405"/>
    <n v="4072"/>
  </r>
  <r>
    <n v="19"/>
    <x v="9"/>
    <x v="0"/>
    <n v="1342"/>
    <n v="1464"/>
    <n v="2806"/>
    <n v="1067"/>
  </r>
  <r>
    <n v="19"/>
    <x v="9"/>
    <x v="0"/>
    <n v="812"/>
    <n v="858"/>
    <n v="1670"/>
    <n v="511"/>
  </r>
  <r>
    <n v="19"/>
    <x v="9"/>
    <x v="0"/>
    <n v="1814"/>
    <n v="1999"/>
    <n v="3813"/>
    <n v="2016"/>
  </r>
  <r>
    <n v="19"/>
    <x v="9"/>
    <x v="0"/>
    <n v="4415"/>
    <n v="4893"/>
    <n v="9308"/>
    <n v="5847"/>
  </r>
  <r>
    <n v="19"/>
    <x v="9"/>
    <x v="0"/>
    <n v="626"/>
    <n v="697"/>
    <n v="1323"/>
    <n v="694"/>
  </r>
  <r>
    <n v="19"/>
    <x v="9"/>
    <x v="0"/>
    <n v="10275"/>
    <n v="10274"/>
    <n v="20549"/>
    <n v="10521"/>
  </r>
  <r>
    <n v="19"/>
    <x v="9"/>
    <x v="0"/>
    <n v="356"/>
    <n v="400"/>
    <n v="756"/>
    <n v="450"/>
  </r>
  <r>
    <n v="19"/>
    <x v="9"/>
    <x v="0"/>
    <n v="12826"/>
    <n v="14861"/>
    <n v="27687"/>
    <n v="13868"/>
  </r>
  <r>
    <n v="19"/>
    <x v="9"/>
    <x v="0"/>
    <n v="5841"/>
    <n v="6182"/>
    <n v="12023"/>
    <n v="6594"/>
  </r>
  <r>
    <n v="19"/>
    <x v="9"/>
    <x v="0"/>
    <n v="4972"/>
    <n v="5406"/>
    <n v="10378"/>
    <n v="6305"/>
  </r>
  <r>
    <n v="19"/>
    <x v="9"/>
    <x v="0"/>
    <n v="27760"/>
    <n v="28716"/>
    <n v="56476"/>
    <n v="29276"/>
  </r>
  <r>
    <n v="20"/>
    <x v="10"/>
    <x v="1"/>
    <n v="794783"/>
    <n v="840742"/>
    <n v="1635525"/>
    <n v="1172425"/>
  </r>
  <r>
    <n v="20"/>
    <x v="10"/>
    <x v="1"/>
    <n v="22493"/>
    <n v="24077"/>
    <n v="46570"/>
    <n v="29911"/>
  </r>
  <r>
    <n v="20"/>
    <x v="10"/>
    <x v="1"/>
    <n v="42638"/>
    <n v="44181"/>
    <n v="86819"/>
    <n v="51018"/>
  </r>
  <r>
    <n v="20"/>
    <x v="10"/>
    <x v="1"/>
    <n v="7656"/>
    <n v="7659"/>
    <n v="15315"/>
    <n v="7378"/>
  </r>
  <r>
    <n v="20"/>
    <x v="10"/>
    <x v="1"/>
    <n v="15347"/>
    <n v="17433"/>
    <n v="32780"/>
    <n v="20786"/>
  </r>
  <r>
    <n v="20"/>
    <x v="10"/>
    <x v="1"/>
    <n v="25755"/>
    <n v="26832"/>
    <n v="52587"/>
    <n v="46495"/>
  </r>
  <r>
    <n v="20"/>
    <x v="10"/>
    <x v="1"/>
    <n v="49977"/>
    <n v="53110"/>
    <n v="103087"/>
    <n v="41090"/>
  </r>
  <r>
    <n v="20"/>
    <x v="10"/>
    <x v="1"/>
    <n v="29401"/>
    <n v="29925"/>
    <n v="59326"/>
    <n v="52114"/>
  </r>
  <r>
    <n v="20"/>
    <x v="10"/>
    <x v="1"/>
    <n v="27158"/>
    <n v="26846"/>
    <n v="54004"/>
    <n v="31247"/>
  </r>
  <r>
    <n v="20"/>
    <x v="10"/>
    <x v="1"/>
    <n v="19056"/>
    <n v="18862"/>
    <n v="37918"/>
    <n v="14367"/>
  </r>
  <r>
    <n v="20"/>
    <x v="10"/>
    <x v="1"/>
    <n v="14153"/>
    <n v="13166"/>
    <n v="27319"/>
    <n v="9435"/>
  </r>
  <r>
    <n v="20"/>
    <x v="10"/>
    <x v="1"/>
    <n v="7165"/>
    <n v="5894"/>
    <n v="13059"/>
    <n v="6917"/>
  </r>
  <r>
    <n v="20"/>
    <x v="10"/>
    <x v="1"/>
    <n v="33905"/>
    <n v="22232"/>
    <n v="56137"/>
    <n v="28758"/>
  </r>
  <r>
    <n v="20"/>
    <x v="10"/>
    <x v="1"/>
    <n v="6514"/>
    <n v="6976"/>
    <n v="13490"/>
    <n v="4920"/>
  </r>
  <r>
    <n v="20"/>
    <x v="10"/>
    <x v="1"/>
    <n v="13459"/>
    <n v="14689"/>
    <n v="28148"/>
    <n v="14857"/>
  </r>
  <r>
    <n v="20"/>
    <x v="10"/>
    <x v="1"/>
    <n v="10486"/>
    <n v="12746"/>
    <n v="23232"/>
    <n v="17967"/>
  </r>
  <r>
    <n v="20"/>
    <x v="10"/>
    <x v="1"/>
    <n v="7086"/>
    <n v="7331"/>
    <n v="14417"/>
    <n v="17176"/>
  </r>
  <r>
    <n v="20"/>
    <x v="10"/>
    <x v="1"/>
    <n v="8328"/>
    <n v="9558"/>
    <n v="17886"/>
    <n v="12341"/>
  </r>
  <r>
    <n v="20"/>
    <x v="10"/>
    <x v="1"/>
    <n v="21229"/>
    <n v="22455"/>
    <n v="43684"/>
    <n v="28247"/>
  </r>
  <r>
    <n v="20"/>
    <x v="10"/>
    <x v="1"/>
    <n v="6943"/>
    <n v="6581"/>
    <n v="13524"/>
    <n v="11613"/>
  </r>
  <r>
    <n v="20"/>
    <x v="10"/>
    <x v="1"/>
    <n v="3840"/>
    <n v="3979"/>
    <n v="7819"/>
    <n v="2908"/>
  </r>
  <r>
    <n v="20"/>
    <x v="10"/>
    <x v="1"/>
    <n v="5858"/>
    <n v="6435"/>
    <n v="12293"/>
    <n v="7634"/>
  </r>
  <r>
    <n v="20"/>
    <x v="10"/>
    <x v="1"/>
    <n v="42168"/>
    <n v="51957"/>
    <n v="94125"/>
    <n v="53868"/>
  </r>
  <r>
    <n v="20"/>
    <x v="10"/>
    <x v="1"/>
    <n v="3203"/>
    <n v="3417"/>
    <n v="6620"/>
    <n v="4290"/>
  </r>
  <r>
    <n v="20"/>
    <x v="10"/>
    <x v="1"/>
    <n v="4307"/>
    <n v="1834"/>
    <n v="6141"/>
    <n v="2211"/>
  </r>
  <r>
    <n v="20"/>
    <x v="10"/>
    <x v="1"/>
    <n v="1956"/>
    <n v="2046"/>
    <n v="4002"/>
    <n v="2230"/>
  </r>
  <r>
    <n v="20"/>
    <x v="10"/>
    <x v="1"/>
    <n v="9895"/>
    <n v="11161"/>
    <n v="21056"/>
    <n v="12297"/>
  </r>
  <r>
    <n v="20"/>
    <x v="10"/>
    <x v="1"/>
    <n v="5383"/>
    <n v="6415"/>
    <n v="11798"/>
    <n v="9793"/>
  </r>
  <r>
    <n v="20"/>
    <x v="10"/>
    <x v="1"/>
    <n v="3735"/>
    <n v="4112"/>
    <n v="7847"/>
    <n v="17025"/>
  </r>
  <r>
    <n v="20"/>
    <x v="10"/>
    <x v="1"/>
    <n v="2298"/>
    <n v="2380"/>
    <n v="4678"/>
    <n v="2317"/>
  </r>
  <r>
    <n v="20"/>
    <x v="10"/>
    <x v="1"/>
    <n v="77981"/>
    <n v="82601"/>
    <n v="160582"/>
    <n v="113075"/>
  </r>
  <r>
    <n v="20"/>
    <x v="10"/>
    <x v="1"/>
    <n v="6432"/>
    <n v="7125"/>
    <n v="13557"/>
    <n v="8355"/>
  </r>
  <r>
    <n v="20"/>
    <x v="10"/>
    <x v="1"/>
    <n v="11668"/>
    <n v="12072"/>
    <n v="23740"/>
    <n v="18588"/>
  </r>
  <r>
    <n v="20"/>
    <x v="10"/>
    <x v="1"/>
    <n v="3170"/>
    <n v="3387"/>
    <n v="6557"/>
    <n v="3906"/>
  </r>
  <r>
    <n v="20"/>
    <x v="10"/>
    <x v="1"/>
    <n v="15127"/>
    <n v="17155"/>
    <n v="32282"/>
    <n v="20033"/>
  </r>
  <r>
    <n v="20"/>
    <x v="10"/>
    <x v="1"/>
    <n v="6429"/>
    <n v="7139"/>
    <n v="13568"/>
    <n v="9373"/>
  </r>
  <r>
    <n v="20"/>
    <x v="10"/>
    <x v="1"/>
    <n v="4426"/>
    <n v="4245"/>
    <n v="8671"/>
    <n v="3999"/>
  </r>
  <r>
    <n v="20"/>
    <x v="10"/>
    <x v="1"/>
    <n v="1612"/>
    <n v="1820"/>
    <n v="3432"/>
    <n v="2221"/>
  </r>
  <r>
    <n v="20"/>
    <x v="10"/>
    <x v="1"/>
    <n v="1089"/>
    <n v="1168"/>
    <n v="2257"/>
    <n v="1662"/>
  </r>
  <r>
    <n v="20"/>
    <x v="10"/>
    <x v="1"/>
    <n v="17287"/>
    <n v="20307"/>
    <n v="37594"/>
    <n v="23259"/>
  </r>
  <r>
    <n v="20"/>
    <x v="10"/>
    <x v="1"/>
    <n v="34340"/>
    <n v="34817"/>
    <n v="69157"/>
    <n v="46736"/>
  </r>
  <r>
    <n v="20"/>
    <x v="10"/>
    <x v="1"/>
    <n v="6043"/>
    <n v="4893"/>
    <n v="10936"/>
    <n v="7492"/>
  </r>
  <r>
    <n v="20"/>
    <x v="10"/>
    <x v="1"/>
    <n v="2200"/>
    <n v="2480"/>
    <n v="4680"/>
    <n v="7403"/>
  </r>
  <r>
    <n v="20"/>
    <x v="10"/>
    <x v="1"/>
    <n v="45951"/>
    <n v="47715"/>
    <n v="93666"/>
    <n v="86790"/>
  </r>
  <r>
    <n v="20"/>
    <x v="10"/>
    <x v="1"/>
    <n v="21544"/>
    <n v="24848"/>
    <n v="46392"/>
    <n v="41230"/>
  </r>
  <r>
    <n v="20"/>
    <x v="10"/>
    <x v="1"/>
    <n v="9017"/>
    <n v="10324"/>
    <n v="19341"/>
    <n v="10935"/>
  </r>
  <r>
    <n v="20"/>
    <x v="10"/>
    <x v="1"/>
    <n v="53005"/>
    <n v="63499"/>
    <n v="116504"/>
    <n v="179568"/>
  </r>
  <r>
    <n v="20"/>
    <x v="10"/>
    <x v="1"/>
    <n v="10949"/>
    <n v="13692"/>
    <n v="24641"/>
    <n v="8991"/>
  </r>
  <r>
    <n v="20"/>
    <x v="10"/>
    <x v="1"/>
    <n v="4453"/>
    <n v="5271"/>
    <n v="9724"/>
    <n v="5093"/>
  </r>
  <r>
    <n v="20"/>
    <x v="10"/>
    <x v="1"/>
    <n v="10668"/>
    <n v="11895"/>
    <n v="22563"/>
    <n v="12506"/>
  </r>
  <r>
    <n v="21"/>
    <x v="11"/>
    <x v="1"/>
    <n v="382979"/>
    <n v="399192"/>
    <n v="782171"/>
    <n v="578414"/>
  </r>
  <r>
    <n v="21"/>
    <x v="11"/>
    <x v="1"/>
    <n v="51178"/>
    <n v="53322"/>
    <n v="104500"/>
    <n v="70408"/>
  </r>
  <r>
    <n v="21"/>
    <x v="11"/>
    <x v="1"/>
    <n v="5662"/>
    <n v="5371"/>
    <n v="11033"/>
    <n v="5459"/>
  </r>
  <r>
    <n v="21"/>
    <x v="11"/>
    <x v="1"/>
    <n v="32450"/>
    <n v="35036"/>
    <n v="67486"/>
    <n v="33340"/>
  </r>
  <r>
    <n v="21"/>
    <x v="11"/>
    <x v="1"/>
    <n v="11121"/>
    <n v="11172"/>
    <n v="22293"/>
    <n v="11834"/>
  </r>
  <r>
    <n v="21"/>
    <x v="11"/>
    <x v="1"/>
    <n v="34112"/>
    <n v="35903"/>
    <n v="70015"/>
    <n v="39451"/>
  </r>
  <r>
    <n v="21"/>
    <x v="11"/>
    <x v="1"/>
    <n v="42285"/>
    <n v="41383"/>
    <n v="83668"/>
    <n v="116865"/>
  </r>
  <r>
    <n v="21"/>
    <x v="11"/>
    <x v="1"/>
    <n v="11672"/>
    <n v="11906"/>
    <n v="23578"/>
    <n v="11651"/>
  </r>
  <r>
    <n v="21"/>
    <x v="11"/>
    <x v="1"/>
    <n v="13056"/>
    <n v="13119"/>
    <n v="26175"/>
    <n v="23199"/>
  </r>
  <r>
    <n v="21"/>
    <x v="11"/>
    <x v="1"/>
    <n v="4372"/>
    <n v="4360"/>
    <n v="8732"/>
    <n v="5900"/>
  </r>
  <r>
    <n v="21"/>
    <x v="11"/>
    <x v="1"/>
    <n v="2216"/>
    <n v="2345"/>
    <n v="4561"/>
    <n v="2084"/>
  </r>
  <r>
    <n v="21"/>
    <x v="11"/>
    <x v="1"/>
    <n v="12917"/>
    <n v="13219"/>
    <n v="26136"/>
    <n v="18648"/>
  </r>
  <r>
    <n v="21"/>
    <x v="11"/>
    <x v="1"/>
    <n v="4213"/>
    <n v="4435"/>
    <n v="8648"/>
    <n v="3640"/>
  </r>
  <r>
    <n v="21"/>
    <x v="11"/>
    <x v="1"/>
    <n v="6037"/>
    <n v="6055"/>
    <n v="12092"/>
    <n v="8827"/>
  </r>
  <r>
    <n v="21"/>
    <x v="11"/>
    <x v="1"/>
    <n v="8261"/>
    <n v="8675"/>
    <n v="16936"/>
    <n v="10242"/>
  </r>
  <r>
    <n v="21"/>
    <x v="11"/>
    <x v="1"/>
    <n v="7660"/>
    <n v="7729"/>
    <n v="15389"/>
    <n v="14410"/>
  </r>
  <r>
    <n v="21"/>
    <x v="11"/>
    <x v="1"/>
    <n v="5742"/>
    <n v="5698"/>
    <n v="11440"/>
    <n v="9067"/>
  </r>
  <r>
    <n v="21"/>
    <x v="11"/>
    <x v="1"/>
    <n v="2601"/>
    <n v="2969"/>
    <n v="5570"/>
    <n v="4609"/>
  </r>
  <r>
    <n v="21"/>
    <x v="11"/>
    <x v="1"/>
    <n v="204"/>
    <n v="189"/>
    <n v="393"/>
    <n v="620"/>
  </r>
  <r>
    <n v="21"/>
    <x v="11"/>
    <x v="1"/>
    <n v="1621"/>
    <n v="1768"/>
    <n v="3389"/>
    <n v="2183"/>
  </r>
  <r>
    <n v="21"/>
    <x v="11"/>
    <x v="1"/>
    <n v="1820"/>
    <n v="1896"/>
    <n v="3716"/>
    <n v="2499"/>
  </r>
  <r>
    <n v="21"/>
    <x v="11"/>
    <x v="1"/>
    <n v="7189"/>
    <n v="7983"/>
    <n v="15172"/>
    <n v="10601"/>
  </r>
  <r>
    <n v="21"/>
    <x v="11"/>
    <x v="1"/>
    <n v="2242"/>
    <n v="2378"/>
    <n v="4620"/>
    <n v="2113"/>
  </r>
  <r>
    <n v="21"/>
    <x v="11"/>
    <x v="1"/>
    <n v="3075"/>
    <n v="3418"/>
    <n v="6493"/>
    <n v="4223"/>
  </r>
  <r>
    <n v="21"/>
    <x v="11"/>
    <x v="1"/>
    <n v="2322"/>
    <n v="2368"/>
    <n v="4690"/>
    <n v="1919"/>
  </r>
  <r>
    <n v="21"/>
    <x v="11"/>
    <x v="1"/>
    <n v="5589"/>
    <n v="5791"/>
    <n v="11380"/>
    <n v="6402"/>
  </r>
  <r>
    <n v="21"/>
    <x v="11"/>
    <x v="1"/>
    <n v="15485"/>
    <n v="16505"/>
    <n v="31990"/>
    <n v="22168"/>
  </r>
  <r>
    <n v="21"/>
    <x v="11"/>
    <x v="1"/>
    <n v="8625"/>
    <n v="9571"/>
    <n v="18196"/>
    <n v="12698"/>
  </r>
  <r>
    <n v="21"/>
    <x v="11"/>
    <x v="1"/>
    <n v="3427"/>
    <n v="3724"/>
    <n v="7151"/>
    <n v="3567"/>
  </r>
  <r>
    <n v="21"/>
    <x v="11"/>
    <x v="1"/>
    <n v="39769"/>
    <n v="40004"/>
    <n v="79773"/>
    <n v="69179"/>
  </r>
  <r>
    <n v="21"/>
    <x v="11"/>
    <x v="1"/>
    <n v="8647"/>
    <n v="9695"/>
    <n v="18342"/>
    <n v="12071"/>
  </r>
  <r>
    <n v="21"/>
    <x v="11"/>
    <x v="1"/>
    <n v="27409"/>
    <n v="31205"/>
    <n v="58614"/>
    <n v="38537"/>
  </r>
  <r>
    <n v="22"/>
    <x v="12"/>
    <x v="1"/>
    <n v="261555"/>
    <n v="274833"/>
    <n v="536388"/>
    <n v="261649"/>
  </r>
  <r>
    <n v="22"/>
    <x v="12"/>
    <x v="1"/>
    <n v="23026"/>
    <n v="25609"/>
    <n v="48635"/>
    <n v="24450"/>
  </r>
  <r>
    <n v="22"/>
    <x v="12"/>
    <x v="1"/>
    <n v="12459"/>
    <n v="13001"/>
    <n v="25460"/>
    <n v="10815"/>
  </r>
  <r>
    <n v="22"/>
    <x v="12"/>
    <x v="1"/>
    <n v="23241"/>
    <n v="24302"/>
    <n v="47543"/>
    <n v="19239"/>
  </r>
  <r>
    <n v="22"/>
    <x v="12"/>
    <x v="1"/>
    <n v="11005"/>
    <n v="10527"/>
    <n v="21532"/>
    <n v="9196"/>
  </r>
  <r>
    <n v="22"/>
    <x v="12"/>
    <x v="1"/>
    <n v="15269"/>
    <n v="15915"/>
    <n v="31184"/>
    <n v="14383"/>
  </r>
  <r>
    <n v="22"/>
    <x v="12"/>
    <x v="1"/>
    <n v="6763"/>
    <n v="7084"/>
    <n v="13847"/>
    <n v="5522"/>
  </r>
  <r>
    <n v="22"/>
    <x v="12"/>
    <x v="1"/>
    <n v="18607"/>
    <n v="18346"/>
    <n v="36953"/>
    <n v="15547"/>
  </r>
  <r>
    <n v="22"/>
    <x v="12"/>
    <x v="1"/>
    <n v="21455"/>
    <n v="21366"/>
    <n v="42821"/>
    <n v="22728"/>
  </r>
  <r>
    <n v="22"/>
    <x v="12"/>
    <x v="1"/>
    <n v="14890"/>
    <n v="15938"/>
    <n v="30828"/>
    <n v="12712"/>
  </r>
  <r>
    <n v="22"/>
    <x v="12"/>
    <x v="1"/>
    <n v="6325"/>
    <n v="6530"/>
    <n v="12855"/>
    <n v="5863"/>
  </r>
  <r>
    <n v="22"/>
    <x v="12"/>
    <x v="1"/>
    <n v="3061"/>
    <n v="3218"/>
    <n v="6279"/>
    <n v="2658"/>
  </r>
  <r>
    <n v="22"/>
    <x v="12"/>
    <x v="1"/>
    <n v="2698"/>
    <n v="2710"/>
    <n v="5408"/>
    <n v="2192"/>
  </r>
  <r>
    <n v="22"/>
    <x v="12"/>
    <x v="1"/>
    <n v="5206"/>
    <n v="4960"/>
    <n v="10166"/>
    <n v="4188"/>
  </r>
  <r>
    <n v="22"/>
    <x v="12"/>
    <x v="1"/>
    <n v="1980"/>
    <n v="2143"/>
    <n v="4123"/>
    <n v="1710"/>
  </r>
  <r>
    <n v="22"/>
    <x v="12"/>
    <x v="1"/>
    <n v="2152"/>
    <n v="2503"/>
    <n v="4655"/>
    <n v="2384"/>
  </r>
  <r>
    <n v="22"/>
    <x v="12"/>
    <x v="1"/>
    <n v="3443"/>
    <n v="3621"/>
    <n v="7064"/>
    <n v="2912"/>
  </r>
  <r>
    <n v="22"/>
    <x v="12"/>
    <x v="1"/>
    <n v="2133"/>
    <n v="2259"/>
    <n v="4392"/>
    <n v="1974"/>
  </r>
  <r>
    <n v="22"/>
    <x v="12"/>
    <x v="1"/>
    <n v="2388"/>
    <n v="2354"/>
    <n v="4742"/>
    <n v="1931"/>
  </r>
  <r>
    <n v="22"/>
    <x v="12"/>
    <x v="1"/>
    <n v="8557"/>
    <n v="9548"/>
    <n v="18105"/>
    <n v="9022"/>
  </r>
  <r>
    <n v="22"/>
    <x v="12"/>
    <x v="1"/>
    <n v="2269"/>
    <n v="2118"/>
    <n v="4387"/>
    <n v="2720"/>
  </r>
  <r>
    <n v="22"/>
    <x v="12"/>
    <x v="1"/>
    <n v="3576"/>
    <n v="3776"/>
    <n v="7352"/>
    <n v="4364"/>
  </r>
  <r>
    <n v="22"/>
    <x v="12"/>
    <x v="1"/>
    <n v="8098"/>
    <n v="8078"/>
    <n v="16176"/>
    <n v="6331"/>
  </r>
  <r>
    <n v="22"/>
    <x v="12"/>
    <x v="1"/>
    <n v="1605"/>
    <n v="1796"/>
    <n v="3401"/>
    <n v="2034"/>
  </r>
  <r>
    <n v="22"/>
    <x v="12"/>
    <x v="1"/>
    <n v="5505"/>
    <n v="5703"/>
    <n v="11208"/>
    <n v="6611"/>
  </r>
  <r>
    <n v="22"/>
    <x v="12"/>
    <x v="1"/>
    <n v="3198"/>
    <n v="3687"/>
    <n v="6885"/>
    <n v="3243"/>
  </r>
  <r>
    <n v="22"/>
    <x v="12"/>
    <x v="1"/>
    <n v="4108"/>
    <n v="4368"/>
    <n v="8476"/>
    <n v="3543"/>
  </r>
  <r>
    <n v="22"/>
    <x v="12"/>
    <x v="1"/>
    <n v="784"/>
    <n v="897"/>
    <n v="1681"/>
    <n v="1041"/>
  </r>
  <r>
    <n v="22"/>
    <x v="12"/>
    <x v="1"/>
    <n v="5129"/>
    <n v="4292"/>
    <n v="9421"/>
    <n v="4492"/>
  </r>
  <r>
    <n v="22"/>
    <x v="12"/>
    <x v="1"/>
    <n v="1752"/>
    <n v="1963"/>
    <n v="3715"/>
    <n v="2249"/>
  </r>
  <r>
    <n v="22"/>
    <x v="12"/>
    <x v="1"/>
    <n v="1481"/>
    <n v="1567"/>
    <n v="3048"/>
    <n v="1789"/>
  </r>
  <r>
    <n v="22"/>
    <x v="12"/>
    <x v="1"/>
    <n v="998"/>
    <n v="1152"/>
    <n v="2150"/>
    <n v="992"/>
  </r>
  <r>
    <n v="22"/>
    <x v="12"/>
    <x v="1"/>
    <n v="4859"/>
    <n v="5430"/>
    <n v="10289"/>
    <n v="6832"/>
  </r>
  <r>
    <n v="22"/>
    <x v="12"/>
    <x v="1"/>
    <n v="2474"/>
    <n v="2669"/>
    <n v="5143"/>
    <n v="2333"/>
  </r>
  <r>
    <n v="22"/>
    <x v="12"/>
    <x v="1"/>
    <n v="6468"/>
    <n v="7637"/>
    <n v="14105"/>
    <n v="11403"/>
  </r>
  <r>
    <n v="22"/>
    <x v="12"/>
    <x v="1"/>
    <n v="5342"/>
    <n v="6103"/>
    <n v="11445"/>
    <n v="8015"/>
  </r>
  <r>
    <n v="22"/>
    <x v="12"/>
    <x v="1"/>
    <n v="4701"/>
    <n v="5359"/>
    <n v="10060"/>
    <n v="4339"/>
  </r>
  <r>
    <n v="22"/>
    <x v="12"/>
    <x v="1"/>
    <n v="4611"/>
    <n v="5299"/>
    <n v="9910"/>
    <n v="4826"/>
  </r>
  <r>
    <n v="22"/>
    <x v="12"/>
    <x v="1"/>
    <n v="9939"/>
    <n v="11005"/>
    <n v="20944"/>
    <n v="15066"/>
  </r>
  <r>
    <n v="23"/>
    <x v="13"/>
    <x v="1"/>
    <n v="111893"/>
    <n v="114624"/>
    <n v="226517"/>
    <n v="114393"/>
  </r>
  <r>
    <n v="23"/>
    <x v="13"/>
    <x v="1"/>
    <n v="36036"/>
    <n v="38610"/>
    <n v="74646"/>
    <n v="37597"/>
  </r>
  <r>
    <n v="23"/>
    <x v="13"/>
    <x v="1"/>
    <n v="7294"/>
    <n v="7120"/>
    <n v="14414"/>
    <n v="5664"/>
  </r>
  <r>
    <n v="23"/>
    <x v="13"/>
    <x v="1"/>
    <n v="19764"/>
    <n v="20058"/>
    <n v="39822"/>
    <n v="18700"/>
  </r>
  <r>
    <n v="23"/>
    <x v="13"/>
    <x v="1"/>
    <n v="9508"/>
    <n v="9034"/>
    <n v="18542"/>
    <n v="7901"/>
  </r>
  <r>
    <n v="23"/>
    <x v="13"/>
    <x v="1"/>
    <n v="7335"/>
    <n v="7031"/>
    <n v="14366"/>
    <n v="6172"/>
  </r>
  <r>
    <n v="23"/>
    <x v="13"/>
    <x v="1"/>
    <n v="1547"/>
    <n v="1415"/>
    <n v="2962"/>
    <n v="2214"/>
  </r>
  <r>
    <n v="23"/>
    <x v="13"/>
    <x v="1"/>
    <n v="4344"/>
    <n v="4384"/>
    <n v="8728"/>
    <n v="6392"/>
  </r>
  <r>
    <n v="23"/>
    <x v="13"/>
    <x v="1"/>
    <n v="1252"/>
    <n v="1350"/>
    <n v="2602"/>
    <n v="1416"/>
  </r>
  <r>
    <n v="23"/>
    <x v="13"/>
    <x v="1"/>
    <n v="3655"/>
    <n v="3568"/>
    <n v="7223"/>
    <n v="4009"/>
  </r>
  <r>
    <n v="23"/>
    <x v="13"/>
    <x v="1"/>
    <n v="833"/>
    <n v="850"/>
    <n v="1683"/>
    <n v="764"/>
  </r>
  <r>
    <n v="23"/>
    <x v="13"/>
    <x v="1"/>
    <n v="1494"/>
    <n v="1603"/>
    <n v="3097"/>
    <n v="1350"/>
  </r>
  <r>
    <n v="23"/>
    <x v="13"/>
    <x v="1"/>
    <n v="4224"/>
    <n v="4298"/>
    <n v="8522"/>
    <n v="5867"/>
  </r>
  <r>
    <n v="23"/>
    <x v="13"/>
    <x v="1"/>
    <n v="1525"/>
    <n v="1580"/>
    <n v="3105"/>
    <n v="2441"/>
  </r>
  <r>
    <n v="23"/>
    <x v="13"/>
    <x v="1"/>
    <n v="769"/>
    <n v="748"/>
    <n v="1517"/>
    <n v="617"/>
  </r>
  <r>
    <n v="23"/>
    <x v="13"/>
    <x v="1"/>
    <n v="2681"/>
    <n v="2552"/>
    <n v="5233"/>
    <n v="2032"/>
  </r>
  <r>
    <n v="23"/>
    <x v="13"/>
    <x v="1"/>
    <n v="2525"/>
    <n v="2567"/>
    <n v="5092"/>
    <n v="2457"/>
  </r>
  <r>
    <n v="23"/>
    <x v="13"/>
    <x v="1"/>
    <n v="3122"/>
    <n v="3430"/>
    <n v="6552"/>
    <n v="3220"/>
  </r>
  <r>
    <n v="23"/>
    <x v="13"/>
    <x v="1"/>
    <n v="3985"/>
    <n v="4426"/>
    <n v="8411"/>
    <n v="5580"/>
  </r>
  <r>
    <n v="24"/>
    <x v="14"/>
    <x v="1"/>
    <n v="358556"/>
    <n v="374575"/>
    <n v="733131"/>
    <n v="345381"/>
  </r>
  <r>
    <n v="24"/>
    <x v="14"/>
    <x v="1"/>
    <n v="61490"/>
    <n v="65257"/>
    <n v="126747"/>
    <n v="56559"/>
  </r>
  <r>
    <n v="24"/>
    <x v="14"/>
    <x v="1"/>
    <n v="14658"/>
    <n v="15685"/>
    <n v="30343"/>
    <n v="13395"/>
  </r>
  <r>
    <n v="24"/>
    <x v="14"/>
    <x v="1"/>
    <n v="36580"/>
    <n v="37215"/>
    <n v="73795"/>
    <n v="24009"/>
  </r>
  <r>
    <n v="24"/>
    <x v="14"/>
    <x v="1"/>
    <n v="29250"/>
    <n v="30344"/>
    <n v="59594"/>
    <n v="29826"/>
  </r>
  <r>
    <n v="24"/>
    <x v="14"/>
    <x v="1"/>
    <n v="22616"/>
    <n v="24533"/>
    <n v="47149"/>
    <n v="22943"/>
  </r>
  <r>
    <n v="24"/>
    <x v="14"/>
    <x v="1"/>
    <n v="34991"/>
    <n v="37071"/>
    <n v="72062"/>
    <n v="32344"/>
  </r>
  <r>
    <n v="24"/>
    <x v="14"/>
    <x v="1"/>
    <n v="6130"/>
    <n v="6380"/>
    <n v="12510"/>
    <n v="5117"/>
  </r>
  <r>
    <n v="24"/>
    <x v="14"/>
    <x v="1"/>
    <n v="35587"/>
    <n v="35574"/>
    <n v="71161"/>
    <n v="24441"/>
  </r>
  <r>
    <n v="24"/>
    <x v="14"/>
    <x v="1"/>
    <n v="12020"/>
    <n v="11789"/>
    <n v="23809"/>
    <n v="14024"/>
  </r>
  <r>
    <n v="24"/>
    <x v="14"/>
    <x v="1"/>
    <n v="23547"/>
    <n v="23212"/>
    <n v="46759"/>
    <n v="18165"/>
  </r>
  <r>
    <n v="24"/>
    <x v="14"/>
    <x v="1"/>
    <n v="6064"/>
    <n v="6328"/>
    <n v="12392"/>
    <n v="4788"/>
  </r>
  <r>
    <n v="24"/>
    <x v="14"/>
    <x v="1"/>
    <n v="5515"/>
    <n v="6006"/>
    <n v="11521"/>
    <n v="9761"/>
  </r>
  <r>
    <n v="24"/>
    <x v="14"/>
    <x v="1"/>
    <n v="1823"/>
    <n v="1957"/>
    <n v="3780"/>
    <n v="4397"/>
  </r>
  <r>
    <n v="24"/>
    <x v="14"/>
    <x v="1"/>
    <n v="4902"/>
    <n v="4984"/>
    <n v="9886"/>
    <n v="3837"/>
  </r>
  <r>
    <n v="24"/>
    <x v="14"/>
    <x v="1"/>
    <n v="4368"/>
    <n v="4252"/>
    <n v="8620"/>
    <n v="2524"/>
  </r>
  <r>
    <n v="24"/>
    <x v="14"/>
    <x v="1"/>
    <n v="3377"/>
    <n v="3538"/>
    <n v="6915"/>
    <n v="4250"/>
  </r>
  <r>
    <n v="24"/>
    <x v="14"/>
    <x v="1"/>
    <n v="3062"/>
    <n v="3198"/>
    <n v="6260"/>
    <n v="3832"/>
  </r>
  <r>
    <n v="24"/>
    <x v="14"/>
    <x v="1"/>
    <n v="3064"/>
    <n v="2718"/>
    <n v="5782"/>
    <n v="4773"/>
  </r>
  <r>
    <n v="24"/>
    <x v="14"/>
    <x v="1"/>
    <n v="1998"/>
    <n v="2233"/>
    <n v="4231"/>
    <n v="3064"/>
  </r>
  <r>
    <n v="24"/>
    <x v="14"/>
    <x v="1"/>
    <n v="2806"/>
    <n v="3295"/>
    <n v="6101"/>
    <n v="4310"/>
  </r>
  <r>
    <n v="24"/>
    <x v="14"/>
    <x v="1"/>
    <n v="1683"/>
    <n v="1764"/>
    <n v="3447"/>
    <n v="2743"/>
  </r>
  <r>
    <n v="24"/>
    <x v="14"/>
    <x v="1"/>
    <n v="967"/>
    <n v="1101"/>
    <n v="2068"/>
    <n v="1129"/>
  </r>
  <r>
    <n v="24"/>
    <x v="14"/>
    <x v="1"/>
    <n v="1402"/>
    <n v="1479"/>
    <n v="2881"/>
    <n v="1458"/>
  </r>
  <r>
    <n v="24"/>
    <x v="14"/>
    <x v="1"/>
    <n v="1988"/>
    <n v="2117"/>
    <n v="4105"/>
    <n v="1313"/>
  </r>
  <r>
    <n v="24"/>
    <x v="14"/>
    <x v="1"/>
    <n v="1198"/>
    <n v="1347"/>
    <n v="2545"/>
    <n v="2031"/>
  </r>
  <r>
    <n v="24"/>
    <x v="14"/>
    <x v="1"/>
    <n v="2822"/>
    <n v="3071"/>
    <n v="5893"/>
    <n v="2959"/>
  </r>
  <r>
    <n v="24"/>
    <x v="14"/>
    <x v="1"/>
    <n v="622"/>
    <n v="639"/>
    <n v="1261"/>
    <n v="327"/>
  </r>
  <r>
    <n v="24"/>
    <x v="14"/>
    <x v="1"/>
    <n v="1868"/>
    <n v="1988"/>
    <n v="3856"/>
    <n v="2837"/>
  </r>
  <r>
    <n v="24"/>
    <x v="14"/>
    <x v="1"/>
    <n v="3555"/>
    <n v="3815"/>
    <n v="7370"/>
    <n v="9606"/>
  </r>
  <r>
    <n v="24"/>
    <x v="14"/>
    <x v="1"/>
    <n v="713"/>
    <n v="761"/>
    <n v="1474"/>
    <n v="566"/>
  </r>
  <r>
    <n v="24"/>
    <x v="14"/>
    <x v="1"/>
    <n v="1097"/>
    <n v="1161"/>
    <n v="2258"/>
    <n v="1238"/>
  </r>
  <r>
    <n v="24"/>
    <x v="14"/>
    <x v="1"/>
    <n v="1067"/>
    <n v="1027"/>
    <n v="2094"/>
    <n v="818"/>
  </r>
  <r>
    <n v="24"/>
    <x v="14"/>
    <x v="1"/>
    <n v="756"/>
    <n v="764"/>
    <n v="1520"/>
    <n v="742"/>
  </r>
  <r>
    <n v="24"/>
    <x v="14"/>
    <x v="1"/>
    <n v="2564"/>
    <n v="2800"/>
    <n v="5364"/>
    <n v="2789"/>
  </r>
  <r>
    <n v="24"/>
    <x v="14"/>
    <x v="1"/>
    <n v="621"/>
    <n v="726"/>
    <n v="1347"/>
    <n v="505"/>
  </r>
  <r>
    <n v="24"/>
    <x v="14"/>
    <x v="1"/>
    <n v="4579"/>
    <n v="5334"/>
    <n v="9913"/>
    <n v="5047"/>
  </r>
  <r>
    <n v="24"/>
    <x v="14"/>
    <x v="1"/>
    <n v="17206"/>
    <n v="19112"/>
    <n v="36318"/>
    <n v="22914"/>
  </r>
  <r>
    <n v="25"/>
    <x v="15"/>
    <x v="1"/>
    <n v="246835"/>
    <n v="253772"/>
    <n v="500607"/>
    <n v="242594"/>
  </r>
  <r>
    <n v="25"/>
    <x v="15"/>
    <x v="1"/>
    <n v="45275"/>
    <n v="42736"/>
    <n v="88011"/>
    <n v="37954"/>
  </r>
  <r>
    <n v="25"/>
    <x v="15"/>
    <x v="1"/>
    <n v="67379"/>
    <n v="69718"/>
    <n v="137097"/>
    <n v="57049"/>
  </r>
  <r>
    <n v="25"/>
    <x v="15"/>
    <x v="1"/>
    <n v="21992"/>
    <n v="22299"/>
    <n v="44291"/>
    <n v="19209"/>
  </r>
  <r>
    <n v="25"/>
    <x v="15"/>
    <x v="1"/>
    <n v="13291"/>
    <n v="13871"/>
    <n v="27162"/>
    <n v="9865"/>
  </r>
  <r>
    <n v="25"/>
    <x v="15"/>
    <x v="1"/>
    <n v="24206"/>
    <n v="25474"/>
    <n v="49680"/>
    <n v="18499"/>
  </r>
  <r>
    <n v="25"/>
    <x v="15"/>
    <x v="1"/>
    <n v="39177"/>
    <n v="41327"/>
    <n v="80504"/>
    <n v="60592"/>
  </r>
  <r>
    <n v="25"/>
    <x v="15"/>
    <x v="1"/>
    <n v="6643"/>
    <n v="6869"/>
    <n v="13512"/>
    <n v="7003"/>
  </r>
  <r>
    <n v="25"/>
    <x v="15"/>
    <x v="1"/>
    <n v="1057"/>
    <n v="1174"/>
    <n v="2231"/>
    <n v="880"/>
  </r>
  <r>
    <n v="25"/>
    <x v="15"/>
    <x v="1"/>
    <n v="2698"/>
    <n v="2937"/>
    <n v="5635"/>
    <n v="2414"/>
  </r>
  <r>
    <n v="25"/>
    <x v="15"/>
    <x v="1"/>
    <n v="1724"/>
    <n v="1845"/>
    <n v="3569"/>
    <n v="2595"/>
  </r>
  <r>
    <n v="25"/>
    <x v="15"/>
    <x v="1"/>
    <n v="1764"/>
    <n v="1828"/>
    <n v="3592"/>
    <n v="1344"/>
  </r>
  <r>
    <n v="25"/>
    <x v="15"/>
    <x v="1"/>
    <n v="2029"/>
    <n v="2243"/>
    <n v="4272"/>
    <n v="2433"/>
  </r>
  <r>
    <n v="25"/>
    <x v="15"/>
    <x v="1"/>
    <n v="1581"/>
    <n v="1651"/>
    <n v="3232"/>
    <n v="1729"/>
  </r>
  <r>
    <n v="25"/>
    <x v="15"/>
    <x v="1"/>
    <n v="3879"/>
    <n v="4037"/>
    <n v="7916"/>
    <n v="3491"/>
  </r>
  <r>
    <n v="25"/>
    <x v="15"/>
    <x v="1"/>
    <n v="865"/>
    <n v="908"/>
    <n v="1773"/>
    <n v="664"/>
  </r>
  <r>
    <n v="25"/>
    <x v="15"/>
    <x v="1"/>
    <n v="3241"/>
    <n v="3376"/>
    <n v="6617"/>
    <n v="4650"/>
  </r>
  <r>
    <n v="25"/>
    <x v="15"/>
    <x v="1"/>
    <n v="1102"/>
    <n v="1130"/>
    <n v="2232"/>
    <n v="837"/>
  </r>
  <r>
    <n v="25"/>
    <x v="15"/>
    <x v="1"/>
    <n v="1643"/>
    <n v="1868"/>
    <n v="3511"/>
    <n v="2216"/>
  </r>
  <r>
    <n v="25"/>
    <x v="15"/>
    <x v="1"/>
    <n v="7289"/>
    <n v="8481"/>
    <n v="15770"/>
    <n v="9170"/>
  </r>
  <r>
    <n v="26"/>
    <x v="16"/>
    <x v="1"/>
    <n v="128349"/>
    <n v="131421"/>
    <n v="259770"/>
    <n v="111246"/>
  </r>
  <r>
    <n v="26"/>
    <x v="16"/>
    <x v="1"/>
    <n v="42555"/>
    <n v="42629"/>
    <n v="85184"/>
    <n v="38011"/>
  </r>
  <r>
    <n v="26"/>
    <x v="16"/>
    <x v="1"/>
    <n v="10779"/>
    <n v="11382"/>
    <n v="22161"/>
    <n v="9215"/>
  </r>
  <r>
    <n v="26"/>
    <x v="16"/>
    <x v="1"/>
    <n v="32047"/>
    <n v="32160"/>
    <n v="64207"/>
    <n v="25935"/>
  </r>
  <r>
    <n v="26"/>
    <x v="16"/>
    <x v="1"/>
    <n v="30999"/>
    <n v="31982"/>
    <n v="62981"/>
    <n v="24023"/>
  </r>
  <r>
    <n v="26"/>
    <x v="16"/>
    <x v="1"/>
    <n v="1227"/>
    <n v="1347"/>
    <n v="2574"/>
    <n v="1394"/>
  </r>
  <r>
    <n v="26"/>
    <x v="16"/>
    <x v="1"/>
    <n v="2144"/>
    <n v="2415"/>
    <n v="4559"/>
    <n v="2605"/>
  </r>
  <r>
    <n v="26"/>
    <x v="16"/>
    <x v="1"/>
    <n v="795"/>
    <n v="905"/>
    <n v="1700"/>
    <n v="767"/>
  </r>
  <r>
    <n v="26"/>
    <x v="16"/>
    <x v="1"/>
    <n v="498"/>
    <n v="529"/>
    <n v="1027"/>
    <n v="317"/>
  </r>
  <r>
    <n v="26"/>
    <x v="16"/>
    <x v="1"/>
    <n v="7305"/>
    <n v="8072"/>
    <n v="15377"/>
    <n v="8979"/>
  </r>
  <r>
    <n v="27"/>
    <x v="17"/>
    <x v="1"/>
    <n v="280641"/>
    <n v="281601"/>
    <n v="562242"/>
    <n v="233852"/>
  </r>
  <r>
    <n v="27"/>
    <x v="17"/>
    <x v="1"/>
    <n v="43855"/>
    <n v="43035"/>
    <n v="86890"/>
    <n v="31565"/>
  </r>
  <r>
    <n v="27"/>
    <x v="17"/>
    <x v="1"/>
    <n v="19513"/>
    <n v="19512"/>
    <n v="39025"/>
    <n v="14443"/>
  </r>
  <r>
    <n v="27"/>
    <x v="17"/>
    <x v="1"/>
    <n v="27531"/>
    <n v="27366"/>
    <n v="54897"/>
    <n v="17397"/>
  </r>
  <r>
    <n v="27"/>
    <x v="17"/>
    <x v="1"/>
    <n v="20169"/>
    <n v="20167"/>
    <n v="40336"/>
    <n v="15723"/>
  </r>
  <r>
    <n v="27"/>
    <x v="17"/>
    <x v="1"/>
    <n v="38371"/>
    <n v="38083"/>
    <n v="76454"/>
    <n v="28513"/>
  </r>
  <r>
    <n v="27"/>
    <x v="17"/>
    <x v="1"/>
    <n v="37252"/>
    <n v="38574"/>
    <n v="75826"/>
    <n v="39533"/>
  </r>
  <r>
    <n v="27"/>
    <x v="17"/>
    <x v="1"/>
    <n v="25387"/>
    <n v="25478"/>
    <n v="50865"/>
    <n v="17217"/>
  </r>
  <r>
    <n v="27"/>
    <x v="17"/>
    <x v="1"/>
    <n v="13463"/>
    <n v="13784"/>
    <n v="27247"/>
    <n v="8919"/>
  </r>
  <r>
    <n v="27"/>
    <x v="17"/>
    <x v="1"/>
    <n v="12642"/>
    <n v="12503"/>
    <n v="25145"/>
    <n v="10915"/>
  </r>
  <r>
    <n v="27"/>
    <x v="17"/>
    <x v="1"/>
    <n v="5159"/>
    <n v="5316"/>
    <n v="10475"/>
    <n v="5329"/>
  </r>
  <r>
    <n v="27"/>
    <x v="17"/>
    <x v="1"/>
    <n v="2344"/>
    <n v="2412"/>
    <n v="4756"/>
    <n v="2484"/>
  </r>
  <r>
    <n v="27"/>
    <x v="17"/>
    <x v="1"/>
    <n v="2506"/>
    <n v="2973"/>
    <n v="5479"/>
    <n v="3154"/>
  </r>
  <r>
    <n v="27"/>
    <x v="17"/>
    <x v="1"/>
    <n v="9884"/>
    <n v="10404"/>
    <n v="20288"/>
    <n v="10328"/>
  </r>
  <r>
    <n v="27"/>
    <x v="17"/>
    <x v="1"/>
    <n v="1220"/>
    <n v="1252"/>
    <n v="2472"/>
    <n v="1209"/>
  </r>
  <r>
    <n v="27"/>
    <x v="17"/>
    <x v="1"/>
    <n v="1311"/>
    <n v="1376"/>
    <n v="2687"/>
    <n v="1253"/>
  </r>
  <r>
    <n v="27"/>
    <x v="17"/>
    <x v="1"/>
    <n v="2191"/>
    <n v="1871"/>
    <n v="4062"/>
    <n v="1723"/>
  </r>
  <r>
    <n v="27"/>
    <x v="17"/>
    <x v="1"/>
    <n v="9129"/>
    <n v="7941"/>
    <n v="17070"/>
    <n v="11857"/>
  </r>
  <r>
    <n v="27"/>
    <x v="17"/>
    <x v="1"/>
    <n v="8714"/>
    <n v="9554"/>
    <n v="18268"/>
    <n v="12290"/>
  </r>
  <r>
    <n v="30"/>
    <x v="18"/>
    <x v="2"/>
    <n v="1282763"/>
    <n v="1337409"/>
    <n v="2620172"/>
    <n v="1079582"/>
  </r>
  <r>
    <n v="30"/>
    <x v="18"/>
    <x v="2"/>
    <n v="108399"/>
    <n v="120739"/>
    <n v="229138"/>
    <n v="116113"/>
  </r>
  <r>
    <n v="30"/>
    <x v="18"/>
    <x v="2"/>
    <n v="39574"/>
    <n v="40656"/>
    <n v="80230"/>
    <n v="32003"/>
  </r>
  <r>
    <n v="30"/>
    <x v="18"/>
    <x v="2"/>
    <n v="28111"/>
    <n v="28556"/>
    <n v="56667"/>
    <n v="18150"/>
  </r>
  <r>
    <n v="30"/>
    <x v="18"/>
    <x v="2"/>
    <n v="36135"/>
    <n v="37162"/>
    <n v="73297"/>
    <n v="22682"/>
  </r>
  <r>
    <n v="30"/>
    <x v="18"/>
    <x v="2"/>
    <n v="8406"/>
    <n v="8616"/>
    <n v="17022"/>
    <n v="5393"/>
  </r>
  <r>
    <n v="30"/>
    <x v="18"/>
    <x v="2"/>
    <n v="33437"/>
    <n v="33952"/>
    <n v="67389"/>
    <n v="20221"/>
  </r>
  <r>
    <n v="30"/>
    <x v="18"/>
    <x v="2"/>
    <n v="24460"/>
    <n v="26217"/>
    <n v="50677"/>
    <n v="20530"/>
  </r>
  <r>
    <n v="30"/>
    <x v="18"/>
    <x v="2"/>
    <n v="53845"/>
    <n v="55407"/>
    <n v="109252"/>
    <n v="36691"/>
  </r>
  <r>
    <n v="30"/>
    <x v="18"/>
    <x v="2"/>
    <n v="26399"/>
    <n v="27681"/>
    <n v="54080"/>
    <n v="17931"/>
  </r>
  <r>
    <n v="30"/>
    <x v="18"/>
    <x v="2"/>
    <n v="41140"/>
    <n v="42793"/>
    <n v="83933"/>
    <n v="26637"/>
  </r>
  <r>
    <n v="30"/>
    <x v="18"/>
    <x v="2"/>
    <n v="16446"/>
    <n v="16614"/>
    <n v="33060"/>
    <n v="10502"/>
  </r>
  <r>
    <n v="30"/>
    <x v="18"/>
    <x v="2"/>
    <n v="33287"/>
    <n v="33337"/>
    <n v="66624"/>
    <n v="20304"/>
  </r>
  <r>
    <n v="30"/>
    <x v="18"/>
    <x v="2"/>
    <n v="34669"/>
    <n v="35404"/>
    <n v="70073"/>
    <n v="20701"/>
  </r>
  <r>
    <n v="30"/>
    <x v="18"/>
    <x v="2"/>
    <n v="44724"/>
    <n v="47140"/>
    <n v="91864"/>
    <n v="34171"/>
  </r>
  <r>
    <n v="30"/>
    <x v="18"/>
    <x v="2"/>
    <n v="58151"/>
    <n v="60356"/>
    <n v="118507"/>
    <n v="41333"/>
  </r>
  <r>
    <n v="30"/>
    <x v="18"/>
    <x v="2"/>
    <n v="34832"/>
    <n v="34796"/>
    <n v="69628"/>
    <n v="20736"/>
  </r>
  <r>
    <n v="30"/>
    <x v="18"/>
    <x v="2"/>
    <n v="36238"/>
    <n v="36781"/>
    <n v="73019"/>
    <n v="21234"/>
  </r>
  <r>
    <n v="30"/>
    <x v="18"/>
    <x v="2"/>
    <n v="35651"/>
    <n v="37445"/>
    <n v="73096"/>
    <n v="31810"/>
  </r>
  <r>
    <n v="30"/>
    <x v="18"/>
    <x v="2"/>
    <n v="12785"/>
    <n v="13358"/>
    <n v="26143"/>
    <n v="9239"/>
  </r>
  <r>
    <n v="30"/>
    <x v="18"/>
    <x v="2"/>
    <n v="43077"/>
    <n v="43778"/>
    <n v="86855"/>
    <n v="34142"/>
  </r>
  <r>
    <n v="30"/>
    <x v="18"/>
    <x v="2"/>
    <n v="62994"/>
    <n v="64563"/>
    <n v="127557"/>
    <n v="74213"/>
  </r>
  <r>
    <n v="30"/>
    <x v="18"/>
    <x v="2"/>
    <n v="29934"/>
    <n v="30600"/>
    <n v="60534"/>
    <n v="19625"/>
  </r>
  <r>
    <n v="30"/>
    <x v="18"/>
    <x v="2"/>
    <n v="17766"/>
    <n v="18253"/>
    <n v="36019"/>
    <n v="11203"/>
  </r>
  <r>
    <n v="30"/>
    <x v="18"/>
    <x v="2"/>
    <n v="10069"/>
    <n v="10404"/>
    <n v="20473"/>
    <n v="6008"/>
  </r>
  <r>
    <n v="30"/>
    <x v="18"/>
    <x v="2"/>
    <n v="21848"/>
    <n v="22268"/>
    <n v="44116"/>
    <n v="21028"/>
  </r>
  <r>
    <n v="30"/>
    <x v="18"/>
    <x v="2"/>
    <n v="12742"/>
    <n v="12606"/>
    <n v="25348"/>
    <n v="9024"/>
  </r>
  <r>
    <n v="30"/>
    <x v="18"/>
    <x v="2"/>
    <n v="9748"/>
    <n v="9623"/>
    <n v="19371"/>
    <n v="5785"/>
  </r>
  <r>
    <n v="30"/>
    <x v="18"/>
    <x v="2"/>
    <n v="18257"/>
    <n v="18482"/>
    <n v="36739"/>
    <n v="12954"/>
  </r>
  <r>
    <n v="30"/>
    <x v="18"/>
    <x v="2"/>
    <n v="13805"/>
    <n v="13968"/>
    <n v="27773"/>
    <n v="7919"/>
  </r>
  <r>
    <n v="30"/>
    <x v="18"/>
    <x v="2"/>
    <n v="10457"/>
    <n v="10695"/>
    <n v="21152"/>
    <n v="6761"/>
  </r>
  <r>
    <n v="30"/>
    <x v="18"/>
    <x v="2"/>
    <n v="9793"/>
    <n v="9908"/>
    <n v="19701"/>
    <n v="6326"/>
  </r>
  <r>
    <n v="30"/>
    <x v="18"/>
    <x v="2"/>
    <n v="15158"/>
    <n v="15898"/>
    <n v="31056"/>
    <n v="9976"/>
  </r>
  <r>
    <n v="30"/>
    <x v="18"/>
    <x v="2"/>
    <n v="7828"/>
    <n v="8435"/>
    <n v="16263"/>
    <n v="8218"/>
  </r>
  <r>
    <n v="30"/>
    <x v="18"/>
    <x v="2"/>
    <n v="3981"/>
    <n v="4054"/>
    <n v="8035"/>
    <n v="2461"/>
  </r>
  <r>
    <n v="30"/>
    <x v="18"/>
    <x v="2"/>
    <n v="6623"/>
    <n v="6672"/>
    <n v="13295"/>
    <n v="5364"/>
  </r>
  <r>
    <n v="30"/>
    <x v="18"/>
    <x v="2"/>
    <n v="4182"/>
    <n v="4335"/>
    <n v="8517"/>
    <n v="2743"/>
  </r>
  <r>
    <n v="30"/>
    <x v="18"/>
    <x v="2"/>
    <n v="6402"/>
    <n v="6494"/>
    <n v="12896"/>
    <n v="3754"/>
  </r>
  <r>
    <n v="30"/>
    <x v="18"/>
    <x v="2"/>
    <n v="4266"/>
    <n v="4501"/>
    <n v="8767"/>
    <n v="2853"/>
  </r>
  <r>
    <n v="30"/>
    <x v="18"/>
    <x v="2"/>
    <n v="3801"/>
    <n v="3864"/>
    <n v="7665"/>
    <n v="2574"/>
  </r>
  <r>
    <n v="30"/>
    <x v="18"/>
    <x v="2"/>
    <n v="3075"/>
    <n v="3073"/>
    <n v="6148"/>
    <n v="1984"/>
  </r>
  <r>
    <n v="30"/>
    <x v="18"/>
    <x v="2"/>
    <n v="5617"/>
    <n v="5797"/>
    <n v="11414"/>
    <n v="5828"/>
  </r>
  <r>
    <n v="30"/>
    <x v="18"/>
    <x v="2"/>
    <n v="4571"/>
    <n v="4675"/>
    <n v="9246"/>
    <n v="4640"/>
  </r>
  <r>
    <n v="30"/>
    <x v="18"/>
    <x v="2"/>
    <n v="2340"/>
    <n v="2374"/>
    <n v="4714"/>
    <n v="1483"/>
  </r>
  <r>
    <n v="30"/>
    <x v="18"/>
    <x v="2"/>
    <n v="1741"/>
    <n v="1916"/>
    <n v="3657"/>
    <n v="1375"/>
  </r>
  <r>
    <n v="30"/>
    <x v="18"/>
    <x v="2"/>
    <n v="6661"/>
    <n v="6789"/>
    <n v="13450"/>
    <n v="12435"/>
  </r>
  <r>
    <n v="30"/>
    <x v="18"/>
    <x v="2"/>
    <n v="14775"/>
    <n v="14425"/>
    <n v="29200"/>
    <n v="14148"/>
  </r>
  <r>
    <n v="30"/>
    <x v="18"/>
    <x v="2"/>
    <n v="13224"/>
    <n v="14713"/>
    <n v="27937"/>
    <n v="14664"/>
  </r>
  <r>
    <n v="30"/>
    <x v="18"/>
    <x v="2"/>
    <n v="5586"/>
    <n v="5821"/>
    <n v="11407"/>
    <n v="5927"/>
  </r>
  <r>
    <n v="30"/>
    <x v="18"/>
    <x v="2"/>
    <n v="4624"/>
    <n v="5106"/>
    <n v="9730"/>
    <n v="5494"/>
  </r>
  <r>
    <n v="30"/>
    <x v="18"/>
    <x v="2"/>
    <n v="9494"/>
    <n v="3994"/>
    <n v="13488"/>
    <n v="11306"/>
  </r>
  <r>
    <n v="30"/>
    <x v="18"/>
    <x v="2"/>
    <n v="2430"/>
    <n v="2611"/>
    <n v="5041"/>
    <n v="2195"/>
  </r>
  <r>
    <n v="30"/>
    <x v="18"/>
    <x v="2"/>
    <n v="1754"/>
    <n v="1838"/>
    <n v="3592"/>
    <n v="1559"/>
  </r>
  <r>
    <n v="30"/>
    <x v="18"/>
    <x v="2"/>
    <n v="1147"/>
    <n v="1194"/>
    <n v="2341"/>
    <n v="895"/>
  </r>
  <r>
    <n v="30"/>
    <x v="18"/>
    <x v="2"/>
    <n v="2241"/>
    <n v="2310"/>
    <n v="4551"/>
    <n v="1955"/>
  </r>
  <r>
    <n v="30"/>
    <x v="18"/>
    <x v="2"/>
    <n v="1925"/>
    <n v="2050"/>
    <n v="3975"/>
    <n v="1694"/>
  </r>
  <r>
    <n v="30"/>
    <x v="18"/>
    <x v="2"/>
    <n v="887"/>
    <n v="1000"/>
    <n v="1887"/>
    <n v="981"/>
  </r>
  <r>
    <n v="30"/>
    <x v="18"/>
    <x v="2"/>
    <n v="2050"/>
    <n v="2180"/>
    <n v="4230"/>
    <n v="1680"/>
  </r>
  <r>
    <n v="30"/>
    <x v="18"/>
    <x v="2"/>
    <n v="2422"/>
    <n v="2515"/>
    <n v="4937"/>
    <n v="2804"/>
  </r>
  <r>
    <n v="30"/>
    <x v="18"/>
    <x v="2"/>
    <n v="7536"/>
    <n v="8510"/>
    <n v="16046"/>
    <n v="9816"/>
  </r>
  <r>
    <n v="30"/>
    <x v="18"/>
    <x v="2"/>
    <n v="1915"/>
    <n v="2105"/>
    <n v="4020"/>
    <n v="2308"/>
  </r>
  <r>
    <n v="30"/>
    <x v="18"/>
    <x v="2"/>
    <n v="1945"/>
    <n v="1648"/>
    <n v="3593"/>
    <n v="1774"/>
  </r>
  <r>
    <n v="30"/>
    <x v="18"/>
    <x v="2"/>
    <n v="2095"/>
    <n v="2262"/>
    <n v="4357"/>
    <n v="2381"/>
  </r>
  <r>
    <n v="30"/>
    <x v="18"/>
    <x v="2"/>
    <n v="4551"/>
    <n v="5073"/>
    <n v="9624"/>
    <n v="6482"/>
  </r>
  <r>
    <n v="30"/>
    <x v="18"/>
    <x v="2"/>
    <n v="1263"/>
    <n v="1422"/>
    <n v="2685"/>
    <n v="1545"/>
  </r>
  <r>
    <n v="30"/>
    <x v="18"/>
    <x v="2"/>
    <n v="4155"/>
    <n v="4430"/>
    <n v="8585"/>
    <n v="3953"/>
  </r>
  <r>
    <n v="30"/>
    <x v="18"/>
    <x v="2"/>
    <n v="1355"/>
    <n v="1373"/>
    <n v="2728"/>
    <n v="824"/>
  </r>
  <r>
    <n v="30"/>
    <x v="18"/>
    <x v="2"/>
    <n v="1412"/>
    <n v="1595"/>
    <n v="3007"/>
    <n v="1722"/>
  </r>
  <r>
    <n v="30"/>
    <x v="18"/>
    <x v="2"/>
    <n v="3446"/>
    <n v="4037"/>
    <n v="7483"/>
    <n v="2940"/>
  </r>
  <r>
    <n v="30"/>
    <x v="18"/>
    <x v="2"/>
    <n v="6190"/>
    <n v="7085"/>
    <n v="13275"/>
    <n v="7210"/>
  </r>
  <r>
    <n v="30"/>
    <x v="18"/>
    <x v="2"/>
    <n v="2534"/>
    <n v="2644"/>
    <n v="5178"/>
    <n v="2004"/>
  </r>
  <r>
    <n v="30"/>
    <x v="18"/>
    <x v="2"/>
    <n v="2899"/>
    <n v="3031"/>
    <n v="5930"/>
    <n v="3224"/>
  </r>
  <r>
    <n v="30"/>
    <x v="18"/>
    <x v="2"/>
    <n v="2220"/>
    <n v="2209"/>
    <n v="4429"/>
    <n v="1517"/>
  </r>
  <r>
    <n v="30"/>
    <x v="18"/>
    <x v="2"/>
    <n v="2379"/>
    <n v="2606"/>
    <n v="4985"/>
    <n v="1981"/>
  </r>
  <r>
    <n v="30"/>
    <x v="18"/>
    <x v="2"/>
    <n v="941"/>
    <n v="938"/>
    <n v="1879"/>
    <n v="621"/>
  </r>
  <r>
    <n v="30"/>
    <x v="18"/>
    <x v="2"/>
    <n v="1507"/>
    <n v="1689"/>
    <n v="3196"/>
    <n v="1382"/>
  </r>
  <r>
    <n v="30"/>
    <x v="18"/>
    <x v="2"/>
    <n v="1369"/>
    <n v="1590"/>
    <n v="2959"/>
    <n v="1413"/>
  </r>
  <r>
    <n v="30"/>
    <x v="18"/>
    <x v="2"/>
    <n v="2484"/>
    <n v="2631"/>
    <n v="5115"/>
    <n v="1869"/>
  </r>
  <r>
    <n v="30"/>
    <x v="18"/>
    <x v="2"/>
    <n v="1935"/>
    <n v="2088"/>
    <n v="4023"/>
    <n v="1405"/>
  </r>
  <r>
    <n v="30"/>
    <x v="18"/>
    <x v="2"/>
    <n v="2765"/>
    <n v="3197"/>
    <n v="5962"/>
    <n v="4132"/>
  </r>
  <r>
    <n v="30"/>
    <x v="18"/>
    <x v="2"/>
    <n v="4794"/>
    <n v="5107"/>
    <n v="9901"/>
    <n v="4640"/>
  </r>
  <r>
    <n v="30"/>
    <x v="18"/>
    <x v="2"/>
    <n v="5869"/>
    <n v="6500"/>
    <n v="12369"/>
    <n v="5709"/>
  </r>
  <r>
    <n v="30"/>
    <x v="18"/>
    <x v="2"/>
    <n v="1785"/>
    <n v="1968"/>
    <n v="3753"/>
    <n v="1705"/>
  </r>
  <r>
    <n v="30"/>
    <x v="18"/>
    <x v="2"/>
    <n v="1560"/>
    <n v="1790"/>
    <n v="3350"/>
    <n v="1287"/>
  </r>
  <r>
    <n v="30"/>
    <x v="18"/>
    <x v="2"/>
    <n v="1026"/>
    <n v="1140"/>
    <n v="2166"/>
    <n v="1010"/>
  </r>
  <r>
    <n v="30"/>
    <x v="18"/>
    <x v="2"/>
    <n v="1307"/>
    <n v="1381"/>
    <n v="2688"/>
    <n v="913"/>
  </r>
  <r>
    <n v="30"/>
    <x v="18"/>
    <x v="2"/>
    <n v="3613"/>
    <n v="3857"/>
    <n v="7470"/>
    <n v="3350"/>
  </r>
  <r>
    <n v="30"/>
    <x v="18"/>
    <x v="2"/>
    <n v="2799"/>
    <n v="2879"/>
    <n v="5678"/>
    <n v="1869"/>
  </r>
  <r>
    <n v="30"/>
    <x v="18"/>
    <x v="2"/>
    <n v="1794"/>
    <n v="1858"/>
    <n v="3652"/>
    <n v="1207"/>
  </r>
  <r>
    <n v="30"/>
    <x v="18"/>
    <x v="2"/>
    <n v="2625"/>
    <n v="3016"/>
    <n v="5641"/>
    <n v="3088"/>
  </r>
  <r>
    <n v="30"/>
    <x v="18"/>
    <x v="2"/>
    <n v="2836"/>
    <n v="3166"/>
    <n v="6002"/>
    <n v="2511"/>
  </r>
  <r>
    <n v="30"/>
    <x v="18"/>
    <x v="2"/>
    <n v="8412"/>
    <n v="8782"/>
    <n v="17194"/>
    <n v="10395"/>
  </r>
  <r>
    <n v="30"/>
    <x v="18"/>
    <x v="2"/>
    <n v="3215"/>
    <n v="3745"/>
    <n v="6960"/>
    <n v="4784"/>
  </r>
  <r>
    <n v="30"/>
    <x v="18"/>
    <x v="2"/>
    <n v="4472"/>
    <n v="4817"/>
    <n v="9289"/>
    <n v="4176"/>
  </r>
  <r>
    <n v="30"/>
    <x v="18"/>
    <x v="2"/>
    <n v="6207"/>
    <n v="6813"/>
    <n v="13020"/>
    <n v="7403"/>
  </r>
  <r>
    <n v="30"/>
    <x v="18"/>
    <x v="2"/>
    <n v="15025"/>
    <n v="16995"/>
    <n v="32020"/>
    <n v="19408"/>
  </r>
  <r>
    <n v="30"/>
    <x v="18"/>
    <x v="2"/>
    <n v="52544"/>
    <n v="60640"/>
    <n v="113184"/>
    <n v="73265"/>
  </r>
  <r>
    <n v="31"/>
    <x v="19"/>
    <x v="2"/>
    <n v="775230"/>
    <n v="791078"/>
    <n v="1566308"/>
    <n v="504266"/>
  </r>
  <r>
    <n v="31"/>
    <x v="19"/>
    <x v="2"/>
    <n v="83803"/>
    <n v="86137"/>
    <n v="169940"/>
    <n v="53568"/>
  </r>
  <r>
    <n v="31"/>
    <x v="19"/>
    <x v="2"/>
    <n v="29318"/>
    <n v="29279"/>
    <n v="58597"/>
    <n v="16997"/>
  </r>
  <r>
    <n v="31"/>
    <x v="19"/>
    <x v="2"/>
    <n v="49754"/>
    <n v="50951"/>
    <n v="100705"/>
    <n v="27512"/>
  </r>
  <r>
    <n v="31"/>
    <x v="19"/>
    <x v="2"/>
    <n v="45649"/>
    <n v="47137"/>
    <n v="92786"/>
    <n v="27856"/>
  </r>
  <r>
    <n v="31"/>
    <x v="19"/>
    <x v="2"/>
    <n v="28659"/>
    <n v="28443"/>
    <n v="57102"/>
    <n v="16177"/>
  </r>
  <r>
    <n v="31"/>
    <x v="19"/>
    <x v="2"/>
    <n v="9654"/>
    <n v="9699"/>
    <n v="19353"/>
    <n v="6099"/>
  </r>
  <r>
    <n v="31"/>
    <x v="19"/>
    <x v="2"/>
    <n v="61874"/>
    <n v="62752"/>
    <n v="124626"/>
    <n v="38673"/>
  </r>
  <r>
    <n v="31"/>
    <x v="19"/>
    <x v="2"/>
    <n v="20318"/>
    <n v="20503"/>
    <n v="40821"/>
    <n v="11926"/>
  </r>
  <r>
    <n v="31"/>
    <x v="19"/>
    <x v="2"/>
    <n v="19972"/>
    <n v="20979"/>
    <n v="40951"/>
    <n v="12887"/>
  </r>
  <r>
    <n v="31"/>
    <x v="19"/>
    <x v="2"/>
    <n v="56431"/>
    <n v="56820"/>
    <n v="113251"/>
    <n v="32571"/>
  </r>
  <r>
    <n v="31"/>
    <x v="19"/>
    <x v="2"/>
    <n v="48724"/>
    <n v="49075"/>
    <n v="97799"/>
    <n v="28402"/>
  </r>
  <r>
    <n v="31"/>
    <x v="19"/>
    <x v="2"/>
    <n v="19033"/>
    <n v="18954"/>
    <n v="37987"/>
    <n v="12268"/>
  </r>
  <r>
    <n v="31"/>
    <x v="19"/>
    <x v="2"/>
    <n v="13722"/>
    <n v="14206"/>
    <n v="27928"/>
    <n v="8289"/>
  </r>
  <r>
    <n v="31"/>
    <x v="19"/>
    <x v="2"/>
    <n v="17663"/>
    <n v="17493"/>
    <n v="35156"/>
    <n v="9778"/>
  </r>
  <r>
    <n v="31"/>
    <x v="19"/>
    <x v="2"/>
    <n v="14032"/>
    <n v="13722"/>
    <n v="27754"/>
    <n v="7589"/>
  </r>
  <r>
    <n v="31"/>
    <x v="19"/>
    <x v="2"/>
    <n v="16032"/>
    <n v="16324"/>
    <n v="32356"/>
    <n v="8675"/>
  </r>
  <r>
    <n v="31"/>
    <x v="19"/>
    <x v="2"/>
    <n v="10899"/>
    <n v="10916"/>
    <n v="21815"/>
    <n v="6706"/>
  </r>
  <r>
    <n v="31"/>
    <x v="19"/>
    <x v="2"/>
    <n v="17457"/>
    <n v="17614"/>
    <n v="35071"/>
    <n v="9561"/>
  </r>
  <r>
    <n v="31"/>
    <x v="19"/>
    <x v="2"/>
    <n v="10671"/>
    <n v="10998"/>
    <n v="21669"/>
    <n v="6364"/>
  </r>
  <r>
    <n v="31"/>
    <x v="19"/>
    <x v="2"/>
    <n v="9334"/>
    <n v="9288"/>
    <n v="18622"/>
    <n v="5981"/>
  </r>
  <r>
    <n v="31"/>
    <x v="19"/>
    <x v="2"/>
    <n v="9147"/>
    <n v="9473"/>
    <n v="18620"/>
    <n v="4828"/>
  </r>
  <r>
    <n v="31"/>
    <x v="19"/>
    <x v="2"/>
    <n v="13207"/>
    <n v="13437"/>
    <n v="26644"/>
    <n v="7668"/>
  </r>
  <r>
    <n v="31"/>
    <x v="19"/>
    <x v="2"/>
    <n v="5997"/>
    <n v="6036"/>
    <n v="12033"/>
    <n v="3697"/>
  </r>
  <r>
    <n v="31"/>
    <x v="19"/>
    <x v="2"/>
    <n v="5139"/>
    <n v="5248"/>
    <n v="10387"/>
    <n v="3072"/>
  </r>
  <r>
    <n v="31"/>
    <x v="19"/>
    <x v="2"/>
    <n v="4815"/>
    <n v="4908"/>
    <n v="9723"/>
    <n v="2828"/>
  </r>
  <r>
    <n v="31"/>
    <x v="19"/>
    <x v="2"/>
    <n v="6284"/>
    <n v="6268"/>
    <n v="12552"/>
    <n v="3912"/>
  </r>
  <r>
    <n v="31"/>
    <x v="19"/>
    <x v="2"/>
    <n v="3879"/>
    <n v="3953"/>
    <n v="7832"/>
    <n v="2513"/>
  </r>
  <r>
    <n v="31"/>
    <x v="19"/>
    <x v="2"/>
    <n v="8416"/>
    <n v="8339"/>
    <n v="16755"/>
    <n v="4408"/>
  </r>
  <r>
    <n v="31"/>
    <x v="19"/>
    <x v="2"/>
    <n v="5062"/>
    <n v="5035"/>
    <n v="10097"/>
    <n v="3041"/>
  </r>
  <r>
    <n v="31"/>
    <x v="19"/>
    <x v="2"/>
    <n v="4691"/>
    <n v="4696"/>
    <n v="9387"/>
    <n v="2848"/>
  </r>
  <r>
    <n v="31"/>
    <x v="19"/>
    <x v="2"/>
    <n v="5857"/>
    <n v="6044"/>
    <n v="11901"/>
    <n v="3487"/>
  </r>
  <r>
    <n v="31"/>
    <x v="19"/>
    <x v="2"/>
    <n v="3765"/>
    <n v="3825"/>
    <n v="7590"/>
    <n v="2274"/>
  </r>
  <r>
    <n v="31"/>
    <x v="19"/>
    <x v="2"/>
    <n v="4318"/>
    <n v="4255"/>
    <n v="8573"/>
    <n v="2437"/>
  </r>
  <r>
    <n v="31"/>
    <x v="19"/>
    <x v="2"/>
    <n v="1678"/>
    <n v="1704"/>
    <n v="3382"/>
    <n v="1377"/>
  </r>
  <r>
    <n v="31"/>
    <x v="19"/>
    <x v="2"/>
    <n v="8337"/>
    <n v="8229"/>
    <n v="16566"/>
    <n v="4508"/>
  </r>
  <r>
    <n v="31"/>
    <x v="19"/>
    <x v="2"/>
    <n v="5560"/>
    <n v="5978"/>
    <n v="11538"/>
    <n v="4047"/>
  </r>
  <r>
    <n v="31"/>
    <x v="19"/>
    <x v="2"/>
    <n v="2668"/>
    <n v="2737"/>
    <n v="5405"/>
    <n v="2051"/>
  </r>
  <r>
    <n v="31"/>
    <x v="19"/>
    <x v="2"/>
    <n v="4504"/>
    <n v="4668"/>
    <n v="9172"/>
    <n v="3727"/>
  </r>
  <r>
    <n v="31"/>
    <x v="19"/>
    <x v="2"/>
    <n v="2054"/>
    <n v="2155"/>
    <n v="4209"/>
    <n v="1478"/>
  </r>
  <r>
    <n v="31"/>
    <x v="19"/>
    <x v="2"/>
    <n v="1572"/>
    <n v="1643"/>
    <n v="3215"/>
    <n v="1111"/>
  </r>
  <r>
    <n v="31"/>
    <x v="19"/>
    <x v="2"/>
    <n v="2445"/>
    <n v="2555"/>
    <n v="5000"/>
    <n v="1486"/>
  </r>
  <r>
    <n v="31"/>
    <x v="19"/>
    <x v="2"/>
    <n v="3329"/>
    <n v="3293"/>
    <n v="6622"/>
    <n v="2082"/>
  </r>
  <r>
    <n v="31"/>
    <x v="19"/>
    <x v="2"/>
    <n v="2316"/>
    <n v="2354"/>
    <n v="4670"/>
    <n v="1842"/>
  </r>
  <r>
    <n v="31"/>
    <x v="19"/>
    <x v="2"/>
    <n v="1715"/>
    <n v="1899"/>
    <n v="3614"/>
    <n v="1739"/>
  </r>
  <r>
    <n v="31"/>
    <x v="19"/>
    <x v="2"/>
    <n v="3477"/>
    <n v="3621"/>
    <n v="7098"/>
    <n v="2951"/>
  </r>
  <r>
    <n v="31"/>
    <x v="19"/>
    <x v="2"/>
    <n v="5152"/>
    <n v="5570"/>
    <n v="10722"/>
    <n v="5827"/>
  </r>
  <r>
    <n v="31"/>
    <x v="19"/>
    <x v="2"/>
    <n v="6159"/>
    <n v="6764"/>
    <n v="12923"/>
    <n v="6432"/>
  </r>
  <r>
    <n v="31"/>
    <x v="19"/>
    <x v="2"/>
    <n v="2071"/>
    <n v="2144"/>
    <n v="4215"/>
    <n v="1294"/>
  </r>
  <r>
    <n v="31"/>
    <x v="19"/>
    <x v="2"/>
    <n v="1915"/>
    <n v="2138"/>
    <n v="4053"/>
    <n v="2340"/>
  </r>
  <r>
    <n v="31"/>
    <x v="19"/>
    <x v="2"/>
    <n v="1841"/>
    <n v="1952"/>
    <n v="3793"/>
    <n v="2036"/>
  </r>
  <r>
    <n v="31"/>
    <x v="19"/>
    <x v="2"/>
    <n v="2372"/>
    <n v="2428"/>
    <n v="4800"/>
    <n v="1849"/>
  </r>
  <r>
    <n v="31"/>
    <x v="19"/>
    <x v="2"/>
    <n v="4218"/>
    <n v="4734"/>
    <n v="8952"/>
    <n v="4195"/>
  </r>
  <r>
    <n v="31"/>
    <x v="19"/>
    <x v="2"/>
    <n v="4094"/>
    <n v="4113"/>
    <n v="8207"/>
    <n v="3647"/>
  </r>
  <r>
    <n v="31"/>
    <x v="19"/>
    <x v="2"/>
    <n v="4526"/>
    <n v="4938"/>
    <n v="9464"/>
    <n v="4272"/>
  </r>
  <r>
    <n v="31"/>
    <x v="19"/>
    <x v="2"/>
    <n v="1516"/>
    <n v="1720"/>
    <n v="3236"/>
    <n v="1867"/>
  </r>
  <r>
    <n v="31"/>
    <x v="19"/>
    <x v="2"/>
    <n v="2393"/>
    <n v="2516"/>
    <n v="4909"/>
    <n v="1890"/>
  </r>
  <r>
    <n v="31"/>
    <x v="19"/>
    <x v="2"/>
    <n v="1784"/>
    <n v="1787"/>
    <n v="3571"/>
    <n v="2087"/>
  </r>
  <r>
    <n v="31"/>
    <x v="19"/>
    <x v="2"/>
    <n v="9388"/>
    <n v="10676"/>
    <n v="20064"/>
    <n v="11785"/>
  </r>
  <r>
    <n v="31"/>
    <x v="19"/>
    <x v="2"/>
    <n v="24570"/>
    <n v="25955"/>
    <n v="50525"/>
    <n v="31454"/>
  </r>
  <r>
    <n v="32"/>
    <x v="20"/>
    <x v="2"/>
    <n v="675268"/>
    <n v="684977"/>
    <n v="1360245"/>
    <n v="426326"/>
  </r>
  <r>
    <n v="32"/>
    <x v="20"/>
    <x v="2"/>
    <n v="106979"/>
    <n v="109808"/>
    <n v="216787"/>
    <n v="80692"/>
  </r>
  <r>
    <n v="32"/>
    <x v="20"/>
    <x v="2"/>
    <n v="33812"/>
    <n v="33858"/>
    <n v="67670"/>
    <n v="19556"/>
  </r>
  <r>
    <n v="32"/>
    <x v="20"/>
    <x v="2"/>
    <n v="45042"/>
    <n v="44937"/>
    <n v="89979"/>
    <n v="24470"/>
  </r>
  <r>
    <n v="32"/>
    <x v="20"/>
    <x v="2"/>
    <n v="26848"/>
    <n v="26867"/>
    <n v="53715"/>
    <n v="14571"/>
  </r>
  <r>
    <n v="32"/>
    <x v="20"/>
    <x v="2"/>
    <n v="70602"/>
    <n v="72527"/>
    <n v="143129"/>
    <n v="44228"/>
  </r>
  <r>
    <n v="32"/>
    <x v="20"/>
    <x v="2"/>
    <n v="29880"/>
    <n v="29740"/>
    <n v="59620"/>
    <n v="20001"/>
  </r>
  <r>
    <n v="32"/>
    <x v="20"/>
    <x v="2"/>
    <n v="42715"/>
    <n v="43096"/>
    <n v="85811"/>
    <n v="24077"/>
  </r>
  <r>
    <n v="32"/>
    <x v="20"/>
    <x v="2"/>
    <n v="18980"/>
    <n v="18779"/>
    <n v="37759"/>
    <n v="11213"/>
  </r>
  <r>
    <n v="32"/>
    <x v="20"/>
    <x v="2"/>
    <n v="63779"/>
    <n v="64598"/>
    <n v="128377"/>
    <n v="33821"/>
  </r>
  <r>
    <n v="32"/>
    <x v="20"/>
    <x v="2"/>
    <n v="63268"/>
    <n v="62984"/>
    <n v="126252"/>
    <n v="36330"/>
  </r>
  <r>
    <n v="32"/>
    <x v="20"/>
    <x v="2"/>
    <n v="13282"/>
    <n v="13264"/>
    <n v="26546"/>
    <n v="7353"/>
  </r>
  <r>
    <n v="32"/>
    <x v="20"/>
    <x v="2"/>
    <n v="24836"/>
    <n v="24824"/>
    <n v="49660"/>
    <n v="12255"/>
  </r>
  <r>
    <n v="32"/>
    <x v="20"/>
    <x v="2"/>
    <n v="17724"/>
    <n v="17164"/>
    <n v="34888"/>
    <n v="10269"/>
  </r>
  <r>
    <n v="32"/>
    <x v="20"/>
    <x v="2"/>
    <n v="18927"/>
    <n v="18610"/>
    <n v="37537"/>
    <n v="12707"/>
  </r>
  <r>
    <n v="32"/>
    <x v="20"/>
    <x v="2"/>
    <n v="23261"/>
    <n v="23039"/>
    <n v="46300"/>
    <n v="12103"/>
  </r>
  <r>
    <n v="32"/>
    <x v="20"/>
    <x v="2"/>
    <n v="16615"/>
    <n v="17030"/>
    <n v="33645"/>
    <n v="10444"/>
  </r>
  <r>
    <n v="32"/>
    <x v="20"/>
    <x v="2"/>
    <n v="17133"/>
    <n v="17286"/>
    <n v="34419"/>
    <n v="9065"/>
  </r>
  <r>
    <n v="32"/>
    <x v="20"/>
    <x v="2"/>
    <n v="3159"/>
    <n v="3279"/>
    <n v="6438"/>
    <n v="2513"/>
  </r>
  <r>
    <n v="32"/>
    <x v="20"/>
    <x v="2"/>
    <n v="1165"/>
    <n v="1151"/>
    <n v="2316"/>
    <n v="1316"/>
  </r>
  <r>
    <n v="32"/>
    <x v="20"/>
    <x v="2"/>
    <n v="2012"/>
    <n v="2249"/>
    <n v="4261"/>
    <n v="1941"/>
  </r>
  <r>
    <n v="32"/>
    <x v="20"/>
    <x v="2"/>
    <n v="1633"/>
    <n v="1933"/>
    <n v="3566"/>
    <n v="2424"/>
  </r>
  <r>
    <n v="32"/>
    <x v="20"/>
    <x v="2"/>
    <n v="2186"/>
    <n v="2377"/>
    <n v="4563"/>
    <n v="2931"/>
  </r>
  <r>
    <n v="32"/>
    <x v="20"/>
    <x v="2"/>
    <n v="2363"/>
    <n v="2523"/>
    <n v="4886"/>
    <n v="1699"/>
  </r>
  <r>
    <n v="32"/>
    <x v="20"/>
    <x v="2"/>
    <n v="2475"/>
    <n v="2690"/>
    <n v="5165"/>
    <n v="2825"/>
  </r>
  <r>
    <n v="32"/>
    <x v="20"/>
    <x v="2"/>
    <n v="1336"/>
    <n v="1324"/>
    <n v="2660"/>
    <n v="893"/>
  </r>
  <r>
    <n v="32"/>
    <x v="20"/>
    <x v="2"/>
    <n v="2576"/>
    <n v="2943"/>
    <n v="5519"/>
    <n v="3515"/>
  </r>
  <r>
    <n v="32"/>
    <x v="20"/>
    <x v="2"/>
    <n v="1888"/>
    <n v="2102"/>
    <n v="3990"/>
    <n v="2027"/>
  </r>
  <r>
    <n v="32"/>
    <x v="20"/>
    <x v="2"/>
    <n v="1854"/>
    <n v="1987"/>
    <n v="3841"/>
    <n v="1852"/>
  </r>
  <r>
    <n v="32"/>
    <x v="20"/>
    <x v="2"/>
    <n v="1070"/>
    <n v="1174"/>
    <n v="2244"/>
    <n v="1147"/>
  </r>
  <r>
    <n v="32"/>
    <x v="20"/>
    <x v="2"/>
    <n v="954"/>
    <n v="919"/>
    <n v="1873"/>
    <n v="581"/>
  </r>
  <r>
    <n v="32"/>
    <x v="20"/>
    <x v="2"/>
    <n v="16914"/>
    <n v="19915"/>
    <n v="36829"/>
    <n v="17507"/>
  </r>
  <r>
    <n v="33"/>
    <x v="21"/>
    <x v="2"/>
    <n v="717079"/>
    <n v="724934"/>
    <n v="1442013"/>
    <n v="420976"/>
  </r>
  <r>
    <n v="33"/>
    <x v="21"/>
    <x v="2"/>
    <n v="42715"/>
    <n v="44372"/>
    <n v="87087"/>
    <n v="28641"/>
  </r>
  <r>
    <n v="33"/>
    <x v="21"/>
    <x v="2"/>
    <n v="14566"/>
    <n v="14531"/>
    <n v="29097"/>
    <n v="7868"/>
  </r>
  <r>
    <n v="33"/>
    <x v="21"/>
    <x v="2"/>
    <n v="46036"/>
    <n v="46393"/>
    <n v="92429"/>
    <n v="25518"/>
  </r>
  <r>
    <n v="33"/>
    <x v="21"/>
    <x v="2"/>
    <n v="91830"/>
    <n v="91592"/>
    <n v="183422"/>
    <n v="53433"/>
  </r>
  <r>
    <n v="33"/>
    <x v="21"/>
    <x v="2"/>
    <n v="71639"/>
    <n v="72425"/>
    <n v="144064"/>
    <n v="36720"/>
  </r>
  <r>
    <n v="33"/>
    <x v="21"/>
    <x v="2"/>
    <n v="17830"/>
    <n v="18125"/>
    <n v="35955"/>
    <n v="9420"/>
  </r>
  <r>
    <n v="33"/>
    <x v="21"/>
    <x v="2"/>
    <n v="31041"/>
    <n v="31502"/>
    <n v="62543"/>
    <n v="15738"/>
  </r>
  <r>
    <n v="33"/>
    <x v="21"/>
    <x v="2"/>
    <n v="34004"/>
    <n v="34507"/>
    <n v="68511"/>
    <n v="18826"/>
  </r>
  <r>
    <n v="33"/>
    <x v="21"/>
    <x v="2"/>
    <n v="37070"/>
    <n v="37490"/>
    <n v="74560"/>
    <n v="21004"/>
  </r>
  <r>
    <n v="33"/>
    <x v="21"/>
    <x v="2"/>
    <n v="49943"/>
    <n v="50661"/>
    <n v="100604"/>
    <n v="27568"/>
  </r>
  <r>
    <n v="33"/>
    <x v="21"/>
    <x v="2"/>
    <n v="2167"/>
    <n v="2155"/>
    <n v="4322"/>
    <n v="1140"/>
  </r>
  <r>
    <n v="33"/>
    <x v="21"/>
    <x v="2"/>
    <n v="19339"/>
    <n v="19256"/>
    <n v="38595"/>
    <n v="9348"/>
  </r>
  <r>
    <n v="33"/>
    <x v="21"/>
    <x v="2"/>
    <n v="19720"/>
    <n v="19451"/>
    <n v="39171"/>
    <n v="12562"/>
  </r>
  <r>
    <n v="33"/>
    <x v="21"/>
    <x v="2"/>
    <n v="23906"/>
    <n v="24166"/>
    <n v="48072"/>
    <n v="11885"/>
  </r>
  <r>
    <n v="33"/>
    <x v="21"/>
    <x v="2"/>
    <n v="22413"/>
    <n v="21874"/>
    <n v="44287"/>
    <n v="11748"/>
  </r>
  <r>
    <n v="33"/>
    <x v="21"/>
    <x v="2"/>
    <n v="20179"/>
    <n v="20019"/>
    <n v="40198"/>
    <n v="9938"/>
  </r>
  <r>
    <n v="33"/>
    <x v="21"/>
    <x v="2"/>
    <n v="27506"/>
    <n v="27098"/>
    <n v="54604"/>
    <n v="16576"/>
  </r>
  <r>
    <n v="33"/>
    <x v="21"/>
    <x v="2"/>
    <n v="8850"/>
    <n v="8702"/>
    <n v="17552"/>
    <n v="4620"/>
  </r>
  <r>
    <n v="33"/>
    <x v="21"/>
    <x v="2"/>
    <n v="18001"/>
    <n v="17785"/>
    <n v="35786"/>
    <n v="9791"/>
  </r>
  <r>
    <n v="33"/>
    <x v="21"/>
    <x v="2"/>
    <n v="15187"/>
    <n v="15508"/>
    <n v="30695"/>
    <n v="8569"/>
  </r>
  <r>
    <n v="33"/>
    <x v="21"/>
    <x v="2"/>
    <n v="11700"/>
    <n v="11682"/>
    <n v="23382"/>
    <n v="5940"/>
  </r>
  <r>
    <n v="33"/>
    <x v="21"/>
    <x v="2"/>
    <n v="9765"/>
    <n v="9663"/>
    <n v="19428"/>
    <n v="5606"/>
  </r>
  <r>
    <n v="33"/>
    <x v="21"/>
    <x v="2"/>
    <n v="5137"/>
    <n v="5017"/>
    <n v="10154"/>
    <n v="2868"/>
  </r>
  <r>
    <n v="33"/>
    <x v="21"/>
    <x v="2"/>
    <n v="4570"/>
    <n v="4392"/>
    <n v="8962"/>
    <n v="2375"/>
  </r>
  <r>
    <n v="33"/>
    <x v="21"/>
    <x v="2"/>
    <n v="4306"/>
    <n v="4439"/>
    <n v="8745"/>
    <n v="2298"/>
  </r>
  <r>
    <n v="33"/>
    <x v="21"/>
    <x v="2"/>
    <n v="5162"/>
    <n v="5348"/>
    <n v="10510"/>
    <n v="3175"/>
  </r>
  <r>
    <n v="33"/>
    <x v="21"/>
    <x v="2"/>
    <n v="4538"/>
    <n v="4519"/>
    <n v="9057"/>
    <n v="2123"/>
  </r>
  <r>
    <n v="33"/>
    <x v="21"/>
    <x v="2"/>
    <n v="1920"/>
    <n v="1952"/>
    <n v="3872"/>
    <n v="1540"/>
  </r>
  <r>
    <n v="33"/>
    <x v="21"/>
    <x v="2"/>
    <n v="2242"/>
    <n v="2325"/>
    <n v="4567"/>
    <n v="1503"/>
  </r>
  <r>
    <n v="33"/>
    <x v="21"/>
    <x v="2"/>
    <n v="1656"/>
    <n v="1611"/>
    <n v="3267"/>
    <n v="1110"/>
  </r>
  <r>
    <n v="33"/>
    <x v="21"/>
    <x v="2"/>
    <n v="2904"/>
    <n v="3045"/>
    <n v="5949"/>
    <n v="1914"/>
  </r>
  <r>
    <n v="33"/>
    <x v="21"/>
    <x v="2"/>
    <n v="1196"/>
    <n v="1314"/>
    <n v="2510"/>
    <n v="1354"/>
  </r>
  <r>
    <n v="33"/>
    <x v="21"/>
    <x v="2"/>
    <n v="1831"/>
    <n v="1962"/>
    <n v="3793"/>
    <n v="2165"/>
  </r>
  <r>
    <n v="33"/>
    <x v="21"/>
    <x v="2"/>
    <n v="5232"/>
    <n v="5348"/>
    <n v="10580"/>
    <n v="3936"/>
  </r>
  <r>
    <n v="33"/>
    <x v="21"/>
    <x v="2"/>
    <n v="1365"/>
    <n v="1409"/>
    <n v="2774"/>
    <n v="1382"/>
  </r>
  <r>
    <n v="33"/>
    <x v="21"/>
    <x v="2"/>
    <n v="5368"/>
    <n v="5399"/>
    <n v="10767"/>
    <n v="3078"/>
  </r>
  <r>
    <n v="33"/>
    <x v="21"/>
    <x v="2"/>
    <n v="1994"/>
    <n v="2116"/>
    <n v="4110"/>
    <n v="2200"/>
  </r>
  <r>
    <n v="33"/>
    <x v="21"/>
    <x v="2"/>
    <n v="8185"/>
    <n v="8975"/>
    <n v="17160"/>
    <n v="7867"/>
  </r>
  <r>
    <n v="33"/>
    <x v="21"/>
    <x v="2"/>
    <n v="2831"/>
    <n v="3086"/>
    <n v="5917"/>
    <n v="3346"/>
  </r>
  <r>
    <n v="33"/>
    <x v="21"/>
    <x v="2"/>
    <n v="3038"/>
    <n v="3171"/>
    <n v="6209"/>
    <n v="2522"/>
  </r>
  <r>
    <n v="33"/>
    <x v="21"/>
    <x v="2"/>
    <n v="18197"/>
    <n v="20549"/>
    <n v="38746"/>
    <n v="21761"/>
  </r>
  <r>
    <n v="34"/>
    <x v="22"/>
    <x v="2"/>
    <n v="929772"/>
    <n v="938170"/>
    <n v="1867942"/>
    <n v="661003"/>
  </r>
  <r>
    <n v="34"/>
    <x v="22"/>
    <x v="2"/>
    <n v="48202"/>
    <n v="50196"/>
    <n v="98398"/>
    <n v="38838"/>
  </r>
  <r>
    <n v="34"/>
    <x v="22"/>
    <x v="2"/>
    <n v="33605"/>
    <n v="33061"/>
    <n v="66666"/>
    <n v="20190"/>
  </r>
  <r>
    <n v="34"/>
    <x v="22"/>
    <x v="2"/>
    <n v="18294"/>
    <n v="18033"/>
    <n v="36327"/>
    <n v="10854"/>
  </r>
  <r>
    <n v="34"/>
    <x v="22"/>
    <x v="2"/>
    <n v="49824"/>
    <n v="50848"/>
    <n v="100672"/>
    <n v="29244"/>
  </r>
  <r>
    <n v="34"/>
    <x v="22"/>
    <x v="2"/>
    <n v="15998"/>
    <n v="16012"/>
    <n v="32010"/>
    <n v="9534"/>
  </r>
  <r>
    <n v="34"/>
    <x v="22"/>
    <x v="2"/>
    <n v="66362"/>
    <n v="65513"/>
    <n v="131875"/>
    <n v="56002"/>
  </r>
  <r>
    <n v="34"/>
    <x v="22"/>
    <x v="2"/>
    <n v="26148"/>
    <n v="25499"/>
    <n v="51647"/>
    <n v="19398"/>
  </r>
  <r>
    <n v="34"/>
    <x v="22"/>
    <x v="2"/>
    <n v="31041"/>
    <n v="30147"/>
    <n v="61188"/>
    <n v="21464"/>
  </r>
  <r>
    <n v="34"/>
    <x v="22"/>
    <x v="2"/>
    <n v="39522"/>
    <n v="38460"/>
    <n v="77982"/>
    <n v="25208"/>
  </r>
  <r>
    <n v="34"/>
    <x v="22"/>
    <x v="2"/>
    <n v="55878"/>
    <n v="55449"/>
    <n v="111327"/>
    <n v="31122"/>
  </r>
  <r>
    <n v="34"/>
    <x v="22"/>
    <x v="2"/>
    <n v="18365"/>
    <n v="18154"/>
    <n v="36519"/>
    <n v="9947"/>
  </r>
  <r>
    <n v="34"/>
    <x v="22"/>
    <x v="2"/>
    <n v="40336"/>
    <n v="40308"/>
    <n v="80644"/>
    <n v="24063"/>
  </r>
  <r>
    <n v="34"/>
    <x v="22"/>
    <x v="2"/>
    <n v="46196"/>
    <n v="47125"/>
    <n v="93321"/>
    <n v="32952"/>
  </r>
  <r>
    <n v="34"/>
    <x v="22"/>
    <x v="2"/>
    <n v="52369"/>
    <n v="51691"/>
    <n v="104060"/>
    <n v="35796"/>
  </r>
  <r>
    <n v="34"/>
    <x v="22"/>
    <x v="2"/>
    <n v="15089"/>
    <n v="14662"/>
    <n v="29751"/>
    <n v="9007"/>
  </r>
  <r>
    <n v="34"/>
    <x v="22"/>
    <x v="2"/>
    <n v="22824"/>
    <n v="22250"/>
    <n v="45074"/>
    <n v="12629"/>
  </r>
  <r>
    <n v="34"/>
    <x v="22"/>
    <x v="2"/>
    <n v="26961"/>
    <n v="26871"/>
    <n v="53832"/>
    <n v="15617"/>
  </r>
  <r>
    <n v="34"/>
    <x v="22"/>
    <x v="2"/>
    <n v="13596"/>
    <n v="13468"/>
    <n v="27064"/>
    <n v="8413"/>
  </r>
  <r>
    <n v="34"/>
    <x v="22"/>
    <x v="2"/>
    <n v="22491"/>
    <n v="21756"/>
    <n v="44247"/>
    <n v="15417"/>
  </r>
  <r>
    <n v="34"/>
    <x v="22"/>
    <x v="2"/>
    <n v="14736"/>
    <n v="14383"/>
    <n v="29119"/>
    <n v="9519"/>
  </r>
  <r>
    <n v="34"/>
    <x v="22"/>
    <x v="2"/>
    <n v="10929"/>
    <n v="10288"/>
    <n v="21217"/>
    <n v="7580"/>
  </r>
  <r>
    <n v="34"/>
    <x v="22"/>
    <x v="2"/>
    <n v="19484"/>
    <n v="19455"/>
    <n v="38939"/>
    <n v="11938"/>
  </r>
  <r>
    <n v="34"/>
    <x v="22"/>
    <x v="2"/>
    <n v="14063"/>
    <n v="13966"/>
    <n v="28029"/>
    <n v="8372"/>
  </r>
  <r>
    <n v="34"/>
    <x v="22"/>
    <x v="2"/>
    <n v="15631"/>
    <n v="15518"/>
    <n v="31149"/>
    <n v="9799"/>
  </r>
  <r>
    <n v="34"/>
    <x v="22"/>
    <x v="2"/>
    <n v="16716"/>
    <n v="16477"/>
    <n v="33193"/>
    <n v="11459"/>
  </r>
  <r>
    <n v="34"/>
    <x v="22"/>
    <x v="2"/>
    <n v="5893"/>
    <n v="5844"/>
    <n v="11737"/>
    <n v="4636"/>
  </r>
  <r>
    <n v="34"/>
    <x v="22"/>
    <x v="2"/>
    <n v="4065"/>
    <n v="4216"/>
    <n v="8281"/>
    <n v="3472"/>
  </r>
  <r>
    <n v="34"/>
    <x v="22"/>
    <x v="2"/>
    <n v="6541"/>
    <n v="6598"/>
    <n v="13139"/>
    <n v="3751"/>
  </r>
  <r>
    <n v="34"/>
    <x v="22"/>
    <x v="2"/>
    <n v="4430"/>
    <n v="4591"/>
    <n v="9021"/>
    <n v="3396"/>
  </r>
  <r>
    <n v="34"/>
    <x v="22"/>
    <x v="2"/>
    <n v="4521"/>
    <n v="7138"/>
    <n v="11659"/>
    <n v="3572"/>
  </r>
  <r>
    <n v="34"/>
    <x v="22"/>
    <x v="2"/>
    <n v="4895"/>
    <n v="5029"/>
    <n v="9924"/>
    <n v="3535"/>
  </r>
  <r>
    <n v="34"/>
    <x v="22"/>
    <x v="2"/>
    <n v="4754"/>
    <n v="4721"/>
    <n v="9475"/>
    <n v="3349"/>
  </r>
  <r>
    <n v="34"/>
    <x v="22"/>
    <x v="2"/>
    <n v="6164"/>
    <n v="6246"/>
    <n v="12410"/>
    <n v="4386"/>
  </r>
  <r>
    <n v="34"/>
    <x v="22"/>
    <x v="2"/>
    <n v="4904"/>
    <n v="5550"/>
    <n v="10454"/>
    <n v="4360"/>
  </r>
  <r>
    <n v="34"/>
    <x v="22"/>
    <x v="2"/>
    <n v="6755"/>
    <n v="6567"/>
    <n v="13322"/>
    <n v="4193"/>
  </r>
  <r>
    <n v="34"/>
    <x v="22"/>
    <x v="2"/>
    <n v="3919"/>
    <n v="3961"/>
    <n v="7880"/>
    <n v="3123"/>
  </r>
  <r>
    <n v="34"/>
    <x v="22"/>
    <x v="2"/>
    <n v="6899"/>
    <n v="6736"/>
    <n v="13635"/>
    <n v="5374"/>
  </r>
  <r>
    <n v="34"/>
    <x v="22"/>
    <x v="2"/>
    <n v="19714"/>
    <n v="22013"/>
    <n v="41727"/>
    <n v="22883"/>
  </r>
  <r>
    <n v="34"/>
    <x v="22"/>
    <x v="2"/>
    <n v="13627"/>
    <n v="11324"/>
    <n v="24951"/>
    <n v="11955"/>
  </r>
  <r>
    <n v="34"/>
    <x v="22"/>
    <x v="2"/>
    <n v="3111"/>
    <n v="3206"/>
    <n v="6317"/>
    <n v="1951"/>
  </r>
  <r>
    <n v="34"/>
    <x v="22"/>
    <x v="2"/>
    <n v="1849"/>
    <n v="1947"/>
    <n v="3796"/>
    <n v="1974"/>
  </r>
  <r>
    <n v="34"/>
    <x v="22"/>
    <x v="2"/>
    <n v="1446"/>
    <n v="1507"/>
    <n v="2953"/>
    <n v="1234"/>
  </r>
  <r>
    <n v="34"/>
    <x v="22"/>
    <x v="2"/>
    <n v="1584"/>
    <n v="1616"/>
    <n v="3200"/>
    <n v="1164"/>
  </r>
  <r>
    <n v="34"/>
    <x v="22"/>
    <x v="2"/>
    <n v="1435"/>
    <n v="1568"/>
    <n v="3003"/>
    <n v="1058"/>
  </r>
  <r>
    <n v="34"/>
    <x v="22"/>
    <x v="2"/>
    <n v="1489"/>
    <n v="1566"/>
    <n v="3055"/>
    <n v="1012"/>
  </r>
  <r>
    <n v="34"/>
    <x v="22"/>
    <x v="2"/>
    <n v="1407"/>
    <n v="1543"/>
    <n v="2950"/>
    <n v="1656"/>
  </r>
  <r>
    <n v="34"/>
    <x v="22"/>
    <x v="2"/>
    <n v="2098"/>
    <n v="2060"/>
    <n v="4158"/>
    <n v="1552"/>
  </r>
  <r>
    <n v="34"/>
    <x v="22"/>
    <x v="2"/>
    <n v="4265"/>
    <n v="4522"/>
    <n v="8787"/>
    <n v="4544"/>
  </r>
  <r>
    <n v="34"/>
    <x v="22"/>
    <x v="2"/>
    <n v="2108"/>
    <n v="2235"/>
    <n v="4343"/>
    <n v="2192"/>
  </r>
  <r>
    <n v="34"/>
    <x v="22"/>
    <x v="2"/>
    <n v="4260"/>
    <n v="4382"/>
    <n v="8642"/>
    <n v="3525"/>
  </r>
  <r>
    <n v="34"/>
    <x v="22"/>
    <x v="2"/>
    <n v="3391"/>
    <n v="3423"/>
    <n v="6814"/>
    <n v="2736"/>
  </r>
  <r>
    <n v="34"/>
    <x v="22"/>
    <x v="2"/>
    <n v="6103"/>
    <n v="6644"/>
    <n v="12747"/>
    <n v="7011"/>
  </r>
  <r>
    <n v="34"/>
    <x v="22"/>
    <x v="2"/>
    <n v="3259"/>
    <n v="3278"/>
    <n v="6537"/>
    <n v="1938"/>
  </r>
  <r>
    <n v="34"/>
    <x v="22"/>
    <x v="2"/>
    <n v="1500"/>
    <n v="1603"/>
    <n v="3103"/>
    <n v="1049"/>
  </r>
  <r>
    <n v="34"/>
    <x v="22"/>
    <x v="2"/>
    <n v="2817"/>
    <n v="3121"/>
    <n v="5938"/>
    <n v="2640"/>
  </r>
  <r>
    <n v="34"/>
    <x v="22"/>
    <x v="2"/>
    <n v="2116"/>
    <n v="2261"/>
    <n v="4377"/>
    <n v="2201"/>
  </r>
  <r>
    <n v="34"/>
    <x v="22"/>
    <x v="2"/>
    <n v="1438"/>
    <n v="1459"/>
    <n v="2897"/>
    <n v="1382"/>
  </r>
  <r>
    <n v="34"/>
    <x v="22"/>
    <x v="2"/>
    <n v="2016"/>
    <n v="2009"/>
    <n v="4025"/>
    <n v="2117"/>
  </r>
  <r>
    <n v="34"/>
    <x v="22"/>
    <x v="2"/>
    <n v="2551"/>
    <n v="2998"/>
    <n v="5549"/>
    <n v="3214"/>
  </r>
  <r>
    <n v="34"/>
    <x v="22"/>
    <x v="2"/>
    <n v="4779"/>
    <n v="5066"/>
    <n v="9845"/>
    <n v="4683"/>
  </r>
  <r>
    <n v="34"/>
    <x v="22"/>
    <x v="2"/>
    <n v="11476"/>
    <n v="12990"/>
    <n v="24466"/>
    <n v="11080"/>
  </r>
  <r>
    <n v="34"/>
    <x v="22"/>
    <x v="2"/>
    <n v="31533"/>
    <n v="37042"/>
    <n v="68575"/>
    <n v="32743"/>
  </r>
  <r>
    <n v="35"/>
    <x v="23"/>
    <x v="2"/>
    <n v="261204"/>
    <n v="264121"/>
    <n v="525325"/>
    <n v="189342"/>
  </r>
  <r>
    <n v="35"/>
    <x v="23"/>
    <x v="2"/>
    <n v="52643"/>
    <n v="52992"/>
    <n v="105635"/>
    <n v="40833"/>
  </r>
  <r>
    <n v="35"/>
    <x v="23"/>
    <x v="2"/>
    <n v="12087"/>
    <n v="12071"/>
    <n v="24158"/>
    <n v="8419"/>
  </r>
  <r>
    <n v="35"/>
    <x v="23"/>
    <x v="2"/>
    <n v="30502"/>
    <n v="30192"/>
    <n v="60694"/>
    <n v="21029"/>
  </r>
  <r>
    <n v="35"/>
    <x v="23"/>
    <x v="2"/>
    <n v="30273"/>
    <n v="30438"/>
    <n v="60711"/>
    <n v="20093"/>
  </r>
  <r>
    <n v="35"/>
    <x v="23"/>
    <x v="2"/>
    <n v="15672"/>
    <n v="15856"/>
    <n v="31528"/>
    <n v="10634"/>
  </r>
  <r>
    <n v="35"/>
    <x v="23"/>
    <x v="2"/>
    <n v="25192"/>
    <n v="25220"/>
    <n v="50412"/>
    <n v="15229"/>
  </r>
  <r>
    <n v="35"/>
    <x v="23"/>
    <x v="2"/>
    <n v="10066"/>
    <n v="10280"/>
    <n v="20346"/>
    <n v="5752"/>
  </r>
  <r>
    <n v="35"/>
    <x v="23"/>
    <x v="2"/>
    <n v="44216"/>
    <n v="44657"/>
    <n v="88873"/>
    <n v="31695"/>
  </r>
  <r>
    <n v="35"/>
    <x v="23"/>
    <x v="2"/>
    <n v="14952"/>
    <n v="15167"/>
    <n v="30119"/>
    <n v="11510"/>
  </r>
  <r>
    <n v="35"/>
    <x v="23"/>
    <x v="2"/>
    <n v="1837"/>
    <n v="1954"/>
    <n v="3791"/>
    <n v="2389"/>
  </r>
  <r>
    <n v="35"/>
    <x v="23"/>
    <x v="2"/>
    <n v="1349"/>
    <n v="1444"/>
    <n v="2793"/>
    <n v="1131"/>
  </r>
  <r>
    <n v="35"/>
    <x v="23"/>
    <x v="2"/>
    <n v="2137"/>
    <n v="2271"/>
    <n v="4408"/>
    <n v="1699"/>
  </r>
  <r>
    <n v="35"/>
    <x v="23"/>
    <x v="2"/>
    <n v="2249"/>
    <n v="2298"/>
    <n v="4547"/>
    <n v="1935"/>
  </r>
  <r>
    <n v="35"/>
    <x v="23"/>
    <x v="2"/>
    <n v="1451"/>
    <n v="1486"/>
    <n v="2937"/>
    <n v="1323"/>
  </r>
  <r>
    <n v="35"/>
    <x v="23"/>
    <x v="2"/>
    <n v="1788"/>
    <n v="1857"/>
    <n v="3645"/>
    <n v="1590"/>
  </r>
  <r>
    <n v="35"/>
    <x v="23"/>
    <x v="2"/>
    <n v="2319"/>
    <n v="2437"/>
    <n v="4756"/>
    <n v="2322"/>
  </r>
  <r>
    <n v="35"/>
    <x v="23"/>
    <x v="2"/>
    <n v="2973"/>
    <n v="3223"/>
    <n v="6196"/>
    <n v="2266"/>
  </r>
  <r>
    <n v="35"/>
    <x v="23"/>
    <x v="2"/>
    <n v="9498"/>
    <n v="10278"/>
    <n v="19776"/>
    <n v="9493"/>
  </r>
  <r>
    <n v="36"/>
    <x v="24"/>
    <x v="2"/>
    <n v="544954"/>
    <n v="561450"/>
    <n v="1106404"/>
    <n v="424219"/>
  </r>
  <r>
    <n v="36"/>
    <x v="24"/>
    <x v="2"/>
    <n v="65937"/>
    <n v="69521"/>
    <n v="135458"/>
    <n v="57980"/>
  </r>
  <r>
    <n v="36"/>
    <x v="24"/>
    <x v="2"/>
    <n v="20529"/>
    <n v="21078"/>
    <n v="41607"/>
    <n v="15324"/>
  </r>
  <r>
    <n v="36"/>
    <x v="24"/>
    <x v="2"/>
    <n v="23221"/>
    <n v="23833"/>
    <n v="47054"/>
    <n v="18679"/>
  </r>
  <r>
    <n v="36"/>
    <x v="24"/>
    <x v="2"/>
    <n v="42087"/>
    <n v="42474"/>
    <n v="84561"/>
    <n v="26275"/>
  </r>
  <r>
    <n v="36"/>
    <x v="24"/>
    <x v="2"/>
    <n v="46415"/>
    <n v="46278"/>
    <n v="92693"/>
    <n v="31368"/>
  </r>
  <r>
    <n v="36"/>
    <x v="24"/>
    <x v="2"/>
    <n v="32128"/>
    <n v="34416"/>
    <n v="66544"/>
    <n v="25942"/>
  </r>
  <r>
    <n v="36"/>
    <x v="24"/>
    <x v="2"/>
    <n v="19790"/>
    <n v="20382"/>
    <n v="40172"/>
    <n v="14274"/>
  </r>
  <r>
    <n v="36"/>
    <x v="24"/>
    <x v="2"/>
    <n v="16277"/>
    <n v="16235"/>
    <n v="32512"/>
    <n v="12131"/>
  </r>
  <r>
    <n v="36"/>
    <x v="24"/>
    <x v="2"/>
    <n v="32855"/>
    <n v="32261"/>
    <n v="65116"/>
    <n v="25075"/>
  </r>
  <r>
    <n v="36"/>
    <x v="24"/>
    <x v="2"/>
    <n v="52601"/>
    <n v="54537"/>
    <n v="107138"/>
    <n v="36788"/>
  </r>
  <r>
    <n v="36"/>
    <x v="24"/>
    <x v="2"/>
    <n v="19920"/>
    <n v="20321"/>
    <n v="40241"/>
    <n v="12139"/>
  </r>
  <r>
    <n v="36"/>
    <x v="24"/>
    <x v="2"/>
    <n v="35963"/>
    <n v="36250"/>
    <n v="72213"/>
    <n v="26397"/>
  </r>
  <r>
    <n v="36"/>
    <x v="24"/>
    <x v="2"/>
    <n v="19865"/>
    <n v="20301"/>
    <n v="40166"/>
    <n v="14662"/>
  </r>
  <r>
    <n v="36"/>
    <x v="24"/>
    <x v="2"/>
    <n v="15250"/>
    <n v="15079"/>
    <n v="30329"/>
    <n v="12863"/>
  </r>
  <r>
    <n v="36"/>
    <x v="24"/>
    <x v="2"/>
    <n v="12492"/>
    <n v="12900"/>
    <n v="25392"/>
    <n v="8876"/>
  </r>
  <r>
    <n v="36"/>
    <x v="24"/>
    <x v="2"/>
    <n v="7833"/>
    <n v="7675"/>
    <n v="15508"/>
    <n v="6044"/>
  </r>
  <r>
    <n v="36"/>
    <x v="24"/>
    <x v="2"/>
    <n v="7630"/>
    <n v="7649"/>
    <n v="15279"/>
    <n v="4788"/>
  </r>
  <r>
    <n v="36"/>
    <x v="24"/>
    <x v="2"/>
    <n v="7659"/>
    <n v="7726"/>
    <n v="15385"/>
    <n v="4784"/>
  </r>
  <r>
    <n v="36"/>
    <x v="24"/>
    <x v="2"/>
    <n v="1900"/>
    <n v="2139"/>
    <n v="4039"/>
    <n v="1515"/>
  </r>
  <r>
    <n v="36"/>
    <x v="24"/>
    <x v="2"/>
    <n v="3789"/>
    <n v="4315"/>
    <n v="8104"/>
    <n v="4824"/>
  </r>
  <r>
    <n v="36"/>
    <x v="24"/>
    <x v="2"/>
    <n v="5090"/>
    <n v="5459"/>
    <n v="10549"/>
    <n v="3399"/>
  </r>
  <r>
    <n v="36"/>
    <x v="24"/>
    <x v="2"/>
    <n v="1908"/>
    <n v="2005"/>
    <n v="3913"/>
    <n v="1697"/>
  </r>
  <r>
    <n v="36"/>
    <x v="24"/>
    <x v="2"/>
    <n v="2691"/>
    <n v="3137"/>
    <n v="5828"/>
    <n v="3122"/>
  </r>
  <r>
    <n v="36"/>
    <x v="24"/>
    <x v="2"/>
    <n v="2686"/>
    <n v="2735"/>
    <n v="5421"/>
    <n v="1810"/>
  </r>
  <r>
    <n v="36"/>
    <x v="24"/>
    <x v="2"/>
    <n v="1864"/>
    <n v="1886"/>
    <n v="3750"/>
    <n v="2384"/>
  </r>
  <r>
    <n v="36"/>
    <x v="24"/>
    <x v="2"/>
    <n v="2838"/>
    <n v="2903"/>
    <n v="5741"/>
    <n v="2816"/>
  </r>
  <r>
    <n v="36"/>
    <x v="24"/>
    <x v="2"/>
    <n v="3170"/>
    <n v="3462"/>
    <n v="6632"/>
    <n v="3139"/>
  </r>
  <r>
    <n v="36"/>
    <x v="24"/>
    <x v="2"/>
    <n v="2258"/>
    <n v="2427"/>
    <n v="4685"/>
    <n v="2289"/>
  </r>
  <r>
    <n v="36"/>
    <x v="24"/>
    <x v="2"/>
    <n v="916"/>
    <n v="951"/>
    <n v="1867"/>
    <n v="840"/>
  </r>
  <r>
    <n v="36"/>
    <x v="24"/>
    <x v="2"/>
    <n v="1909"/>
    <n v="2095"/>
    <n v="4004"/>
    <n v="2285"/>
  </r>
  <r>
    <n v="36"/>
    <x v="24"/>
    <x v="2"/>
    <n v="4148"/>
    <n v="4376"/>
    <n v="8524"/>
    <n v="4600"/>
  </r>
  <r>
    <n v="36"/>
    <x v="24"/>
    <x v="2"/>
    <n v="3642"/>
    <n v="3849"/>
    <n v="7491"/>
    <n v="2442"/>
  </r>
  <r>
    <n v="36"/>
    <x v="24"/>
    <x v="2"/>
    <n v="1344"/>
    <n v="1493"/>
    <n v="2837"/>
    <n v="1353"/>
  </r>
  <r>
    <n v="36"/>
    <x v="24"/>
    <x v="2"/>
    <n v="1918"/>
    <n v="2125"/>
    <n v="4043"/>
    <n v="1938"/>
  </r>
  <r>
    <n v="36"/>
    <x v="24"/>
    <x v="2"/>
    <n v="3674"/>
    <n v="4063"/>
    <n v="7737"/>
    <n v="3567"/>
  </r>
  <r>
    <n v="36"/>
    <x v="24"/>
    <x v="2"/>
    <n v="2085"/>
    <n v="2361"/>
    <n v="4446"/>
    <n v="1813"/>
  </r>
  <r>
    <n v="36"/>
    <x v="24"/>
    <x v="2"/>
    <n v="2303"/>
    <n v="2423"/>
    <n v="4726"/>
    <n v="2001"/>
  </r>
  <r>
    <n v="36"/>
    <x v="24"/>
    <x v="2"/>
    <n v="16369"/>
    <n v="18330"/>
    <n v="34699"/>
    <n v="21996"/>
  </r>
  <r>
    <n v="37"/>
    <x v="25"/>
    <x v="2"/>
    <n v="184783"/>
    <n v="187400"/>
    <n v="372183"/>
    <n v="128559"/>
  </r>
  <r>
    <n v="37"/>
    <x v="25"/>
    <x v="2"/>
    <n v="48313"/>
    <n v="48483"/>
    <n v="96796"/>
    <n v="33111"/>
  </r>
  <r>
    <n v="37"/>
    <x v="25"/>
    <x v="2"/>
    <n v="19403"/>
    <n v="19305"/>
    <n v="38708"/>
    <n v="12404"/>
  </r>
  <r>
    <n v="37"/>
    <x v="25"/>
    <x v="2"/>
    <n v="22916"/>
    <n v="22672"/>
    <n v="45588"/>
    <n v="14242"/>
  </r>
  <r>
    <n v="37"/>
    <x v="25"/>
    <x v="2"/>
    <n v="9511"/>
    <n v="9400"/>
    <n v="18911"/>
    <n v="7079"/>
  </r>
  <r>
    <n v="37"/>
    <x v="25"/>
    <x v="2"/>
    <n v="17247"/>
    <n v="17597"/>
    <n v="34844"/>
    <n v="11519"/>
  </r>
  <r>
    <n v="37"/>
    <x v="25"/>
    <x v="2"/>
    <n v="20612"/>
    <n v="20711"/>
    <n v="41323"/>
    <n v="11474"/>
  </r>
  <r>
    <n v="37"/>
    <x v="25"/>
    <x v="2"/>
    <n v="16722"/>
    <n v="16922"/>
    <n v="33644"/>
    <n v="10315"/>
  </r>
  <r>
    <n v="37"/>
    <x v="25"/>
    <x v="2"/>
    <n v="2557"/>
    <n v="2630"/>
    <n v="5187"/>
    <n v="1597"/>
  </r>
  <r>
    <n v="37"/>
    <x v="25"/>
    <x v="2"/>
    <n v="2956"/>
    <n v="2990"/>
    <n v="5946"/>
    <n v="2341"/>
  </r>
  <r>
    <n v="37"/>
    <x v="25"/>
    <x v="2"/>
    <n v="985"/>
    <n v="1128"/>
    <n v="2113"/>
    <n v="1063"/>
  </r>
  <r>
    <n v="37"/>
    <x v="25"/>
    <x v="2"/>
    <n v="3289"/>
    <n v="3441"/>
    <n v="6730"/>
    <n v="2329"/>
  </r>
  <r>
    <n v="37"/>
    <x v="25"/>
    <x v="2"/>
    <n v="2637"/>
    <n v="2893"/>
    <n v="5530"/>
    <n v="2026"/>
  </r>
  <r>
    <n v="37"/>
    <x v="25"/>
    <x v="2"/>
    <n v="1173"/>
    <n v="1346"/>
    <n v="2519"/>
    <n v="1176"/>
  </r>
  <r>
    <n v="37"/>
    <x v="25"/>
    <x v="2"/>
    <n v="1628"/>
    <n v="1688"/>
    <n v="3316"/>
    <n v="1771"/>
  </r>
  <r>
    <n v="37"/>
    <x v="25"/>
    <x v="2"/>
    <n v="1502"/>
    <n v="1647"/>
    <n v="3149"/>
    <n v="1521"/>
  </r>
  <r>
    <n v="37"/>
    <x v="25"/>
    <x v="2"/>
    <n v="1727"/>
    <n v="1889"/>
    <n v="3616"/>
    <n v="1272"/>
  </r>
  <r>
    <n v="37"/>
    <x v="25"/>
    <x v="2"/>
    <n v="11605"/>
    <n v="12658"/>
    <n v="24263"/>
    <n v="13319"/>
  </r>
  <r>
    <n v="38"/>
    <x v="26"/>
    <x v="2"/>
    <n v="209459"/>
    <n v="209274"/>
    <n v="418733"/>
    <n v="147459"/>
  </r>
  <r>
    <n v="38"/>
    <x v="26"/>
    <x v="2"/>
    <n v="29214"/>
    <n v="29166"/>
    <n v="58380"/>
    <n v="19608"/>
  </r>
  <r>
    <n v="38"/>
    <x v="26"/>
    <x v="2"/>
    <n v="14421"/>
    <n v="14277"/>
    <n v="28698"/>
    <n v="8648"/>
  </r>
  <r>
    <n v="38"/>
    <x v="26"/>
    <x v="2"/>
    <n v="32438"/>
    <n v="32079"/>
    <n v="64517"/>
    <n v="20112"/>
  </r>
  <r>
    <n v="38"/>
    <x v="26"/>
    <x v="2"/>
    <n v="36646"/>
    <n v="36361"/>
    <n v="73007"/>
    <n v="24745"/>
  </r>
  <r>
    <n v="38"/>
    <x v="26"/>
    <x v="2"/>
    <n v="14046"/>
    <n v="13962"/>
    <n v="28008"/>
    <n v="10192"/>
  </r>
  <r>
    <n v="38"/>
    <x v="26"/>
    <x v="2"/>
    <n v="14116"/>
    <n v="13887"/>
    <n v="28003"/>
    <n v="9521"/>
  </r>
  <r>
    <n v="38"/>
    <x v="26"/>
    <x v="2"/>
    <n v="14246"/>
    <n v="14105"/>
    <n v="28351"/>
    <n v="9819"/>
  </r>
  <r>
    <n v="38"/>
    <x v="26"/>
    <x v="2"/>
    <n v="6956"/>
    <n v="6987"/>
    <n v="13943"/>
    <n v="4455"/>
  </r>
  <r>
    <n v="38"/>
    <x v="26"/>
    <x v="2"/>
    <n v="3612"/>
    <n v="3620"/>
    <n v="7232"/>
    <n v="2453"/>
  </r>
  <r>
    <n v="38"/>
    <x v="26"/>
    <x v="2"/>
    <n v="3409"/>
    <n v="3432"/>
    <n v="6841"/>
    <n v="2485"/>
  </r>
  <r>
    <n v="38"/>
    <x v="26"/>
    <x v="2"/>
    <n v="5397"/>
    <n v="5484"/>
    <n v="10881"/>
    <n v="4125"/>
  </r>
  <r>
    <n v="38"/>
    <x v="26"/>
    <x v="2"/>
    <n v="4749"/>
    <n v="4900"/>
    <n v="9649"/>
    <n v="3717"/>
  </r>
  <r>
    <n v="38"/>
    <x v="26"/>
    <x v="2"/>
    <n v="3190"/>
    <n v="3174"/>
    <n v="6364"/>
    <n v="2800"/>
  </r>
  <r>
    <n v="38"/>
    <x v="26"/>
    <x v="2"/>
    <n v="3190"/>
    <n v="3249"/>
    <n v="6439"/>
    <n v="2815"/>
  </r>
  <r>
    <n v="38"/>
    <x v="26"/>
    <x v="2"/>
    <n v="3309"/>
    <n v="3480"/>
    <n v="6789"/>
    <n v="2053"/>
  </r>
  <r>
    <n v="38"/>
    <x v="26"/>
    <x v="2"/>
    <n v="3187"/>
    <n v="3204"/>
    <n v="6391"/>
    <n v="2734"/>
  </r>
  <r>
    <n v="38"/>
    <x v="26"/>
    <x v="2"/>
    <n v="4931"/>
    <n v="5201"/>
    <n v="10132"/>
    <n v="3719"/>
  </r>
  <r>
    <n v="38"/>
    <x v="26"/>
    <x v="2"/>
    <n v="2465"/>
    <n v="2504"/>
    <n v="4969"/>
    <n v="1584"/>
  </r>
  <r>
    <n v="38"/>
    <x v="26"/>
    <x v="2"/>
    <n v="9937"/>
    <n v="10202"/>
    <n v="20139"/>
    <n v="11874"/>
  </r>
  <r>
    <n v="39"/>
    <x v="27"/>
    <x v="2"/>
    <n v="250862"/>
    <n v="253517"/>
    <n v="504379"/>
    <n v="161989"/>
  </r>
  <r>
    <n v="39"/>
    <x v="27"/>
    <x v="2"/>
    <n v="50613"/>
    <n v="50890"/>
    <n v="101503"/>
    <n v="33364"/>
  </r>
  <r>
    <n v="39"/>
    <x v="27"/>
    <x v="2"/>
    <n v="33352"/>
    <n v="33053"/>
    <n v="66405"/>
    <n v="19618"/>
  </r>
  <r>
    <n v="39"/>
    <x v="27"/>
    <x v="2"/>
    <n v="26446"/>
    <n v="26878"/>
    <n v="53324"/>
    <n v="14379"/>
  </r>
  <r>
    <n v="39"/>
    <x v="27"/>
    <x v="2"/>
    <n v="45168"/>
    <n v="44632"/>
    <n v="89800"/>
    <n v="26271"/>
  </r>
  <r>
    <n v="39"/>
    <x v="27"/>
    <x v="2"/>
    <n v="26799"/>
    <n v="26737"/>
    <n v="53536"/>
    <n v="15816"/>
  </r>
  <r>
    <n v="39"/>
    <x v="27"/>
    <x v="2"/>
    <n v="15008"/>
    <n v="14988"/>
    <n v="29996"/>
    <n v="9081"/>
  </r>
  <r>
    <n v="39"/>
    <x v="27"/>
    <x v="2"/>
    <n v="4566"/>
    <n v="4688"/>
    <n v="9254"/>
    <n v="2700"/>
  </r>
  <r>
    <n v="39"/>
    <x v="27"/>
    <x v="2"/>
    <n v="3319"/>
    <n v="3513"/>
    <n v="6832"/>
    <n v="2504"/>
  </r>
  <r>
    <n v="39"/>
    <x v="27"/>
    <x v="2"/>
    <n v="3742"/>
    <n v="3929"/>
    <n v="7671"/>
    <n v="2999"/>
  </r>
  <r>
    <n v="39"/>
    <x v="27"/>
    <x v="2"/>
    <n v="2928"/>
    <n v="3226"/>
    <n v="6154"/>
    <n v="1958"/>
  </r>
  <r>
    <n v="39"/>
    <x v="27"/>
    <x v="2"/>
    <n v="2141"/>
    <n v="2382"/>
    <n v="4523"/>
    <n v="2721"/>
  </r>
  <r>
    <n v="39"/>
    <x v="27"/>
    <x v="2"/>
    <n v="2500"/>
    <n v="2421"/>
    <n v="4921"/>
    <n v="1551"/>
  </r>
  <r>
    <n v="39"/>
    <x v="27"/>
    <x v="2"/>
    <n v="4038"/>
    <n v="4193"/>
    <n v="8231"/>
    <n v="3030"/>
  </r>
  <r>
    <n v="39"/>
    <x v="27"/>
    <x v="2"/>
    <n v="1358"/>
    <n v="1367"/>
    <n v="2725"/>
    <n v="783"/>
  </r>
  <r>
    <n v="39"/>
    <x v="27"/>
    <x v="2"/>
    <n v="9540"/>
    <n v="10055"/>
    <n v="19595"/>
    <n v="6896"/>
  </r>
  <r>
    <n v="39"/>
    <x v="27"/>
    <x v="2"/>
    <n v="2693"/>
    <n v="2837"/>
    <n v="5530"/>
    <n v="1895"/>
  </r>
  <r>
    <n v="39"/>
    <x v="27"/>
    <x v="2"/>
    <n v="1779"/>
    <n v="1758"/>
    <n v="3537"/>
    <n v="1090"/>
  </r>
  <r>
    <n v="39"/>
    <x v="27"/>
    <x v="2"/>
    <n v="2010"/>
    <n v="2145"/>
    <n v="4155"/>
    <n v="1135"/>
  </r>
  <r>
    <n v="39"/>
    <x v="27"/>
    <x v="2"/>
    <n v="2408"/>
    <n v="2464"/>
    <n v="4872"/>
    <n v="1466"/>
  </r>
  <r>
    <n v="39"/>
    <x v="27"/>
    <x v="2"/>
    <n v="10454"/>
    <n v="11361"/>
    <n v="21815"/>
    <n v="12732"/>
  </r>
  <r>
    <n v="40"/>
    <x v="28"/>
    <x v="2"/>
    <n v="868299"/>
    <n v="904082"/>
    <n v="1772381"/>
    <n v="692088"/>
  </r>
  <r>
    <n v="40"/>
    <x v="28"/>
    <x v="2"/>
    <n v="48020"/>
    <n v="51475"/>
    <n v="99495"/>
    <n v="43676"/>
  </r>
  <r>
    <n v="40"/>
    <x v="28"/>
    <x v="2"/>
    <n v="24745"/>
    <n v="25046"/>
    <n v="49791"/>
    <n v="18297"/>
  </r>
  <r>
    <n v="40"/>
    <x v="28"/>
    <x v="2"/>
    <n v="12046"/>
    <n v="12540"/>
    <n v="24586"/>
    <n v="8286"/>
  </r>
  <r>
    <n v="40"/>
    <x v="28"/>
    <x v="2"/>
    <n v="40685"/>
    <n v="41824"/>
    <n v="82509"/>
    <n v="24212"/>
  </r>
  <r>
    <n v="40"/>
    <x v="28"/>
    <x v="2"/>
    <n v="41023"/>
    <n v="41484"/>
    <n v="82507"/>
    <n v="27365"/>
  </r>
  <r>
    <n v="40"/>
    <x v="28"/>
    <x v="2"/>
    <n v="36148"/>
    <n v="36720"/>
    <n v="72868"/>
    <n v="23437"/>
  </r>
  <r>
    <n v="40"/>
    <x v="28"/>
    <x v="2"/>
    <n v="35444"/>
    <n v="36275"/>
    <n v="71719"/>
    <n v="23023"/>
  </r>
  <r>
    <n v="40"/>
    <x v="28"/>
    <x v="2"/>
    <n v="15322"/>
    <n v="15719"/>
    <n v="31041"/>
    <n v="8723"/>
  </r>
  <r>
    <n v="40"/>
    <x v="28"/>
    <x v="2"/>
    <n v="33727"/>
    <n v="34219"/>
    <n v="67946"/>
    <n v="21248"/>
  </r>
  <r>
    <n v="40"/>
    <x v="28"/>
    <x v="2"/>
    <n v="35278"/>
    <n v="36289"/>
    <n v="71567"/>
    <n v="24663"/>
  </r>
  <r>
    <n v="40"/>
    <x v="28"/>
    <x v="2"/>
    <n v="7139"/>
    <n v="7037"/>
    <n v="14176"/>
    <n v="4165"/>
  </r>
  <r>
    <n v="40"/>
    <x v="28"/>
    <x v="2"/>
    <n v="36928"/>
    <n v="37946"/>
    <n v="74874"/>
    <n v="24469"/>
  </r>
  <r>
    <n v="40"/>
    <x v="28"/>
    <x v="2"/>
    <n v="11718"/>
    <n v="12054"/>
    <n v="23772"/>
    <n v="6685"/>
  </r>
  <r>
    <n v="40"/>
    <x v="28"/>
    <x v="2"/>
    <n v="18986"/>
    <n v="19101"/>
    <n v="38087"/>
    <n v="11903"/>
  </r>
  <r>
    <n v="40"/>
    <x v="28"/>
    <x v="2"/>
    <n v="35017"/>
    <n v="35506"/>
    <n v="70523"/>
    <n v="21915"/>
  </r>
  <r>
    <n v="40"/>
    <x v="28"/>
    <x v="2"/>
    <n v="33867"/>
    <n v="34334"/>
    <n v="68201"/>
    <n v="21470"/>
  </r>
  <r>
    <n v="40"/>
    <x v="28"/>
    <x v="2"/>
    <n v="32441"/>
    <n v="33152"/>
    <n v="65593"/>
    <n v="22831"/>
  </r>
  <r>
    <n v="40"/>
    <x v="28"/>
    <x v="2"/>
    <n v="19112"/>
    <n v="19905"/>
    <n v="39017"/>
    <n v="12191"/>
  </r>
  <r>
    <n v="40"/>
    <x v="28"/>
    <x v="2"/>
    <n v="10572"/>
    <n v="10681"/>
    <n v="21253"/>
    <n v="6661"/>
  </r>
  <r>
    <n v="40"/>
    <x v="28"/>
    <x v="2"/>
    <n v="9728"/>
    <n v="9710"/>
    <n v="19438"/>
    <n v="6098"/>
  </r>
  <r>
    <n v="40"/>
    <x v="28"/>
    <x v="2"/>
    <n v="8819"/>
    <n v="9120"/>
    <n v="17939"/>
    <n v="5504"/>
  </r>
  <r>
    <n v="40"/>
    <x v="28"/>
    <x v="2"/>
    <n v="10382"/>
    <n v="10437"/>
    <n v="20819"/>
    <n v="6935"/>
  </r>
  <r>
    <n v="40"/>
    <x v="28"/>
    <x v="2"/>
    <n v="11613"/>
    <n v="11782"/>
    <n v="23395"/>
    <n v="7104"/>
  </r>
  <r>
    <n v="40"/>
    <x v="28"/>
    <x v="2"/>
    <n v="12829"/>
    <n v="13151"/>
    <n v="25980"/>
    <n v="8738"/>
  </r>
  <r>
    <n v="40"/>
    <x v="28"/>
    <x v="2"/>
    <n v="10387"/>
    <n v="10504"/>
    <n v="20891"/>
    <n v="6801"/>
  </r>
  <r>
    <n v="40"/>
    <x v="28"/>
    <x v="2"/>
    <n v="9750"/>
    <n v="9954"/>
    <n v="19704"/>
    <n v="5977"/>
  </r>
  <r>
    <n v="40"/>
    <x v="28"/>
    <x v="2"/>
    <n v="27265"/>
    <n v="28075"/>
    <n v="55340"/>
    <n v="32137"/>
  </r>
  <r>
    <n v="40"/>
    <x v="28"/>
    <x v="2"/>
    <n v="4409"/>
    <n v="4330"/>
    <n v="8739"/>
    <n v="2606"/>
  </r>
  <r>
    <n v="40"/>
    <x v="28"/>
    <x v="2"/>
    <n v="4892"/>
    <n v="4965"/>
    <n v="9857"/>
    <n v="2803"/>
  </r>
  <r>
    <n v="40"/>
    <x v="28"/>
    <x v="2"/>
    <n v="9333"/>
    <n v="10049"/>
    <n v="19382"/>
    <n v="9638"/>
  </r>
  <r>
    <n v="40"/>
    <x v="28"/>
    <x v="2"/>
    <n v="2914"/>
    <n v="2929"/>
    <n v="5843"/>
    <n v="1863"/>
  </r>
  <r>
    <n v="40"/>
    <x v="28"/>
    <x v="2"/>
    <n v="4924"/>
    <n v="5158"/>
    <n v="10082"/>
    <n v="3684"/>
  </r>
  <r>
    <n v="40"/>
    <x v="28"/>
    <x v="2"/>
    <n v="3624"/>
    <n v="3964"/>
    <n v="7588"/>
    <n v="2339"/>
  </r>
  <r>
    <n v="40"/>
    <x v="28"/>
    <x v="2"/>
    <n v="15303"/>
    <n v="17691"/>
    <n v="32994"/>
    <n v="19056"/>
  </r>
  <r>
    <n v="40"/>
    <x v="28"/>
    <x v="2"/>
    <n v="4762"/>
    <n v="4965"/>
    <n v="9727"/>
    <n v="3351"/>
  </r>
  <r>
    <n v="40"/>
    <x v="28"/>
    <x v="2"/>
    <n v="8536"/>
    <n v="8944"/>
    <n v="17480"/>
    <n v="7548"/>
  </r>
  <r>
    <n v="40"/>
    <x v="28"/>
    <x v="2"/>
    <n v="4149"/>
    <n v="4334"/>
    <n v="8483"/>
    <n v="2848"/>
  </r>
  <r>
    <n v="40"/>
    <x v="28"/>
    <x v="2"/>
    <n v="8857"/>
    <n v="9046"/>
    <n v="17903"/>
    <n v="6137"/>
  </r>
  <r>
    <n v="40"/>
    <x v="28"/>
    <x v="2"/>
    <n v="22409"/>
    <n v="26213"/>
    <n v="48622"/>
    <n v="30471"/>
  </r>
  <r>
    <n v="40"/>
    <x v="28"/>
    <x v="2"/>
    <n v="2724"/>
    <n v="2768"/>
    <n v="5492"/>
    <n v="1965"/>
  </r>
  <r>
    <n v="40"/>
    <x v="28"/>
    <x v="2"/>
    <n v="3249"/>
    <n v="3340"/>
    <n v="6589"/>
    <n v="2369"/>
  </r>
  <r>
    <n v="40"/>
    <x v="28"/>
    <x v="2"/>
    <n v="1926"/>
    <n v="2099"/>
    <n v="4025"/>
    <n v="1568"/>
  </r>
  <r>
    <n v="40"/>
    <x v="28"/>
    <x v="2"/>
    <n v="2531"/>
    <n v="2648"/>
    <n v="5179"/>
    <n v="2044"/>
  </r>
  <r>
    <n v="40"/>
    <x v="28"/>
    <x v="2"/>
    <n v="1644"/>
    <n v="1750"/>
    <n v="3394"/>
    <n v="1352"/>
  </r>
  <r>
    <n v="40"/>
    <x v="28"/>
    <x v="2"/>
    <n v="5200"/>
    <n v="5336"/>
    <n v="10536"/>
    <n v="3952"/>
  </r>
  <r>
    <n v="40"/>
    <x v="28"/>
    <x v="2"/>
    <n v="3566"/>
    <n v="4017"/>
    <n v="7583"/>
    <n v="3461"/>
  </r>
  <r>
    <n v="40"/>
    <x v="28"/>
    <x v="2"/>
    <n v="1600"/>
    <n v="1771"/>
    <n v="3371"/>
    <n v="2003"/>
  </r>
  <r>
    <n v="40"/>
    <x v="28"/>
    <x v="2"/>
    <n v="1287"/>
    <n v="1459"/>
    <n v="2746"/>
    <n v="1780"/>
  </r>
  <r>
    <n v="40"/>
    <x v="28"/>
    <x v="2"/>
    <n v="2648"/>
    <n v="2814"/>
    <n v="5462"/>
    <n v="2849"/>
  </r>
  <r>
    <n v="40"/>
    <x v="28"/>
    <x v="2"/>
    <n v="1412"/>
    <n v="1570"/>
    <n v="2982"/>
    <n v="1393"/>
  </r>
  <r>
    <n v="40"/>
    <x v="28"/>
    <x v="2"/>
    <n v="2441"/>
    <n v="2627"/>
    <n v="5068"/>
    <n v="1874"/>
  </r>
  <r>
    <n v="40"/>
    <x v="28"/>
    <x v="2"/>
    <n v="2827"/>
    <n v="2951"/>
    <n v="5778"/>
    <n v="2089"/>
  </r>
  <r>
    <n v="40"/>
    <x v="28"/>
    <x v="2"/>
    <n v="4555"/>
    <n v="5022"/>
    <n v="9577"/>
    <n v="4677"/>
  </r>
  <r>
    <n v="40"/>
    <x v="28"/>
    <x v="2"/>
    <n v="1860"/>
    <n v="1966"/>
    <n v="3826"/>
    <n v="2138"/>
  </r>
  <r>
    <n v="40"/>
    <x v="28"/>
    <x v="2"/>
    <n v="2994"/>
    <n v="3253"/>
    <n v="6247"/>
    <n v="3029"/>
  </r>
  <r>
    <n v="40"/>
    <x v="28"/>
    <x v="2"/>
    <n v="2225"/>
    <n v="2456"/>
    <n v="4681"/>
    <n v="2489"/>
  </r>
  <r>
    <n v="40"/>
    <x v="28"/>
    <x v="2"/>
    <n v="1609"/>
    <n v="1660"/>
    <n v="3269"/>
    <n v="1603"/>
  </r>
  <r>
    <n v="40"/>
    <x v="28"/>
    <x v="2"/>
    <n v="2133"/>
    <n v="2362"/>
    <n v="4495"/>
    <n v="1571"/>
  </r>
  <r>
    <n v="40"/>
    <x v="28"/>
    <x v="2"/>
    <n v="2059"/>
    <n v="2274"/>
    <n v="4333"/>
    <n v="1370"/>
  </r>
  <r>
    <n v="40"/>
    <x v="28"/>
    <x v="2"/>
    <n v="2090"/>
    <n v="2057"/>
    <n v="4147"/>
    <n v="2287"/>
  </r>
  <r>
    <n v="40"/>
    <x v="28"/>
    <x v="2"/>
    <n v="680"/>
    <n v="675"/>
    <n v="1355"/>
    <n v="723"/>
  </r>
  <r>
    <n v="40"/>
    <x v="28"/>
    <x v="2"/>
    <n v="1622"/>
    <n v="1720"/>
    <n v="3342"/>
    <n v="1959"/>
  </r>
  <r>
    <n v="40"/>
    <x v="28"/>
    <x v="2"/>
    <n v="1549"/>
    <n v="1739"/>
    <n v="3288"/>
    <n v="1574"/>
  </r>
  <r>
    <n v="40"/>
    <x v="28"/>
    <x v="2"/>
    <n v="3075"/>
    <n v="3311"/>
    <n v="6386"/>
    <n v="2142"/>
  </r>
  <r>
    <n v="40"/>
    <x v="28"/>
    <x v="2"/>
    <n v="2170"/>
    <n v="2333"/>
    <n v="4503"/>
    <n v="1970"/>
  </r>
  <r>
    <n v="40"/>
    <x v="28"/>
    <x v="2"/>
    <n v="4062"/>
    <n v="4478"/>
    <n v="8540"/>
    <n v="4257"/>
  </r>
  <r>
    <n v="40"/>
    <x v="28"/>
    <x v="2"/>
    <n v="14642"/>
    <n v="15810"/>
    <n v="30452"/>
    <n v="16479"/>
  </r>
  <r>
    <n v="40"/>
    <x v="28"/>
    <x v="2"/>
    <n v="12454"/>
    <n v="13734"/>
    <n v="26188"/>
    <n v="13198"/>
  </r>
  <r>
    <n v="40"/>
    <x v="28"/>
    <x v="2"/>
    <n v="4689"/>
    <n v="5210"/>
    <n v="9899"/>
    <n v="5505"/>
  </r>
  <r>
    <n v="40"/>
    <x v="28"/>
    <x v="2"/>
    <n v="47673"/>
    <n v="52244"/>
    <n v="99917"/>
    <n v="69560"/>
  </r>
  <r>
    <n v="41"/>
    <x v="29"/>
    <x v="2"/>
    <n v="765475"/>
    <n v="786660"/>
    <n v="1552135"/>
    <n v="565876"/>
  </r>
  <r>
    <n v="41"/>
    <x v="29"/>
    <x v="2"/>
    <n v="90893"/>
    <n v="96008"/>
    <n v="186901"/>
    <n v="78300"/>
  </r>
  <r>
    <n v="41"/>
    <x v="29"/>
    <x v="2"/>
    <n v="21646"/>
    <n v="21642"/>
    <n v="43288"/>
    <n v="13871"/>
  </r>
  <r>
    <n v="41"/>
    <x v="29"/>
    <x v="2"/>
    <n v="22276"/>
    <n v="22333"/>
    <n v="44609"/>
    <n v="12386"/>
  </r>
  <r>
    <n v="41"/>
    <x v="29"/>
    <x v="2"/>
    <n v="36089"/>
    <n v="36963"/>
    <n v="73052"/>
    <n v="22764"/>
  </r>
  <r>
    <n v="41"/>
    <x v="29"/>
    <x v="2"/>
    <n v="22230"/>
    <n v="22477"/>
    <n v="44707"/>
    <n v="12530"/>
  </r>
  <r>
    <n v="41"/>
    <x v="29"/>
    <x v="2"/>
    <n v="43918"/>
    <n v="44211"/>
    <n v="88129"/>
    <n v="29081"/>
  </r>
  <r>
    <n v="41"/>
    <x v="29"/>
    <x v="2"/>
    <n v="12500"/>
    <n v="12383"/>
    <n v="24883"/>
    <n v="7636"/>
  </r>
  <r>
    <n v="41"/>
    <x v="29"/>
    <x v="2"/>
    <n v="11937"/>
    <n v="11652"/>
    <n v="23589"/>
    <n v="6573"/>
  </r>
  <r>
    <n v="41"/>
    <x v="29"/>
    <x v="2"/>
    <n v="11671"/>
    <n v="11769"/>
    <n v="23440"/>
    <n v="6905"/>
  </r>
  <r>
    <n v="41"/>
    <x v="29"/>
    <x v="2"/>
    <n v="15513"/>
    <n v="15405"/>
    <n v="30918"/>
    <n v="9183"/>
  </r>
  <r>
    <n v="41"/>
    <x v="29"/>
    <x v="2"/>
    <n v="55234"/>
    <n v="55660"/>
    <n v="110894"/>
    <n v="33997"/>
  </r>
  <r>
    <n v="41"/>
    <x v="29"/>
    <x v="2"/>
    <n v="50636"/>
    <n v="50711"/>
    <n v="101347"/>
    <n v="32736"/>
  </r>
  <r>
    <n v="41"/>
    <x v="29"/>
    <x v="2"/>
    <n v="20680"/>
    <n v="20347"/>
    <n v="41027"/>
    <n v="14033"/>
  </r>
  <r>
    <n v="41"/>
    <x v="29"/>
    <x v="2"/>
    <n v="48140"/>
    <n v="48216"/>
    <n v="96356"/>
    <n v="31107"/>
  </r>
  <r>
    <n v="41"/>
    <x v="29"/>
    <x v="2"/>
    <n v="10935"/>
    <n v="10916"/>
    <n v="21851"/>
    <n v="7010"/>
  </r>
  <r>
    <n v="41"/>
    <x v="29"/>
    <x v="2"/>
    <n v="11471"/>
    <n v="11463"/>
    <n v="22934"/>
    <n v="7203"/>
  </r>
  <r>
    <n v="41"/>
    <x v="29"/>
    <x v="2"/>
    <n v="14344"/>
    <n v="14049"/>
    <n v="28393"/>
    <n v="10205"/>
  </r>
  <r>
    <n v="41"/>
    <x v="29"/>
    <x v="2"/>
    <n v="12155"/>
    <n v="12443"/>
    <n v="24598"/>
    <n v="8991"/>
  </r>
  <r>
    <n v="41"/>
    <x v="29"/>
    <x v="2"/>
    <n v="10963"/>
    <n v="10929"/>
    <n v="21892"/>
    <n v="7293"/>
  </r>
  <r>
    <n v="41"/>
    <x v="29"/>
    <x v="2"/>
    <n v="12596"/>
    <n v="12638"/>
    <n v="25234"/>
    <n v="7710"/>
  </r>
  <r>
    <n v="41"/>
    <x v="29"/>
    <x v="2"/>
    <n v="4097"/>
    <n v="4116"/>
    <n v="8213"/>
    <n v="2112"/>
  </r>
  <r>
    <n v="41"/>
    <x v="29"/>
    <x v="2"/>
    <n v="5663"/>
    <n v="5546"/>
    <n v="11209"/>
    <n v="3311"/>
  </r>
  <r>
    <n v="41"/>
    <x v="29"/>
    <x v="2"/>
    <n v="7894"/>
    <n v="7724"/>
    <n v="15618"/>
    <n v="4926"/>
  </r>
  <r>
    <n v="41"/>
    <x v="29"/>
    <x v="2"/>
    <n v="3757"/>
    <n v="3722"/>
    <n v="7479"/>
    <n v="2002"/>
  </r>
  <r>
    <n v="41"/>
    <x v="29"/>
    <x v="2"/>
    <n v="4074"/>
    <n v="4018"/>
    <n v="8092"/>
    <n v="2235"/>
  </r>
  <r>
    <n v="41"/>
    <x v="29"/>
    <x v="2"/>
    <n v="3514"/>
    <n v="3673"/>
    <n v="7187"/>
    <n v="2842"/>
  </r>
  <r>
    <n v="41"/>
    <x v="29"/>
    <x v="2"/>
    <n v="8201"/>
    <n v="8566"/>
    <n v="16767"/>
    <n v="5405"/>
  </r>
  <r>
    <n v="41"/>
    <x v="29"/>
    <x v="2"/>
    <n v="5157"/>
    <n v="5290"/>
    <n v="10447"/>
    <n v="3361"/>
  </r>
  <r>
    <n v="41"/>
    <x v="29"/>
    <x v="2"/>
    <n v="2798"/>
    <n v="2814"/>
    <n v="5612"/>
    <n v="2173"/>
  </r>
  <r>
    <n v="41"/>
    <x v="29"/>
    <x v="2"/>
    <n v="4602"/>
    <n v="4785"/>
    <n v="9387"/>
    <n v="2879"/>
  </r>
  <r>
    <n v="41"/>
    <x v="29"/>
    <x v="2"/>
    <n v="4034"/>
    <n v="4812"/>
    <n v="8846"/>
    <n v="2909"/>
  </r>
  <r>
    <n v="41"/>
    <x v="29"/>
    <x v="2"/>
    <n v="5431"/>
    <n v="5583"/>
    <n v="11014"/>
    <n v="3558"/>
  </r>
  <r>
    <n v="41"/>
    <x v="29"/>
    <x v="2"/>
    <n v="1973"/>
    <n v="1981"/>
    <n v="3954"/>
    <n v="1007"/>
  </r>
  <r>
    <n v="41"/>
    <x v="29"/>
    <x v="2"/>
    <n v="1292"/>
    <n v="1340"/>
    <n v="2632"/>
    <n v="1674"/>
  </r>
  <r>
    <n v="41"/>
    <x v="29"/>
    <x v="2"/>
    <n v="4198"/>
    <n v="4406"/>
    <n v="8604"/>
    <n v="2673"/>
  </r>
  <r>
    <n v="41"/>
    <x v="29"/>
    <x v="2"/>
    <n v="4338"/>
    <n v="4415"/>
    <n v="8753"/>
    <n v="3569"/>
  </r>
  <r>
    <n v="41"/>
    <x v="29"/>
    <x v="2"/>
    <n v="3615"/>
    <n v="3910"/>
    <n v="7525"/>
    <n v="4343"/>
  </r>
  <r>
    <n v="41"/>
    <x v="29"/>
    <x v="2"/>
    <n v="7114"/>
    <n v="7678"/>
    <n v="14792"/>
    <n v="6671"/>
  </r>
  <r>
    <n v="41"/>
    <x v="29"/>
    <x v="2"/>
    <n v="2814"/>
    <n v="2993"/>
    <n v="5807"/>
    <n v="2958"/>
  </r>
  <r>
    <n v="41"/>
    <x v="29"/>
    <x v="2"/>
    <n v="2624"/>
    <n v="2711"/>
    <n v="5335"/>
    <n v="1970"/>
  </r>
  <r>
    <n v="41"/>
    <x v="29"/>
    <x v="2"/>
    <n v="3913"/>
    <n v="4146"/>
    <n v="8059"/>
    <n v="2575"/>
  </r>
  <r>
    <n v="41"/>
    <x v="29"/>
    <x v="2"/>
    <n v="3332"/>
    <n v="3628"/>
    <n v="6960"/>
    <n v="2308"/>
  </r>
  <r>
    <n v="41"/>
    <x v="29"/>
    <x v="2"/>
    <n v="1888"/>
    <n v="2108"/>
    <n v="3996"/>
    <n v="1926"/>
  </r>
  <r>
    <n v="41"/>
    <x v="29"/>
    <x v="2"/>
    <n v="4010"/>
    <n v="4020"/>
    <n v="8030"/>
    <n v="2371"/>
  </r>
  <r>
    <n v="41"/>
    <x v="29"/>
    <x v="2"/>
    <n v="2779"/>
    <n v="2823"/>
    <n v="5602"/>
    <n v="2047"/>
  </r>
  <r>
    <n v="41"/>
    <x v="29"/>
    <x v="2"/>
    <n v="2065"/>
    <n v="2198"/>
    <n v="4263"/>
    <n v="1801"/>
  </r>
  <r>
    <n v="41"/>
    <x v="29"/>
    <x v="2"/>
    <n v="2468"/>
    <n v="2578"/>
    <n v="5046"/>
    <n v="1760"/>
  </r>
  <r>
    <n v="41"/>
    <x v="29"/>
    <x v="2"/>
    <n v="2517"/>
    <n v="2787"/>
    <n v="5304"/>
    <n v="2752"/>
  </r>
  <r>
    <n v="41"/>
    <x v="29"/>
    <x v="2"/>
    <n v="3703"/>
    <n v="4026"/>
    <n v="7729"/>
    <n v="4609"/>
  </r>
  <r>
    <n v="41"/>
    <x v="29"/>
    <x v="2"/>
    <n v="3713"/>
    <n v="3942"/>
    <n v="7655"/>
    <n v="2421"/>
  </r>
  <r>
    <n v="41"/>
    <x v="29"/>
    <x v="2"/>
    <n v="4569"/>
    <n v="4803"/>
    <n v="9372"/>
    <n v="3045"/>
  </r>
  <r>
    <n v="41"/>
    <x v="29"/>
    <x v="2"/>
    <n v="1918"/>
    <n v="1944"/>
    <n v="3862"/>
    <n v="1121"/>
  </r>
  <r>
    <n v="41"/>
    <x v="29"/>
    <x v="2"/>
    <n v="1819"/>
    <n v="1843"/>
    <n v="3662"/>
    <n v="917"/>
  </r>
  <r>
    <n v="41"/>
    <x v="29"/>
    <x v="2"/>
    <n v="1968"/>
    <n v="2013"/>
    <n v="3981"/>
    <n v="1235"/>
  </r>
  <r>
    <n v="41"/>
    <x v="29"/>
    <x v="2"/>
    <n v="4797"/>
    <n v="5135"/>
    <n v="9932"/>
    <n v="4132"/>
  </r>
  <r>
    <n v="41"/>
    <x v="29"/>
    <x v="2"/>
    <n v="15766"/>
    <n v="17646"/>
    <n v="33412"/>
    <n v="17663"/>
  </r>
  <r>
    <n v="41"/>
    <x v="29"/>
    <x v="2"/>
    <n v="14551"/>
    <n v="15928"/>
    <n v="30479"/>
    <n v="16400"/>
  </r>
  <r>
    <n v="41"/>
    <x v="29"/>
    <x v="2"/>
    <n v="3245"/>
    <n v="3901"/>
    <n v="7146"/>
    <n v="3719"/>
  </r>
  <r>
    <n v="41"/>
    <x v="29"/>
    <x v="2"/>
    <n v="4521"/>
    <n v="3866"/>
    <n v="8387"/>
    <n v="3678"/>
  </r>
  <r>
    <n v="41"/>
    <x v="29"/>
    <x v="2"/>
    <n v="1762"/>
    <n v="1895"/>
    <n v="3657"/>
    <n v="1382"/>
  </r>
  <r>
    <n v="41"/>
    <x v="29"/>
    <x v="2"/>
    <n v="3055"/>
    <n v="3271"/>
    <n v="6326"/>
    <n v="2759"/>
  </r>
  <r>
    <n v="41"/>
    <x v="29"/>
    <x v="2"/>
    <n v="54099"/>
    <n v="59861"/>
    <n v="113960"/>
    <n v="63163"/>
  </r>
  <r>
    <n v="42"/>
    <x v="30"/>
    <x v="2"/>
    <n v="315871"/>
    <n v="316316"/>
    <n v="632187"/>
    <n v="240382"/>
  </r>
  <r>
    <n v="42"/>
    <x v="30"/>
    <x v="2"/>
    <n v="29973"/>
    <n v="29366"/>
    <n v="59339"/>
    <n v="25177"/>
  </r>
  <r>
    <n v="42"/>
    <x v="30"/>
    <x v="2"/>
    <n v="4940"/>
    <n v="4864"/>
    <n v="9804"/>
    <n v="3846"/>
  </r>
  <r>
    <n v="42"/>
    <x v="30"/>
    <x v="2"/>
    <n v="18803"/>
    <n v="19059"/>
    <n v="37862"/>
    <n v="14890"/>
  </r>
  <r>
    <n v="42"/>
    <x v="30"/>
    <x v="2"/>
    <n v="17023"/>
    <n v="16527"/>
    <n v="33550"/>
    <n v="11815"/>
  </r>
  <r>
    <n v="42"/>
    <x v="30"/>
    <x v="2"/>
    <n v="24326"/>
    <n v="23797"/>
    <n v="48123"/>
    <n v="16959"/>
  </r>
  <r>
    <n v="42"/>
    <x v="30"/>
    <x v="2"/>
    <n v="4847"/>
    <n v="4802"/>
    <n v="9649"/>
    <n v="3255"/>
  </r>
  <r>
    <n v="42"/>
    <x v="30"/>
    <x v="2"/>
    <n v="10028"/>
    <n v="9674"/>
    <n v="19702"/>
    <n v="7713"/>
  </r>
  <r>
    <n v="42"/>
    <x v="30"/>
    <x v="2"/>
    <n v="12829"/>
    <n v="12861"/>
    <n v="25690"/>
    <n v="10443"/>
  </r>
  <r>
    <n v="42"/>
    <x v="30"/>
    <x v="2"/>
    <n v="49244"/>
    <n v="49928"/>
    <n v="99172"/>
    <n v="35939"/>
  </r>
  <r>
    <n v="42"/>
    <x v="30"/>
    <x v="2"/>
    <n v="13638"/>
    <n v="13526"/>
    <n v="27164"/>
    <n v="9273"/>
  </r>
  <r>
    <n v="42"/>
    <x v="30"/>
    <x v="2"/>
    <n v="12513"/>
    <n v="12285"/>
    <n v="24798"/>
    <n v="8147"/>
  </r>
  <r>
    <n v="42"/>
    <x v="30"/>
    <x v="2"/>
    <n v="15313"/>
    <n v="15285"/>
    <n v="30598"/>
    <n v="8801"/>
  </r>
  <r>
    <n v="42"/>
    <x v="30"/>
    <x v="2"/>
    <n v="16771"/>
    <n v="16881"/>
    <n v="33652"/>
    <n v="11926"/>
  </r>
  <r>
    <n v="42"/>
    <x v="30"/>
    <x v="2"/>
    <n v="10352"/>
    <n v="10192"/>
    <n v="20544"/>
    <n v="6434"/>
  </r>
  <r>
    <n v="42"/>
    <x v="30"/>
    <x v="2"/>
    <n v="5495"/>
    <n v="5486"/>
    <n v="10981"/>
    <n v="3630"/>
  </r>
  <r>
    <n v="42"/>
    <x v="30"/>
    <x v="2"/>
    <n v="4976"/>
    <n v="4841"/>
    <n v="9817"/>
    <n v="3041"/>
  </r>
  <r>
    <n v="42"/>
    <x v="30"/>
    <x v="2"/>
    <n v="4723"/>
    <n v="4830"/>
    <n v="9553"/>
    <n v="3557"/>
  </r>
  <r>
    <n v="42"/>
    <x v="30"/>
    <x v="2"/>
    <n v="5346"/>
    <n v="5312"/>
    <n v="10658"/>
    <n v="3846"/>
  </r>
  <r>
    <n v="42"/>
    <x v="30"/>
    <x v="2"/>
    <n v="5107"/>
    <n v="5185"/>
    <n v="10292"/>
    <n v="3679"/>
  </r>
  <r>
    <n v="42"/>
    <x v="30"/>
    <x v="2"/>
    <n v="6494"/>
    <n v="6787"/>
    <n v="13281"/>
    <n v="6516"/>
  </r>
  <r>
    <n v="42"/>
    <x v="30"/>
    <x v="2"/>
    <n v="3859"/>
    <n v="3835"/>
    <n v="7694"/>
    <n v="2250"/>
  </r>
  <r>
    <n v="42"/>
    <x v="30"/>
    <x v="2"/>
    <n v="2099"/>
    <n v="2229"/>
    <n v="4328"/>
    <n v="2163"/>
  </r>
  <r>
    <n v="42"/>
    <x v="30"/>
    <x v="2"/>
    <n v="3416"/>
    <n v="3508"/>
    <n v="6924"/>
    <n v="2834"/>
  </r>
  <r>
    <n v="42"/>
    <x v="30"/>
    <x v="2"/>
    <n v="4937"/>
    <n v="5401"/>
    <n v="10338"/>
    <n v="4736"/>
  </r>
  <r>
    <n v="42"/>
    <x v="30"/>
    <x v="2"/>
    <n v="825"/>
    <n v="901"/>
    <n v="1726"/>
    <n v="836"/>
  </r>
  <r>
    <n v="42"/>
    <x v="30"/>
    <x v="2"/>
    <n v="1337"/>
    <n v="1377"/>
    <n v="2714"/>
    <n v="1627"/>
  </r>
  <r>
    <n v="42"/>
    <x v="30"/>
    <x v="2"/>
    <n v="1035"/>
    <n v="1002"/>
    <n v="2037"/>
    <n v="965"/>
  </r>
  <r>
    <n v="42"/>
    <x v="30"/>
    <x v="2"/>
    <n v="1569"/>
    <n v="1657"/>
    <n v="3226"/>
    <n v="2048"/>
  </r>
  <r>
    <n v="42"/>
    <x v="30"/>
    <x v="2"/>
    <n v="1637"/>
    <n v="1729"/>
    <n v="3366"/>
    <n v="1637"/>
  </r>
  <r>
    <n v="42"/>
    <x v="30"/>
    <x v="2"/>
    <n v="2525"/>
    <n v="2584"/>
    <n v="5109"/>
    <n v="1715"/>
  </r>
  <r>
    <n v="42"/>
    <x v="30"/>
    <x v="2"/>
    <n v="2360"/>
    <n v="2559"/>
    <n v="4919"/>
    <n v="2895"/>
  </r>
  <r>
    <n v="42"/>
    <x v="30"/>
    <x v="2"/>
    <n v="3188"/>
    <n v="3228"/>
    <n v="6416"/>
    <n v="2461"/>
  </r>
  <r>
    <n v="42"/>
    <x v="30"/>
    <x v="2"/>
    <n v="1746"/>
    <n v="1804"/>
    <n v="3550"/>
    <n v="1274"/>
  </r>
  <r>
    <n v="42"/>
    <x v="30"/>
    <x v="2"/>
    <n v="2938"/>
    <n v="3054"/>
    <n v="5992"/>
    <n v="2416"/>
  </r>
  <r>
    <n v="42"/>
    <x v="30"/>
    <x v="2"/>
    <n v="9659"/>
    <n v="9960"/>
    <n v="19619"/>
    <n v="11638"/>
  </r>
  <r>
    <n v="43"/>
    <x v="31"/>
    <x v="2"/>
    <n v="253194"/>
    <n v="258512"/>
    <n v="511706"/>
    <n v="190025"/>
  </r>
  <r>
    <n v="43"/>
    <x v="31"/>
    <x v="2"/>
    <n v="37043"/>
    <n v="37750"/>
    <n v="74793"/>
    <n v="26094"/>
  </r>
  <r>
    <n v="43"/>
    <x v="31"/>
    <x v="2"/>
    <n v="29989"/>
    <n v="30856"/>
    <n v="60845"/>
    <n v="19666"/>
  </r>
  <r>
    <n v="43"/>
    <x v="31"/>
    <x v="2"/>
    <n v="47087"/>
    <n v="47704"/>
    <n v="94791"/>
    <n v="33367"/>
  </r>
  <r>
    <n v="43"/>
    <x v="31"/>
    <x v="2"/>
    <n v="11402"/>
    <n v="11770"/>
    <n v="23172"/>
    <n v="7800"/>
  </r>
  <r>
    <n v="43"/>
    <x v="31"/>
    <x v="2"/>
    <n v="11212"/>
    <n v="10995"/>
    <n v="22207"/>
    <n v="7631"/>
  </r>
  <r>
    <n v="43"/>
    <x v="31"/>
    <x v="2"/>
    <n v="13296"/>
    <n v="13192"/>
    <n v="26488"/>
    <n v="8997"/>
  </r>
  <r>
    <n v="43"/>
    <x v="31"/>
    <x v="2"/>
    <n v="19768"/>
    <n v="19801"/>
    <n v="39569"/>
    <n v="11852"/>
  </r>
  <r>
    <n v="43"/>
    <x v="31"/>
    <x v="2"/>
    <n v="18767"/>
    <n v="18760"/>
    <n v="37527"/>
    <n v="13604"/>
  </r>
  <r>
    <n v="43"/>
    <x v="31"/>
    <x v="2"/>
    <n v="7503"/>
    <n v="7572"/>
    <n v="15075"/>
    <n v="5369"/>
  </r>
  <r>
    <n v="43"/>
    <x v="31"/>
    <x v="2"/>
    <n v="5437"/>
    <n v="5500"/>
    <n v="10937"/>
    <n v="4222"/>
  </r>
  <r>
    <n v="43"/>
    <x v="31"/>
    <x v="2"/>
    <n v="3959"/>
    <n v="4229"/>
    <n v="8188"/>
    <n v="4106"/>
  </r>
  <r>
    <n v="43"/>
    <x v="31"/>
    <x v="2"/>
    <n v="4691"/>
    <n v="4883"/>
    <n v="9574"/>
    <n v="3177"/>
  </r>
  <r>
    <n v="43"/>
    <x v="31"/>
    <x v="2"/>
    <n v="1581"/>
    <n v="1661"/>
    <n v="3242"/>
    <n v="1531"/>
  </r>
  <r>
    <n v="43"/>
    <x v="31"/>
    <x v="2"/>
    <n v="2961"/>
    <n v="3110"/>
    <n v="6071"/>
    <n v="2964"/>
  </r>
  <r>
    <n v="43"/>
    <x v="31"/>
    <x v="2"/>
    <n v="1260"/>
    <n v="1246"/>
    <n v="2506"/>
    <n v="1258"/>
  </r>
  <r>
    <n v="43"/>
    <x v="31"/>
    <x v="2"/>
    <n v="1702"/>
    <n v="1933"/>
    <n v="3635"/>
    <n v="1178"/>
  </r>
  <r>
    <n v="43"/>
    <x v="31"/>
    <x v="2"/>
    <n v="8168"/>
    <n v="8626"/>
    <n v="16794"/>
    <n v="7626"/>
  </r>
  <r>
    <n v="43"/>
    <x v="31"/>
    <x v="2"/>
    <n v="2531"/>
    <n v="2573"/>
    <n v="5104"/>
    <n v="2168"/>
  </r>
  <r>
    <n v="43"/>
    <x v="31"/>
    <x v="2"/>
    <n v="2737"/>
    <n v="3011"/>
    <n v="5748"/>
    <n v="1960"/>
  </r>
  <r>
    <n v="43"/>
    <x v="31"/>
    <x v="2"/>
    <n v="22100"/>
    <n v="23340"/>
    <n v="45440"/>
    <n v="25455"/>
  </r>
  <r>
    <n v="44"/>
    <x v="32"/>
    <x v="2"/>
    <n v="456246"/>
    <n v="473706"/>
    <n v="929952"/>
    <n v="321366"/>
  </r>
  <r>
    <n v="44"/>
    <x v="32"/>
    <x v="2"/>
    <n v="49819"/>
    <n v="52236"/>
    <n v="102055"/>
    <n v="38380"/>
  </r>
  <r>
    <n v="44"/>
    <x v="32"/>
    <x v="2"/>
    <n v="12138"/>
    <n v="12101"/>
    <n v="24239"/>
    <n v="6792"/>
  </r>
  <r>
    <n v="44"/>
    <x v="32"/>
    <x v="2"/>
    <n v="53150"/>
    <n v="54933"/>
    <n v="108083"/>
    <n v="32897"/>
  </r>
  <r>
    <n v="44"/>
    <x v="32"/>
    <x v="2"/>
    <n v="26783"/>
    <n v="27982"/>
    <n v="54765"/>
    <n v="17194"/>
  </r>
  <r>
    <n v="44"/>
    <x v="32"/>
    <x v="2"/>
    <n v="26966"/>
    <n v="28004"/>
    <n v="54970"/>
    <n v="18898"/>
  </r>
  <r>
    <n v="44"/>
    <x v="32"/>
    <x v="2"/>
    <n v="49969"/>
    <n v="50334"/>
    <n v="100303"/>
    <n v="35471"/>
  </r>
  <r>
    <n v="44"/>
    <x v="32"/>
    <x v="2"/>
    <n v="28114"/>
    <n v="28508"/>
    <n v="56622"/>
    <n v="18164"/>
  </r>
  <r>
    <n v="44"/>
    <x v="32"/>
    <x v="2"/>
    <n v="39005"/>
    <n v="39632"/>
    <n v="78637"/>
    <n v="23095"/>
  </r>
  <r>
    <n v="44"/>
    <x v="32"/>
    <x v="2"/>
    <n v="52713"/>
    <n v="53615"/>
    <n v="106328"/>
    <n v="31602"/>
  </r>
  <r>
    <n v="44"/>
    <x v="32"/>
    <x v="2"/>
    <n v="16036"/>
    <n v="16271"/>
    <n v="32307"/>
    <n v="8999"/>
  </r>
  <r>
    <n v="44"/>
    <x v="32"/>
    <x v="2"/>
    <n v="17114"/>
    <n v="17301"/>
    <n v="34415"/>
    <n v="10234"/>
  </r>
  <r>
    <n v="44"/>
    <x v="32"/>
    <x v="2"/>
    <n v="18434"/>
    <n v="18291"/>
    <n v="36725"/>
    <n v="11062"/>
  </r>
  <r>
    <n v="44"/>
    <x v="32"/>
    <x v="2"/>
    <n v="11903"/>
    <n v="12394"/>
    <n v="24297"/>
    <n v="7263"/>
  </r>
  <r>
    <n v="44"/>
    <x v="32"/>
    <x v="2"/>
    <n v="5185"/>
    <n v="6473"/>
    <n v="11658"/>
    <n v="6032"/>
  </r>
  <r>
    <n v="44"/>
    <x v="32"/>
    <x v="2"/>
    <n v="4277"/>
    <n v="4595"/>
    <n v="8872"/>
    <n v="6995"/>
  </r>
  <r>
    <n v="44"/>
    <x v="32"/>
    <x v="2"/>
    <n v="2358"/>
    <n v="2319"/>
    <n v="4677"/>
    <n v="1932"/>
  </r>
  <r>
    <n v="44"/>
    <x v="32"/>
    <x v="2"/>
    <n v="2142"/>
    <n v="2375"/>
    <n v="4517"/>
    <n v="2474"/>
  </r>
  <r>
    <n v="44"/>
    <x v="32"/>
    <x v="2"/>
    <n v="3748"/>
    <n v="4187"/>
    <n v="7935"/>
    <n v="4471"/>
  </r>
  <r>
    <n v="44"/>
    <x v="32"/>
    <x v="2"/>
    <n v="1771"/>
    <n v="1893"/>
    <n v="3664"/>
    <n v="2210"/>
  </r>
  <r>
    <n v="44"/>
    <x v="32"/>
    <x v="2"/>
    <n v="2389"/>
    <n v="2890"/>
    <n v="5279"/>
    <n v="2431"/>
  </r>
  <r>
    <n v="44"/>
    <x v="32"/>
    <x v="2"/>
    <n v="2152"/>
    <n v="2329"/>
    <n v="4481"/>
    <n v="2483"/>
  </r>
  <r>
    <n v="44"/>
    <x v="32"/>
    <x v="2"/>
    <n v="1525"/>
    <n v="1753"/>
    <n v="3278"/>
    <n v="1551"/>
  </r>
  <r>
    <n v="44"/>
    <x v="32"/>
    <x v="2"/>
    <n v="4210"/>
    <n v="4624"/>
    <n v="8834"/>
    <n v="4491"/>
  </r>
  <r>
    <n v="44"/>
    <x v="32"/>
    <x v="2"/>
    <n v="2621"/>
    <n v="2621"/>
    <n v="5242"/>
    <n v="1751"/>
  </r>
  <r>
    <n v="44"/>
    <x v="32"/>
    <x v="2"/>
    <n v="2738"/>
    <n v="2917"/>
    <n v="5655"/>
    <n v="2350"/>
  </r>
  <r>
    <n v="44"/>
    <x v="32"/>
    <x v="2"/>
    <n v="18986"/>
    <n v="23128"/>
    <n v="42114"/>
    <n v="22144"/>
  </r>
  <r>
    <n v="45"/>
    <x v="33"/>
    <x v="2"/>
    <n v="629825"/>
    <n v="645694"/>
    <n v="1275519"/>
    <n v="417865"/>
  </r>
  <r>
    <n v="45"/>
    <x v="33"/>
    <x v="2"/>
    <n v="53908"/>
    <n v="56696"/>
    <n v="110604"/>
    <n v="44294"/>
  </r>
  <r>
    <n v="45"/>
    <x v="33"/>
    <x v="2"/>
    <n v="36269"/>
    <n v="36362"/>
    <n v="72631"/>
    <n v="21979"/>
  </r>
  <r>
    <n v="45"/>
    <x v="33"/>
    <x v="2"/>
    <n v="23097"/>
    <n v="23642"/>
    <n v="46739"/>
    <n v="13458"/>
  </r>
  <r>
    <n v="45"/>
    <x v="33"/>
    <x v="2"/>
    <n v="24867"/>
    <n v="25302"/>
    <n v="50169"/>
    <n v="14400"/>
  </r>
  <r>
    <n v="45"/>
    <x v="33"/>
    <x v="2"/>
    <n v="18446"/>
    <n v="18495"/>
    <n v="36941"/>
    <n v="11878"/>
  </r>
  <r>
    <n v="45"/>
    <x v="33"/>
    <x v="2"/>
    <n v="29234"/>
    <n v="29554"/>
    <n v="58788"/>
    <n v="18626"/>
  </r>
  <r>
    <n v="45"/>
    <x v="33"/>
    <x v="2"/>
    <n v="47594"/>
    <n v="48209"/>
    <n v="95803"/>
    <n v="30249"/>
  </r>
  <r>
    <n v="45"/>
    <x v="33"/>
    <x v="2"/>
    <n v="13319"/>
    <n v="13555"/>
    <n v="26874"/>
    <n v="8007"/>
  </r>
  <r>
    <n v="45"/>
    <x v="33"/>
    <x v="2"/>
    <n v="29781"/>
    <n v="29705"/>
    <n v="59486"/>
    <n v="17321"/>
  </r>
  <r>
    <n v="45"/>
    <x v="33"/>
    <x v="2"/>
    <n v="43910"/>
    <n v="44789"/>
    <n v="88699"/>
    <n v="26076"/>
  </r>
  <r>
    <n v="45"/>
    <x v="33"/>
    <x v="2"/>
    <n v="51319"/>
    <n v="52259"/>
    <n v="103578"/>
    <n v="31239"/>
  </r>
  <r>
    <n v="45"/>
    <x v="33"/>
    <x v="2"/>
    <n v="6686"/>
    <n v="6755"/>
    <n v="13441"/>
    <n v="3927"/>
  </r>
  <r>
    <n v="45"/>
    <x v="33"/>
    <x v="2"/>
    <n v="10938"/>
    <n v="11037"/>
    <n v="21975"/>
    <n v="5374"/>
  </r>
  <r>
    <n v="45"/>
    <x v="33"/>
    <x v="2"/>
    <n v="34157"/>
    <n v="34400"/>
    <n v="68557"/>
    <n v="19783"/>
  </r>
  <r>
    <n v="45"/>
    <x v="33"/>
    <x v="2"/>
    <n v="11254"/>
    <n v="11550"/>
    <n v="22804"/>
    <n v="7235"/>
  </r>
  <r>
    <n v="45"/>
    <x v="33"/>
    <x v="2"/>
    <n v="18110"/>
    <n v="17255"/>
    <n v="35365"/>
    <n v="11609"/>
  </r>
  <r>
    <n v="45"/>
    <x v="33"/>
    <x v="2"/>
    <n v="18647"/>
    <n v="19432"/>
    <n v="38079"/>
    <n v="12698"/>
  </r>
  <r>
    <n v="45"/>
    <x v="33"/>
    <x v="2"/>
    <n v="13133"/>
    <n v="13678"/>
    <n v="26811"/>
    <n v="8624"/>
  </r>
  <r>
    <n v="45"/>
    <x v="33"/>
    <x v="2"/>
    <n v="11825"/>
    <n v="11983"/>
    <n v="23808"/>
    <n v="6788"/>
  </r>
  <r>
    <n v="45"/>
    <x v="33"/>
    <x v="2"/>
    <n v="11253"/>
    <n v="11537"/>
    <n v="22790"/>
    <n v="6745"/>
  </r>
  <r>
    <n v="45"/>
    <x v="33"/>
    <x v="2"/>
    <n v="3384"/>
    <n v="3443"/>
    <n v="6827"/>
    <n v="3349"/>
  </r>
  <r>
    <n v="45"/>
    <x v="33"/>
    <x v="2"/>
    <n v="2578"/>
    <n v="2740"/>
    <n v="5318"/>
    <n v="2223"/>
  </r>
  <r>
    <n v="45"/>
    <x v="33"/>
    <x v="2"/>
    <n v="3225"/>
    <n v="3270"/>
    <n v="6495"/>
    <n v="1815"/>
  </r>
  <r>
    <n v="45"/>
    <x v="33"/>
    <x v="2"/>
    <n v="3266"/>
    <n v="3414"/>
    <n v="6680"/>
    <n v="2073"/>
  </r>
  <r>
    <n v="45"/>
    <x v="33"/>
    <x v="2"/>
    <n v="3134"/>
    <n v="3031"/>
    <n v="6165"/>
    <n v="1659"/>
  </r>
  <r>
    <n v="45"/>
    <x v="33"/>
    <x v="2"/>
    <n v="4222"/>
    <n v="4463"/>
    <n v="8685"/>
    <n v="2269"/>
  </r>
  <r>
    <n v="45"/>
    <x v="33"/>
    <x v="2"/>
    <n v="4208"/>
    <n v="4419"/>
    <n v="8627"/>
    <n v="2515"/>
  </r>
  <r>
    <n v="45"/>
    <x v="33"/>
    <x v="2"/>
    <n v="3566"/>
    <n v="3682"/>
    <n v="7248"/>
    <n v="2178"/>
  </r>
  <r>
    <n v="45"/>
    <x v="33"/>
    <x v="2"/>
    <n v="3935"/>
    <n v="4182"/>
    <n v="8117"/>
    <n v="2842"/>
  </r>
  <r>
    <n v="45"/>
    <x v="33"/>
    <x v="2"/>
    <n v="3528"/>
    <n v="3664"/>
    <n v="7192"/>
    <n v="2124"/>
  </r>
  <r>
    <n v="45"/>
    <x v="33"/>
    <x v="2"/>
    <n v="3426"/>
    <n v="3758"/>
    <n v="7184"/>
    <n v="2547"/>
  </r>
  <r>
    <n v="45"/>
    <x v="33"/>
    <x v="2"/>
    <n v="4048"/>
    <n v="4225"/>
    <n v="8273"/>
    <n v="2917"/>
  </r>
  <r>
    <n v="45"/>
    <x v="33"/>
    <x v="2"/>
    <n v="4625"/>
    <n v="4521"/>
    <n v="9146"/>
    <n v="2770"/>
  </r>
  <r>
    <n v="45"/>
    <x v="33"/>
    <x v="2"/>
    <n v="4067"/>
    <n v="4076"/>
    <n v="8143"/>
    <n v="2209"/>
  </r>
  <r>
    <n v="45"/>
    <x v="33"/>
    <x v="2"/>
    <n v="2633"/>
    <n v="2660"/>
    <n v="5293"/>
    <n v="1553"/>
  </r>
  <r>
    <n v="45"/>
    <x v="33"/>
    <x v="2"/>
    <n v="1893"/>
    <n v="2020"/>
    <n v="3913"/>
    <n v="1868"/>
  </r>
  <r>
    <n v="45"/>
    <x v="33"/>
    <x v="2"/>
    <n v="2727"/>
    <n v="2819"/>
    <n v="5546"/>
    <n v="2159"/>
  </r>
  <r>
    <n v="45"/>
    <x v="33"/>
    <x v="2"/>
    <n v="4633"/>
    <n v="4787"/>
    <n v="9420"/>
    <n v="3049"/>
  </r>
  <r>
    <n v="45"/>
    <x v="33"/>
    <x v="2"/>
    <n v="4091"/>
    <n v="4605"/>
    <n v="8696"/>
    <n v="4399"/>
  </r>
  <r>
    <n v="45"/>
    <x v="33"/>
    <x v="2"/>
    <n v="6113"/>
    <n v="6569"/>
    <n v="12682"/>
    <n v="5289"/>
  </r>
  <r>
    <n v="45"/>
    <x v="33"/>
    <x v="2"/>
    <n v="3064"/>
    <n v="3221"/>
    <n v="6285"/>
    <n v="2841"/>
  </r>
  <r>
    <n v="45"/>
    <x v="33"/>
    <x v="2"/>
    <n v="3980"/>
    <n v="4141"/>
    <n v="8121"/>
    <n v="2587"/>
  </r>
  <r>
    <n v="45"/>
    <x v="33"/>
    <x v="2"/>
    <n v="2541"/>
    <n v="2640"/>
    <n v="5181"/>
    <n v="1634"/>
  </r>
  <r>
    <n v="45"/>
    <x v="33"/>
    <x v="2"/>
    <n v="5427"/>
    <n v="5688"/>
    <n v="11115"/>
    <n v="5430"/>
  </r>
  <r>
    <n v="45"/>
    <x v="33"/>
    <x v="2"/>
    <n v="1905"/>
    <n v="2055"/>
    <n v="3960"/>
    <n v="1851"/>
  </r>
  <r>
    <n v="45"/>
    <x v="33"/>
    <x v="2"/>
    <n v="1164"/>
    <n v="1310"/>
    <n v="2474"/>
    <n v="1215"/>
  </r>
  <r>
    <n v="45"/>
    <x v="33"/>
    <x v="2"/>
    <n v="3652"/>
    <n v="3916"/>
    <n v="7568"/>
    <n v="2652"/>
  </r>
  <r>
    <n v="45"/>
    <x v="33"/>
    <x v="2"/>
    <n v="1752"/>
    <n v="1973"/>
    <n v="3725"/>
    <n v="1654"/>
  </r>
  <r>
    <n v="45"/>
    <x v="33"/>
    <x v="2"/>
    <n v="3040"/>
    <n v="3221"/>
    <n v="6261"/>
    <n v="2230"/>
  </r>
  <r>
    <n v="45"/>
    <x v="33"/>
    <x v="2"/>
    <n v="5039"/>
    <n v="5481"/>
    <n v="10520"/>
    <n v="5011"/>
  </r>
  <r>
    <n v="45"/>
    <x v="33"/>
    <x v="2"/>
    <n v="2174"/>
    <n v="2289"/>
    <n v="4463"/>
    <n v="1666"/>
  </r>
  <r>
    <n v="45"/>
    <x v="33"/>
    <x v="2"/>
    <n v="15038"/>
    <n v="17216"/>
    <n v="32254"/>
    <n v="16977"/>
  </r>
  <r>
    <n v="46"/>
    <x v="34"/>
    <x v="2"/>
    <n v="474533"/>
    <n v="487911"/>
    <n v="962444"/>
    <n v="331891"/>
  </r>
  <r>
    <n v="46"/>
    <x v="34"/>
    <x v="2"/>
    <n v="39537"/>
    <n v="41042"/>
    <n v="80579"/>
    <n v="27572"/>
  </r>
  <r>
    <n v="46"/>
    <x v="34"/>
    <x v="2"/>
    <n v="14490"/>
    <n v="14768"/>
    <n v="29258"/>
    <n v="9963"/>
  </r>
  <r>
    <n v="46"/>
    <x v="34"/>
    <x v="2"/>
    <n v="21825"/>
    <n v="22899"/>
    <n v="44724"/>
    <n v="12994"/>
  </r>
  <r>
    <n v="46"/>
    <x v="34"/>
    <x v="2"/>
    <n v="5089"/>
    <n v="5258"/>
    <n v="10347"/>
    <n v="3432"/>
  </r>
  <r>
    <n v="46"/>
    <x v="34"/>
    <x v="2"/>
    <n v="30590"/>
    <n v="30623"/>
    <n v="61213"/>
    <n v="22454"/>
  </r>
  <r>
    <n v="46"/>
    <x v="34"/>
    <x v="2"/>
    <n v="10265"/>
    <n v="10490"/>
    <n v="20755"/>
    <n v="9138"/>
  </r>
  <r>
    <n v="46"/>
    <x v="34"/>
    <x v="2"/>
    <n v="39400"/>
    <n v="41087"/>
    <n v="80487"/>
    <n v="25343"/>
  </r>
  <r>
    <n v="46"/>
    <x v="34"/>
    <x v="2"/>
    <n v="19955"/>
    <n v="19845"/>
    <n v="39800"/>
    <n v="12831"/>
  </r>
  <r>
    <n v="46"/>
    <x v="34"/>
    <x v="2"/>
    <n v="18506"/>
    <n v="18584"/>
    <n v="37090"/>
    <n v="11850"/>
  </r>
  <r>
    <n v="46"/>
    <x v="34"/>
    <x v="2"/>
    <n v="13287"/>
    <n v="13314"/>
    <n v="26601"/>
    <n v="7737"/>
  </r>
  <r>
    <n v="46"/>
    <x v="34"/>
    <x v="2"/>
    <n v="14181"/>
    <n v="14311"/>
    <n v="28492"/>
    <n v="8493"/>
  </r>
  <r>
    <n v="46"/>
    <x v="34"/>
    <x v="2"/>
    <n v="25391"/>
    <n v="25520"/>
    <n v="50911"/>
    <n v="16104"/>
  </r>
  <r>
    <n v="46"/>
    <x v="34"/>
    <x v="2"/>
    <n v="26992"/>
    <n v="27629"/>
    <n v="54621"/>
    <n v="19156"/>
  </r>
  <r>
    <n v="46"/>
    <x v="34"/>
    <x v="2"/>
    <n v="6853"/>
    <n v="7048"/>
    <n v="13901"/>
    <n v="4189"/>
  </r>
  <r>
    <n v="46"/>
    <x v="34"/>
    <x v="2"/>
    <n v="12711"/>
    <n v="12387"/>
    <n v="25098"/>
    <n v="8084"/>
  </r>
  <r>
    <n v="46"/>
    <x v="34"/>
    <x v="2"/>
    <n v="12647"/>
    <n v="12621"/>
    <n v="25268"/>
    <n v="8694"/>
  </r>
  <r>
    <n v="46"/>
    <x v="34"/>
    <x v="2"/>
    <n v="12832"/>
    <n v="13054"/>
    <n v="25886"/>
    <n v="8587"/>
  </r>
  <r>
    <n v="46"/>
    <x v="34"/>
    <x v="2"/>
    <n v="12962"/>
    <n v="13270"/>
    <n v="26232"/>
    <n v="7936"/>
  </r>
  <r>
    <n v="46"/>
    <x v="34"/>
    <x v="2"/>
    <n v="4715"/>
    <n v="4747"/>
    <n v="9462"/>
    <n v="2628"/>
  </r>
  <r>
    <n v="46"/>
    <x v="34"/>
    <x v="2"/>
    <n v="7138"/>
    <n v="6992"/>
    <n v="14130"/>
    <n v="3851"/>
  </r>
  <r>
    <n v="46"/>
    <x v="34"/>
    <x v="2"/>
    <n v="4162"/>
    <n v="4374"/>
    <n v="8536"/>
    <n v="2606"/>
  </r>
  <r>
    <n v="46"/>
    <x v="34"/>
    <x v="2"/>
    <n v="5966"/>
    <n v="6272"/>
    <n v="12238"/>
    <n v="3899"/>
  </r>
  <r>
    <n v="46"/>
    <x v="34"/>
    <x v="2"/>
    <n v="6182"/>
    <n v="6546"/>
    <n v="12728"/>
    <n v="4621"/>
  </r>
  <r>
    <n v="46"/>
    <x v="34"/>
    <x v="2"/>
    <n v="6413"/>
    <n v="6523"/>
    <n v="12936"/>
    <n v="3554"/>
  </r>
  <r>
    <n v="46"/>
    <x v="34"/>
    <x v="2"/>
    <n v="2040"/>
    <n v="2190"/>
    <n v="4230"/>
    <n v="1388"/>
  </r>
  <r>
    <n v="46"/>
    <x v="34"/>
    <x v="2"/>
    <n v="5151"/>
    <n v="5132"/>
    <n v="10283"/>
    <n v="3131"/>
  </r>
  <r>
    <n v="46"/>
    <x v="34"/>
    <x v="2"/>
    <n v="1350"/>
    <n v="1359"/>
    <n v="2709"/>
    <n v="1043"/>
  </r>
  <r>
    <n v="46"/>
    <x v="34"/>
    <x v="2"/>
    <n v="5730"/>
    <n v="5895"/>
    <n v="11625"/>
    <n v="3554"/>
  </r>
  <r>
    <n v="46"/>
    <x v="34"/>
    <x v="2"/>
    <n v="2430"/>
    <n v="2675"/>
    <n v="5105"/>
    <n v="1995"/>
  </r>
  <r>
    <n v="46"/>
    <x v="34"/>
    <x v="2"/>
    <n v="2716"/>
    <n v="2862"/>
    <n v="5578"/>
    <n v="2352"/>
  </r>
  <r>
    <n v="46"/>
    <x v="34"/>
    <x v="2"/>
    <n v="3138"/>
    <n v="3393"/>
    <n v="6531"/>
    <n v="3490"/>
  </r>
  <r>
    <n v="46"/>
    <x v="34"/>
    <x v="2"/>
    <n v="2607"/>
    <n v="2666"/>
    <n v="5273"/>
    <n v="1697"/>
  </r>
  <r>
    <n v="46"/>
    <x v="34"/>
    <x v="2"/>
    <n v="4288"/>
    <n v="4449"/>
    <n v="8737"/>
    <n v="3586"/>
  </r>
  <r>
    <n v="46"/>
    <x v="34"/>
    <x v="2"/>
    <n v="4414"/>
    <n v="4586"/>
    <n v="9000"/>
    <n v="3096"/>
  </r>
  <r>
    <n v="46"/>
    <x v="34"/>
    <x v="2"/>
    <n v="1847"/>
    <n v="1875"/>
    <n v="3722"/>
    <n v="1145"/>
  </r>
  <r>
    <n v="46"/>
    <x v="34"/>
    <x v="2"/>
    <n v="1915"/>
    <n v="1962"/>
    <n v="3877"/>
    <n v="1798"/>
  </r>
  <r>
    <n v="46"/>
    <x v="34"/>
    <x v="2"/>
    <n v="2401"/>
    <n v="2652"/>
    <n v="5053"/>
    <n v="2130"/>
  </r>
  <r>
    <n v="46"/>
    <x v="34"/>
    <x v="2"/>
    <n v="2711"/>
    <n v="2852"/>
    <n v="5563"/>
    <n v="2352"/>
  </r>
  <r>
    <n v="46"/>
    <x v="34"/>
    <x v="2"/>
    <n v="2426"/>
    <n v="2491"/>
    <n v="4917"/>
    <n v="1695"/>
  </r>
  <r>
    <n v="46"/>
    <x v="34"/>
    <x v="2"/>
    <n v="3800"/>
    <n v="4311"/>
    <n v="8111"/>
    <n v="3962"/>
  </r>
  <r>
    <n v="46"/>
    <x v="34"/>
    <x v="2"/>
    <n v="1509"/>
    <n v="1624"/>
    <n v="3133"/>
    <n v="1341"/>
  </r>
  <r>
    <n v="46"/>
    <x v="34"/>
    <x v="2"/>
    <n v="4768"/>
    <n v="4998"/>
    <n v="9766"/>
    <n v="4661"/>
  </r>
  <r>
    <n v="46"/>
    <x v="34"/>
    <x v="2"/>
    <n v="5407"/>
    <n v="5662"/>
    <n v="11069"/>
    <n v="5147"/>
  </r>
  <r>
    <n v="46"/>
    <x v="34"/>
    <x v="2"/>
    <n v="2457"/>
    <n v="2686"/>
    <n v="5143"/>
    <n v="2132"/>
  </r>
  <r>
    <n v="46"/>
    <x v="34"/>
    <x v="2"/>
    <n v="2893"/>
    <n v="3059"/>
    <n v="5952"/>
    <n v="2340"/>
  </r>
  <r>
    <n v="46"/>
    <x v="34"/>
    <x v="2"/>
    <n v="3212"/>
    <n v="3518"/>
    <n v="6730"/>
    <n v="2294"/>
  </r>
  <r>
    <n v="46"/>
    <x v="34"/>
    <x v="2"/>
    <n v="3059"/>
    <n v="3155"/>
    <n v="6214"/>
    <n v="1767"/>
  </r>
  <r>
    <n v="46"/>
    <x v="34"/>
    <x v="2"/>
    <n v="4496"/>
    <n v="5049"/>
    <n v="9545"/>
    <n v="3826"/>
  </r>
  <r>
    <n v="46"/>
    <x v="34"/>
    <x v="2"/>
    <n v="3366"/>
    <n v="3414"/>
    <n v="6780"/>
    <n v="2473"/>
  </r>
  <r>
    <n v="46"/>
    <x v="34"/>
    <x v="2"/>
    <n v="3459"/>
    <n v="3756"/>
    <n v="7215"/>
    <n v="2412"/>
  </r>
  <r>
    <n v="46"/>
    <x v="34"/>
    <x v="2"/>
    <n v="4160"/>
    <n v="4170"/>
    <n v="8330"/>
    <n v="2626"/>
  </r>
  <r>
    <n v="46"/>
    <x v="34"/>
    <x v="2"/>
    <n v="14694"/>
    <n v="16266"/>
    <n v="30960"/>
    <n v="16742"/>
  </r>
  <r>
    <n v="47"/>
    <x v="35"/>
    <x v="2"/>
    <n v="564205"/>
    <n v="573567"/>
    <n v="1137772"/>
    <n v="411116"/>
  </r>
  <r>
    <n v="47"/>
    <x v="35"/>
    <x v="2"/>
    <n v="56605"/>
    <n v="58341"/>
    <n v="114946"/>
    <n v="45179"/>
  </r>
  <r>
    <n v="47"/>
    <x v="35"/>
    <x v="2"/>
    <n v="21714"/>
    <n v="21904"/>
    <n v="43618"/>
    <n v="14689"/>
  </r>
  <r>
    <n v="47"/>
    <x v="35"/>
    <x v="2"/>
    <n v="13816"/>
    <n v="13576"/>
    <n v="27392"/>
    <n v="9629"/>
  </r>
  <r>
    <n v="47"/>
    <x v="35"/>
    <x v="2"/>
    <n v="38210"/>
    <n v="38876"/>
    <n v="77086"/>
    <n v="28270"/>
  </r>
  <r>
    <n v="47"/>
    <x v="35"/>
    <x v="2"/>
    <n v="22483"/>
    <n v="23170"/>
    <n v="45653"/>
    <n v="18386"/>
  </r>
  <r>
    <n v="47"/>
    <x v="35"/>
    <x v="2"/>
    <n v="17538"/>
    <n v="18103"/>
    <n v="35641"/>
    <n v="12935"/>
  </r>
  <r>
    <n v="47"/>
    <x v="35"/>
    <x v="2"/>
    <n v="7361"/>
    <n v="7365"/>
    <n v="14726"/>
    <n v="4786"/>
  </r>
  <r>
    <n v="47"/>
    <x v="35"/>
    <x v="2"/>
    <n v="59827"/>
    <n v="60504"/>
    <n v="120331"/>
    <n v="36508"/>
  </r>
  <r>
    <n v="47"/>
    <x v="35"/>
    <x v="2"/>
    <n v="16255"/>
    <n v="16485"/>
    <n v="32740"/>
    <n v="12145"/>
  </r>
  <r>
    <n v="47"/>
    <x v="35"/>
    <x v="2"/>
    <n v="33664"/>
    <n v="33223"/>
    <n v="66887"/>
    <n v="21145"/>
  </r>
  <r>
    <n v="47"/>
    <x v="35"/>
    <x v="2"/>
    <n v="27010"/>
    <n v="26846"/>
    <n v="53856"/>
    <n v="20277"/>
  </r>
  <r>
    <n v="47"/>
    <x v="35"/>
    <x v="2"/>
    <n v="62920"/>
    <n v="63953"/>
    <n v="126873"/>
    <n v="39010"/>
  </r>
  <r>
    <n v="47"/>
    <x v="35"/>
    <x v="2"/>
    <n v="14980"/>
    <n v="14580"/>
    <n v="29560"/>
    <n v="7993"/>
  </r>
  <r>
    <n v="47"/>
    <x v="35"/>
    <x v="2"/>
    <n v="12045"/>
    <n v="11997"/>
    <n v="24042"/>
    <n v="9216"/>
  </r>
  <r>
    <n v="47"/>
    <x v="35"/>
    <x v="2"/>
    <n v="10730"/>
    <n v="10882"/>
    <n v="21612"/>
    <n v="7997"/>
  </r>
  <r>
    <n v="47"/>
    <x v="35"/>
    <x v="2"/>
    <n v="19173"/>
    <n v="19036"/>
    <n v="38209"/>
    <n v="11178"/>
  </r>
  <r>
    <n v="47"/>
    <x v="35"/>
    <x v="2"/>
    <n v="18407"/>
    <n v="18398"/>
    <n v="36805"/>
    <n v="12397"/>
  </r>
  <r>
    <n v="47"/>
    <x v="35"/>
    <x v="2"/>
    <n v="18012"/>
    <n v="17707"/>
    <n v="35719"/>
    <n v="11003"/>
  </r>
  <r>
    <n v="47"/>
    <x v="35"/>
    <x v="2"/>
    <n v="6720"/>
    <n v="6914"/>
    <n v="13634"/>
    <n v="4320"/>
  </r>
  <r>
    <n v="47"/>
    <x v="35"/>
    <x v="2"/>
    <n v="6224"/>
    <n v="6419"/>
    <n v="12643"/>
    <n v="6006"/>
  </r>
  <r>
    <n v="47"/>
    <x v="35"/>
    <x v="2"/>
    <n v="5090"/>
    <n v="5031"/>
    <n v="10121"/>
    <n v="3151"/>
  </r>
  <r>
    <n v="47"/>
    <x v="35"/>
    <x v="2"/>
    <n v="4457"/>
    <n v="4512"/>
    <n v="8969"/>
    <n v="2531"/>
  </r>
  <r>
    <n v="47"/>
    <x v="35"/>
    <x v="2"/>
    <n v="7893"/>
    <n v="8157"/>
    <n v="16050"/>
    <n v="6418"/>
  </r>
  <r>
    <n v="47"/>
    <x v="35"/>
    <x v="2"/>
    <n v="3275"/>
    <n v="3433"/>
    <n v="6708"/>
    <n v="2427"/>
  </r>
  <r>
    <n v="47"/>
    <x v="35"/>
    <x v="2"/>
    <n v="2431"/>
    <n v="2443"/>
    <n v="4874"/>
    <n v="1702"/>
  </r>
  <r>
    <n v="47"/>
    <x v="35"/>
    <x v="2"/>
    <n v="3819"/>
    <n v="4177"/>
    <n v="7996"/>
    <n v="5077"/>
  </r>
  <r>
    <n v="47"/>
    <x v="35"/>
    <x v="2"/>
    <n v="2006"/>
    <n v="2074"/>
    <n v="4080"/>
    <n v="1339"/>
  </r>
  <r>
    <n v="47"/>
    <x v="35"/>
    <x v="2"/>
    <n v="4260"/>
    <n v="4488"/>
    <n v="8748"/>
    <n v="3147"/>
  </r>
  <r>
    <n v="47"/>
    <x v="35"/>
    <x v="2"/>
    <n v="1671"/>
    <n v="1815"/>
    <n v="3486"/>
    <n v="1573"/>
  </r>
  <r>
    <n v="47"/>
    <x v="35"/>
    <x v="2"/>
    <n v="3459"/>
    <n v="3572"/>
    <n v="7031"/>
    <n v="2406"/>
  </r>
  <r>
    <n v="47"/>
    <x v="35"/>
    <x v="2"/>
    <n v="2611"/>
    <n v="2887"/>
    <n v="5498"/>
    <n v="2421"/>
  </r>
  <r>
    <n v="47"/>
    <x v="35"/>
    <x v="2"/>
    <n v="1286"/>
    <n v="1339"/>
    <n v="2625"/>
    <n v="1416"/>
  </r>
  <r>
    <n v="47"/>
    <x v="35"/>
    <x v="2"/>
    <n v="3087"/>
    <n v="3240"/>
    <n v="6327"/>
    <n v="4187"/>
  </r>
  <r>
    <n v="47"/>
    <x v="35"/>
    <x v="2"/>
    <n v="1117"/>
    <n v="1256"/>
    <n v="2373"/>
    <n v="1499"/>
  </r>
  <r>
    <n v="47"/>
    <x v="35"/>
    <x v="2"/>
    <n v="2465"/>
    <n v="2589"/>
    <n v="5054"/>
    <n v="1995"/>
  </r>
  <r>
    <n v="47"/>
    <x v="35"/>
    <x v="2"/>
    <n v="1921"/>
    <n v="2062"/>
    <n v="3983"/>
    <n v="1791"/>
  </r>
  <r>
    <n v="47"/>
    <x v="35"/>
    <x v="2"/>
    <n v="3039"/>
    <n v="3321"/>
    <n v="6360"/>
    <n v="2368"/>
  </r>
  <r>
    <n v="47"/>
    <x v="35"/>
    <x v="2"/>
    <n v="2714"/>
    <n v="3050"/>
    <n v="5764"/>
    <n v="2344"/>
  </r>
  <r>
    <n v="47"/>
    <x v="35"/>
    <x v="2"/>
    <n v="23910"/>
    <n v="25842"/>
    <n v="49752"/>
    <n v="30255"/>
  </r>
  <r>
    <n v="48"/>
    <x v="36"/>
    <x v="2"/>
    <n v="353531"/>
    <n v="357209"/>
    <n v="710740"/>
    <n v="246183"/>
  </r>
  <r>
    <n v="48"/>
    <x v="36"/>
    <x v="2"/>
    <n v="58238"/>
    <n v="58085"/>
    <n v="116323"/>
    <n v="38292"/>
  </r>
  <r>
    <n v="48"/>
    <x v="36"/>
    <x v="2"/>
    <n v="25314"/>
    <n v="24974"/>
    <n v="50288"/>
    <n v="16998"/>
  </r>
  <r>
    <n v="48"/>
    <x v="36"/>
    <x v="2"/>
    <n v="27372"/>
    <n v="27076"/>
    <n v="54448"/>
    <n v="16593"/>
  </r>
  <r>
    <n v="48"/>
    <x v="36"/>
    <x v="2"/>
    <n v="13259"/>
    <n v="13154"/>
    <n v="26413"/>
    <n v="8719"/>
  </r>
  <r>
    <n v="48"/>
    <x v="36"/>
    <x v="2"/>
    <n v="35289"/>
    <n v="35882"/>
    <n v="71171"/>
    <n v="23042"/>
  </r>
  <r>
    <n v="48"/>
    <x v="36"/>
    <x v="2"/>
    <n v="20526"/>
    <n v="20541"/>
    <n v="41067"/>
    <n v="13624"/>
  </r>
  <r>
    <n v="48"/>
    <x v="36"/>
    <x v="2"/>
    <n v="35610"/>
    <n v="36127"/>
    <n v="71737"/>
    <n v="22679"/>
  </r>
  <r>
    <n v="48"/>
    <x v="36"/>
    <x v="2"/>
    <n v="31907"/>
    <n v="32302"/>
    <n v="64209"/>
    <n v="20234"/>
  </r>
  <r>
    <n v="48"/>
    <x v="36"/>
    <x v="2"/>
    <n v="19847"/>
    <n v="19810"/>
    <n v="39657"/>
    <n v="14034"/>
  </r>
  <r>
    <n v="48"/>
    <x v="36"/>
    <x v="2"/>
    <n v="26255"/>
    <n v="26346"/>
    <n v="52601"/>
    <n v="17720"/>
  </r>
  <r>
    <n v="48"/>
    <x v="36"/>
    <x v="2"/>
    <n v="11815"/>
    <n v="11793"/>
    <n v="23608"/>
    <n v="7983"/>
  </r>
  <r>
    <n v="48"/>
    <x v="36"/>
    <x v="2"/>
    <n v="7932"/>
    <n v="7732"/>
    <n v="15664"/>
    <n v="5021"/>
  </r>
  <r>
    <n v="48"/>
    <x v="36"/>
    <x v="2"/>
    <n v="1871"/>
    <n v="2000"/>
    <n v="3871"/>
    <n v="1674"/>
  </r>
  <r>
    <n v="48"/>
    <x v="36"/>
    <x v="2"/>
    <n v="2631"/>
    <n v="2674"/>
    <n v="5305"/>
    <n v="1945"/>
  </r>
  <r>
    <n v="48"/>
    <x v="36"/>
    <x v="2"/>
    <n v="5915"/>
    <n v="6101"/>
    <n v="12016"/>
    <n v="4452"/>
  </r>
  <r>
    <n v="48"/>
    <x v="36"/>
    <x v="2"/>
    <n v="2403"/>
    <n v="2513"/>
    <n v="4916"/>
    <n v="2713"/>
  </r>
  <r>
    <n v="48"/>
    <x v="36"/>
    <x v="2"/>
    <n v="1959"/>
    <n v="2195"/>
    <n v="4154"/>
    <n v="2396"/>
  </r>
  <r>
    <n v="48"/>
    <x v="36"/>
    <x v="2"/>
    <n v="2031"/>
    <n v="2280"/>
    <n v="4311"/>
    <n v="1753"/>
  </r>
  <r>
    <n v="48"/>
    <x v="36"/>
    <x v="2"/>
    <n v="4675"/>
    <n v="4961"/>
    <n v="9636"/>
    <n v="4236"/>
  </r>
  <r>
    <n v="48"/>
    <x v="36"/>
    <x v="2"/>
    <n v="4232"/>
    <n v="4379"/>
    <n v="8611"/>
    <n v="3866"/>
  </r>
  <r>
    <n v="48"/>
    <x v="36"/>
    <x v="2"/>
    <n v="2278"/>
    <n v="2409"/>
    <n v="4687"/>
    <n v="2057"/>
  </r>
  <r>
    <n v="48"/>
    <x v="36"/>
    <x v="2"/>
    <n v="12172"/>
    <n v="13875"/>
    <n v="26047"/>
    <n v="16152"/>
  </r>
  <r>
    <n v="49"/>
    <x v="37"/>
    <x v="2"/>
    <n v="174977"/>
    <n v="175533"/>
    <n v="350510"/>
    <n v="126326"/>
  </r>
  <r>
    <n v="49"/>
    <x v="37"/>
    <x v="2"/>
    <n v="40311"/>
    <n v="39830"/>
    <n v="80141"/>
    <n v="28489"/>
  </r>
  <r>
    <n v="49"/>
    <x v="37"/>
    <x v="2"/>
    <n v="16930"/>
    <n v="17041"/>
    <n v="33971"/>
    <n v="10666"/>
  </r>
  <r>
    <n v="49"/>
    <x v="37"/>
    <x v="2"/>
    <n v="19484"/>
    <n v="19276"/>
    <n v="38760"/>
    <n v="12387"/>
  </r>
  <r>
    <n v="49"/>
    <x v="37"/>
    <x v="2"/>
    <n v="19725"/>
    <n v="19361"/>
    <n v="39086"/>
    <n v="12797"/>
  </r>
  <r>
    <n v="49"/>
    <x v="37"/>
    <x v="2"/>
    <n v="21920"/>
    <n v="21985"/>
    <n v="43905"/>
    <n v="15234"/>
  </r>
  <r>
    <n v="49"/>
    <x v="37"/>
    <x v="2"/>
    <n v="10068"/>
    <n v="10146"/>
    <n v="20214"/>
    <n v="6806"/>
  </r>
  <r>
    <n v="49"/>
    <x v="37"/>
    <x v="2"/>
    <n v="10214"/>
    <n v="10290"/>
    <n v="20504"/>
    <n v="7795"/>
  </r>
  <r>
    <n v="49"/>
    <x v="37"/>
    <x v="2"/>
    <n v="1699"/>
    <n v="1622"/>
    <n v="3321"/>
    <n v="1114"/>
  </r>
  <r>
    <n v="49"/>
    <x v="37"/>
    <x v="2"/>
    <n v="1530"/>
    <n v="1553"/>
    <n v="3083"/>
    <n v="1041"/>
  </r>
  <r>
    <n v="49"/>
    <x v="37"/>
    <x v="2"/>
    <n v="6547"/>
    <n v="6449"/>
    <n v="12996"/>
    <n v="5108"/>
  </r>
  <r>
    <n v="49"/>
    <x v="37"/>
    <x v="2"/>
    <n v="5488"/>
    <n v="5273"/>
    <n v="10761"/>
    <n v="3202"/>
  </r>
  <r>
    <n v="49"/>
    <x v="37"/>
    <x v="2"/>
    <n v="1131"/>
    <n v="1146"/>
    <n v="2277"/>
    <n v="1156"/>
  </r>
  <r>
    <n v="49"/>
    <x v="37"/>
    <x v="2"/>
    <n v="1128"/>
    <n v="1295"/>
    <n v="2423"/>
    <n v="1003"/>
  </r>
  <r>
    <n v="49"/>
    <x v="37"/>
    <x v="2"/>
    <n v="2948"/>
    <n v="3125"/>
    <n v="6073"/>
    <n v="2465"/>
  </r>
  <r>
    <n v="49"/>
    <x v="37"/>
    <x v="2"/>
    <n v="15854"/>
    <n v="17141"/>
    <n v="32995"/>
    <n v="17063"/>
  </r>
  <r>
    <n v="50"/>
    <x v="38"/>
    <x v="3"/>
    <n v="865486"/>
    <n v="933533"/>
    <n v="1799019"/>
    <n v="900484"/>
  </r>
  <r>
    <n v="50"/>
    <x v="38"/>
    <x v="3"/>
    <n v="7069"/>
    <n v="8007"/>
    <n v="15076"/>
    <n v="12110"/>
  </r>
  <r>
    <n v="50"/>
    <x v="38"/>
    <x v="3"/>
    <n v="27631"/>
    <n v="28893"/>
    <n v="56524"/>
    <n v="21254"/>
  </r>
  <r>
    <n v="50"/>
    <x v="38"/>
    <x v="3"/>
    <n v="29447"/>
    <n v="28544"/>
    <n v="57991"/>
    <n v="19448"/>
  </r>
  <r>
    <n v="50"/>
    <x v="38"/>
    <x v="3"/>
    <n v="13835"/>
    <n v="14392"/>
    <n v="28227"/>
    <n v="12238"/>
  </r>
  <r>
    <n v="50"/>
    <x v="38"/>
    <x v="3"/>
    <n v="22787"/>
    <n v="25424"/>
    <n v="48211"/>
    <n v="25360"/>
  </r>
  <r>
    <n v="50"/>
    <x v="38"/>
    <x v="3"/>
    <n v="29530"/>
    <n v="30077"/>
    <n v="59607"/>
    <n v="25979"/>
  </r>
  <r>
    <n v="50"/>
    <x v="38"/>
    <x v="3"/>
    <n v="41106"/>
    <n v="43422"/>
    <n v="84528"/>
    <n v="40928"/>
  </r>
  <r>
    <n v="50"/>
    <x v="38"/>
    <x v="3"/>
    <n v="9263"/>
    <n v="8966"/>
    <n v="18229"/>
    <n v="6406"/>
  </r>
  <r>
    <n v="50"/>
    <x v="38"/>
    <x v="3"/>
    <n v="55758"/>
    <n v="56854"/>
    <n v="112612"/>
    <n v="43035"/>
  </r>
  <r>
    <n v="50"/>
    <x v="38"/>
    <x v="3"/>
    <n v="34192"/>
    <n v="34339"/>
    <n v="68531"/>
    <n v="27309"/>
  </r>
  <r>
    <n v="50"/>
    <x v="38"/>
    <x v="3"/>
    <n v="17755"/>
    <n v="18316"/>
    <n v="36071"/>
    <n v="16185"/>
  </r>
  <r>
    <n v="50"/>
    <x v="38"/>
    <x v="3"/>
    <n v="27246"/>
    <n v="31155"/>
    <n v="58401"/>
    <n v="26903"/>
  </r>
  <r>
    <n v="50"/>
    <x v="38"/>
    <x v="3"/>
    <n v="20708"/>
    <n v="23586"/>
    <n v="44294"/>
    <n v="24814"/>
  </r>
  <r>
    <n v="50"/>
    <x v="38"/>
    <x v="3"/>
    <n v="10571"/>
    <n v="11916"/>
    <n v="22487"/>
    <n v="11713"/>
  </r>
  <r>
    <n v="50"/>
    <x v="38"/>
    <x v="3"/>
    <n v="37284"/>
    <n v="42668"/>
    <n v="79952"/>
    <n v="48482"/>
  </r>
  <r>
    <n v="50"/>
    <x v="38"/>
    <x v="3"/>
    <n v="12330"/>
    <n v="12633"/>
    <n v="24963"/>
    <n v="9985"/>
  </r>
  <r>
    <n v="50"/>
    <x v="38"/>
    <x v="3"/>
    <n v="11095"/>
    <n v="11293"/>
    <n v="22388"/>
    <n v="8998"/>
  </r>
  <r>
    <n v="50"/>
    <x v="38"/>
    <x v="3"/>
    <n v="31381"/>
    <n v="30976"/>
    <n v="62357"/>
    <n v="24185"/>
  </r>
  <r>
    <n v="50"/>
    <x v="38"/>
    <x v="3"/>
    <n v="23372"/>
    <n v="27021"/>
    <n v="50393"/>
    <n v="26501"/>
  </r>
  <r>
    <n v="50"/>
    <x v="38"/>
    <x v="3"/>
    <n v="27433"/>
    <n v="26776"/>
    <n v="54209"/>
    <n v="10301"/>
  </r>
  <r>
    <n v="50"/>
    <x v="38"/>
    <x v="3"/>
    <n v="17706"/>
    <n v="17770"/>
    <n v="35476"/>
    <n v="12323"/>
  </r>
  <r>
    <n v="50"/>
    <x v="38"/>
    <x v="3"/>
    <n v="13613"/>
    <n v="13833"/>
    <n v="27446"/>
    <n v="10423"/>
  </r>
  <r>
    <n v="50"/>
    <x v="38"/>
    <x v="3"/>
    <n v="10211"/>
    <n v="10519"/>
    <n v="20730"/>
    <n v="10094"/>
  </r>
  <r>
    <n v="50"/>
    <x v="38"/>
    <x v="3"/>
    <n v="11752"/>
    <n v="12633"/>
    <n v="24385"/>
    <n v="12068"/>
  </r>
  <r>
    <n v="50"/>
    <x v="38"/>
    <x v="3"/>
    <n v="6709"/>
    <n v="6384"/>
    <n v="13093"/>
    <n v="4736"/>
  </r>
  <r>
    <n v="50"/>
    <x v="38"/>
    <x v="3"/>
    <n v="4144"/>
    <n v="4631"/>
    <n v="8775"/>
    <n v="4322"/>
  </r>
  <r>
    <n v="50"/>
    <x v="38"/>
    <x v="3"/>
    <n v="5939"/>
    <n v="5977"/>
    <n v="11916"/>
    <n v="3997"/>
  </r>
  <r>
    <n v="50"/>
    <x v="38"/>
    <x v="3"/>
    <n v="7491"/>
    <n v="8447"/>
    <n v="15938"/>
    <n v="7348"/>
  </r>
  <r>
    <n v="50"/>
    <x v="38"/>
    <x v="3"/>
    <n v="6367"/>
    <n v="7601"/>
    <n v="13968"/>
    <n v="8993"/>
  </r>
  <r>
    <n v="50"/>
    <x v="38"/>
    <x v="3"/>
    <n v="2895"/>
    <n v="3462"/>
    <n v="6357"/>
    <n v="3683"/>
  </r>
  <r>
    <n v="50"/>
    <x v="38"/>
    <x v="3"/>
    <n v="8623"/>
    <n v="10088"/>
    <n v="18711"/>
    <n v="10814"/>
  </r>
  <r>
    <n v="50"/>
    <x v="38"/>
    <x v="3"/>
    <n v="3856"/>
    <n v="4201"/>
    <n v="8057"/>
    <n v="4053"/>
  </r>
  <r>
    <n v="50"/>
    <x v="38"/>
    <x v="3"/>
    <n v="18888"/>
    <n v="19505"/>
    <n v="38393"/>
    <n v="10171"/>
  </r>
  <r>
    <n v="50"/>
    <x v="38"/>
    <x v="3"/>
    <n v="5607"/>
    <n v="5498"/>
    <n v="11105"/>
    <n v="3195"/>
  </r>
  <r>
    <n v="50"/>
    <x v="38"/>
    <x v="3"/>
    <n v="7631"/>
    <n v="6708"/>
    <n v="14339"/>
    <n v="4775"/>
  </r>
  <r>
    <n v="50"/>
    <x v="38"/>
    <x v="3"/>
    <n v="1148"/>
    <n v="1213"/>
    <n v="2361"/>
    <n v="1213"/>
  </r>
  <r>
    <n v="50"/>
    <x v="38"/>
    <x v="3"/>
    <n v="8924"/>
    <n v="11043"/>
    <n v="19967"/>
    <n v="14290"/>
  </r>
  <r>
    <n v="50"/>
    <x v="38"/>
    <x v="3"/>
    <n v="3036"/>
    <n v="3518"/>
    <n v="6554"/>
    <n v="2911"/>
  </r>
  <r>
    <n v="50"/>
    <x v="38"/>
    <x v="3"/>
    <n v="3269"/>
    <n v="3909"/>
    <n v="7178"/>
    <n v="9881"/>
  </r>
  <r>
    <n v="50"/>
    <x v="38"/>
    <x v="3"/>
    <n v="7980"/>
    <n v="9626"/>
    <n v="17606"/>
    <n v="9887"/>
  </r>
  <r>
    <n v="50"/>
    <x v="38"/>
    <x v="3"/>
    <n v="3578"/>
    <n v="4385"/>
    <n v="7963"/>
    <n v="5764"/>
  </r>
  <r>
    <n v="50"/>
    <x v="38"/>
    <x v="3"/>
    <n v="4164"/>
    <n v="4819"/>
    <n v="8983"/>
    <n v="4104"/>
  </r>
  <r>
    <n v="50"/>
    <x v="38"/>
    <x v="3"/>
    <n v="3361"/>
    <n v="3936"/>
    <n v="7297"/>
    <n v="5723"/>
  </r>
  <r>
    <n v="50"/>
    <x v="38"/>
    <x v="3"/>
    <n v="7576"/>
    <n v="8926"/>
    <n v="16502"/>
    <n v="9418"/>
  </r>
  <r>
    <n v="50"/>
    <x v="38"/>
    <x v="3"/>
    <n v="4059"/>
    <n v="4506"/>
    <n v="8565"/>
    <n v="4390"/>
  </r>
  <r>
    <n v="50"/>
    <x v="38"/>
    <x v="3"/>
    <n v="2907"/>
    <n v="3032"/>
    <n v="5939"/>
    <n v="2749"/>
  </r>
  <r>
    <n v="50"/>
    <x v="38"/>
    <x v="3"/>
    <n v="3791"/>
    <n v="4173"/>
    <n v="7964"/>
    <n v="3517"/>
  </r>
  <r>
    <n v="50"/>
    <x v="38"/>
    <x v="3"/>
    <n v="8260"/>
    <n v="9858"/>
    <n v="18118"/>
    <n v="11719"/>
  </r>
  <r>
    <n v="50"/>
    <x v="38"/>
    <x v="3"/>
    <n v="8281"/>
    <n v="8592"/>
    <n v="16873"/>
    <n v="11842"/>
  </r>
  <r>
    <n v="50"/>
    <x v="38"/>
    <x v="3"/>
    <n v="3459"/>
    <n v="3911"/>
    <n v="7370"/>
    <n v="6486"/>
  </r>
  <r>
    <n v="50"/>
    <x v="38"/>
    <x v="3"/>
    <n v="2125"/>
    <n v="2374"/>
    <n v="4499"/>
    <n v="2331"/>
  </r>
  <r>
    <n v="50"/>
    <x v="38"/>
    <x v="3"/>
    <n v="7257"/>
    <n v="8055"/>
    <n v="15312"/>
    <n v="6763"/>
  </r>
  <r>
    <n v="50"/>
    <x v="38"/>
    <x v="3"/>
    <n v="5079"/>
    <n v="6100"/>
    <n v="11179"/>
    <n v="6319"/>
  </r>
  <r>
    <n v="50"/>
    <x v="38"/>
    <x v="3"/>
    <n v="546"/>
    <n v="507"/>
    <n v="1053"/>
    <n v="858"/>
  </r>
  <r>
    <n v="50"/>
    <x v="38"/>
    <x v="3"/>
    <n v="2003"/>
    <n v="2139"/>
    <n v="4142"/>
    <n v="1916"/>
  </r>
  <r>
    <n v="50"/>
    <x v="38"/>
    <x v="3"/>
    <n v="2665"/>
    <n v="2894"/>
    <n v="5559"/>
    <n v="3679"/>
  </r>
  <r>
    <n v="50"/>
    <x v="38"/>
    <x v="3"/>
    <n v="2902"/>
    <n v="3539"/>
    <n v="6441"/>
    <n v="4099"/>
  </r>
  <r>
    <n v="50"/>
    <x v="38"/>
    <x v="3"/>
    <n v="3746"/>
    <n v="4396"/>
    <n v="8142"/>
    <n v="3698"/>
  </r>
  <r>
    <n v="50"/>
    <x v="38"/>
    <x v="3"/>
    <n v="13385"/>
    <n v="16149"/>
    <n v="29534"/>
    <n v="17318"/>
  </r>
  <r>
    <n v="50"/>
    <x v="38"/>
    <x v="3"/>
    <n v="10540"/>
    <n v="12648"/>
    <n v="23188"/>
    <n v="15532"/>
  </r>
  <r>
    <n v="50"/>
    <x v="38"/>
    <x v="3"/>
    <n v="8044"/>
    <n v="9406"/>
    <n v="17450"/>
    <n v="9638"/>
  </r>
  <r>
    <n v="50"/>
    <x v="38"/>
    <x v="3"/>
    <n v="9345"/>
    <n v="11337"/>
    <n v="20682"/>
    <n v="14372"/>
  </r>
  <r>
    <n v="50"/>
    <x v="38"/>
    <x v="3"/>
    <n v="1926"/>
    <n v="2305"/>
    <n v="4231"/>
    <n v="2849"/>
  </r>
  <r>
    <n v="50"/>
    <x v="38"/>
    <x v="3"/>
    <n v="4788"/>
    <n v="5461"/>
    <n v="10249"/>
    <n v="5652"/>
  </r>
  <r>
    <n v="50"/>
    <x v="38"/>
    <x v="3"/>
    <n v="2035"/>
    <n v="2415"/>
    <n v="4450"/>
    <n v="2908"/>
  </r>
  <r>
    <n v="50"/>
    <x v="38"/>
    <x v="3"/>
    <n v="4953"/>
    <n v="5420"/>
    <n v="10373"/>
    <n v="4579"/>
  </r>
  <r>
    <n v="50"/>
    <x v="38"/>
    <x v="3"/>
    <n v="3945"/>
    <n v="4271"/>
    <n v="8216"/>
    <n v="4065"/>
  </r>
  <r>
    <n v="50"/>
    <x v="38"/>
    <x v="3"/>
    <n v="891"/>
    <n v="938"/>
    <n v="1829"/>
    <n v="874"/>
  </r>
  <r>
    <n v="50"/>
    <x v="38"/>
    <x v="3"/>
    <n v="2612"/>
    <n v="2654"/>
    <n v="5266"/>
    <n v="2807"/>
  </r>
  <r>
    <n v="50"/>
    <x v="38"/>
    <x v="3"/>
    <n v="4238"/>
    <n v="4887"/>
    <n v="9125"/>
    <n v="6000"/>
  </r>
  <r>
    <n v="50"/>
    <x v="38"/>
    <x v="3"/>
    <n v="3814"/>
    <n v="4348"/>
    <n v="8162"/>
    <n v="5282"/>
  </r>
  <r>
    <n v="50"/>
    <x v="38"/>
    <x v="3"/>
    <n v="5648"/>
    <n v="6256"/>
    <n v="11904"/>
    <n v="5904"/>
  </r>
  <r>
    <n v="50"/>
    <x v="38"/>
    <x v="3"/>
    <n v="1836"/>
    <n v="2131"/>
    <n v="3967"/>
    <n v="2212"/>
  </r>
  <r>
    <n v="50"/>
    <x v="38"/>
    <x v="3"/>
    <n v="1725"/>
    <n v="1983"/>
    <n v="3708"/>
    <n v="2068"/>
  </r>
  <r>
    <n v="50"/>
    <x v="38"/>
    <x v="3"/>
    <n v="1717"/>
    <n v="1970"/>
    <n v="3687"/>
    <n v="2421"/>
  </r>
  <r>
    <n v="50"/>
    <x v="38"/>
    <x v="3"/>
    <n v="1233"/>
    <n v="1293"/>
    <n v="2526"/>
    <n v="1697"/>
  </r>
  <r>
    <n v="50"/>
    <x v="38"/>
    <x v="3"/>
    <n v="4083"/>
    <n v="4818"/>
    <n v="8901"/>
    <n v="4662"/>
  </r>
  <r>
    <n v="50"/>
    <x v="38"/>
    <x v="3"/>
    <n v="4097"/>
    <n v="4638"/>
    <n v="8735"/>
    <n v="9515"/>
  </r>
  <r>
    <n v="50"/>
    <x v="38"/>
    <x v="3"/>
    <n v="53290"/>
    <n v="60239"/>
    <n v="113529"/>
    <n v="93443"/>
  </r>
  <r>
    <n v="51"/>
    <x v="39"/>
    <x v="3"/>
    <n v="189647"/>
    <n v="207106"/>
    <n v="396753"/>
    <n v="193492"/>
  </r>
  <r>
    <n v="51"/>
    <x v="39"/>
    <x v="3"/>
    <n v="28343"/>
    <n v="31894"/>
    <n v="60237"/>
    <n v="30277"/>
  </r>
  <r>
    <n v="51"/>
    <x v="39"/>
    <x v="3"/>
    <n v="11892"/>
    <n v="12374"/>
    <n v="24266"/>
    <n v="11016"/>
  </r>
  <r>
    <n v="51"/>
    <x v="39"/>
    <x v="3"/>
    <n v="12199"/>
    <n v="12882"/>
    <n v="25081"/>
    <n v="10660"/>
  </r>
  <r>
    <n v="51"/>
    <x v="39"/>
    <x v="3"/>
    <n v="30251"/>
    <n v="30099"/>
    <n v="60350"/>
    <n v="22195"/>
  </r>
  <r>
    <n v="51"/>
    <x v="39"/>
    <x v="3"/>
    <n v="8706"/>
    <n v="8728"/>
    <n v="17434"/>
    <n v="6684"/>
  </r>
  <r>
    <n v="51"/>
    <x v="39"/>
    <x v="3"/>
    <n v="13391"/>
    <n v="14354"/>
    <n v="27745"/>
    <n v="13244"/>
  </r>
  <r>
    <n v="51"/>
    <x v="39"/>
    <x v="3"/>
    <n v="3768"/>
    <n v="4173"/>
    <n v="7941"/>
    <n v="3525"/>
  </r>
  <r>
    <n v="51"/>
    <x v="39"/>
    <x v="3"/>
    <n v="2512"/>
    <n v="2741"/>
    <n v="5253"/>
    <n v="2311"/>
  </r>
  <r>
    <n v="51"/>
    <x v="39"/>
    <x v="3"/>
    <n v="2380"/>
    <n v="2502"/>
    <n v="4882"/>
    <n v="2374"/>
  </r>
  <r>
    <n v="51"/>
    <x v="39"/>
    <x v="3"/>
    <n v="2576"/>
    <n v="2792"/>
    <n v="5368"/>
    <n v="2622"/>
  </r>
  <r>
    <n v="51"/>
    <x v="39"/>
    <x v="3"/>
    <n v="1671"/>
    <n v="1831"/>
    <n v="3502"/>
    <n v="1832"/>
  </r>
  <r>
    <n v="51"/>
    <x v="39"/>
    <x v="3"/>
    <n v="2348"/>
    <n v="2682"/>
    <n v="5030"/>
    <n v="2449"/>
  </r>
  <r>
    <n v="51"/>
    <x v="39"/>
    <x v="3"/>
    <n v="7849"/>
    <n v="8654"/>
    <n v="16503"/>
    <n v="9548"/>
  </r>
  <r>
    <n v="51"/>
    <x v="39"/>
    <x v="3"/>
    <n v="3413"/>
    <n v="4008"/>
    <n v="7421"/>
    <n v="4146"/>
  </r>
  <r>
    <n v="51"/>
    <x v="39"/>
    <x v="3"/>
    <n v="5506"/>
    <n v="6478"/>
    <n v="11984"/>
    <n v="11743"/>
  </r>
  <r>
    <n v="51"/>
    <x v="39"/>
    <x v="3"/>
    <n v="7364"/>
    <n v="8932"/>
    <n v="16296"/>
    <n v="8903"/>
  </r>
  <r>
    <n v="51"/>
    <x v="39"/>
    <x v="3"/>
    <n v="3242"/>
    <n v="3583"/>
    <n v="6825"/>
    <n v="2794"/>
  </r>
  <r>
    <n v="51"/>
    <x v="39"/>
    <x v="3"/>
    <n v="4438"/>
    <n v="4908"/>
    <n v="9346"/>
    <n v="4615"/>
  </r>
  <r>
    <n v="51"/>
    <x v="39"/>
    <x v="3"/>
    <n v="3470"/>
    <n v="3877"/>
    <n v="7347"/>
    <n v="3334"/>
  </r>
  <r>
    <n v="51"/>
    <x v="39"/>
    <x v="3"/>
    <n v="1868"/>
    <n v="2192"/>
    <n v="4060"/>
    <n v="2029"/>
  </r>
  <r>
    <n v="51"/>
    <x v="39"/>
    <x v="3"/>
    <n v="3674"/>
    <n v="4398"/>
    <n v="8072"/>
    <n v="4306"/>
  </r>
  <r>
    <n v="51"/>
    <x v="39"/>
    <x v="3"/>
    <n v="1262"/>
    <n v="1271"/>
    <n v="2533"/>
    <n v="1315"/>
  </r>
  <r>
    <n v="51"/>
    <x v="39"/>
    <x v="3"/>
    <n v="2015"/>
    <n v="2168"/>
    <n v="4183"/>
    <n v="2843"/>
  </r>
  <r>
    <n v="51"/>
    <x v="39"/>
    <x v="3"/>
    <n v="1575"/>
    <n v="1751"/>
    <n v="3326"/>
    <n v="1378"/>
  </r>
  <r>
    <n v="51"/>
    <x v="39"/>
    <x v="3"/>
    <n v="3301"/>
    <n v="3971"/>
    <n v="7272"/>
    <n v="3728"/>
  </r>
  <r>
    <n v="51"/>
    <x v="39"/>
    <x v="3"/>
    <n v="2505"/>
    <n v="2659"/>
    <n v="5164"/>
    <n v="2607"/>
  </r>
  <r>
    <n v="51"/>
    <x v="39"/>
    <x v="3"/>
    <n v="1353"/>
    <n v="1508"/>
    <n v="2861"/>
    <n v="1424"/>
  </r>
  <r>
    <n v="51"/>
    <x v="39"/>
    <x v="3"/>
    <n v="5875"/>
    <n v="6767"/>
    <n v="12642"/>
    <n v="6261"/>
  </r>
  <r>
    <n v="51"/>
    <x v="39"/>
    <x v="3"/>
    <n v="3075"/>
    <n v="3573"/>
    <n v="6648"/>
    <n v="3029"/>
  </r>
  <r>
    <n v="51"/>
    <x v="39"/>
    <x v="3"/>
    <n v="2881"/>
    <n v="3340"/>
    <n v="6221"/>
    <n v="3018"/>
  </r>
  <r>
    <n v="51"/>
    <x v="39"/>
    <x v="3"/>
    <n v="4944"/>
    <n v="6016"/>
    <n v="10960"/>
    <n v="7282"/>
  </r>
  <r>
    <n v="52"/>
    <x v="40"/>
    <x v="3"/>
    <n v="341663"/>
    <n v="362463"/>
    <n v="704126"/>
    <n v="307969"/>
  </r>
  <r>
    <n v="52"/>
    <x v="40"/>
    <x v="3"/>
    <n v="43427"/>
    <n v="45584"/>
    <n v="89011"/>
    <n v="40170"/>
  </r>
  <r>
    <n v="52"/>
    <x v="40"/>
    <x v="3"/>
    <n v="11858"/>
    <n v="11751"/>
    <n v="23609"/>
    <n v="9557"/>
  </r>
  <r>
    <n v="52"/>
    <x v="40"/>
    <x v="3"/>
    <n v="16776"/>
    <n v="18105"/>
    <n v="34881"/>
    <n v="13670"/>
  </r>
  <r>
    <n v="52"/>
    <x v="40"/>
    <x v="3"/>
    <n v="10803"/>
    <n v="10820"/>
    <n v="21623"/>
    <n v="7887"/>
  </r>
  <r>
    <n v="52"/>
    <x v="40"/>
    <x v="3"/>
    <n v="23538"/>
    <n v="23659"/>
    <n v="47197"/>
    <n v="18643"/>
  </r>
  <r>
    <n v="52"/>
    <x v="40"/>
    <x v="3"/>
    <n v="16508"/>
    <n v="17069"/>
    <n v="33577"/>
    <n v="13441"/>
  </r>
  <r>
    <n v="52"/>
    <x v="40"/>
    <x v="3"/>
    <n v="17981"/>
    <n v="17869"/>
    <n v="35850"/>
    <n v="13756"/>
  </r>
  <r>
    <n v="52"/>
    <x v="40"/>
    <x v="3"/>
    <n v="15845"/>
    <n v="16423"/>
    <n v="32268"/>
    <n v="11762"/>
  </r>
  <r>
    <n v="52"/>
    <x v="40"/>
    <x v="3"/>
    <n v="4405"/>
    <n v="4561"/>
    <n v="8966"/>
    <n v="3302"/>
  </r>
  <r>
    <n v="52"/>
    <x v="40"/>
    <x v="3"/>
    <n v="13239"/>
    <n v="13656"/>
    <n v="26895"/>
    <n v="11044"/>
  </r>
  <r>
    <n v="52"/>
    <x v="40"/>
    <x v="3"/>
    <n v="10098"/>
    <n v="10464"/>
    <n v="20562"/>
    <n v="6794"/>
  </r>
  <r>
    <n v="52"/>
    <x v="40"/>
    <x v="3"/>
    <n v="22314"/>
    <n v="23265"/>
    <n v="45579"/>
    <n v="20049"/>
  </r>
  <r>
    <n v="52"/>
    <x v="40"/>
    <x v="3"/>
    <n v="15810"/>
    <n v="15926"/>
    <n v="31736"/>
    <n v="12619"/>
  </r>
  <r>
    <n v="52"/>
    <x v="40"/>
    <x v="3"/>
    <n v="4518"/>
    <n v="4750"/>
    <n v="9268"/>
    <n v="3589"/>
  </r>
  <r>
    <n v="52"/>
    <x v="40"/>
    <x v="3"/>
    <n v="3063"/>
    <n v="3211"/>
    <n v="6274"/>
    <n v="3058"/>
  </r>
  <r>
    <n v="52"/>
    <x v="40"/>
    <x v="3"/>
    <n v="4197"/>
    <n v="4444"/>
    <n v="8641"/>
    <n v="3248"/>
  </r>
  <r>
    <n v="52"/>
    <x v="40"/>
    <x v="3"/>
    <n v="4215"/>
    <n v="4676"/>
    <n v="8891"/>
    <n v="3432"/>
  </r>
  <r>
    <n v="52"/>
    <x v="40"/>
    <x v="3"/>
    <n v="2287"/>
    <n v="2191"/>
    <n v="4478"/>
    <n v="1639"/>
  </r>
  <r>
    <n v="52"/>
    <x v="40"/>
    <x v="3"/>
    <n v="7206"/>
    <n v="7605"/>
    <n v="14811"/>
    <n v="8891"/>
  </r>
  <r>
    <n v="52"/>
    <x v="40"/>
    <x v="3"/>
    <n v="4980"/>
    <n v="5032"/>
    <n v="10012"/>
    <n v="3645"/>
  </r>
  <r>
    <n v="52"/>
    <x v="40"/>
    <x v="3"/>
    <n v="1196"/>
    <n v="1478"/>
    <n v="2674"/>
    <n v="1339"/>
  </r>
  <r>
    <n v="52"/>
    <x v="40"/>
    <x v="3"/>
    <n v="2516"/>
    <n v="2798"/>
    <n v="5314"/>
    <n v="2141"/>
  </r>
  <r>
    <n v="52"/>
    <x v="40"/>
    <x v="3"/>
    <n v="3637"/>
    <n v="3887"/>
    <n v="7524"/>
    <n v="3053"/>
  </r>
  <r>
    <n v="52"/>
    <x v="40"/>
    <x v="3"/>
    <n v="1148"/>
    <n v="1283"/>
    <n v="2431"/>
    <n v="1164"/>
  </r>
  <r>
    <n v="52"/>
    <x v="40"/>
    <x v="3"/>
    <n v="1721"/>
    <n v="1928"/>
    <n v="3649"/>
    <n v="1372"/>
  </r>
  <r>
    <n v="52"/>
    <x v="40"/>
    <x v="3"/>
    <n v="6226"/>
    <n v="7266"/>
    <n v="13492"/>
    <n v="7321"/>
  </r>
  <r>
    <n v="52"/>
    <x v="40"/>
    <x v="3"/>
    <n v="1924"/>
    <n v="1943"/>
    <n v="3867"/>
    <n v="2027"/>
  </r>
  <r>
    <n v="52"/>
    <x v="40"/>
    <x v="3"/>
    <n v="1203"/>
    <n v="1239"/>
    <n v="2442"/>
    <n v="903"/>
  </r>
  <r>
    <n v="52"/>
    <x v="40"/>
    <x v="3"/>
    <n v="1539"/>
    <n v="1723"/>
    <n v="3262"/>
    <n v="1710"/>
  </r>
  <r>
    <n v="52"/>
    <x v="40"/>
    <x v="3"/>
    <n v="3934"/>
    <n v="4043"/>
    <n v="7977"/>
    <n v="3138"/>
  </r>
  <r>
    <n v="52"/>
    <x v="40"/>
    <x v="3"/>
    <n v="1846"/>
    <n v="2098"/>
    <n v="3944"/>
    <n v="2411"/>
  </r>
  <r>
    <n v="52"/>
    <x v="40"/>
    <x v="3"/>
    <n v="2014"/>
    <n v="2344"/>
    <n v="4358"/>
    <n v="2438"/>
  </r>
  <r>
    <n v="52"/>
    <x v="40"/>
    <x v="3"/>
    <n v="6130"/>
    <n v="7063"/>
    <n v="13193"/>
    <n v="6707"/>
  </r>
  <r>
    <n v="52"/>
    <x v="40"/>
    <x v="3"/>
    <n v="4499"/>
    <n v="5033"/>
    <n v="9532"/>
    <n v="4619"/>
  </r>
  <r>
    <n v="52"/>
    <x v="40"/>
    <x v="3"/>
    <n v="27691"/>
    <n v="30883"/>
    <n v="58574"/>
    <n v="27329"/>
  </r>
  <r>
    <n v="52"/>
    <x v="40"/>
    <x v="3"/>
    <n v="21371"/>
    <n v="26393"/>
    <n v="47764"/>
    <n v="30101"/>
  </r>
  <r>
    <n v="53"/>
    <x v="41"/>
    <x v="3"/>
    <n v="212005"/>
    <n v="224278"/>
    <n v="436283"/>
    <n v="179308"/>
  </r>
  <r>
    <n v="53"/>
    <x v="41"/>
    <x v="3"/>
    <n v="21966"/>
    <n v="23217"/>
    <n v="45183"/>
    <n v="18462"/>
  </r>
  <r>
    <n v="53"/>
    <x v="41"/>
    <x v="3"/>
    <n v="14046"/>
    <n v="14939"/>
    <n v="28985"/>
    <n v="10370"/>
  </r>
  <r>
    <n v="53"/>
    <x v="41"/>
    <x v="3"/>
    <n v="14059"/>
    <n v="14283"/>
    <n v="28342"/>
    <n v="10207"/>
  </r>
  <r>
    <n v="53"/>
    <x v="41"/>
    <x v="3"/>
    <n v="16210"/>
    <n v="16299"/>
    <n v="32509"/>
    <n v="12376"/>
  </r>
  <r>
    <n v="53"/>
    <x v="41"/>
    <x v="3"/>
    <n v="6226"/>
    <n v="6629"/>
    <n v="12855"/>
    <n v="5273"/>
  </r>
  <r>
    <n v="53"/>
    <x v="41"/>
    <x v="3"/>
    <n v="5199"/>
    <n v="5082"/>
    <n v="10281"/>
    <n v="4683"/>
  </r>
  <r>
    <n v="53"/>
    <x v="41"/>
    <x v="3"/>
    <n v="33965"/>
    <n v="36035"/>
    <n v="70000"/>
    <n v="26684"/>
  </r>
  <r>
    <n v="53"/>
    <x v="41"/>
    <x v="3"/>
    <n v="17729"/>
    <n v="18187"/>
    <n v="35916"/>
    <n v="15646"/>
  </r>
  <r>
    <n v="53"/>
    <x v="41"/>
    <x v="3"/>
    <n v="12740"/>
    <n v="13076"/>
    <n v="25816"/>
    <n v="9842"/>
  </r>
  <r>
    <n v="53"/>
    <x v="41"/>
    <x v="3"/>
    <n v="7531"/>
    <n v="7357"/>
    <n v="14888"/>
    <n v="7999"/>
  </r>
  <r>
    <n v="53"/>
    <x v="41"/>
    <x v="3"/>
    <n v="3326"/>
    <n v="3507"/>
    <n v="6833"/>
    <n v="2681"/>
  </r>
  <r>
    <n v="53"/>
    <x v="41"/>
    <x v="3"/>
    <n v="3582"/>
    <n v="3896"/>
    <n v="7478"/>
    <n v="2736"/>
  </r>
  <r>
    <n v="53"/>
    <x v="41"/>
    <x v="3"/>
    <n v="4227"/>
    <n v="4082"/>
    <n v="8309"/>
    <n v="2371"/>
  </r>
  <r>
    <n v="53"/>
    <x v="41"/>
    <x v="3"/>
    <n v="4214"/>
    <n v="4521"/>
    <n v="8735"/>
    <n v="3612"/>
  </r>
  <r>
    <n v="53"/>
    <x v="41"/>
    <x v="3"/>
    <n v="3796"/>
    <n v="4116"/>
    <n v="7912"/>
    <n v="3163"/>
  </r>
  <r>
    <n v="53"/>
    <x v="41"/>
    <x v="3"/>
    <n v="4369"/>
    <n v="5087"/>
    <n v="9456"/>
    <n v="4033"/>
  </r>
  <r>
    <n v="53"/>
    <x v="41"/>
    <x v="3"/>
    <n v="2127"/>
    <n v="2313"/>
    <n v="4440"/>
    <n v="1870"/>
  </r>
  <r>
    <n v="53"/>
    <x v="41"/>
    <x v="3"/>
    <n v="2613"/>
    <n v="2784"/>
    <n v="5397"/>
    <n v="2230"/>
  </r>
  <r>
    <n v="53"/>
    <x v="41"/>
    <x v="3"/>
    <n v="4488"/>
    <n v="5194"/>
    <n v="9682"/>
    <n v="4296"/>
  </r>
  <r>
    <n v="53"/>
    <x v="41"/>
    <x v="3"/>
    <n v="790"/>
    <n v="951"/>
    <n v="1741"/>
    <n v="1018"/>
  </r>
  <r>
    <n v="53"/>
    <x v="41"/>
    <x v="3"/>
    <n v="545"/>
    <n v="623"/>
    <n v="1168"/>
    <n v="592"/>
  </r>
  <r>
    <n v="53"/>
    <x v="41"/>
    <x v="3"/>
    <n v="1920"/>
    <n v="1910"/>
    <n v="3830"/>
    <n v="1976"/>
  </r>
  <r>
    <n v="53"/>
    <x v="41"/>
    <x v="3"/>
    <n v="429"/>
    <n v="397"/>
    <n v="826"/>
    <n v="433"/>
  </r>
  <r>
    <n v="53"/>
    <x v="41"/>
    <x v="3"/>
    <n v="1325"/>
    <n v="1450"/>
    <n v="2775"/>
    <n v="1618"/>
  </r>
  <r>
    <n v="53"/>
    <x v="41"/>
    <x v="3"/>
    <n v="1560"/>
    <n v="1750"/>
    <n v="3310"/>
    <n v="1242"/>
  </r>
  <r>
    <n v="53"/>
    <x v="41"/>
    <x v="3"/>
    <n v="1039"/>
    <n v="1141"/>
    <n v="2180"/>
    <n v="993"/>
  </r>
  <r>
    <n v="53"/>
    <x v="41"/>
    <x v="3"/>
    <n v="996"/>
    <n v="1066"/>
    <n v="2062"/>
    <n v="904"/>
  </r>
  <r>
    <n v="53"/>
    <x v="41"/>
    <x v="3"/>
    <n v="796"/>
    <n v="872"/>
    <n v="1668"/>
    <n v="706"/>
  </r>
  <r>
    <n v="53"/>
    <x v="41"/>
    <x v="3"/>
    <n v="4403"/>
    <n v="4996"/>
    <n v="9399"/>
    <n v="3511"/>
  </r>
  <r>
    <n v="53"/>
    <x v="41"/>
    <x v="3"/>
    <n v="1809"/>
    <n v="1929"/>
    <n v="3738"/>
    <n v="1414"/>
  </r>
  <r>
    <n v="53"/>
    <x v="41"/>
    <x v="3"/>
    <n v="1262"/>
    <n v="1492"/>
    <n v="2754"/>
    <n v="1217"/>
  </r>
  <r>
    <n v="53"/>
    <x v="41"/>
    <x v="3"/>
    <n v="12718"/>
    <n v="15097"/>
    <n v="27815"/>
    <n v="15150"/>
  </r>
  <r>
    <n v="54"/>
    <x v="42"/>
    <x v="3"/>
    <n v="202378"/>
    <n v="219367"/>
    <n v="421745"/>
    <n v="185874"/>
  </r>
  <r>
    <n v="54"/>
    <x v="42"/>
    <x v="3"/>
    <n v="28699"/>
    <n v="32615"/>
    <n v="61314"/>
    <n v="28617"/>
  </r>
  <r>
    <n v="54"/>
    <x v="42"/>
    <x v="3"/>
    <n v="16518"/>
    <n v="17855"/>
    <n v="34373"/>
    <n v="13142"/>
  </r>
  <r>
    <n v="54"/>
    <x v="42"/>
    <x v="3"/>
    <n v="14713"/>
    <n v="14999"/>
    <n v="29712"/>
    <n v="11762"/>
  </r>
  <r>
    <n v="54"/>
    <x v="42"/>
    <x v="3"/>
    <n v="31494"/>
    <n v="34969"/>
    <n v="66463"/>
    <n v="28710"/>
  </r>
  <r>
    <n v="54"/>
    <x v="42"/>
    <x v="3"/>
    <n v="9912"/>
    <n v="9446"/>
    <n v="19358"/>
    <n v="8691"/>
  </r>
  <r>
    <n v="54"/>
    <x v="42"/>
    <x v="3"/>
    <n v="19928"/>
    <n v="20891"/>
    <n v="40819"/>
    <n v="16762"/>
  </r>
  <r>
    <n v="54"/>
    <x v="42"/>
    <x v="3"/>
    <n v="20605"/>
    <n v="20790"/>
    <n v="41395"/>
    <n v="15835"/>
  </r>
  <r>
    <n v="54"/>
    <x v="42"/>
    <x v="3"/>
    <n v="5656"/>
    <n v="6514"/>
    <n v="12170"/>
    <n v="5136"/>
  </r>
  <r>
    <n v="54"/>
    <x v="42"/>
    <x v="3"/>
    <n v="3117"/>
    <n v="3277"/>
    <n v="6394"/>
    <n v="2771"/>
  </r>
  <r>
    <n v="54"/>
    <x v="42"/>
    <x v="3"/>
    <n v="1403"/>
    <n v="1400"/>
    <n v="2803"/>
    <n v="1173"/>
  </r>
  <r>
    <n v="54"/>
    <x v="42"/>
    <x v="3"/>
    <n v="3066"/>
    <n v="3034"/>
    <n v="6100"/>
    <n v="2509"/>
  </r>
  <r>
    <n v="54"/>
    <x v="42"/>
    <x v="3"/>
    <n v="5522"/>
    <n v="6348"/>
    <n v="11870"/>
    <n v="5180"/>
  </r>
  <r>
    <n v="54"/>
    <x v="42"/>
    <x v="3"/>
    <n v="3376"/>
    <n v="3568"/>
    <n v="6944"/>
    <n v="2781"/>
  </r>
  <r>
    <n v="54"/>
    <x v="42"/>
    <x v="3"/>
    <n v="1954"/>
    <n v="2280"/>
    <n v="4234"/>
    <n v="1934"/>
  </r>
  <r>
    <n v="54"/>
    <x v="42"/>
    <x v="3"/>
    <n v="1339"/>
    <n v="1418"/>
    <n v="2757"/>
    <n v="1475"/>
  </r>
  <r>
    <n v="54"/>
    <x v="42"/>
    <x v="3"/>
    <n v="2840"/>
    <n v="3394"/>
    <n v="6234"/>
    <n v="3181"/>
  </r>
  <r>
    <n v="54"/>
    <x v="42"/>
    <x v="3"/>
    <n v="1725"/>
    <n v="1890"/>
    <n v="3615"/>
    <n v="1605"/>
  </r>
  <r>
    <n v="54"/>
    <x v="42"/>
    <x v="3"/>
    <n v="4950"/>
    <n v="5509"/>
    <n v="10459"/>
    <n v="5316"/>
  </r>
  <r>
    <n v="54"/>
    <x v="42"/>
    <x v="3"/>
    <n v="1650"/>
    <n v="1896"/>
    <n v="3546"/>
    <n v="1967"/>
  </r>
  <r>
    <n v="54"/>
    <x v="42"/>
    <x v="3"/>
    <n v="2156"/>
    <n v="2440"/>
    <n v="4596"/>
    <n v="2259"/>
  </r>
  <r>
    <n v="54"/>
    <x v="42"/>
    <x v="3"/>
    <n v="978"/>
    <n v="1159"/>
    <n v="2137"/>
    <n v="834"/>
  </r>
  <r>
    <n v="54"/>
    <x v="42"/>
    <x v="3"/>
    <n v="5619"/>
    <n v="6310"/>
    <n v="11929"/>
    <n v="6164"/>
  </r>
  <r>
    <n v="54"/>
    <x v="42"/>
    <x v="3"/>
    <n v="1940"/>
    <n v="2299"/>
    <n v="4239"/>
    <n v="2062"/>
  </r>
  <r>
    <n v="54"/>
    <x v="42"/>
    <x v="3"/>
    <n v="2812"/>
    <n v="3255"/>
    <n v="6067"/>
    <n v="3322"/>
  </r>
  <r>
    <n v="54"/>
    <x v="42"/>
    <x v="3"/>
    <n v="4105"/>
    <n v="4396"/>
    <n v="8501"/>
    <n v="3812"/>
  </r>
  <r>
    <n v="54"/>
    <x v="42"/>
    <x v="3"/>
    <n v="6301"/>
    <n v="7415"/>
    <n v="13716"/>
    <n v="8874"/>
  </r>
  <r>
    <n v="55"/>
    <x v="43"/>
    <x v="3"/>
    <n v="234647"/>
    <n v="235860"/>
    <n v="470507"/>
    <n v="180461"/>
  </r>
  <r>
    <n v="55"/>
    <x v="43"/>
    <x v="3"/>
    <n v="31351"/>
    <n v="31760"/>
    <n v="63111"/>
    <n v="26511"/>
  </r>
  <r>
    <n v="55"/>
    <x v="43"/>
    <x v="3"/>
    <n v="8397"/>
    <n v="8025"/>
    <n v="16422"/>
    <n v="5048"/>
  </r>
  <r>
    <n v="55"/>
    <x v="43"/>
    <x v="3"/>
    <n v="5628"/>
    <n v="5552"/>
    <n v="11180"/>
    <n v="4054"/>
  </r>
  <r>
    <n v="55"/>
    <x v="43"/>
    <x v="3"/>
    <n v="14745"/>
    <n v="14650"/>
    <n v="29395"/>
    <n v="10803"/>
  </r>
  <r>
    <n v="55"/>
    <x v="43"/>
    <x v="3"/>
    <n v="26457"/>
    <n v="26887"/>
    <n v="53344"/>
    <n v="16887"/>
  </r>
  <r>
    <n v="55"/>
    <x v="43"/>
    <x v="3"/>
    <n v="22256"/>
    <n v="22457"/>
    <n v="44713"/>
    <n v="15254"/>
  </r>
  <r>
    <n v="55"/>
    <x v="43"/>
    <x v="3"/>
    <n v="32759"/>
    <n v="32720"/>
    <n v="65479"/>
    <n v="25695"/>
  </r>
  <r>
    <n v="55"/>
    <x v="43"/>
    <x v="3"/>
    <n v="7884"/>
    <n v="7774"/>
    <n v="15658"/>
    <n v="5349"/>
  </r>
  <r>
    <n v="55"/>
    <x v="43"/>
    <x v="3"/>
    <n v="8446"/>
    <n v="8656"/>
    <n v="17102"/>
    <n v="6043"/>
  </r>
  <r>
    <n v="55"/>
    <x v="43"/>
    <x v="3"/>
    <n v="6950"/>
    <n v="6904"/>
    <n v="13854"/>
    <n v="4652"/>
  </r>
  <r>
    <n v="55"/>
    <x v="43"/>
    <x v="3"/>
    <n v="7927"/>
    <n v="7544"/>
    <n v="15471"/>
    <n v="5373"/>
  </r>
  <r>
    <n v="55"/>
    <x v="43"/>
    <x v="3"/>
    <n v="7877"/>
    <n v="7518"/>
    <n v="15395"/>
    <n v="5357"/>
  </r>
  <r>
    <n v="55"/>
    <x v="43"/>
    <x v="3"/>
    <n v="6390"/>
    <n v="6002"/>
    <n v="12392"/>
    <n v="4034"/>
  </r>
  <r>
    <n v="55"/>
    <x v="43"/>
    <x v="3"/>
    <n v="17567"/>
    <n v="18134"/>
    <n v="35701"/>
    <n v="14578"/>
  </r>
  <r>
    <n v="55"/>
    <x v="43"/>
    <x v="3"/>
    <n v="5018"/>
    <n v="4752"/>
    <n v="9770"/>
    <n v="3497"/>
  </r>
  <r>
    <n v="55"/>
    <x v="43"/>
    <x v="3"/>
    <n v="4627"/>
    <n v="4785"/>
    <n v="9412"/>
    <n v="4104"/>
  </r>
  <r>
    <n v="55"/>
    <x v="43"/>
    <x v="3"/>
    <n v="1625"/>
    <n v="1610"/>
    <n v="3235"/>
    <n v="1469"/>
  </r>
  <r>
    <n v="55"/>
    <x v="43"/>
    <x v="3"/>
    <n v="1229"/>
    <n v="1434"/>
    <n v="2663"/>
    <n v="1344"/>
  </r>
  <r>
    <n v="55"/>
    <x v="43"/>
    <x v="3"/>
    <n v="2438"/>
    <n v="2696"/>
    <n v="5134"/>
    <n v="2852"/>
  </r>
  <r>
    <n v="55"/>
    <x v="43"/>
    <x v="3"/>
    <n v="5003"/>
    <n v="5370"/>
    <n v="10373"/>
    <n v="5223"/>
  </r>
  <r>
    <n v="55"/>
    <x v="43"/>
    <x v="3"/>
    <n v="1067"/>
    <n v="1219"/>
    <n v="2286"/>
    <n v="1285"/>
  </r>
  <r>
    <n v="55"/>
    <x v="43"/>
    <x v="3"/>
    <n v="9006"/>
    <n v="9411"/>
    <n v="18417"/>
    <n v="11049"/>
  </r>
  <r>
    <n v="56"/>
    <x v="44"/>
    <x v="3"/>
    <n v="220378"/>
    <n v="234386"/>
    <n v="454764"/>
    <n v="204387"/>
  </r>
  <r>
    <n v="56"/>
    <x v="44"/>
    <x v="3"/>
    <n v="20441"/>
    <n v="21923"/>
    <n v="42364"/>
    <n v="18085"/>
  </r>
  <r>
    <n v="56"/>
    <x v="44"/>
    <x v="3"/>
    <n v="8316"/>
    <n v="9244"/>
    <n v="17560"/>
    <n v="7567"/>
  </r>
  <r>
    <n v="56"/>
    <x v="44"/>
    <x v="3"/>
    <n v="27310"/>
    <n v="27690"/>
    <n v="55000"/>
    <n v="22331"/>
  </r>
  <r>
    <n v="56"/>
    <x v="44"/>
    <x v="3"/>
    <n v="4644"/>
    <n v="4753"/>
    <n v="9397"/>
    <n v="4060"/>
  </r>
  <r>
    <n v="56"/>
    <x v="44"/>
    <x v="3"/>
    <n v="18026"/>
    <n v="19064"/>
    <n v="37090"/>
    <n v="15365"/>
  </r>
  <r>
    <n v="56"/>
    <x v="44"/>
    <x v="3"/>
    <n v="19516"/>
    <n v="19440"/>
    <n v="38956"/>
    <n v="12990"/>
  </r>
  <r>
    <n v="56"/>
    <x v="44"/>
    <x v="3"/>
    <n v="9510"/>
    <n v="10179"/>
    <n v="19689"/>
    <n v="9722"/>
  </r>
  <r>
    <n v="56"/>
    <x v="44"/>
    <x v="3"/>
    <n v="11866"/>
    <n v="12197"/>
    <n v="24063"/>
    <n v="9964"/>
  </r>
  <r>
    <n v="56"/>
    <x v="44"/>
    <x v="3"/>
    <n v="5899"/>
    <n v="6454"/>
    <n v="12353"/>
    <n v="5229"/>
  </r>
  <r>
    <n v="56"/>
    <x v="44"/>
    <x v="3"/>
    <n v="5725"/>
    <n v="6798"/>
    <n v="12523"/>
    <n v="7678"/>
  </r>
  <r>
    <n v="56"/>
    <x v="44"/>
    <x v="3"/>
    <n v="4062"/>
    <n v="4446"/>
    <n v="8508"/>
    <n v="3426"/>
  </r>
  <r>
    <n v="56"/>
    <x v="44"/>
    <x v="3"/>
    <n v="4206"/>
    <n v="4464"/>
    <n v="8670"/>
    <n v="3844"/>
  </r>
  <r>
    <n v="56"/>
    <x v="44"/>
    <x v="3"/>
    <n v="2842"/>
    <n v="3077"/>
    <n v="5919"/>
    <n v="2742"/>
  </r>
  <r>
    <n v="56"/>
    <x v="44"/>
    <x v="3"/>
    <n v="3112"/>
    <n v="3372"/>
    <n v="6484"/>
    <n v="2883"/>
  </r>
  <r>
    <n v="56"/>
    <x v="44"/>
    <x v="3"/>
    <n v="4258"/>
    <n v="4547"/>
    <n v="8805"/>
    <n v="4109"/>
  </r>
  <r>
    <n v="56"/>
    <x v="44"/>
    <x v="3"/>
    <n v="3653"/>
    <n v="3875"/>
    <n v="7528"/>
    <n v="3059"/>
  </r>
  <r>
    <n v="56"/>
    <x v="44"/>
    <x v="3"/>
    <n v="6053"/>
    <n v="6589"/>
    <n v="12642"/>
    <n v="7344"/>
  </r>
  <r>
    <n v="56"/>
    <x v="44"/>
    <x v="3"/>
    <n v="4281"/>
    <n v="4500"/>
    <n v="8781"/>
    <n v="3552"/>
  </r>
  <r>
    <n v="56"/>
    <x v="44"/>
    <x v="3"/>
    <n v="3352"/>
    <n v="3590"/>
    <n v="6942"/>
    <n v="3373"/>
  </r>
  <r>
    <n v="56"/>
    <x v="44"/>
    <x v="3"/>
    <n v="7926"/>
    <n v="7772"/>
    <n v="15698"/>
    <n v="10113"/>
  </r>
  <r>
    <n v="56"/>
    <x v="44"/>
    <x v="3"/>
    <n v="3703"/>
    <n v="4262"/>
    <n v="7965"/>
    <n v="3711"/>
  </r>
  <r>
    <n v="56"/>
    <x v="44"/>
    <x v="3"/>
    <n v="3970"/>
    <n v="4310"/>
    <n v="8280"/>
    <n v="3669"/>
  </r>
  <r>
    <n v="56"/>
    <x v="44"/>
    <x v="3"/>
    <n v="2286"/>
    <n v="2488"/>
    <n v="4774"/>
    <n v="2242"/>
  </r>
  <r>
    <n v="56"/>
    <x v="44"/>
    <x v="3"/>
    <n v="2514"/>
    <n v="2794"/>
    <n v="5308"/>
    <n v="2883"/>
  </r>
  <r>
    <n v="56"/>
    <x v="44"/>
    <x v="3"/>
    <n v="3198"/>
    <n v="3244"/>
    <n v="6442"/>
    <n v="2543"/>
  </r>
  <r>
    <n v="56"/>
    <x v="44"/>
    <x v="3"/>
    <n v="5513"/>
    <n v="6479"/>
    <n v="11992"/>
    <n v="5484"/>
  </r>
  <r>
    <n v="56"/>
    <x v="44"/>
    <x v="3"/>
    <n v="3978"/>
    <n v="3985"/>
    <n v="7963"/>
    <n v="3442"/>
  </r>
  <r>
    <n v="56"/>
    <x v="44"/>
    <x v="3"/>
    <n v="4105"/>
    <n v="4287"/>
    <n v="8392"/>
    <n v="3970"/>
  </r>
  <r>
    <n v="56"/>
    <x v="44"/>
    <x v="3"/>
    <n v="2572"/>
    <n v="2727"/>
    <n v="5299"/>
    <n v="2344"/>
  </r>
  <r>
    <n v="56"/>
    <x v="44"/>
    <x v="3"/>
    <n v="2670"/>
    <n v="3295"/>
    <n v="5965"/>
    <n v="3778"/>
  </r>
  <r>
    <n v="56"/>
    <x v="44"/>
    <x v="3"/>
    <n v="3804"/>
    <n v="4189"/>
    <n v="7993"/>
    <n v="4473"/>
  </r>
  <r>
    <n v="56"/>
    <x v="44"/>
    <x v="3"/>
    <n v="7067"/>
    <n v="8352"/>
    <n v="15419"/>
    <n v="8412"/>
  </r>
  <r>
    <n v="57"/>
    <x v="45"/>
    <x v="3"/>
    <n v="628811"/>
    <n v="668846"/>
    <n v="1297657"/>
    <n v="594808"/>
  </r>
  <r>
    <n v="57"/>
    <x v="45"/>
    <x v="3"/>
    <n v="52453"/>
    <n v="57164"/>
    <n v="109617"/>
    <n v="56840"/>
  </r>
  <r>
    <n v="57"/>
    <x v="45"/>
    <x v="3"/>
    <n v="18740"/>
    <n v="19961"/>
    <n v="38701"/>
    <n v="16544"/>
  </r>
  <r>
    <n v="57"/>
    <x v="45"/>
    <x v="3"/>
    <n v="12246"/>
    <n v="12689"/>
    <n v="24935"/>
    <n v="11028"/>
  </r>
  <r>
    <n v="57"/>
    <x v="45"/>
    <x v="3"/>
    <n v="36422"/>
    <n v="37372"/>
    <n v="73794"/>
    <n v="30067"/>
  </r>
  <r>
    <n v="57"/>
    <x v="45"/>
    <x v="3"/>
    <n v="52555"/>
    <n v="56088"/>
    <n v="108643"/>
    <n v="49947"/>
  </r>
  <r>
    <n v="57"/>
    <x v="45"/>
    <x v="3"/>
    <n v="5714"/>
    <n v="5872"/>
    <n v="11586"/>
    <n v="4239"/>
  </r>
  <r>
    <n v="57"/>
    <x v="45"/>
    <x v="3"/>
    <n v="33649"/>
    <n v="36232"/>
    <n v="69881"/>
    <n v="29779"/>
  </r>
  <r>
    <n v="57"/>
    <x v="45"/>
    <x v="3"/>
    <n v="24047"/>
    <n v="25293"/>
    <n v="49340"/>
    <n v="19727"/>
  </r>
  <r>
    <n v="57"/>
    <x v="45"/>
    <x v="3"/>
    <n v="36163"/>
    <n v="40677"/>
    <n v="76840"/>
    <n v="31758"/>
  </r>
  <r>
    <n v="57"/>
    <x v="45"/>
    <x v="3"/>
    <n v="39608"/>
    <n v="39315"/>
    <n v="78923"/>
    <n v="30764"/>
  </r>
  <r>
    <n v="57"/>
    <x v="45"/>
    <x v="3"/>
    <n v="29852"/>
    <n v="30607"/>
    <n v="60459"/>
    <n v="25740"/>
  </r>
  <r>
    <n v="57"/>
    <x v="45"/>
    <x v="3"/>
    <n v="13476"/>
    <n v="13772"/>
    <n v="27248"/>
    <n v="10280"/>
  </r>
  <r>
    <n v="57"/>
    <x v="45"/>
    <x v="3"/>
    <n v="19264"/>
    <n v="18975"/>
    <n v="38239"/>
    <n v="14422"/>
  </r>
  <r>
    <n v="57"/>
    <x v="45"/>
    <x v="3"/>
    <n v="6781"/>
    <n v="7100"/>
    <n v="13881"/>
    <n v="5798"/>
  </r>
  <r>
    <n v="57"/>
    <x v="45"/>
    <x v="3"/>
    <n v="38716"/>
    <n v="39069"/>
    <n v="77785"/>
    <n v="26656"/>
  </r>
  <r>
    <n v="57"/>
    <x v="45"/>
    <x v="3"/>
    <n v="11707"/>
    <n v="12625"/>
    <n v="24332"/>
    <n v="11620"/>
  </r>
  <r>
    <n v="57"/>
    <x v="45"/>
    <x v="3"/>
    <n v="11623"/>
    <n v="12023"/>
    <n v="23646"/>
    <n v="9772"/>
  </r>
  <r>
    <n v="57"/>
    <x v="45"/>
    <x v="3"/>
    <n v="9236"/>
    <n v="9253"/>
    <n v="18489"/>
    <n v="9029"/>
  </r>
  <r>
    <n v="57"/>
    <x v="45"/>
    <x v="3"/>
    <n v="10906"/>
    <n v="11186"/>
    <n v="22092"/>
    <n v="9727"/>
  </r>
  <r>
    <n v="57"/>
    <x v="45"/>
    <x v="3"/>
    <n v="6002"/>
    <n v="6063"/>
    <n v="12065"/>
    <n v="5411"/>
  </r>
  <r>
    <n v="57"/>
    <x v="45"/>
    <x v="3"/>
    <n v="5150"/>
    <n v="5184"/>
    <n v="10334"/>
    <n v="3954"/>
  </r>
  <r>
    <n v="57"/>
    <x v="45"/>
    <x v="3"/>
    <n v="3049"/>
    <n v="3090"/>
    <n v="6139"/>
    <n v="2774"/>
  </r>
  <r>
    <n v="57"/>
    <x v="45"/>
    <x v="3"/>
    <n v="5475"/>
    <n v="6115"/>
    <n v="11590"/>
    <n v="5935"/>
  </r>
  <r>
    <n v="57"/>
    <x v="45"/>
    <x v="3"/>
    <n v="5176"/>
    <n v="5458"/>
    <n v="10634"/>
    <n v="4138"/>
  </r>
  <r>
    <n v="57"/>
    <x v="45"/>
    <x v="3"/>
    <n v="4870"/>
    <n v="5016"/>
    <n v="9886"/>
    <n v="4565"/>
  </r>
  <r>
    <n v="57"/>
    <x v="45"/>
    <x v="3"/>
    <n v="6077"/>
    <n v="6715"/>
    <n v="12792"/>
    <n v="6968"/>
  </r>
  <r>
    <n v="57"/>
    <x v="45"/>
    <x v="3"/>
    <n v="5410"/>
    <n v="6124"/>
    <n v="11534"/>
    <n v="5909"/>
  </r>
  <r>
    <n v="57"/>
    <x v="45"/>
    <x v="3"/>
    <n v="10792"/>
    <n v="12390"/>
    <n v="23182"/>
    <n v="10620"/>
  </r>
  <r>
    <n v="57"/>
    <x v="45"/>
    <x v="3"/>
    <n v="10403"/>
    <n v="12091"/>
    <n v="22494"/>
    <n v="15768"/>
  </r>
  <r>
    <n v="57"/>
    <x v="45"/>
    <x v="3"/>
    <n v="1914"/>
    <n v="1955"/>
    <n v="3869"/>
    <n v="1835"/>
  </r>
  <r>
    <n v="57"/>
    <x v="45"/>
    <x v="3"/>
    <n v="828"/>
    <n v="917"/>
    <n v="1745"/>
    <n v="838"/>
  </r>
  <r>
    <n v="57"/>
    <x v="45"/>
    <x v="3"/>
    <n v="1960"/>
    <n v="2199"/>
    <n v="4159"/>
    <n v="2089"/>
  </r>
  <r>
    <n v="57"/>
    <x v="45"/>
    <x v="3"/>
    <n v="2791"/>
    <n v="3038"/>
    <n v="5829"/>
    <n v="2321"/>
  </r>
  <r>
    <n v="57"/>
    <x v="45"/>
    <x v="3"/>
    <n v="1939"/>
    <n v="2100"/>
    <n v="4039"/>
    <n v="2328"/>
  </r>
  <r>
    <n v="57"/>
    <x v="45"/>
    <x v="3"/>
    <n v="1875"/>
    <n v="2237"/>
    <n v="4112"/>
    <n v="2431"/>
  </r>
  <r>
    <n v="57"/>
    <x v="45"/>
    <x v="3"/>
    <n v="1301"/>
    <n v="1487"/>
    <n v="2788"/>
    <n v="1656"/>
  </r>
  <r>
    <n v="57"/>
    <x v="45"/>
    <x v="3"/>
    <n v="2252"/>
    <n v="2344"/>
    <n v="4596"/>
    <n v="2209"/>
  </r>
  <r>
    <n v="57"/>
    <x v="45"/>
    <x v="3"/>
    <n v="695"/>
    <n v="743"/>
    <n v="1438"/>
    <n v="1162"/>
  </r>
  <r>
    <n v="57"/>
    <x v="45"/>
    <x v="3"/>
    <n v="2256"/>
    <n v="2631"/>
    <n v="4887"/>
    <n v="2584"/>
  </r>
  <r>
    <n v="57"/>
    <x v="45"/>
    <x v="3"/>
    <n v="12943"/>
    <n v="14824"/>
    <n v="27767"/>
    <n v="13969"/>
  </r>
  <r>
    <n v="57"/>
    <x v="45"/>
    <x v="3"/>
    <n v="2885"/>
    <n v="3225"/>
    <n v="6110"/>
    <n v="3420"/>
  </r>
  <r>
    <n v="57"/>
    <x v="45"/>
    <x v="3"/>
    <n v="1263"/>
    <n v="1425"/>
    <n v="2688"/>
    <n v="1312"/>
  </r>
  <r>
    <n v="57"/>
    <x v="45"/>
    <x v="3"/>
    <n v="1627"/>
    <n v="1867"/>
    <n v="3494"/>
    <n v="2475"/>
  </r>
  <r>
    <n v="57"/>
    <x v="45"/>
    <x v="3"/>
    <n v="2034"/>
    <n v="2296"/>
    <n v="4330"/>
    <n v="2218"/>
  </r>
  <r>
    <n v="57"/>
    <x v="45"/>
    <x v="3"/>
    <n v="6550"/>
    <n v="7299"/>
    <n v="13849"/>
    <n v="6399"/>
  </r>
  <r>
    <n v="57"/>
    <x v="45"/>
    <x v="3"/>
    <n v="2990"/>
    <n v="3172"/>
    <n v="6162"/>
    <n v="2579"/>
  </r>
  <r>
    <n v="57"/>
    <x v="45"/>
    <x v="3"/>
    <n v="3619"/>
    <n v="3725"/>
    <n v="7344"/>
    <n v="3266"/>
  </r>
  <r>
    <n v="57"/>
    <x v="45"/>
    <x v="3"/>
    <n v="2823"/>
    <n v="3306"/>
    <n v="6129"/>
    <n v="3628"/>
  </r>
  <r>
    <n v="57"/>
    <x v="45"/>
    <x v="3"/>
    <n v="2280"/>
    <n v="2631"/>
    <n v="4911"/>
    <n v="2907"/>
  </r>
  <r>
    <n v="57"/>
    <x v="45"/>
    <x v="3"/>
    <n v="1827"/>
    <n v="1987"/>
    <n v="3814"/>
    <n v="1627"/>
  </r>
  <r>
    <n v="57"/>
    <x v="45"/>
    <x v="3"/>
    <n v="1647"/>
    <n v="1938"/>
    <n v="3585"/>
    <n v="2389"/>
  </r>
  <r>
    <n v="57"/>
    <x v="45"/>
    <x v="3"/>
    <n v="2774"/>
    <n v="2940"/>
    <n v="5714"/>
    <n v="2579"/>
  </r>
  <r>
    <n v="57"/>
    <x v="45"/>
    <x v="3"/>
    <n v="3138"/>
    <n v="3591"/>
    <n v="6729"/>
    <n v="3317"/>
  </r>
  <r>
    <n v="57"/>
    <x v="45"/>
    <x v="3"/>
    <n v="37038"/>
    <n v="41450"/>
    <n v="78488"/>
    <n v="53491"/>
  </r>
  <r>
    <n v="58"/>
    <x v="46"/>
    <x v="3"/>
    <n v="145723"/>
    <n v="142359"/>
    <n v="288082"/>
    <n v="123826"/>
  </r>
  <r>
    <n v="58"/>
    <x v="46"/>
    <x v="3"/>
    <n v="28508"/>
    <n v="28103"/>
    <n v="56611"/>
    <n v="24753"/>
  </r>
  <r>
    <n v="58"/>
    <x v="46"/>
    <x v="3"/>
    <n v="10455"/>
    <n v="9921"/>
    <n v="20376"/>
    <n v="8236"/>
  </r>
  <r>
    <n v="58"/>
    <x v="46"/>
    <x v="3"/>
    <n v="18255"/>
    <n v="17189"/>
    <n v="35444"/>
    <n v="16289"/>
  </r>
  <r>
    <n v="58"/>
    <x v="46"/>
    <x v="3"/>
    <n v="26495"/>
    <n v="26360"/>
    <n v="52855"/>
    <n v="22922"/>
  </r>
  <r>
    <n v="58"/>
    <x v="46"/>
    <x v="3"/>
    <n v="16153"/>
    <n v="15985"/>
    <n v="32138"/>
    <n v="11385"/>
  </r>
  <r>
    <n v="58"/>
    <x v="46"/>
    <x v="3"/>
    <n v="24583"/>
    <n v="23890"/>
    <n v="48473"/>
    <n v="18261"/>
  </r>
  <r>
    <n v="58"/>
    <x v="46"/>
    <x v="3"/>
    <n v="11535"/>
    <n v="10819"/>
    <n v="22354"/>
    <n v="9415"/>
  </r>
  <r>
    <n v="58"/>
    <x v="46"/>
    <x v="3"/>
    <n v="1707"/>
    <n v="1757"/>
    <n v="3464"/>
    <n v="1865"/>
  </r>
  <r>
    <n v="58"/>
    <x v="46"/>
    <x v="3"/>
    <n v="1277"/>
    <n v="1421"/>
    <n v="2698"/>
    <n v="2057"/>
  </r>
  <r>
    <n v="58"/>
    <x v="46"/>
    <x v="3"/>
    <n v="1636"/>
    <n v="1699"/>
    <n v="3335"/>
    <n v="1963"/>
  </r>
  <r>
    <n v="58"/>
    <x v="46"/>
    <x v="3"/>
    <n v="1724"/>
    <n v="1789"/>
    <n v="3513"/>
    <n v="1859"/>
  </r>
  <r>
    <n v="58"/>
    <x v="46"/>
    <x v="3"/>
    <n v="3395"/>
    <n v="3426"/>
    <n v="6821"/>
    <n v="4821"/>
  </r>
  <r>
    <n v="60"/>
    <x v="47"/>
    <x v="4"/>
    <n v="493281"/>
    <n v="521120"/>
    <n v="1014401"/>
    <n v="437370"/>
  </r>
  <r>
    <n v="60"/>
    <x v="47"/>
    <x v="4"/>
    <n v="77626"/>
    <n v="84161"/>
    <n v="161787"/>
    <n v="75749"/>
  </r>
  <r>
    <n v="60"/>
    <x v="47"/>
    <x v="4"/>
    <n v="12750"/>
    <n v="13488"/>
    <n v="26238"/>
    <n v="10080"/>
  </r>
  <r>
    <n v="60"/>
    <x v="47"/>
    <x v="4"/>
    <n v="25148"/>
    <n v="26765"/>
    <n v="51913"/>
    <n v="19025"/>
  </r>
  <r>
    <n v="60"/>
    <x v="47"/>
    <x v="4"/>
    <n v="26352"/>
    <n v="26847"/>
    <n v="53199"/>
    <n v="24157"/>
  </r>
  <r>
    <n v="60"/>
    <x v="47"/>
    <x v="4"/>
    <n v="38702"/>
    <n v="40327"/>
    <n v="79029"/>
    <n v="29473"/>
  </r>
  <r>
    <n v="60"/>
    <x v="47"/>
    <x v="4"/>
    <n v="13652"/>
    <n v="14395"/>
    <n v="28047"/>
    <n v="11018"/>
  </r>
  <r>
    <n v="60"/>
    <x v="47"/>
    <x v="4"/>
    <n v="37323"/>
    <n v="38318"/>
    <n v="75641"/>
    <n v="31157"/>
  </r>
  <r>
    <n v="60"/>
    <x v="47"/>
    <x v="4"/>
    <n v="28667"/>
    <n v="30097"/>
    <n v="58764"/>
    <n v="24302"/>
  </r>
  <r>
    <n v="60"/>
    <x v="47"/>
    <x v="4"/>
    <n v="29102"/>
    <n v="29738"/>
    <n v="58840"/>
    <n v="22125"/>
  </r>
  <r>
    <n v="60"/>
    <x v="47"/>
    <x v="4"/>
    <n v="23856"/>
    <n v="25370"/>
    <n v="49226"/>
    <n v="21914"/>
  </r>
  <r>
    <n v="60"/>
    <x v="47"/>
    <x v="4"/>
    <n v="35173"/>
    <n v="36633"/>
    <n v="71806"/>
    <n v="27862"/>
  </r>
  <r>
    <n v="60"/>
    <x v="47"/>
    <x v="4"/>
    <n v="16410"/>
    <n v="16986"/>
    <n v="33396"/>
    <n v="13183"/>
  </r>
  <r>
    <n v="60"/>
    <x v="47"/>
    <x v="4"/>
    <n v="24370"/>
    <n v="24587"/>
    <n v="48957"/>
    <n v="19342"/>
  </r>
  <r>
    <n v="60"/>
    <x v="47"/>
    <x v="4"/>
    <n v="10302"/>
    <n v="10286"/>
    <n v="20588"/>
    <n v="6444"/>
  </r>
  <r>
    <n v="60"/>
    <x v="47"/>
    <x v="4"/>
    <n v="8785"/>
    <n v="8860"/>
    <n v="17645"/>
    <n v="6675"/>
  </r>
  <r>
    <n v="60"/>
    <x v="47"/>
    <x v="4"/>
    <n v="2477"/>
    <n v="2685"/>
    <n v="5162"/>
    <n v="2872"/>
  </r>
  <r>
    <n v="60"/>
    <x v="47"/>
    <x v="4"/>
    <n v="2641"/>
    <n v="3002"/>
    <n v="5643"/>
    <n v="3529"/>
  </r>
  <r>
    <n v="60"/>
    <x v="47"/>
    <x v="4"/>
    <n v="1493"/>
    <n v="1715"/>
    <n v="3208"/>
    <n v="1510"/>
  </r>
  <r>
    <n v="60"/>
    <x v="47"/>
    <x v="4"/>
    <n v="2485"/>
    <n v="2903"/>
    <n v="5388"/>
    <n v="3056"/>
  </r>
  <r>
    <n v="60"/>
    <x v="47"/>
    <x v="4"/>
    <n v="2314"/>
    <n v="2560"/>
    <n v="4874"/>
    <n v="2815"/>
  </r>
  <r>
    <n v="60"/>
    <x v="47"/>
    <x v="4"/>
    <n v="4665"/>
    <n v="5204"/>
    <n v="9869"/>
    <n v="5150"/>
  </r>
  <r>
    <n v="60"/>
    <x v="47"/>
    <x v="4"/>
    <n v="2472"/>
    <n v="2830"/>
    <n v="5302"/>
    <n v="2960"/>
  </r>
  <r>
    <n v="60"/>
    <x v="47"/>
    <x v="4"/>
    <n v="1377"/>
    <n v="1513"/>
    <n v="2890"/>
    <n v="1101"/>
  </r>
  <r>
    <n v="60"/>
    <x v="47"/>
    <x v="4"/>
    <n v="2659"/>
    <n v="2908"/>
    <n v="5567"/>
    <n v="2395"/>
  </r>
  <r>
    <n v="60"/>
    <x v="47"/>
    <x v="4"/>
    <n v="1691"/>
    <n v="1860"/>
    <n v="3551"/>
    <n v="1904"/>
  </r>
  <r>
    <n v="60"/>
    <x v="47"/>
    <x v="4"/>
    <n v="5322"/>
    <n v="5931"/>
    <n v="11253"/>
    <n v="5235"/>
  </r>
  <r>
    <n v="60"/>
    <x v="47"/>
    <x v="4"/>
    <n v="992"/>
    <n v="1062"/>
    <n v="2054"/>
    <n v="843"/>
  </r>
  <r>
    <n v="60"/>
    <x v="47"/>
    <x v="4"/>
    <n v="2416"/>
    <n v="2518"/>
    <n v="4934"/>
    <n v="1653"/>
  </r>
  <r>
    <n v="60"/>
    <x v="47"/>
    <x v="4"/>
    <n v="1030"/>
    <n v="1120"/>
    <n v="2150"/>
    <n v="1014"/>
  </r>
  <r>
    <n v="60"/>
    <x v="47"/>
    <x v="4"/>
    <n v="1274"/>
    <n v="1564"/>
    <n v="2838"/>
    <n v="1549"/>
  </r>
  <r>
    <n v="60"/>
    <x v="47"/>
    <x v="4"/>
    <n v="10464"/>
    <n v="11529"/>
    <n v="21993"/>
    <n v="10222"/>
  </r>
  <r>
    <n v="60"/>
    <x v="47"/>
    <x v="4"/>
    <n v="3372"/>
    <n v="3775"/>
    <n v="7147"/>
    <n v="3659"/>
  </r>
  <r>
    <n v="60"/>
    <x v="47"/>
    <x v="4"/>
    <n v="35919"/>
    <n v="39583"/>
    <n v="75502"/>
    <n v="43397"/>
  </r>
  <r>
    <n v="61"/>
    <x v="48"/>
    <x v="4"/>
    <n v="156311"/>
    <n v="164134"/>
    <n v="320445"/>
    <n v="132050"/>
  </r>
  <r>
    <n v="61"/>
    <x v="48"/>
    <x v="4"/>
    <n v="16774"/>
    <n v="18295"/>
    <n v="35069"/>
    <n v="14621"/>
  </r>
  <r>
    <n v="61"/>
    <x v="48"/>
    <x v="4"/>
    <n v="7665"/>
    <n v="8048"/>
    <n v="15713"/>
    <n v="5691"/>
  </r>
  <r>
    <n v="61"/>
    <x v="48"/>
    <x v="4"/>
    <n v="14694"/>
    <n v="14778"/>
    <n v="29472"/>
    <n v="10339"/>
  </r>
  <r>
    <n v="61"/>
    <x v="48"/>
    <x v="4"/>
    <n v="16210"/>
    <n v="17240"/>
    <n v="33450"/>
    <n v="12418"/>
  </r>
  <r>
    <n v="61"/>
    <x v="48"/>
    <x v="4"/>
    <n v="7094"/>
    <n v="7970"/>
    <n v="15064"/>
    <n v="6232"/>
  </r>
  <r>
    <n v="61"/>
    <x v="48"/>
    <x v="4"/>
    <n v="31238"/>
    <n v="31766"/>
    <n v="63004"/>
    <n v="26148"/>
  </r>
  <r>
    <n v="61"/>
    <x v="48"/>
    <x v="4"/>
    <n v="27178"/>
    <n v="27676"/>
    <n v="54854"/>
    <n v="19905"/>
  </r>
  <r>
    <n v="61"/>
    <x v="48"/>
    <x v="4"/>
    <n v="9933"/>
    <n v="10192"/>
    <n v="20125"/>
    <n v="7862"/>
  </r>
  <r>
    <n v="61"/>
    <x v="48"/>
    <x v="4"/>
    <n v="993"/>
    <n v="1121"/>
    <n v="2114"/>
    <n v="702"/>
  </r>
  <r>
    <n v="61"/>
    <x v="48"/>
    <x v="4"/>
    <n v="1614"/>
    <n v="1659"/>
    <n v="3273"/>
    <n v="2279"/>
  </r>
  <r>
    <n v="61"/>
    <x v="48"/>
    <x v="4"/>
    <n v="1001"/>
    <n v="1102"/>
    <n v="2103"/>
    <n v="1096"/>
  </r>
  <r>
    <n v="61"/>
    <x v="48"/>
    <x v="4"/>
    <n v="1178"/>
    <n v="1238"/>
    <n v="2416"/>
    <n v="1450"/>
  </r>
  <r>
    <n v="61"/>
    <x v="48"/>
    <x v="4"/>
    <n v="263"/>
    <n v="305"/>
    <n v="568"/>
    <n v="354"/>
  </r>
  <r>
    <n v="61"/>
    <x v="48"/>
    <x v="4"/>
    <n v="1245"/>
    <n v="1414"/>
    <n v="2659"/>
    <n v="1994"/>
  </r>
  <r>
    <n v="61"/>
    <x v="48"/>
    <x v="4"/>
    <n v="2889"/>
    <n v="3167"/>
    <n v="6056"/>
    <n v="2484"/>
  </r>
  <r>
    <n v="61"/>
    <x v="48"/>
    <x v="4"/>
    <n v="748"/>
    <n v="820"/>
    <n v="1568"/>
    <n v="1028"/>
  </r>
  <r>
    <n v="61"/>
    <x v="48"/>
    <x v="4"/>
    <n v="4122"/>
    <n v="4494"/>
    <n v="8616"/>
    <n v="3836"/>
  </r>
  <r>
    <n v="61"/>
    <x v="48"/>
    <x v="4"/>
    <n v="5386"/>
    <n v="5659"/>
    <n v="11045"/>
    <n v="3795"/>
  </r>
  <r>
    <n v="61"/>
    <x v="48"/>
    <x v="4"/>
    <n v="6086"/>
    <n v="7190"/>
    <n v="13276"/>
    <n v="9816"/>
  </r>
  <r>
    <n v="62"/>
    <x v="49"/>
    <x v="4"/>
    <n v="345166"/>
    <n v="355696"/>
    <n v="700862"/>
    <n v="291549"/>
  </r>
  <r>
    <n v="62"/>
    <x v="49"/>
    <x v="4"/>
    <n v="66087"/>
    <n v="68691"/>
    <n v="134778"/>
    <n v="55772"/>
  </r>
  <r>
    <n v="62"/>
    <x v="49"/>
    <x v="4"/>
    <n v="22013"/>
    <n v="22412"/>
    <n v="44425"/>
    <n v="15521"/>
  </r>
  <r>
    <n v="62"/>
    <x v="49"/>
    <x v="4"/>
    <n v="19903"/>
    <n v="19460"/>
    <n v="39363"/>
    <n v="15701"/>
  </r>
  <r>
    <n v="62"/>
    <x v="49"/>
    <x v="4"/>
    <n v="33394"/>
    <n v="33970"/>
    <n v="67364"/>
    <n v="26662"/>
  </r>
  <r>
    <n v="62"/>
    <x v="49"/>
    <x v="4"/>
    <n v="26805"/>
    <n v="27926"/>
    <n v="54731"/>
    <n v="24394"/>
  </r>
  <r>
    <n v="62"/>
    <x v="49"/>
    <x v="4"/>
    <n v="24025"/>
    <n v="24196"/>
    <n v="48221"/>
    <n v="16841"/>
  </r>
  <r>
    <n v="62"/>
    <x v="49"/>
    <x v="4"/>
    <n v="16073"/>
    <n v="16156"/>
    <n v="32229"/>
    <n v="11655"/>
  </r>
  <r>
    <n v="62"/>
    <x v="49"/>
    <x v="4"/>
    <n v="6819"/>
    <n v="6866"/>
    <n v="13685"/>
    <n v="4314"/>
  </r>
  <r>
    <n v="62"/>
    <x v="49"/>
    <x v="4"/>
    <n v="14877"/>
    <n v="14905"/>
    <n v="29782"/>
    <n v="11693"/>
  </r>
  <r>
    <n v="62"/>
    <x v="49"/>
    <x v="4"/>
    <n v="8958"/>
    <n v="9030"/>
    <n v="17988"/>
    <n v="7609"/>
  </r>
  <r>
    <n v="62"/>
    <x v="49"/>
    <x v="4"/>
    <n v="13768"/>
    <n v="13764"/>
    <n v="27532"/>
    <n v="11187"/>
  </r>
  <r>
    <n v="62"/>
    <x v="49"/>
    <x v="4"/>
    <n v="8616"/>
    <n v="8709"/>
    <n v="17325"/>
    <n v="6982"/>
  </r>
  <r>
    <n v="62"/>
    <x v="49"/>
    <x v="4"/>
    <n v="3535"/>
    <n v="3535"/>
    <n v="7070"/>
    <n v="3056"/>
  </r>
  <r>
    <n v="62"/>
    <x v="49"/>
    <x v="4"/>
    <n v="3497"/>
    <n v="3647"/>
    <n v="7144"/>
    <n v="3720"/>
  </r>
  <r>
    <n v="62"/>
    <x v="49"/>
    <x v="4"/>
    <n v="2802"/>
    <n v="2947"/>
    <n v="5749"/>
    <n v="2322"/>
  </r>
  <r>
    <n v="62"/>
    <x v="49"/>
    <x v="4"/>
    <n v="4416"/>
    <n v="4585"/>
    <n v="9001"/>
    <n v="3758"/>
  </r>
  <r>
    <n v="62"/>
    <x v="49"/>
    <x v="4"/>
    <n v="2622"/>
    <n v="2730"/>
    <n v="5352"/>
    <n v="2170"/>
  </r>
  <r>
    <n v="62"/>
    <x v="49"/>
    <x v="4"/>
    <n v="4133"/>
    <n v="4337"/>
    <n v="8470"/>
    <n v="3379"/>
  </r>
  <r>
    <n v="62"/>
    <x v="49"/>
    <x v="4"/>
    <n v="9772"/>
    <n v="10350"/>
    <n v="20122"/>
    <n v="8895"/>
  </r>
  <r>
    <n v="62"/>
    <x v="49"/>
    <x v="4"/>
    <n v="10809"/>
    <n v="11268"/>
    <n v="22077"/>
    <n v="8793"/>
  </r>
  <r>
    <n v="62"/>
    <x v="49"/>
    <x v="4"/>
    <n v="2841"/>
    <n v="2854"/>
    <n v="5695"/>
    <n v="1837"/>
  </r>
  <r>
    <n v="62"/>
    <x v="49"/>
    <x v="4"/>
    <n v="2119"/>
    <n v="2191"/>
    <n v="4310"/>
    <n v="2649"/>
  </r>
  <r>
    <n v="62"/>
    <x v="49"/>
    <x v="4"/>
    <n v="3938"/>
    <n v="4307"/>
    <n v="8245"/>
    <n v="3782"/>
  </r>
  <r>
    <n v="62"/>
    <x v="49"/>
    <x v="4"/>
    <n v="1769"/>
    <n v="1901"/>
    <n v="3670"/>
    <n v="2081"/>
  </r>
  <r>
    <n v="62"/>
    <x v="49"/>
    <x v="4"/>
    <n v="718"/>
    <n v="749"/>
    <n v="1467"/>
    <n v="660"/>
  </r>
  <r>
    <n v="62"/>
    <x v="49"/>
    <x v="4"/>
    <n v="935"/>
    <n v="960"/>
    <n v="1895"/>
    <n v="1040"/>
  </r>
  <r>
    <n v="62"/>
    <x v="49"/>
    <x v="4"/>
    <n v="3729"/>
    <n v="4097"/>
    <n v="7826"/>
    <n v="4552"/>
  </r>
  <r>
    <n v="62"/>
    <x v="49"/>
    <x v="4"/>
    <n v="3733"/>
    <n v="4004"/>
    <n v="7737"/>
    <n v="3539"/>
  </r>
  <r>
    <n v="62"/>
    <x v="49"/>
    <x v="4"/>
    <n v="2319"/>
    <n v="2555"/>
    <n v="4874"/>
    <n v="2583"/>
  </r>
  <r>
    <n v="62"/>
    <x v="49"/>
    <x v="4"/>
    <n v="1478"/>
    <n v="1619"/>
    <n v="3097"/>
    <n v="1365"/>
  </r>
  <r>
    <n v="62"/>
    <x v="49"/>
    <x v="4"/>
    <n v="3106"/>
    <n v="3518"/>
    <n v="6624"/>
    <n v="3593"/>
  </r>
  <r>
    <n v="62"/>
    <x v="49"/>
    <x v="4"/>
    <n v="2776"/>
    <n v="2923"/>
    <n v="5699"/>
    <n v="2533"/>
  </r>
  <r>
    <n v="62"/>
    <x v="49"/>
    <x v="4"/>
    <n v="12781"/>
    <n v="14534"/>
    <n v="27315"/>
    <n v="16911"/>
  </r>
  <r>
    <n v="63"/>
    <x v="50"/>
    <x v="4"/>
    <n v="352933"/>
    <n v="345664"/>
    <n v="698597"/>
    <n v="241517"/>
  </r>
  <r>
    <n v="63"/>
    <x v="50"/>
    <x v="4"/>
    <n v="36761"/>
    <n v="37458"/>
    <n v="74219"/>
    <n v="29973"/>
  </r>
  <r>
    <n v="63"/>
    <x v="50"/>
    <x v="4"/>
    <n v="15192"/>
    <n v="15558"/>
    <n v="30750"/>
    <n v="11386"/>
  </r>
  <r>
    <n v="63"/>
    <x v="50"/>
    <x v="4"/>
    <n v="12327"/>
    <n v="12661"/>
    <n v="24988"/>
    <n v="9820"/>
  </r>
  <r>
    <n v="63"/>
    <x v="50"/>
    <x v="4"/>
    <n v="26265"/>
    <n v="24932"/>
    <n v="51197"/>
    <n v="17900"/>
  </r>
  <r>
    <n v="63"/>
    <x v="50"/>
    <x v="4"/>
    <n v="49437"/>
    <n v="46717"/>
    <n v="96154"/>
    <n v="25740"/>
  </r>
  <r>
    <n v="63"/>
    <x v="50"/>
    <x v="4"/>
    <n v="53030"/>
    <n v="51965"/>
    <n v="104995"/>
    <n v="40494"/>
  </r>
  <r>
    <n v="63"/>
    <x v="50"/>
    <x v="4"/>
    <n v="47042"/>
    <n v="45272"/>
    <n v="92314"/>
    <n v="22051"/>
  </r>
  <r>
    <n v="63"/>
    <x v="50"/>
    <x v="4"/>
    <n v="24541"/>
    <n v="22687"/>
    <n v="47228"/>
    <n v="12341"/>
  </r>
  <r>
    <n v="63"/>
    <x v="50"/>
    <x v="4"/>
    <n v="15328"/>
    <n v="15221"/>
    <n v="30549"/>
    <n v="9746"/>
  </r>
  <r>
    <n v="63"/>
    <x v="50"/>
    <x v="4"/>
    <n v="6259"/>
    <n v="5190"/>
    <n v="11449"/>
    <n v="6594"/>
  </r>
  <r>
    <n v="63"/>
    <x v="50"/>
    <x v="4"/>
    <n v="2090"/>
    <n v="2086"/>
    <n v="4176"/>
    <n v="2012"/>
  </r>
  <r>
    <n v="63"/>
    <x v="50"/>
    <x v="4"/>
    <n v="2573"/>
    <n v="2405"/>
    <n v="4978"/>
    <n v="950"/>
  </r>
  <r>
    <n v="63"/>
    <x v="50"/>
    <x v="4"/>
    <n v="3668"/>
    <n v="3468"/>
    <n v="7136"/>
    <n v="3002"/>
  </r>
  <r>
    <n v="63"/>
    <x v="50"/>
    <x v="4"/>
    <n v="3244"/>
    <n v="3399"/>
    <n v="6643"/>
    <n v="3269"/>
  </r>
  <r>
    <n v="63"/>
    <x v="50"/>
    <x v="4"/>
    <n v="12320"/>
    <n v="11635"/>
    <n v="23955"/>
    <n v="5075"/>
  </r>
  <r>
    <n v="63"/>
    <x v="50"/>
    <x v="4"/>
    <n v="2276"/>
    <n v="2333"/>
    <n v="4609"/>
    <n v="1467"/>
  </r>
  <r>
    <n v="63"/>
    <x v="50"/>
    <x v="4"/>
    <n v="1896"/>
    <n v="1928"/>
    <n v="3824"/>
    <n v="1912"/>
  </r>
  <r>
    <n v="63"/>
    <x v="50"/>
    <x v="4"/>
    <n v="2442"/>
    <n v="2596"/>
    <n v="5038"/>
    <n v="2206"/>
  </r>
  <r>
    <n v="63"/>
    <x v="50"/>
    <x v="4"/>
    <n v="2067"/>
    <n v="2292"/>
    <n v="4359"/>
    <n v="2223"/>
  </r>
  <r>
    <n v="63"/>
    <x v="50"/>
    <x v="4"/>
    <n v="2859"/>
    <n v="3379"/>
    <n v="6238"/>
    <n v="2772"/>
  </r>
  <r>
    <n v="63"/>
    <x v="50"/>
    <x v="4"/>
    <n v="2902"/>
    <n v="2964"/>
    <n v="5866"/>
    <n v="2183"/>
  </r>
  <r>
    <n v="63"/>
    <x v="50"/>
    <x v="4"/>
    <n v="21349"/>
    <n v="21525"/>
    <n v="42874"/>
    <n v="20802"/>
  </r>
  <r>
    <n v="63"/>
    <x v="50"/>
    <x v="4"/>
    <n v="7065"/>
    <n v="7993"/>
    <n v="15058"/>
    <n v="7599"/>
  </r>
  <r>
    <n v="64"/>
    <x v="51"/>
    <x v="4"/>
    <n v="277179"/>
    <n v="296209"/>
    <n v="573388"/>
    <n v="229235"/>
  </r>
  <r>
    <n v="64"/>
    <x v="51"/>
    <x v="4"/>
    <n v="28840"/>
    <n v="31136"/>
    <n v="59976"/>
    <n v="23787"/>
  </r>
  <r>
    <n v="64"/>
    <x v="51"/>
    <x v="4"/>
    <n v="21876"/>
    <n v="22173"/>
    <n v="44049"/>
    <n v="15097"/>
  </r>
  <r>
    <n v="64"/>
    <x v="51"/>
    <x v="4"/>
    <n v="22494"/>
    <n v="23070"/>
    <n v="45564"/>
    <n v="14916"/>
  </r>
  <r>
    <n v="64"/>
    <x v="51"/>
    <x v="4"/>
    <n v="28261"/>
    <n v="29822"/>
    <n v="58083"/>
    <n v="21194"/>
  </r>
  <r>
    <n v="64"/>
    <x v="51"/>
    <x v="4"/>
    <n v="33764"/>
    <n v="35097"/>
    <n v="68861"/>
    <n v="27910"/>
  </r>
  <r>
    <n v="64"/>
    <x v="51"/>
    <x v="4"/>
    <n v="28734"/>
    <n v="31204"/>
    <n v="59938"/>
    <n v="23244"/>
  </r>
  <r>
    <n v="64"/>
    <x v="51"/>
    <x v="4"/>
    <n v="23522"/>
    <n v="25651"/>
    <n v="49173"/>
    <n v="20740"/>
  </r>
  <r>
    <n v="64"/>
    <x v="51"/>
    <x v="4"/>
    <n v="10601"/>
    <n v="11306"/>
    <n v="21907"/>
    <n v="8404"/>
  </r>
  <r>
    <n v="64"/>
    <x v="51"/>
    <x v="4"/>
    <n v="20175"/>
    <n v="20797"/>
    <n v="40972"/>
    <n v="15441"/>
  </r>
  <r>
    <n v="64"/>
    <x v="51"/>
    <x v="4"/>
    <n v="3946"/>
    <n v="4136"/>
    <n v="8082"/>
    <n v="3514"/>
  </r>
  <r>
    <n v="64"/>
    <x v="51"/>
    <x v="4"/>
    <n v="3627"/>
    <n v="3902"/>
    <n v="7529"/>
    <n v="2861"/>
  </r>
  <r>
    <n v="64"/>
    <x v="51"/>
    <x v="4"/>
    <n v="7396"/>
    <n v="8346"/>
    <n v="15742"/>
    <n v="7465"/>
  </r>
  <r>
    <n v="64"/>
    <x v="51"/>
    <x v="4"/>
    <n v="3334"/>
    <n v="3687"/>
    <n v="7021"/>
    <n v="3106"/>
  </r>
  <r>
    <n v="64"/>
    <x v="51"/>
    <x v="4"/>
    <n v="1383"/>
    <n v="1591"/>
    <n v="2974"/>
    <n v="1724"/>
  </r>
  <r>
    <n v="64"/>
    <x v="51"/>
    <x v="4"/>
    <n v="3280"/>
    <n v="3802"/>
    <n v="7082"/>
    <n v="3614"/>
  </r>
  <r>
    <n v="64"/>
    <x v="51"/>
    <x v="4"/>
    <n v="2955"/>
    <n v="3335"/>
    <n v="6290"/>
    <n v="3722"/>
  </r>
  <r>
    <n v="64"/>
    <x v="51"/>
    <x v="4"/>
    <n v="6961"/>
    <n v="7619"/>
    <n v="14580"/>
    <n v="5984"/>
  </r>
  <r>
    <n v="64"/>
    <x v="51"/>
    <x v="4"/>
    <n v="1877"/>
    <n v="2088"/>
    <n v="3965"/>
    <n v="2090"/>
  </r>
  <r>
    <n v="64"/>
    <x v="51"/>
    <x v="4"/>
    <n v="1375"/>
    <n v="1551"/>
    <n v="2926"/>
    <n v="1685"/>
  </r>
  <r>
    <n v="64"/>
    <x v="51"/>
    <x v="4"/>
    <n v="3277"/>
    <n v="3626"/>
    <n v="6903"/>
    <n v="2472"/>
  </r>
  <r>
    <n v="64"/>
    <x v="51"/>
    <x v="4"/>
    <n v="1645"/>
    <n v="1792"/>
    <n v="3437"/>
    <n v="1761"/>
  </r>
  <r>
    <n v="64"/>
    <x v="51"/>
    <x v="4"/>
    <n v="3238"/>
    <n v="3783"/>
    <n v="7021"/>
    <n v="2721"/>
  </r>
  <r>
    <n v="64"/>
    <x v="51"/>
    <x v="4"/>
    <n v="1927"/>
    <n v="2151"/>
    <n v="4078"/>
    <n v="1735"/>
  </r>
  <r>
    <n v="64"/>
    <x v="51"/>
    <x v="4"/>
    <n v="6506"/>
    <n v="7398"/>
    <n v="13904"/>
    <n v="6855"/>
  </r>
  <r>
    <n v="64"/>
    <x v="51"/>
    <x v="4"/>
    <n v="6185"/>
    <n v="7146"/>
    <n v="13331"/>
    <n v="7193"/>
  </r>
  <r>
    <n v="65"/>
    <x v="52"/>
    <x v="4"/>
    <n v="409596"/>
    <n v="429520"/>
    <n v="839116"/>
    <n v="372740"/>
  </r>
  <r>
    <n v="65"/>
    <x v="52"/>
    <x v="4"/>
    <n v="87748"/>
    <n v="94344"/>
    <n v="182092"/>
    <n v="92279"/>
  </r>
  <r>
    <n v="65"/>
    <x v="52"/>
    <x v="4"/>
    <n v="32799"/>
    <n v="33301"/>
    <n v="66100"/>
    <n v="24693"/>
  </r>
  <r>
    <n v="65"/>
    <x v="52"/>
    <x v="4"/>
    <n v="18303"/>
    <n v="17984"/>
    <n v="36287"/>
    <n v="12891"/>
  </r>
  <r>
    <n v="65"/>
    <x v="52"/>
    <x v="4"/>
    <n v="36094"/>
    <n v="37438"/>
    <n v="73532"/>
    <n v="27265"/>
  </r>
  <r>
    <n v="65"/>
    <x v="52"/>
    <x v="4"/>
    <n v="15503"/>
    <n v="16434"/>
    <n v="31937"/>
    <n v="12352"/>
  </r>
  <r>
    <n v="65"/>
    <x v="52"/>
    <x v="4"/>
    <n v="38585"/>
    <n v="40733"/>
    <n v="79318"/>
    <n v="31721"/>
  </r>
  <r>
    <n v="65"/>
    <x v="52"/>
    <x v="4"/>
    <n v="14342"/>
    <n v="14685"/>
    <n v="29027"/>
    <n v="11675"/>
  </r>
  <r>
    <n v="65"/>
    <x v="52"/>
    <x v="4"/>
    <n v="55920"/>
    <n v="57530"/>
    <n v="113450"/>
    <n v="45986"/>
  </r>
  <r>
    <n v="65"/>
    <x v="52"/>
    <x v="4"/>
    <n v="18860"/>
    <n v="19082"/>
    <n v="37942"/>
    <n v="15431"/>
  </r>
  <r>
    <n v="65"/>
    <x v="52"/>
    <x v="4"/>
    <n v="15918"/>
    <n v="13364"/>
    <n v="29282"/>
    <n v="14707"/>
  </r>
  <r>
    <n v="65"/>
    <x v="52"/>
    <x v="4"/>
    <n v="3395"/>
    <n v="3447"/>
    <n v="6842"/>
    <n v="2773"/>
  </r>
  <r>
    <n v="65"/>
    <x v="52"/>
    <x v="4"/>
    <n v="2115"/>
    <n v="2259"/>
    <n v="4374"/>
    <n v="1733"/>
  </r>
  <r>
    <n v="65"/>
    <x v="52"/>
    <x v="4"/>
    <n v="3796"/>
    <n v="4276"/>
    <n v="8072"/>
    <n v="4608"/>
  </r>
  <r>
    <n v="65"/>
    <x v="52"/>
    <x v="4"/>
    <n v="2955"/>
    <n v="3023"/>
    <n v="5978"/>
    <n v="2159"/>
  </r>
  <r>
    <n v="65"/>
    <x v="52"/>
    <x v="4"/>
    <n v="4089"/>
    <n v="4213"/>
    <n v="8302"/>
    <n v="3282"/>
  </r>
  <r>
    <n v="65"/>
    <x v="52"/>
    <x v="4"/>
    <n v="5130"/>
    <n v="5002"/>
    <n v="10132"/>
    <n v="4971"/>
  </r>
  <r>
    <n v="65"/>
    <x v="52"/>
    <x v="4"/>
    <n v="1620"/>
    <n v="1778"/>
    <n v="3398"/>
    <n v="1704"/>
  </r>
  <r>
    <n v="65"/>
    <x v="52"/>
    <x v="4"/>
    <n v="1852"/>
    <n v="2139"/>
    <n v="3991"/>
    <n v="1751"/>
  </r>
  <r>
    <n v="65"/>
    <x v="52"/>
    <x v="4"/>
    <n v="3688"/>
    <n v="4138"/>
    <n v="7826"/>
    <n v="4216"/>
  </r>
  <r>
    <n v="65"/>
    <x v="52"/>
    <x v="4"/>
    <n v="1472"/>
    <n v="1534"/>
    <n v="3006"/>
    <n v="1600"/>
  </r>
  <r>
    <n v="65"/>
    <x v="52"/>
    <x v="4"/>
    <n v="500"/>
    <n v="603"/>
    <n v="1103"/>
    <n v="556"/>
  </r>
  <r>
    <n v="65"/>
    <x v="52"/>
    <x v="4"/>
    <n v="747"/>
    <n v="770"/>
    <n v="1517"/>
    <n v="625"/>
  </r>
  <r>
    <n v="65"/>
    <x v="52"/>
    <x v="4"/>
    <n v="5591"/>
    <n v="5878"/>
    <n v="11469"/>
    <n v="4699"/>
  </r>
  <r>
    <n v="65"/>
    <x v="52"/>
    <x v="4"/>
    <n v="1653"/>
    <n v="1813"/>
    <n v="3466"/>
    <n v="1361"/>
  </r>
  <r>
    <n v="65"/>
    <x v="52"/>
    <x v="4"/>
    <n v="1891"/>
    <n v="2117"/>
    <n v="4008"/>
    <n v="2041"/>
  </r>
  <r>
    <n v="65"/>
    <x v="52"/>
    <x v="4"/>
    <n v="2546"/>
    <n v="2712"/>
    <n v="5258"/>
    <n v="2690"/>
  </r>
  <r>
    <n v="65"/>
    <x v="52"/>
    <x v="4"/>
    <n v="4195"/>
    <n v="4501"/>
    <n v="8696"/>
    <n v="4202"/>
  </r>
  <r>
    <n v="65"/>
    <x v="52"/>
    <x v="4"/>
    <n v="894"/>
    <n v="990"/>
    <n v="1884"/>
    <n v="827"/>
  </r>
  <r>
    <n v="65"/>
    <x v="52"/>
    <x v="4"/>
    <n v="27395"/>
    <n v="33432"/>
    <n v="60827"/>
    <n v="37942"/>
  </r>
  <r>
    <n v="66"/>
    <x v="53"/>
    <x v="4"/>
    <n v="251787"/>
    <n v="265521"/>
    <n v="517308"/>
    <n v="206966"/>
  </r>
  <r>
    <n v="66"/>
    <x v="53"/>
    <x v="4"/>
    <n v="34873"/>
    <n v="37236"/>
    <n v="72109"/>
    <n v="27851"/>
  </r>
  <r>
    <n v="66"/>
    <x v="53"/>
    <x v="4"/>
    <n v="8362"/>
    <n v="8635"/>
    <n v="16997"/>
    <n v="6110"/>
  </r>
  <r>
    <n v="66"/>
    <x v="53"/>
    <x v="4"/>
    <n v="16603"/>
    <n v="17065"/>
    <n v="33668"/>
    <n v="12035"/>
  </r>
  <r>
    <n v="66"/>
    <x v="53"/>
    <x v="4"/>
    <n v="21200"/>
    <n v="22435"/>
    <n v="43635"/>
    <n v="16534"/>
  </r>
  <r>
    <n v="66"/>
    <x v="53"/>
    <x v="4"/>
    <n v="9561"/>
    <n v="10267"/>
    <n v="19828"/>
    <n v="8198"/>
  </r>
  <r>
    <n v="66"/>
    <x v="53"/>
    <x v="4"/>
    <n v="26120"/>
    <n v="27296"/>
    <n v="53416"/>
    <n v="19461"/>
  </r>
  <r>
    <n v="66"/>
    <x v="53"/>
    <x v="4"/>
    <n v="12436"/>
    <n v="12757"/>
    <n v="25193"/>
    <n v="9050"/>
  </r>
  <r>
    <n v="66"/>
    <x v="53"/>
    <x v="4"/>
    <n v="16149"/>
    <n v="16770"/>
    <n v="32919"/>
    <n v="13175"/>
  </r>
  <r>
    <n v="66"/>
    <x v="53"/>
    <x v="4"/>
    <n v="8724"/>
    <n v="8850"/>
    <n v="17574"/>
    <n v="6349"/>
  </r>
  <r>
    <n v="66"/>
    <x v="53"/>
    <x v="4"/>
    <n v="13972"/>
    <n v="14588"/>
    <n v="28560"/>
    <n v="11128"/>
  </r>
  <r>
    <n v="66"/>
    <x v="53"/>
    <x v="4"/>
    <n v="8248"/>
    <n v="8524"/>
    <n v="16772"/>
    <n v="6604"/>
  </r>
  <r>
    <n v="66"/>
    <x v="53"/>
    <x v="4"/>
    <n v="15139"/>
    <n v="15524"/>
    <n v="30663"/>
    <n v="11520"/>
  </r>
  <r>
    <n v="66"/>
    <x v="53"/>
    <x v="4"/>
    <n v="3280"/>
    <n v="3442"/>
    <n v="6722"/>
    <n v="2419"/>
  </r>
  <r>
    <n v="66"/>
    <x v="53"/>
    <x v="4"/>
    <n v="1641"/>
    <n v="1694"/>
    <n v="3335"/>
    <n v="1192"/>
  </r>
  <r>
    <n v="66"/>
    <x v="53"/>
    <x v="4"/>
    <n v="3173"/>
    <n v="3486"/>
    <n v="6659"/>
    <n v="3145"/>
  </r>
  <r>
    <n v="66"/>
    <x v="53"/>
    <x v="4"/>
    <n v="2811"/>
    <n v="2991"/>
    <n v="5802"/>
    <n v="2787"/>
  </r>
  <r>
    <n v="66"/>
    <x v="53"/>
    <x v="4"/>
    <n v="2281"/>
    <n v="2372"/>
    <n v="4653"/>
    <n v="1656"/>
  </r>
  <r>
    <n v="66"/>
    <x v="53"/>
    <x v="4"/>
    <n v="4458"/>
    <n v="4521"/>
    <n v="8979"/>
    <n v="3230"/>
  </r>
  <r>
    <n v="66"/>
    <x v="53"/>
    <x v="4"/>
    <n v="1057"/>
    <n v="1069"/>
    <n v="2126"/>
    <n v="934"/>
  </r>
  <r>
    <n v="66"/>
    <x v="53"/>
    <x v="4"/>
    <n v="2450"/>
    <n v="2700"/>
    <n v="5150"/>
    <n v="2464"/>
  </r>
  <r>
    <n v="66"/>
    <x v="53"/>
    <x v="4"/>
    <n v="1931"/>
    <n v="2103"/>
    <n v="4034"/>
    <n v="1810"/>
  </r>
  <r>
    <n v="66"/>
    <x v="53"/>
    <x v="4"/>
    <n v="2019"/>
    <n v="2072"/>
    <n v="4091"/>
    <n v="1945"/>
  </r>
  <r>
    <n v="66"/>
    <x v="53"/>
    <x v="4"/>
    <n v="2115"/>
    <n v="2444"/>
    <n v="4559"/>
    <n v="2293"/>
  </r>
  <r>
    <n v="66"/>
    <x v="53"/>
    <x v="4"/>
    <n v="1010"/>
    <n v="1097"/>
    <n v="2107"/>
    <n v="833"/>
  </r>
  <r>
    <n v="66"/>
    <x v="53"/>
    <x v="4"/>
    <n v="1118"/>
    <n v="1200"/>
    <n v="2318"/>
    <n v="1041"/>
  </r>
  <r>
    <n v="66"/>
    <x v="53"/>
    <x v="4"/>
    <n v="739"/>
    <n v="719"/>
    <n v="1458"/>
    <n v="538"/>
  </r>
  <r>
    <n v="66"/>
    <x v="53"/>
    <x v="4"/>
    <n v="778"/>
    <n v="771"/>
    <n v="1549"/>
    <n v="660"/>
  </r>
  <r>
    <n v="66"/>
    <x v="53"/>
    <x v="4"/>
    <n v="696"/>
    <n v="761"/>
    <n v="1457"/>
    <n v="651"/>
  </r>
  <r>
    <n v="66"/>
    <x v="53"/>
    <x v="4"/>
    <n v="4288"/>
    <n v="4553"/>
    <n v="8841"/>
    <n v="3671"/>
  </r>
  <r>
    <n v="66"/>
    <x v="53"/>
    <x v="4"/>
    <n v="1573"/>
    <n v="1629"/>
    <n v="3202"/>
    <n v="1303"/>
  </r>
  <r>
    <n v="66"/>
    <x v="53"/>
    <x v="4"/>
    <n v="1432"/>
    <n v="1535"/>
    <n v="2967"/>
    <n v="1220"/>
  </r>
  <r>
    <n v="66"/>
    <x v="53"/>
    <x v="4"/>
    <n v="1419"/>
    <n v="1462"/>
    <n v="2881"/>
    <n v="1077"/>
  </r>
  <r>
    <n v="66"/>
    <x v="53"/>
    <x v="4"/>
    <n v="1489"/>
    <n v="1625"/>
    <n v="3114"/>
    <n v="1232"/>
  </r>
  <r>
    <n v="66"/>
    <x v="53"/>
    <x v="4"/>
    <n v="3495"/>
    <n v="3924"/>
    <n v="7419"/>
    <n v="3736"/>
  </r>
  <r>
    <n v="66"/>
    <x v="53"/>
    <x v="4"/>
    <n v="5767"/>
    <n v="6674"/>
    <n v="12441"/>
    <n v="6387"/>
  </r>
  <r>
    <n v="66"/>
    <x v="53"/>
    <x v="4"/>
    <n v="9380"/>
    <n v="10730"/>
    <n v="20110"/>
    <n v="12727"/>
  </r>
  <r>
    <n v="67"/>
    <x v="54"/>
    <x v="4"/>
    <n v="472067"/>
    <n v="488651"/>
    <n v="960718"/>
    <n v="382224"/>
  </r>
  <r>
    <n v="67"/>
    <x v="54"/>
    <x v="4"/>
    <n v="78298"/>
    <n v="78940"/>
    <n v="157238"/>
    <n v="65186"/>
  </r>
  <r>
    <n v="67"/>
    <x v="54"/>
    <x v="4"/>
    <n v="33181"/>
    <n v="33447"/>
    <n v="66628"/>
    <n v="28853"/>
  </r>
  <r>
    <n v="67"/>
    <x v="54"/>
    <x v="4"/>
    <n v="68898"/>
    <n v="72868"/>
    <n v="141766"/>
    <n v="51250"/>
  </r>
  <r>
    <n v="67"/>
    <x v="54"/>
    <x v="4"/>
    <n v="28559"/>
    <n v="30087"/>
    <n v="58646"/>
    <n v="19775"/>
  </r>
  <r>
    <n v="67"/>
    <x v="54"/>
    <x v="4"/>
    <n v="48551"/>
    <n v="49903"/>
    <n v="98454"/>
    <n v="34906"/>
  </r>
  <r>
    <n v="67"/>
    <x v="54"/>
    <x v="4"/>
    <n v="27699"/>
    <n v="28225"/>
    <n v="55924"/>
    <n v="20467"/>
  </r>
  <r>
    <n v="67"/>
    <x v="54"/>
    <x v="4"/>
    <n v="36867"/>
    <n v="37520"/>
    <n v="74387"/>
    <n v="26138"/>
  </r>
  <r>
    <n v="67"/>
    <x v="54"/>
    <x v="4"/>
    <n v="30585"/>
    <n v="31299"/>
    <n v="61884"/>
    <n v="26852"/>
  </r>
  <r>
    <n v="67"/>
    <x v="54"/>
    <x v="4"/>
    <n v="9472"/>
    <n v="9136"/>
    <n v="18608"/>
    <n v="7610"/>
  </r>
  <r>
    <n v="67"/>
    <x v="54"/>
    <x v="4"/>
    <n v="13723"/>
    <n v="14042"/>
    <n v="27765"/>
    <n v="9636"/>
  </r>
  <r>
    <n v="67"/>
    <x v="54"/>
    <x v="4"/>
    <n v="18245"/>
    <n v="18203"/>
    <n v="36448"/>
    <n v="13251"/>
  </r>
  <r>
    <n v="67"/>
    <x v="54"/>
    <x v="4"/>
    <n v="2565"/>
    <n v="2792"/>
    <n v="5357"/>
    <n v="3336"/>
  </r>
  <r>
    <n v="67"/>
    <x v="54"/>
    <x v="4"/>
    <n v="3172"/>
    <n v="3222"/>
    <n v="6394"/>
    <n v="2250"/>
  </r>
  <r>
    <n v="67"/>
    <x v="54"/>
    <x v="4"/>
    <n v="2874"/>
    <n v="2867"/>
    <n v="5741"/>
    <n v="1955"/>
  </r>
  <r>
    <n v="67"/>
    <x v="54"/>
    <x v="4"/>
    <n v="4614"/>
    <n v="4798"/>
    <n v="9412"/>
    <n v="3126"/>
  </r>
  <r>
    <n v="67"/>
    <x v="54"/>
    <x v="4"/>
    <n v="5971"/>
    <n v="6711"/>
    <n v="12682"/>
    <n v="5901"/>
  </r>
  <r>
    <n v="67"/>
    <x v="54"/>
    <x v="4"/>
    <n v="3636"/>
    <n v="3693"/>
    <n v="7329"/>
    <n v="2659"/>
  </r>
  <r>
    <n v="67"/>
    <x v="54"/>
    <x v="4"/>
    <n v="1769"/>
    <n v="1992"/>
    <n v="3761"/>
    <n v="1570"/>
  </r>
  <r>
    <n v="67"/>
    <x v="54"/>
    <x v="4"/>
    <n v="1565"/>
    <n v="1698"/>
    <n v="3263"/>
    <n v="1108"/>
  </r>
  <r>
    <n v="67"/>
    <x v="54"/>
    <x v="4"/>
    <n v="3996"/>
    <n v="4242"/>
    <n v="8238"/>
    <n v="5186"/>
  </r>
  <r>
    <n v="67"/>
    <x v="54"/>
    <x v="4"/>
    <n v="3284"/>
    <n v="3656"/>
    <n v="6940"/>
    <n v="3906"/>
  </r>
  <r>
    <n v="67"/>
    <x v="54"/>
    <x v="4"/>
    <n v="1897"/>
    <n v="2137"/>
    <n v="4034"/>
    <n v="1781"/>
  </r>
  <r>
    <n v="67"/>
    <x v="54"/>
    <x v="4"/>
    <n v="3016"/>
    <n v="3331"/>
    <n v="6347"/>
    <n v="3004"/>
  </r>
  <r>
    <n v="67"/>
    <x v="54"/>
    <x v="4"/>
    <n v="10253"/>
    <n v="11339"/>
    <n v="21592"/>
    <n v="9093"/>
  </r>
  <r>
    <n v="67"/>
    <x v="54"/>
    <x v="4"/>
    <n v="3426"/>
    <n v="3580"/>
    <n v="7006"/>
    <n v="3080"/>
  </r>
  <r>
    <n v="67"/>
    <x v="54"/>
    <x v="4"/>
    <n v="2589"/>
    <n v="2919"/>
    <n v="5508"/>
    <n v="2697"/>
  </r>
  <r>
    <n v="67"/>
    <x v="54"/>
    <x v="4"/>
    <n v="1192"/>
    <n v="1188"/>
    <n v="2380"/>
    <n v="1001"/>
  </r>
  <r>
    <n v="67"/>
    <x v="54"/>
    <x v="4"/>
    <n v="1146"/>
    <n v="1288"/>
    <n v="2434"/>
    <n v="1087"/>
  </r>
  <r>
    <n v="67"/>
    <x v="54"/>
    <x v="4"/>
    <n v="1727"/>
    <n v="1649"/>
    <n v="3376"/>
    <n v="1867"/>
  </r>
  <r>
    <n v="67"/>
    <x v="54"/>
    <x v="4"/>
    <n v="1536"/>
    <n v="1760"/>
    <n v="3296"/>
    <n v="1355"/>
  </r>
  <r>
    <n v="67"/>
    <x v="54"/>
    <x v="4"/>
    <n v="3501"/>
    <n v="3858"/>
    <n v="7359"/>
    <n v="2653"/>
  </r>
  <r>
    <n v="67"/>
    <x v="54"/>
    <x v="4"/>
    <n v="5153"/>
    <n v="5783"/>
    <n v="10936"/>
    <n v="6740"/>
  </r>
  <r>
    <n v="67"/>
    <x v="54"/>
    <x v="4"/>
    <n v="9107"/>
    <n v="10478"/>
    <n v="19585"/>
    <n v="12945"/>
  </r>
  <r>
    <n v="70"/>
    <x v="55"/>
    <x v="4"/>
    <n v="418947"/>
    <n v="445090"/>
    <n v="864037"/>
    <n v="350718"/>
  </r>
  <r>
    <n v="70"/>
    <x v="55"/>
    <x v="4"/>
    <n v="60153"/>
    <n v="63962"/>
    <n v="124115"/>
    <n v="52162"/>
  </r>
  <r>
    <n v="70"/>
    <x v="55"/>
    <x v="4"/>
    <n v="28696"/>
    <n v="29645"/>
    <n v="58341"/>
    <n v="20865"/>
  </r>
  <r>
    <n v="70"/>
    <x v="55"/>
    <x v="4"/>
    <n v="25022"/>
    <n v="23126"/>
    <n v="48148"/>
    <n v="15578"/>
  </r>
  <r>
    <n v="70"/>
    <x v="55"/>
    <x v="4"/>
    <n v="34870"/>
    <n v="37345"/>
    <n v="72215"/>
    <n v="24547"/>
  </r>
  <r>
    <n v="70"/>
    <x v="55"/>
    <x v="4"/>
    <n v="46318"/>
    <n v="50415"/>
    <n v="96733"/>
    <n v="39680"/>
  </r>
  <r>
    <n v="70"/>
    <x v="55"/>
    <x v="4"/>
    <n v="8438"/>
    <n v="9222"/>
    <n v="17660"/>
    <n v="6927"/>
  </r>
  <r>
    <n v="70"/>
    <x v="55"/>
    <x v="4"/>
    <n v="34461"/>
    <n v="36798"/>
    <n v="71259"/>
    <n v="27161"/>
  </r>
  <r>
    <n v="70"/>
    <x v="55"/>
    <x v="4"/>
    <n v="25565"/>
    <n v="26158"/>
    <n v="51723"/>
    <n v="19939"/>
  </r>
  <r>
    <n v="70"/>
    <x v="55"/>
    <x v="4"/>
    <n v="5071"/>
    <n v="5598"/>
    <n v="10669"/>
    <n v="3836"/>
  </r>
  <r>
    <n v="70"/>
    <x v="55"/>
    <x v="4"/>
    <n v="12777"/>
    <n v="12288"/>
    <n v="25065"/>
    <n v="10157"/>
  </r>
  <r>
    <n v="70"/>
    <x v="55"/>
    <x v="4"/>
    <n v="3322"/>
    <n v="3706"/>
    <n v="7028"/>
    <n v="3366"/>
  </r>
  <r>
    <n v="70"/>
    <x v="55"/>
    <x v="4"/>
    <n v="2534"/>
    <n v="2675"/>
    <n v="5209"/>
    <n v="2007"/>
  </r>
  <r>
    <n v="70"/>
    <x v="55"/>
    <x v="4"/>
    <n v="7654"/>
    <n v="8712"/>
    <n v="16366"/>
    <n v="7156"/>
  </r>
  <r>
    <n v="70"/>
    <x v="55"/>
    <x v="4"/>
    <n v="6903"/>
    <n v="7043"/>
    <n v="13946"/>
    <n v="4712"/>
  </r>
  <r>
    <n v="70"/>
    <x v="55"/>
    <x v="4"/>
    <n v="4122"/>
    <n v="4646"/>
    <n v="8768"/>
    <n v="3860"/>
  </r>
  <r>
    <n v="70"/>
    <x v="55"/>
    <x v="4"/>
    <n v="6154"/>
    <n v="6710"/>
    <n v="12864"/>
    <n v="4138"/>
  </r>
  <r>
    <n v="70"/>
    <x v="55"/>
    <x v="4"/>
    <n v="5694"/>
    <n v="6309"/>
    <n v="12003"/>
    <n v="4825"/>
  </r>
  <r>
    <n v="70"/>
    <x v="55"/>
    <x v="4"/>
    <n v="633"/>
    <n v="704"/>
    <n v="1337"/>
    <n v="569"/>
  </r>
  <r>
    <n v="70"/>
    <x v="55"/>
    <x v="4"/>
    <n v="1305"/>
    <n v="1394"/>
    <n v="2699"/>
    <n v="1449"/>
  </r>
  <r>
    <n v="70"/>
    <x v="55"/>
    <x v="4"/>
    <n v="1740"/>
    <n v="2025"/>
    <n v="3765"/>
    <n v="2282"/>
  </r>
  <r>
    <n v="70"/>
    <x v="55"/>
    <x v="4"/>
    <n v="5287"/>
    <n v="5840"/>
    <n v="11127"/>
    <n v="5599"/>
  </r>
  <r>
    <n v="70"/>
    <x v="55"/>
    <x v="4"/>
    <n v="2752"/>
    <n v="3044"/>
    <n v="5796"/>
    <n v="2484"/>
  </r>
  <r>
    <n v="70"/>
    <x v="55"/>
    <x v="4"/>
    <n v="3528"/>
    <n v="3763"/>
    <n v="7291"/>
    <n v="2763"/>
  </r>
  <r>
    <n v="70"/>
    <x v="55"/>
    <x v="4"/>
    <n v="5028"/>
    <n v="5360"/>
    <n v="10388"/>
    <n v="3893"/>
  </r>
  <r>
    <n v="70"/>
    <x v="55"/>
    <x v="4"/>
    <n v="7546"/>
    <n v="8316"/>
    <n v="15862"/>
    <n v="6970"/>
  </r>
  <r>
    <n v="70"/>
    <x v="55"/>
    <x v="4"/>
    <n v="781"/>
    <n v="814"/>
    <n v="1595"/>
    <n v="750"/>
  </r>
  <r>
    <n v="70"/>
    <x v="55"/>
    <x v="4"/>
    <n v="9616"/>
    <n v="10326"/>
    <n v="19942"/>
    <n v="8822"/>
  </r>
  <r>
    <n v="70"/>
    <x v="55"/>
    <x v="4"/>
    <n v="3695"/>
    <n v="4087"/>
    <n v="7782"/>
    <n v="4028"/>
  </r>
  <r>
    <n v="70"/>
    <x v="55"/>
    <x v="4"/>
    <n v="4870"/>
    <n v="5400"/>
    <n v="10270"/>
    <n v="3637"/>
  </r>
  <r>
    <n v="70"/>
    <x v="55"/>
    <x v="4"/>
    <n v="3204"/>
    <n v="3670"/>
    <n v="6874"/>
    <n v="3361"/>
  </r>
  <r>
    <n v="70"/>
    <x v="55"/>
    <x v="4"/>
    <n v="1733"/>
    <n v="1730"/>
    <n v="3463"/>
    <n v="1934"/>
  </r>
  <r>
    <n v="70"/>
    <x v="55"/>
    <x v="4"/>
    <n v="1897"/>
    <n v="1901"/>
    <n v="3798"/>
    <n v="2012"/>
  </r>
  <r>
    <n v="70"/>
    <x v="55"/>
    <x v="4"/>
    <n v="1249"/>
    <n v="1223"/>
    <n v="2472"/>
    <n v="862"/>
  </r>
  <r>
    <n v="70"/>
    <x v="55"/>
    <x v="4"/>
    <n v="2207"/>
    <n v="2536"/>
    <n v="4743"/>
    <n v="3798"/>
  </r>
  <r>
    <n v="70"/>
    <x v="55"/>
    <x v="4"/>
    <n v="5301"/>
    <n v="5761"/>
    <n v="11062"/>
    <n v="4694"/>
  </r>
  <r>
    <n v="70"/>
    <x v="55"/>
    <x v="4"/>
    <n v="8940"/>
    <n v="8092"/>
    <n v="17032"/>
    <n v="7609"/>
  </r>
  <r>
    <n v="70"/>
    <x v="55"/>
    <x v="4"/>
    <n v="4401"/>
    <n v="4930"/>
    <n v="9331"/>
    <n v="3450"/>
  </r>
  <r>
    <n v="70"/>
    <x v="55"/>
    <x v="4"/>
    <n v="3770"/>
    <n v="4178"/>
    <n v="7948"/>
    <n v="3801"/>
  </r>
  <r>
    <n v="70"/>
    <x v="55"/>
    <x v="4"/>
    <n v="6807"/>
    <n v="7837"/>
    <n v="14644"/>
    <n v="8367"/>
  </r>
  <r>
    <n v="70"/>
    <x v="55"/>
    <x v="4"/>
    <n v="14903"/>
    <n v="17801"/>
    <n v="32704"/>
    <n v="16668"/>
  </r>
  <r>
    <n v="71"/>
    <x v="56"/>
    <x v="4"/>
    <n v="447653"/>
    <n v="448698"/>
    <n v="896351"/>
    <n v="370344"/>
  </r>
  <r>
    <n v="71"/>
    <x v="56"/>
    <x v="4"/>
    <n v="53705"/>
    <n v="43933"/>
    <n v="97638"/>
    <n v="41020"/>
  </r>
  <r>
    <n v="71"/>
    <x v="56"/>
    <x v="4"/>
    <n v="31203"/>
    <n v="29496"/>
    <n v="60699"/>
    <n v="21755"/>
  </r>
  <r>
    <n v="71"/>
    <x v="56"/>
    <x v="4"/>
    <n v="24053"/>
    <n v="24276"/>
    <n v="48329"/>
    <n v="19491"/>
  </r>
  <r>
    <n v="71"/>
    <x v="56"/>
    <x v="4"/>
    <n v="13294"/>
    <n v="12550"/>
    <n v="25844"/>
    <n v="10672"/>
  </r>
  <r>
    <n v="71"/>
    <x v="56"/>
    <x v="4"/>
    <n v="43866"/>
    <n v="46774"/>
    <n v="90640"/>
    <n v="33417"/>
  </r>
  <r>
    <n v="71"/>
    <x v="56"/>
    <x v="4"/>
    <n v="28199"/>
    <n v="30128"/>
    <n v="58327"/>
    <n v="25626"/>
  </r>
  <r>
    <n v="71"/>
    <x v="56"/>
    <x v="4"/>
    <n v="35360"/>
    <n v="32903"/>
    <n v="68263"/>
    <n v="28793"/>
  </r>
  <r>
    <n v="71"/>
    <x v="56"/>
    <x v="4"/>
    <n v="23025"/>
    <n v="21665"/>
    <n v="44690"/>
    <n v="12951"/>
  </r>
  <r>
    <n v="71"/>
    <x v="56"/>
    <x v="4"/>
    <n v="15680"/>
    <n v="16736"/>
    <n v="32416"/>
    <n v="11959"/>
  </r>
  <r>
    <n v="71"/>
    <x v="56"/>
    <x v="4"/>
    <n v="26726"/>
    <n v="27010"/>
    <n v="53736"/>
    <n v="19798"/>
  </r>
  <r>
    <n v="71"/>
    <x v="56"/>
    <x v="4"/>
    <n v="15566"/>
    <n v="15737"/>
    <n v="31303"/>
    <n v="11387"/>
  </r>
  <r>
    <n v="71"/>
    <x v="56"/>
    <x v="4"/>
    <n v="13847"/>
    <n v="13510"/>
    <n v="27357"/>
    <n v="10106"/>
  </r>
  <r>
    <n v="71"/>
    <x v="56"/>
    <x v="4"/>
    <n v="16684"/>
    <n v="17414"/>
    <n v="34098"/>
    <n v="12599"/>
  </r>
  <r>
    <n v="71"/>
    <x v="56"/>
    <x v="4"/>
    <n v="3576"/>
    <n v="3593"/>
    <n v="7169"/>
    <n v="2701"/>
  </r>
  <r>
    <n v="71"/>
    <x v="56"/>
    <x v="4"/>
    <n v="1727"/>
    <n v="1940"/>
    <n v="3667"/>
    <n v="1261"/>
  </r>
  <r>
    <n v="71"/>
    <x v="56"/>
    <x v="4"/>
    <n v="13488"/>
    <n v="15102"/>
    <n v="28590"/>
    <n v="17024"/>
  </r>
  <r>
    <n v="71"/>
    <x v="56"/>
    <x v="4"/>
    <n v="5707"/>
    <n v="6074"/>
    <n v="11781"/>
    <n v="5465"/>
  </r>
  <r>
    <n v="71"/>
    <x v="56"/>
    <x v="4"/>
    <n v="4357"/>
    <n v="4873"/>
    <n v="9230"/>
    <n v="4148"/>
  </r>
  <r>
    <n v="71"/>
    <x v="56"/>
    <x v="4"/>
    <n v="4399"/>
    <n v="4932"/>
    <n v="9331"/>
    <n v="4092"/>
  </r>
  <r>
    <n v="71"/>
    <x v="56"/>
    <x v="4"/>
    <n v="2107"/>
    <n v="2268"/>
    <n v="4375"/>
    <n v="1899"/>
  </r>
  <r>
    <n v="71"/>
    <x v="56"/>
    <x v="4"/>
    <n v="1185"/>
    <n v="1248"/>
    <n v="2433"/>
    <n v="1333"/>
  </r>
  <r>
    <n v="71"/>
    <x v="56"/>
    <x v="4"/>
    <n v="1046"/>
    <n v="1157"/>
    <n v="2203"/>
    <n v="978"/>
  </r>
  <r>
    <n v="71"/>
    <x v="56"/>
    <x v="4"/>
    <n v="1317"/>
    <n v="1331"/>
    <n v="2648"/>
    <n v="1409"/>
  </r>
  <r>
    <n v="71"/>
    <x v="56"/>
    <x v="4"/>
    <n v="1872"/>
    <n v="2113"/>
    <n v="3985"/>
    <n v="1879"/>
  </r>
  <r>
    <n v="71"/>
    <x v="56"/>
    <x v="4"/>
    <n v="2389"/>
    <n v="2693"/>
    <n v="5082"/>
    <n v="2286"/>
  </r>
  <r>
    <n v="71"/>
    <x v="56"/>
    <x v="4"/>
    <n v="4974"/>
    <n v="4795"/>
    <n v="9769"/>
    <n v="2731"/>
  </r>
  <r>
    <n v="71"/>
    <x v="56"/>
    <x v="4"/>
    <n v="1547"/>
    <n v="1505"/>
    <n v="3052"/>
    <n v="1633"/>
  </r>
  <r>
    <n v="71"/>
    <x v="56"/>
    <x v="4"/>
    <n v="1488"/>
    <n v="1557"/>
    <n v="3045"/>
    <n v="1015"/>
  </r>
  <r>
    <n v="71"/>
    <x v="56"/>
    <x v="4"/>
    <n v="2297"/>
    <n v="2560"/>
    <n v="4857"/>
    <n v="1637"/>
  </r>
  <r>
    <n v="71"/>
    <x v="56"/>
    <x v="4"/>
    <n v="872"/>
    <n v="906"/>
    <n v="1778"/>
    <n v="669"/>
  </r>
  <r>
    <n v="71"/>
    <x v="56"/>
    <x v="4"/>
    <n v="4305"/>
    <n v="5046"/>
    <n v="9351"/>
    <n v="5595"/>
  </r>
  <r>
    <n v="71"/>
    <x v="56"/>
    <x v="4"/>
    <n v="2116"/>
    <n v="2273"/>
    <n v="4389"/>
    <n v="2056"/>
  </r>
  <r>
    <n v="71"/>
    <x v="56"/>
    <x v="4"/>
    <n v="2949"/>
    <n v="3246"/>
    <n v="6195"/>
    <n v="2327"/>
  </r>
  <r>
    <n v="71"/>
    <x v="56"/>
    <x v="4"/>
    <n v="4259"/>
    <n v="4625"/>
    <n v="8884"/>
    <n v="4014"/>
  </r>
  <r>
    <n v="71"/>
    <x v="56"/>
    <x v="4"/>
    <n v="3713"/>
    <n v="4314"/>
    <n v="8027"/>
    <n v="4803"/>
  </r>
  <r>
    <n v="71"/>
    <x v="56"/>
    <x v="4"/>
    <n v="1526"/>
    <n v="1779"/>
    <n v="3305"/>
    <n v="1530"/>
  </r>
  <r>
    <n v="71"/>
    <x v="56"/>
    <x v="4"/>
    <n v="482"/>
    <n v="531"/>
    <n v="1013"/>
    <n v="727"/>
  </r>
  <r>
    <n v="71"/>
    <x v="56"/>
    <x v="4"/>
    <n v="1042"/>
    <n v="1113"/>
    <n v="2155"/>
    <n v="856"/>
  </r>
  <r>
    <n v="71"/>
    <x v="56"/>
    <x v="4"/>
    <n v="3327"/>
    <n v="3365"/>
    <n v="6692"/>
    <n v="2844"/>
  </r>
  <r>
    <n v="71"/>
    <x v="56"/>
    <x v="4"/>
    <n v="1069"/>
    <n v="1051"/>
    <n v="2120"/>
    <n v="925"/>
  </r>
  <r>
    <n v="71"/>
    <x v="56"/>
    <x v="4"/>
    <n v="1933"/>
    <n v="1981"/>
    <n v="3914"/>
    <n v="1726"/>
  </r>
  <r>
    <n v="71"/>
    <x v="56"/>
    <x v="4"/>
    <n v="3355"/>
    <n v="3765"/>
    <n v="7120"/>
    <n v="3399"/>
  </r>
  <r>
    <n v="71"/>
    <x v="56"/>
    <x v="4"/>
    <n v="2599"/>
    <n v="2814"/>
    <n v="5413"/>
    <n v="2480"/>
  </r>
  <r>
    <n v="71"/>
    <x v="56"/>
    <x v="4"/>
    <n v="3029"/>
    <n v="3428"/>
    <n v="6457"/>
    <n v="3967"/>
  </r>
  <r>
    <n v="71"/>
    <x v="56"/>
    <x v="4"/>
    <n v="4904"/>
    <n v="5453"/>
    <n v="10357"/>
    <n v="5177"/>
  </r>
  <r>
    <n v="71"/>
    <x v="56"/>
    <x v="4"/>
    <n v="11489"/>
    <n v="13135"/>
    <n v="24624"/>
    <n v="16184"/>
  </r>
  <r>
    <n v="72"/>
    <x v="57"/>
    <x v="4"/>
    <n v="395769"/>
    <n v="426442"/>
    <n v="822211"/>
    <n v="324002"/>
  </r>
  <r>
    <n v="72"/>
    <x v="57"/>
    <x v="4"/>
    <n v="50456"/>
    <n v="56290"/>
    <n v="106746"/>
    <n v="40705"/>
  </r>
  <r>
    <n v="72"/>
    <x v="57"/>
    <x v="4"/>
    <n v="19559"/>
    <n v="20966"/>
    <n v="40525"/>
    <n v="15842"/>
  </r>
  <r>
    <n v="72"/>
    <x v="57"/>
    <x v="4"/>
    <n v="30223"/>
    <n v="30947"/>
    <n v="61170"/>
    <n v="24388"/>
  </r>
  <r>
    <n v="72"/>
    <x v="57"/>
    <x v="4"/>
    <n v="27813"/>
    <n v="29197"/>
    <n v="57010"/>
    <n v="20334"/>
  </r>
  <r>
    <n v="72"/>
    <x v="57"/>
    <x v="4"/>
    <n v="18804"/>
    <n v="20602"/>
    <n v="39406"/>
    <n v="15689"/>
  </r>
  <r>
    <n v="72"/>
    <x v="57"/>
    <x v="4"/>
    <n v="19315"/>
    <n v="20878"/>
    <n v="40193"/>
    <n v="15607"/>
  </r>
  <r>
    <n v="72"/>
    <x v="57"/>
    <x v="4"/>
    <n v="53361"/>
    <n v="55629"/>
    <n v="108990"/>
    <n v="37714"/>
  </r>
  <r>
    <n v="72"/>
    <x v="57"/>
    <x v="4"/>
    <n v="18647"/>
    <n v="20253"/>
    <n v="38900"/>
    <n v="15603"/>
  </r>
  <r>
    <n v="72"/>
    <x v="57"/>
    <x v="4"/>
    <n v="31338"/>
    <n v="33245"/>
    <n v="64583"/>
    <n v="22947"/>
  </r>
  <r>
    <n v="72"/>
    <x v="57"/>
    <x v="4"/>
    <n v="22593"/>
    <n v="23740"/>
    <n v="46333"/>
    <n v="17555"/>
  </r>
  <r>
    <n v="72"/>
    <x v="57"/>
    <x v="4"/>
    <n v="2099"/>
    <n v="2302"/>
    <n v="4401"/>
    <n v="1828"/>
  </r>
  <r>
    <n v="72"/>
    <x v="57"/>
    <x v="4"/>
    <n v="7595"/>
    <n v="8031"/>
    <n v="15626"/>
    <n v="6169"/>
  </r>
  <r>
    <n v="72"/>
    <x v="57"/>
    <x v="4"/>
    <n v="3568"/>
    <n v="3733"/>
    <n v="7301"/>
    <n v="2042"/>
  </r>
  <r>
    <n v="72"/>
    <x v="57"/>
    <x v="4"/>
    <n v="4428"/>
    <n v="4535"/>
    <n v="8963"/>
    <n v="3526"/>
  </r>
  <r>
    <n v="72"/>
    <x v="57"/>
    <x v="4"/>
    <n v="3097"/>
    <n v="3544"/>
    <n v="6641"/>
    <n v="2939"/>
  </r>
  <r>
    <n v="72"/>
    <x v="57"/>
    <x v="4"/>
    <n v="900"/>
    <n v="961"/>
    <n v="1861"/>
    <n v="599"/>
  </r>
  <r>
    <n v="72"/>
    <x v="57"/>
    <x v="4"/>
    <n v="4251"/>
    <n v="5046"/>
    <n v="9297"/>
    <n v="5656"/>
  </r>
  <r>
    <n v="72"/>
    <x v="57"/>
    <x v="4"/>
    <n v="2600"/>
    <n v="2798"/>
    <n v="5398"/>
    <n v="1981"/>
  </r>
  <r>
    <n v="72"/>
    <x v="57"/>
    <x v="4"/>
    <n v="3612"/>
    <n v="3847"/>
    <n v="7459"/>
    <n v="2116"/>
  </r>
  <r>
    <n v="72"/>
    <x v="57"/>
    <x v="4"/>
    <n v="2532"/>
    <n v="2756"/>
    <n v="5288"/>
    <n v="2107"/>
  </r>
  <r>
    <n v="72"/>
    <x v="57"/>
    <x v="4"/>
    <n v="3878"/>
    <n v="4244"/>
    <n v="8122"/>
    <n v="2994"/>
  </r>
  <r>
    <n v="72"/>
    <x v="57"/>
    <x v="4"/>
    <n v="2617"/>
    <n v="2662"/>
    <n v="5279"/>
    <n v="1991"/>
  </r>
  <r>
    <n v="72"/>
    <x v="57"/>
    <x v="4"/>
    <n v="3209"/>
    <n v="3568"/>
    <n v="6777"/>
    <n v="2877"/>
  </r>
  <r>
    <n v="72"/>
    <x v="57"/>
    <x v="4"/>
    <n v="2896"/>
    <n v="3082"/>
    <n v="5978"/>
    <n v="2140"/>
  </r>
  <r>
    <n v="72"/>
    <x v="57"/>
    <x v="4"/>
    <n v="1103"/>
    <n v="1257"/>
    <n v="2360"/>
    <n v="1166"/>
  </r>
  <r>
    <n v="72"/>
    <x v="57"/>
    <x v="4"/>
    <n v="3414"/>
    <n v="3839"/>
    <n v="7253"/>
    <n v="3699"/>
  </r>
  <r>
    <n v="72"/>
    <x v="57"/>
    <x v="4"/>
    <n v="1280"/>
    <n v="1440"/>
    <n v="2720"/>
    <n v="1083"/>
  </r>
  <r>
    <n v="72"/>
    <x v="57"/>
    <x v="4"/>
    <n v="5723"/>
    <n v="6521"/>
    <n v="12244"/>
    <n v="6947"/>
  </r>
  <r>
    <n v="72"/>
    <x v="57"/>
    <x v="4"/>
    <n v="1507"/>
    <n v="1770"/>
    <n v="3277"/>
    <n v="1336"/>
  </r>
  <r>
    <n v="72"/>
    <x v="57"/>
    <x v="4"/>
    <n v="1187"/>
    <n v="1160"/>
    <n v="2347"/>
    <n v="1074"/>
  </r>
  <r>
    <n v="72"/>
    <x v="57"/>
    <x v="4"/>
    <n v="1370"/>
    <n v="1487"/>
    <n v="2857"/>
    <n v="1425"/>
  </r>
  <r>
    <n v="72"/>
    <x v="57"/>
    <x v="4"/>
    <n v="2557"/>
    <n v="2878"/>
    <n v="5435"/>
    <n v="2699"/>
  </r>
  <r>
    <n v="72"/>
    <x v="57"/>
    <x v="4"/>
    <n v="808"/>
    <n v="861"/>
    <n v="1669"/>
    <n v="619"/>
  </r>
  <r>
    <n v="72"/>
    <x v="57"/>
    <x v="4"/>
    <n v="571"/>
    <n v="569"/>
    <n v="1140"/>
    <n v="461"/>
  </r>
  <r>
    <n v="72"/>
    <x v="57"/>
    <x v="4"/>
    <n v="880"/>
    <n v="913"/>
    <n v="1793"/>
    <n v="693"/>
  </r>
  <r>
    <n v="72"/>
    <x v="57"/>
    <x v="4"/>
    <n v="709"/>
    <n v="758"/>
    <n v="1467"/>
    <n v="902"/>
  </r>
  <r>
    <n v="72"/>
    <x v="57"/>
    <x v="4"/>
    <n v="2592"/>
    <n v="2956"/>
    <n v="5548"/>
    <n v="3456"/>
  </r>
  <r>
    <n v="72"/>
    <x v="57"/>
    <x v="4"/>
    <n v="892"/>
    <n v="1031"/>
    <n v="1923"/>
    <n v="788"/>
  </r>
  <r>
    <n v="72"/>
    <x v="57"/>
    <x v="4"/>
    <n v="2030"/>
    <n v="2156"/>
    <n v="4186"/>
    <n v="1721"/>
  </r>
  <r>
    <n v="72"/>
    <x v="57"/>
    <x v="4"/>
    <n v="2495"/>
    <n v="2918"/>
    <n v="5413"/>
    <n v="3334"/>
  </r>
  <r>
    <n v="72"/>
    <x v="57"/>
    <x v="4"/>
    <n v="3051"/>
    <n v="3281"/>
    <n v="6332"/>
    <n v="2387"/>
  </r>
  <r>
    <n v="72"/>
    <x v="57"/>
    <x v="4"/>
    <n v="1465"/>
    <n v="1820"/>
    <n v="3285"/>
    <n v="1722"/>
  </r>
  <r>
    <n v="72"/>
    <x v="57"/>
    <x v="4"/>
    <n v="6583"/>
    <n v="7024"/>
    <n v="13607"/>
    <n v="4599"/>
  </r>
  <r>
    <n v="72"/>
    <x v="57"/>
    <x v="4"/>
    <n v="5497"/>
    <n v="6294"/>
    <n v="11791"/>
    <n v="5380"/>
  </r>
  <r>
    <n v="72"/>
    <x v="57"/>
    <x v="4"/>
    <n v="10664"/>
    <n v="12653"/>
    <n v="23317"/>
    <n v="13162"/>
  </r>
  <r>
    <n v="73"/>
    <x v="58"/>
    <x v="4"/>
    <n v="443395"/>
    <n v="482363"/>
    <n v="925758"/>
    <n v="442482"/>
  </r>
  <r>
    <n v="73"/>
    <x v="58"/>
    <x v="4"/>
    <n v="84488"/>
    <n v="92481"/>
    <n v="176969"/>
    <n v="72539"/>
  </r>
  <r>
    <n v="73"/>
    <x v="58"/>
    <x v="4"/>
    <n v="57664"/>
    <n v="60873"/>
    <n v="118537"/>
    <n v="42452"/>
  </r>
  <r>
    <n v="73"/>
    <x v="58"/>
    <x v="4"/>
    <n v="48155"/>
    <n v="53201"/>
    <n v="101356"/>
    <n v="41862"/>
  </r>
  <r>
    <n v="73"/>
    <x v="58"/>
    <x v="4"/>
    <n v="17445"/>
    <n v="18389"/>
    <n v="35834"/>
    <n v="11946"/>
  </r>
  <r>
    <n v="73"/>
    <x v="58"/>
    <x v="4"/>
    <n v="39587"/>
    <n v="40747"/>
    <n v="80334"/>
    <n v="31433"/>
  </r>
  <r>
    <n v="73"/>
    <x v="58"/>
    <x v="4"/>
    <n v="47571"/>
    <n v="52910"/>
    <n v="100481"/>
    <n v="52185"/>
  </r>
  <r>
    <n v="73"/>
    <x v="58"/>
    <x v="4"/>
    <n v="10584"/>
    <n v="12458"/>
    <n v="23042"/>
    <n v="12471"/>
  </r>
  <r>
    <n v="73"/>
    <x v="58"/>
    <x v="4"/>
    <n v="4598"/>
    <n v="5111"/>
    <n v="9709"/>
    <n v="5079"/>
  </r>
  <r>
    <n v="73"/>
    <x v="58"/>
    <x v="4"/>
    <n v="7218"/>
    <n v="8384"/>
    <n v="15602"/>
    <n v="9517"/>
  </r>
  <r>
    <n v="73"/>
    <x v="58"/>
    <x v="4"/>
    <n v="13578"/>
    <n v="15931"/>
    <n v="29509"/>
    <n v="19092"/>
  </r>
  <r>
    <n v="73"/>
    <x v="58"/>
    <x v="4"/>
    <n v="17045"/>
    <n v="19441"/>
    <n v="36486"/>
    <n v="27294"/>
  </r>
  <r>
    <n v="73"/>
    <x v="58"/>
    <x v="4"/>
    <n v="5169"/>
    <n v="5783"/>
    <n v="10952"/>
    <n v="4670"/>
  </r>
  <r>
    <n v="73"/>
    <x v="58"/>
    <x v="4"/>
    <n v="6551"/>
    <n v="5279"/>
    <n v="11830"/>
    <n v="9858"/>
  </r>
  <r>
    <n v="73"/>
    <x v="58"/>
    <x v="4"/>
    <n v="11551"/>
    <n v="12823"/>
    <n v="24374"/>
    <n v="22440"/>
  </r>
  <r>
    <n v="73"/>
    <x v="58"/>
    <x v="4"/>
    <n v="8520"/>
    <n v="7587"/>
    <n v="16107"/>
    <n v="9310"/>
  </r>
  <r>
    <n v="73"/>
    <x v="58"/>
    <x v="4"/>
    <n v="902"/>
    <n v="977"/>
    <n v="1879"/>
    <n v="665"/>
  </r>
  <r>
    <n v="73"/>
    <x v="58"/>
    <x v="4"/>
    <n v="981"/>
    <n v="1024"/>
    <n v="2005"/>
    <n v="753"/>
  </r>
  <r>
    <n v="73"/>
    <x v="58"/>
    <x v="4"/>
    <n v="976"/>
    <n v="1010"/>
    <n v="1986"/>
    <n v="738"/>
  </r>
  <r>
    <n v="73"/>
    <x v="58"/>
    <x v="4"/>
    <n v="4169"/>
    <n v="4205"/>
    <n v="8374"/>
    <n v="4440"/>
  </r>
  <r>
    <n v="73"/>
    <x v="58"/>
    <x v="4"/>
    <n v="6636"/>
    <n v="7291"/>
    <n v="13927"/>
    <n v="5216"/>
  </r>
  <r>
    <n v="73"/>
    <x v="58"/>
    <x v="4"/>
    <n v="1015"/>
    <n v="1132"/>
    <n v="2147"/>
    <n v="943"/>
  </r>
  <r>
    <n v="73"/>
    <x v="58"/>
    <x v="4"/>
    <n v="3573"/>
    <n v="4304"/>
    <n v="7877"/>
    <n v="5210"/>
  </r>
  <r>
    <n v="73"/>
    <x v="58"/>
    <x v="4"/>
    <n v="3151"/>
    <n v="3597"/>
    <n v="6748"/>
    <n v="4369"/>
  </r>
  <r>
    <n v="73"/>
    <x v="58"/>
    <x v="4"/>
    <n v="5124"/>
    <n v="5668"/>
    <n v="10792"/>
    <n v="4471"/>
  </r>
  <r>
    <n v="73"/>
    <x v="58"/>
    <x v="4"/>
    <n v="3218"/>
    <n v="3586"/>
    <n v="6804"/>
    <n v="3082"/>
  </r>
  <r>
    <n v="73"/>
    <x v="58"/>
    <x v="4"/>
    <n v="3010"/>
    <n v="3273"/>
    <n v="6283"/>
    <n v="2278"/>
  </r>
  <r>
    <n v="73"/>
    <x v="58"/>
    <x v="4"/>
    <n v="30916"/>
    <n v="34898"/>
    <n v="65814"/>
    <n v="38169"/>
  </r>
  <r>
    <n v="74"/>
    <x v="59"/>
    <x v="4"/>
    <n v="283460"/>
    <n v="307407"/>
    <n v="590867"/>
    <n v="323332"/>
  </r>
  <r>
    <n v="74"/>
    <x v="59"/>
    <x v="4"/>
    <n v="103022"/>
    <n v="113467"/>
    <n v="216489"/>
    <n v="126839"/>
  </r>
  <r>
    <n v="74"/>
    <x v="59"/>
    <x v="4"/>
    <n v="32519"/>
    <n v="35259"/>
    <n v="67778"/>
    <n v="40695"/>
  </r>
  <r>
    <n v="74"/>
    <x v="59"/>
    <x v="4"/>
    <n v="24371"/>
    <n v="26606"/>
    <n v="50977"/>
    <n v="17232"/>
  </r>
  <r>
    <n v="74"/>
    <x v="59"/>
    <x v="4"/>
    <n v="19300"/>
    <n v="19707"/>
    <n v="39007"/>
    <n v="24172"/>
  </r>
  <r>
    <n v="74"/>
    <x v="59"/>
    <x v="4"/>
    <n v="13395"/>
    <n v="14943"/>
    <n v="28338"/>
    <n v="17422"/>
  </r>
  <r>
    <n v="74"/>
    <x v="59"/>
    <x v="4"/>
    <n v="20494"/>
    <n v="21802"/>
    <n v="42296"/>
    <n v="11441"/>
  </r>
  <r>
    <n v="74"/>
    <x v="59"/>
    <x v="4"/>
    <n v="1351"/>
    <n v="1421"/>
    <n v="2772"/>
    <n v="1062"/>
  </r>
  <r>
    <n v="74"/>
    <x v="59"/>
    <x v="4"/>
    <n v="2533"/>
    <n v="2688"/>
    <n v="5221"/>
    <n v="1677"/>
  </r>
  <r>
    <n v="74"/>
    <x v="59"/>
    <x v="4"/>
    <n v="3660"/>
    <n v="3990"/>
    <n v="7650"/>
    <n v="4956"/>
  </r>
  <r>
    <n v="74"/>
    <x v="59"/>
    <x v="4"/>
    <n v="25497"/>
    <n v="28417"/>
    <n v="53914"/>
    <n v="51913"/>
  </r>
  <r>
    <n v="74"/>
    <x v="59"/>
    <x v="4"/>
    <n v="11274"/>
    <n v="11930"/>
    <n v="23204"/>
    <n v="6688"/>
  </r>
  <r>
    <n v="74"/>
    <x v="59"/>
    <x v="4"/>
    <n v="26044"/>
    <n v="27177"/>
    <n v="53221"/>
    <n v="19235"/>
  </r>
  <r>
    <n v="75"/>
    <x v="60"/>
    <x v="4"/>
    <n v="89040"/>
    <n v="97744"/>
    <n v="186784"/>
    <n v="77393"/>
  </r>
  <r>
    <n v="75"/>
    <x v="60"/>
    <x v="4"/>
    <n v="37394"/>
    <n v="40985"/>
    <n v="78379"/>
    <n v="34397"/>
  </r>
  <r>
    <n v="75"/>
    <x v="60"/>
    <x v="4"/>
    <n v="12533"/>
    <n v="13833"/>
    <n v="26366"/>
    <n v="10382"/>
  </r>
  <r>
    <n v="75"/>
    <x v="60"/>
    <x v="4"/>
    <n v="22591"/>
    <n v="24417"/>
    <n v="47008"/>
    <n v="16641"/>
  </r>
  <r>
    <n v="75"/>
    <x v="60"/>
    <x v="4"/>
    <n v="888"/>
    <n v="958"/>
    <n v="1846"/>
    <n v="810"/>
  </r>
  <r>
    <n v="75"/>
    <x v="60"/>
    <x v="4"/>
    <n v="780"/>
    <n v="915"/>
    <n v="1695"/>
    <n v="865"/>
  </r>
  <r>
    <n v="75"/>
    <x v="60"/>
    <x v="4"/>
    <n v="973"/>
    <n v="1128"/>
    <n v="2101"/>
    <n v="882"/>
  </r>
  <r>
    <n v="75"/>
    <x v="60"/>
    <x v="4"/>
    <n v="2071"/>
    <n v="2288"/>
    <n v="4359"/>
    <n v="2028"/>
  </r>
  <r>
    <n v="75"/>
    <x v="60"/>
    <x v="4"/>
    <n v="11810"/>
    <n v="13220"/>
    <n v="25030"/>
    <n v="11388"/>
  </r>
  <r>
    <n v="76"/>
    <x v="61"/>
    <x v="4"/>
    <n v="232930"/>
    <n v="251215"/>
    <n v="484145"/>
    <n v="237512"/>
  </r>
  <r>
    <n v="76"/>
    <x v="61"/>
    <x v="4"/>
    <n v="42451"/>
    <n v="48646"/>
    <n v="91097"/>
    <n v="37991"/>
  </r>
  <r>
    <n v="76"/>
    <x v="61"/>
    <x v="4"/>
    <n v="11493"/>
    <n v="12141"/>
    <n v="23634"/>
    <n v="11748"/>
  </r>
  <r>
    <n v="76"/>
    <x v="61"/>
    <x v="4"/>
    <n v="8238"/>
    <n v="8265"/>
    <n v="16503"/>
    <n v="7327"/>
  </r>
  <r>
    <n v="76"/>
    <x v="61"/>
    <x v="4"/>
    <n v="11199"/>
    <n v="11323"/>
    <n v="22522"/>
    <n v="9709"/>
  </r>
  <r>
    <n v="76"/>
    <x v="61"/>
    <x v="4"/>
    <n v="23768"/>
    <n v="25094"/>
    <n v="48862"/>
    <n v="20888"/>
  </r>
  <r>
    <n v="76"/>
    <x v="61"/>
    <x v="4"/>
    <n v="22932"/>
    <n v="25160"/>
    <n v="48092"/>
    <n v="16808"/>
  </r>
  <r>
    <n v="76"/>
    <x v="61"/>
    <x v="4"/>
    <n v="17654"/>
    <n v="18305"/>
    <n v="35959"/>
    <n v="12322"/>
  </r>
  <r>
    <n v="76"/>
    <x v="61"/>
    <x v="4"/>
    <n v="17592"/>
    <n v="16638"/>
    <n v="34230"/>
    <n v="16353"/>
  </r>
  <r>
    <n v="76"/>
    <x v="61"/>
    <x v="4"/>
    <n v="3069"/>
    <n v="3256"/>
    <n v="6325"/>
    <n v="2276"/>
  </r>
  <r>
    <n v="76"/>
    <x v="61"/>
    <x v="4"/>
    <n v="5371"/>
    <n v="5747"/>
    <n v="11118"/>
    <n v="4341"/>
  </r>
  <r>
    <n v="76"/>
    <x v="61"/>
    <x v="4"/>
    <n v="2370"/>
    <n v="2509"/>
    <n v="4879"/>
    <n v="1919"/>
  </r>
  <r>
    <n v="76"/>
    <x v="61"/>
    <x v="4"/>
    <n v="1689"/>
    <n v="2006"/>
    <n v="3695"/>
    <n v="1784"/>
  </r>
  <r>
    <n v="76"/>
    <x v="61"/>
    <x v="4"/>
    <n v="1272"/>
    <n v="1408"/>
    <n v="2680"/>
    <n v="1070"/>
  </r>
  <r>
    <n v="76"/>
    <x v="61"/>
    <x v="4"/>
    <n v="13035"/>
    <n v="14519"/>
    <n v="27554"/>
    <n v="12080"/>
  </r>
  <r>
    <n v="76"/>
    <x v="61"/>
    <x v="4"/>
    <n v="9185"/>
    <n v="9924"/>
    <n v="19109"/>
    <n v="7778"/>
  </r>
  <r>
    <n v="76"/>
    <x v="61"/>
    <x v="4"/>
    <n v="7125"/>
    <n v="7805"/>
    <n v="14930"/>
    <n v="8918"/>
  </r>
  <r>
    <n v="76"/>
    <x v="61"/>
    <x v="4"/>
    <n v="2363"/>
    <n v="2571"/>
    <n v="4934"/>
    <n v="2704"/>
  </r>
  <r>
    <n v="76"/>
    <x v="61"/>
    <x v="4"/>
    <n v="2754"/>
    <n v="3087"/>
    <n v="5841"/>
    <n v="2095"/>
  </r>
  <r>
    <n v="76"/>
    <x v="61"/>
    <x v="4"/>
    <n v="20271"/>
    <n v="22448"/>
    <n v="42719"/>
    <n v="48985"/>
  </r>
  <r>
    <n v="76"/>
    <x v="61"/>
    <x v="4"/>
    <n v="9099"/>
    <n v="10363"/>
    <n v="19462"/>
    <n v="10416"/>
  </r>
  <r>
    <n v="77"/>
    <x v="62"/>
    <x v="4"/>
    <n v="270215"/>
    <n v="281554"/>
    <n v="551769"/>
    <n v="293330"/>
  </r>
  <r>
    <n v="77"/>
    <x v="62"/>
    <x v="4"/>
    <n v="32319"/>
    <n v="32593"/>
    <n v="64912"/>
    <n v="28197"/>
  </r>
  <r>
    <n v="77"/>
    <x v="62"/>
    <x v="4"/>
    <n v="17085"/>
    <n v="17635"/>
    <n v="34720"/>
    <n v="11953"/>
  </r>
  <r>
    <n v="77"/>
    <x v="62"/>
    <x v="4"/>
    <n v="21048"/>
    <n v="21550"/>
    <n v="42598"/>
    <n v="15857"/>
  </r>
  <r>
    <n v="77"/>
    <x v="62"/>
    <x v="4"/>
    <n v="30552"/>
    <n v="31086"/>
    <n v="61638"/>
    <n v="28124"/>
  </r>
  <r>
    <n v="77"/>
    <x v="62"/>
    <x v="4"/>
    <n v="18256"/>
    <n v="18425"/>
    <n v="36681"/>
    <n v="16976"/>
  </r>
  <r>
    <n v="77"/>
    <x v="62"/>
    <x v="4"/>
    <n v="21188"/>
    <n v="22661"/>
    <n v="43849"/>
    <n v="23077"/>
  </r>
  <r>
    <n v="77"/>
    <x v="62"/>
    <x v="4"/>
    <n v="28557"/>
    <n v="31186"/>
    <n v="59743"/>
    <n v="33943"/>
  </r>
  <r>
    <n v="77"/>
    <x v="62"/>
    <x v="4"/>
    <n v="15698"/>
    <n v="16048"/>
    <n v="31746"/>
    <n v="13284"/>
  </r>
  <r>
    <n v="77"/>
    <x v="62"/>
    <x v="4"/>
    <n v="6744"/>
    <n v="3073"/>
    <n v="9817"/>
    <n v="6147"/>
  </r>
  <r>
    <n v="77"/>
    <x v="62"/>
    <x v="4"/>
    <n v="5193"/>
    <n v="5347"/>
    <n v="10540"/>
    <n v="4397"/>
  </r>
  <r>
    <n v="77"/>
    <x v="62"/>
    <x v="4"/>
    <n v="2395"/>
    <n v="2605"/>
    <n v="5000"/>
    <n v="2993"/>
  </r>
  <r>
    <n v="77"/>
    <x v="62"/>
    <x v="4"/>
    <n v="3796"/>
    <n v="3809"/>
    <n v="7605"/>
    <n v="3580"/>
  </r>
  <r>
    <n v="77"/>
    <x v="62"/>
    <x v="4"/>
    <n v="7882"/>
    <n v="8619"/>
    <n v="16501"/>
    <n v="9896"/>
  </r>
  <r>
    <n v="77"/>
    <x v="62"/>
    <x v="4"/>
    <n v="1459"/>
    <n v="1492"/>
    <n v="2951"/>
    <n v="1647"/>
  </r>
  <r>
    <n v="77"/>
    <x v="62"/>
    <x v="4"/>
    <n v="3798"/>
    <n v="3929"/>
    <n v="7727"/>
    <n v="3635"/>
  </r>
  <r>
    <n v="77"/>
    <x v="62"/>
    <x v="4"/>
    <n v="1960"/>
    <n v="2153"/>
    <n v="4113"/>
    <n v="2463"/>
  </r>
  <r>
    <n v="77"/>
    <x v="62"/>
    <x v="4"/>
    <n v="1233"/>
    <n v="1272"/>
    <n v="2505"/>
    <n v="1678"/>
  </r>
  <r>
    <n v="77"/>
    <x v="62"/>
    <x v="4"/>
    <n v="2903"/>
    <n v="3327"/>
    <n v="6230"/>
    <n v="3639"/>
  </r>
  <r>
    <n v="77"/>
    <x v="62"/>
    <x v="4"/>
    <n v="3634"/>
    <n v="3941"/>
    <n v="7575"/>
    <n v="3032"/>
  </r>
  <r>
    <n v="77"/>
    <x v="62"/>
    <x v="4"/>
    <n v="4071"/>
    <n v="4408"/>
    <n v="8479"/>
    <n v="4434"/>
  </r>
  <r>
    <n v="77"/>
    <x v="62"/>
    <x v="4"/>
    <n v="2031"/>
    <n v="2180"/>
    <n v="4211"/>
    <n v="1918"/>
  </r>
  <r>
    <n v="77"/>
    <x v="62"/>
    <x v="4"/>
    <n v="1756"/>
    <n v="1854"/>
    <n v="3610"/>
    <n v="1469"/>
  </r>
  <r>
    <n v="77"/>
    <x v="62"/>
    <x v="4"/>
    <n v="28609"/>
    <n v="32878"/>
    <n v="61487"/>
    <n v="59601"/>
  </r>
  <r>
    <n v="77"/>
    <x v="62"/>
    <x v="4"/>
    <n v="8048"/>
    <n v="9483"/>
    <n v="17531"/>
    <n v="11390"/>
  </r>
  <r>
    <n v="80"/>
    <x v="63"/>
    <x v="5"/>
    <n v="757539"/>
    <n v="777114"/>
    <n v="1534653"/>
    <n v="616268"/>
  </r>
  <r>
    <n v="80"/>
    <x v="63"/>
    <x v="5"/>
    <n v="79562"/>
    <n v="82345"/>
    <n v="161907"/>
    <n v="67890"/>
  </r>
  <r>
    <n v="80"/>
    <x v="63"/>
    <x v="5"/>
    <n v="13425"/>
    <n v="13886"/>
    <n v="27311"/>
    <n v="9589"/>
  </r>
  <r>
    <n v="80"/>
    <x v="63"/>
    <x v="5"/>
    <n v="19006"/>
    <n v="19954"/>
    <n v="38960"/>
    <n v="15293"/>
  </r>
  <r>
    <n v="80"/>
    <x v="63"/>
    <x v="5"/>
    <n v="25571"/>
    <n v="26665"/>
    <n v="52236"/>
    <n v="19753"/>
  </r>
  <r>
    <n v="80"/>
    <x v="63"/>
    <x v="5"/>
    <n v="8743"/>
    <n v="9103"/>
    <n v="17846"/>
    <n v="7525"/>
  </r>
  <r>
    <n v="80"/>
    <x v="63"/>
    <x v="5"/>
    <n v="20028"/>
    <n v="19917"/>
    <n v="39945"/>
    <n v="15269"/>
  </r>
  <r>
    <n v="80"/>
    <x v="63"/>
    <x v="5"/>
    <n v="40246"/>
    <n v="40897"/>
    <n v="81143"/>
    <n v="31051"/>
  </r>
  <r>
    <n v="80"/>
    <x v="63"/>
    <x v="5"/>
    <n v="55911"/>
    <n v="57587"/>
    <n v="113498"/>
    <n v="38972"/>
  </r>
  <r>
    <n v="80"/>
    <x v="63"/>
    <x v="5"/>
    <n v="58596"/>
    <n v="57458"/>
    <n v="116054"/>
    <n v="50742"/>
  </r>
  <r>
    <n v="80"/>
    <x v="63"/>
    <x v="5"/>
    <n v="11863"/>
    <n v="12084"/>
    <n v="23947"/>
    <n v="8901"/>
  </r>
  <r>
    <n v="80"/>
    <x v="63"/>
    <x v="5"/>
    <n v="34488"/>
    <n v="34694"/>
    <n v="69182"/>
    <n v="25093"/>
  </r>
  <r>
    <n v="80"/>
    <x v="63"/>
    <x v="5"/>
    <n v="38592"/>
    <n v="38076"/>
    <n v="76668"/>
    <n v="27499"/>
  </r>
  <r>
    <n v="80"/>
    <x v="63"/>
    <x v="5"/>
    <n v="30501"/>
    <n v="30702"/>
    <n v="61203"/>
    <n v="21226"/>
  </r>
  <r>
    <n v="80"/>
    <x v="63"/>
    <x v="5"/>
    <n v="40428"/>
    <n v="41182"/>
    <n v="81610"/>
    <n v="30774"/>
  </r>
  <r>
    <n v="80"/>
    <x v="63"/>
    <x v="5"/>
    <n v="10160"/>
    <n v="10556"/>
    <n v="20716"/>
    <n v="10275"/>
  </r>
  <r>
    <n v="80"/>
    <x v="63"/>
    <x v="5"/>
    <n v="21524"/>
    <n v="21753"/>
    <n v="43277"/>
    <n v="18583"/>
  </r>
  <r>
    <n v="80"/>
    <x v="63"/>
    <x v="5"/>
    <n v="23939"/>
    <n v="23284"/>
    <n v="47223"/>
    <n v="17409"/>
  </r>
  <r>
    <n v="80"/>
    <x v="63"/>
    <x v="5"/>
    <n v="9540"/>
    <n v="9505"/>
    <n v="19045"/>
    <n v="7663"/>
  </r>
  <r>
    <n v="80"/>
    <x v="63"/>
    <x v="5"/>
    <n v="15434"/>
    <n v="15870"/>
    <n v="31304"/>
    <n v="11289"/>
  </r>
  <r>
    <n v="80"/>
    <x v="63"/>
    <x v="5"/>
    <n v="21995"/>
    <n v="22672"/>
    <n v="44667"/>
    <n v="17455"/>
  </r>
  <r>
    <n v="80"/>
    <x v="63"/>
    <x v="5"/>
    <n v="17066"/>
    <n v="16910"/>
    <n v="33976"/>
    <n v="12795"/>
  </r>
  <r>
    <n v="80"/>
    <x v="63"/>
    <x v="5"/>
    <n v="13638"/>
    <n v="14176"/>
    <n v="27814"/>
    <n v="11314"/>
  </r>
  <r>
    <n v="80"/>
    <x v="63"/>
    <x v="5"/>
    <n v="10880"/>
    <n v="11000"/>
    <n v="21880"/>
    <n v="8275"/>
  </r>
  <r>
    <n v="80"/>
    <x v="63"/>
    <x v="5"/>
    <n v="4027"/>
    <n v="3971"/>
    <n v="7998"/>
    <n v="3014"/>
  </r>
  <r>
    <n v="80"/>
    <x v="63"/>
    <x v="5"/>
    <n v="4042"/>
    <n v="4070"/>
    <n v="8112"/>
    <n v="3433"/>
  </r>
  <r>
    <n v="80"/>
    <x v="63"/>
    <x v="5"/>
    <n v="3399"/>
    <n v="3349"/>
    <n v="6748"/>
    <n v="2257"/>
  </r>
  <r>
    <n v="80"/>
    <x v="63"/>
    <x v="5"/>
    <n v="4527"/>
    <n v="4281"/>
    <n v="8808"/>
    <n v="3001"/>
  </r>
  <r>
    <n v="80"/>
    <x v="63"/>
    <x v="5"/>
    <n v="7270"/>
    <n v="7337"/>
    <n v="14607"/>
    <n v="6818"/>
  </r>
  <r>
    <n v="80"/>
    <x v="63"/>
    <x v="5"/>
    <n v="2853"/>
    <n v="2867"/>
    <n v="5720"/>
    <n v="3428"/>
  </r>
  <r>
    <n v="80"/>
    <x v="63"/>
    <x v="5"/>
    <n v="1883"/>
    <n v="2081"/>
    <n v="3964"/>
    <n v="1928"/>
  </r>
  <r>
    <n v="80"/>
    <x v="63"/>
    <x v="5"/>
    <n v="2163"/>
    <n v="2204"/>
    <n v="4367"/>
    <n v="2540"/>
  </r>
  <r>
    <n v="80"/>
    <x v="63"/>
    <x v="5"/>
    <n v="3261"/>
    <n v="3538"/>
    <n v="6799"/>
    <n v="4205"/>
  </r>
  <r>
    <n v="80"/>
    <x v="63"/>
    <x v="5"/>
    <n v="4252"/>
    <n v="4215"/>
    <n v="8467"/>
    <n v="2924"/>
  </r>
  <r>
    <n v="80"/>
    <x v="63"/>
    <x v="5"/>
    <n v="3599"/>
    <n v="3938"/>
    <n v="7537"/>
    <n v="3468"/>
  </r>
  <r>
    <n v="80"/>
    <x v="63"/>
    <x v="5"/>
    <n v="2085"/>
    <n v="2218"/>
    <n v="4303"/>
    <n v="1399"/>
  </r>
  <r>
    <n v="80"/>
    <x v="63"/>
    <x v="5"/>
    <n v="2418"/>
    <n v="2600"/>
    <n v="5018"/>
    <n v="3140"/>
  </r>
  <r>
    <n v="80"/>
    <x v="63"/>
    <x v="5"/>
    <n v="1023"/>
    <n v="1086"/>
    <n v="2109"/>
    <n v="1167"/>
  </r>
  <r>
    <n v="80"/>
    <x v="63"/>
    <x v="5"/>
    <n v="1305"/>
    <n v="1466"/>
    <n v="2771"/>
    <n v="1838"/>
  </r>
  <r>
    <n v="80"/>
    <x v="63"/>
    <x v="5"/>
    <n v="1557"/>
    <n v="1829"/>
    <n v="3386"/>
    <n v="1687"/>
  </r>
  <r>
    <n v="80"/>
    <x v="63"/>
    <x v="5"/>
    <n v="782"/>
    <n v="831"/>
    <n v="1613"/>
    <n v="802"/>
  </r>
  <r>
    <n v="80"/>
    <x v="63"/>
    <x v="5"/>
    <n v="1300"/>
    <n v="1396"/>
    <n v="2696"/>
    <n v="1158"/>
  </r>
  <r>
    <n v="80"/>
    <x v="63"/>
    <x v="5"/>
    <n v="1126"/>
    <n v="1171"/>
    <n v="2297"/>
    <n v="1273"/>
  </r>
  <r>
    <n v="80"/>
    <x v="63"/>
    <x v="5"/>
    <n v="1183"/>
    <n v="1216"/>
    <n v="2399"/>
    <n v="1313"/>
  </r>
  <r>
    <n v="80"/>
    <x v="63"/>
    <x v="5"/>
    <n v="3442"/>
    <n v="3832"/>
    <n v="7274"/>
    <n v="4043"/>
  </r>
  <r>
    <n v="80"/>
    <x v="63"/>
    <x v="5"/>
    <n v="866"/>
    <n v="956"/>
    <n v="1822"/>
    <n v="1051"/>
  </r>
  <r>
    <n v="80"/>
    <x v="63"/>
    <x v="5"/>
    <n v="3264"/>
    <n v="3404"/>
    <n v="6668"/>
    <n v="2856"/>
  </r>
  <r>
    <n v="80"/>
    <x v="63"/>
    <x v="5"/>
    <n v="1699"/>
    <n v="1729"/>
    <n v="3428"/>
    <n v="1172"/>
  </r>
  <r>
    <n v="80"/>
    <x v="63"/>
    <x v="5"/>
    <n v="3112"/>
    <n v="3030"/>
    <n v="6142"/>
    <n v="2112"/>
  </r>
  <r>
    <n v="80"/>
    <x v="63"/>
    <x v="5"/>
    <n v="886"/>
    <n v="936"/>
    <n v="1822"/>
    <n v="702"/>
  </r>
  <r>
    <n v="80"/>
    <x v="63"/>
    <x v="5"/>
    <n v="1826"/>
    <n v="1868"/>
    <n v="3694"/>
    <n v="1291"/>
  </r>
  <r>
    <n v="80"/>
    <x v="63"/>
    <x v="5"/>
    <n v="13248"/>
    <n v="15629"/>
    <n v="28877"/>
    <n v="11809"/>
  </r>
  <r>
    <n v="80"/>
    <x v="63"/>
    <x v="5"/>
    <n v="9111"/>
    <n v="9353"/>
    <n v="18464"/>
    <n v="8254"/>
  </r>
  <r>
    <n v="80"/>
    <x v="63"/>
    <x v="5"/>
    <n v="44894"/>
    <n v="50437"/>
    <n v="95331"/>
    <n v="47550"/>
  </r>
  <r>
    <n v="81"/>
    <x v="64"/>
    <x v="5"/>
    <n v="240313"/>
    <n v="243542"/>
    <n v="483855"/>
    <n v="208232"/>
  </r>
  <r>
    <n v="81"/>
    <x v="64"/>
    <x v="5"/>
    <n v="37954"/>
    <n v="38721"/>
    <n v="76675"/>
    <n v="42038"/>
  </r>
  <r>
    <n v="81"/>
    <x v="64"/>
    <x v="5"/>
    <n v="25489"/>
    <n v="25287"/>
    <n v="50776"/>
    <n v="19101"/>
  </r>
  <r>
    <n v="81"/>
    <x v="64"/>
    <x v="5"/>
    <n v="17891"/>
    <n v="17429"/>
    <n v="35320"/>
    <n v="15683"/>
  </r>
  <r>
    <n v="81"/>
    <x v="64"/>
    <x v="5"/>
    <n v="36838"/>
    <n v="35594"/>
    <n v="72432"/>
    <n v="26167"/>
  </r>
  <r>
    <n v="81"/>
    <x v="64"/>
    <x v="5"/>
    <n v="23420"/>
    <n v="23642"/>
    <n v="47062"/>
    <n v="17520"/>
  </r>
  <r>
    <n v="81"/>
    <x v="64"/>
    <x v="5"/>
    <n v="16244"/>
    <n v="16208"/>
    <n v="32452"/>
    <n v="11615"/>
  </r>
  <r>
    <n v="81"/>
    <x v="64"/>
    <x v="5"/>
    <n v="10280"/>
    <n v="9995"/>
    <n v="20275"/>
    <n v="7616"/>
  </r>
  <r>
    <n v="81"/>
    <x v="64"/>
    <x v="5"/>
    <n v="30340"/>
    <n v="31034"/>
    <n v="61374"/>
    <n v="21765"/>
  </r>
  <r>
    <n v="81"/>
    <x v="64"/>
    <x v="5"/>
    <n v="9703"/>
    <n v="10085"/>
    <n v="19788"/>
    <n v="9878"/>
  </r>
  <r>
    <n v="81"/>
    <x v="64"/>
    <x v="5"/>
    <n v="2089"/>
    <n v="2267"/>
    <n v="4356"/>
    <n v="2505"/>
  </r>
  <r>
    <n v="81"/>
    <x v="64"/>
    <x v="5"/>
    <n v="2096"/>
    <n v="2270"/>
    <n v="4366"/>
    <n v="2482"/>
  </r>
  <r>
    <n v="81"/>
    <x v="64"/>
    <x v="5"/>
    <n v="3012"/>
    <n v="3034"/>
    <n v="6046"/>
    <n v="2719"/>
  </r>
  <r>
    <n v="81"/>
    <x v="64"/>
    <x v="5"/>
    <n v="2591"/>
    <n v="2811"/>
    <n v="5402"/>
    <n v="3090"/>
  </r>
  <r>
    <n v="81"/>
    <x v="64"/>
    <x v="5"/>
    <n v="2057"/>
    <n v="2044"/>
    <n v="4101"/>
    <n v="1306"/>
  </r>
  <r>
    <n v="81"/>
    <x v="64"/>
    <x v="5"/>
    <n v="1421"/>
    <n v="1475"/>
    <n v="2896"/>
    <n v="1371"/>
  </r>
  <r>
    <n v="81"/>
    <x v="64"/>
    <x v="5"/>
    <n v="1491"/>
    <n v="1683"/>
    <n v="3174"/>
    <n v="1836"/>
  </r>
  <r>
    <n v="81"/>
    <x v="64"/>
    <x v="5"/>
    <n v="563"/>
    <n v="589"/>
    <n v="1152"/>
    <n v="513"/>
  </r>
  <r>
    <n v="81"/>
    <x v="64"/>
    <x v="5"/>
    <n v="2613"/>
    <n v="2773"/>
    <n v="5386"/>
    <n v="2577"/>
  </r>
  <r>
    <n v="81"/>
    <x v="64"/>
    <x v="5"/>
    <n v="14221"/>
    <n v="16601"/>
    <n v="30822"/>
    <n v="18450"/>
  </r>
  <r>
    <n v="82"/>
    <x v="65"/>
    <x v="5"/>
    <n v="132910"/>
    <n v="133386"/>
    <n v="266296"/>
    <n v="125443"/>
  </r>
  <r>
    <n v="82"/>
    <x v="65"/>
    <x v="5"/>
    <n v="15197"/>
    <n v="15685"/>
    <n v="30882"/>
    <n v="12960"/>
  </r>
  <r>
    <n v="82"/>
    <x v="65"/>
    <x v="5"/>
    <n v="7423"/>
    <n v="7281"/>
    <n v="14704"/>
    <n v="6231"/>
  </r>
  <r>
    <n v="82"/>
    <x v="65"/>
    <x v="5"/>
    <n v="6682"/>
    <n v="6642"/>
    <n v="13324"/>
    <n v="6241"/>
  </r>
  <r>
    <n v="82"/>
    <x v="65"/>
    <x v="5"/>
    <n v="19706"/>
    <n v="19511"/>
    <n v="39217"/>
    <n v="16946"/>
  </r>
  <r>
    <n v="82"/>
    <x v="65"/>
    <x v="5"/>
    <n v="20836"/>
    <n v="21091"/>
    <n v="41927"/>
    <n v="25190"/>
  </r>
  <r>
    <n v="82"/>
    <x v="65"/>
    <x v="5"/>
    <n v="12642"/>
    <n v="12270"/>
    <n v="24912"/>
    <n v="10816"/>
  </r>
  <r>
    <n v="82"/>
    <x v="65"/>
    <x v="5"/>
    <n v="12459"/>
    <n v="12375"/>
    <n v="24834"/>
    <n v="8557"/>
  </r>
  <r>
    <n v="82"/>
    <x v="65"/>
    <x v="5"/>
    <n v="22787"/>
    <n v="22069"/>
    <n v="44856"/>
    <n v="21765"/>
  </r>
  <r>
    <n v="82"/>
    <x v="65"/>
    <x v="5"/>
    <n v="1474"/>
    <n v="1586"/>
    <n v="3060"/>
    <n v="1786"/>
  </r>
  <r>
    <n v="82"/>
    <x v="65"/>
    <x v="5"/>
    <n v="480"/>
    <n v="493"/>
    <n v="973"/>
    <n v="623"/>
  </r>
  <r>
    <n v="82"/>
    <x v="65"/>
    <x v="5"/>
    <n v="1689"/>
    <n v="1710"/>
    <n v="3399"/>
    <n v="2230"/>
  </r>
  <r>
    <n v="82"/>
    <x v="65"/>
    <x v="5"/>
    <n v="1826"/>
    <n v="2067"/>
    <n v="3893"/>
    <n v="1772"/>
  </r>
  <r>
    <n v="82"/>
    <x v="65"/>
    <x v="5"/>
    <n v="852"/>
    <n v="958"/>
    <n v="1810"/>
    <n v="791"/>
  </r>
  <r>
    <n v="82"/>
    <x v="65"/>
    <x v="5"/>
    <n v="488"/>
    <n v="549"/>
    <n v="1037"/>
    <n v="600"/>
  </r>
  <r>
    <n v="82"/>
    <x v="65"/>
    <x v="5"/>
    <n v="3616"/>
    <n v="4010"/>
    <n v="7626"/>
    <n v="2841"/>
  </r>
  <r>
    <n v="82"/>
    <x v="65"/>
    <x v="5"/>
    <n v="4753"/>
    <n v="5089"/>
    <n v="9842"/>
    <n v="6094"/>
  </r>
  <r>
    <n v="83"/>
    <x v="66"/>
    <x v="5"/>
    <n v="201988"/>
    <n v="227595"/>
    <n v="429583"/>
    <n v="294383"/>
  </r>
  <r>
    <n v="83"/>
    <x v="66"/>
    <x v="5"/>
    <n v="22166"/>
    <n v="25064"/>
    <n v="47230"/>
    <n v="32419"/>
  </r>
  <r>
    <n v="83"/>
    <x v="66"/>
    <x v="5"/>
    <n v="3404"/>
    <n v="3760"/>
    <n v="7164"/>
    <n v="7745"/>
  </r>
  <r>
    <n v="83"/>
    <x v="66"/>
    <x v="5"/>
    <n v="48607"/>
    <n v="51911"/>
    <n v="100518"/>
    <n v="79963"/>
  </r>
  <r>
    <n v="83"/>
    <x v="66"/>
    <x v="5"/>
    <n v="25810"/>
    <n v="29824"/>
    <n v="55634"/>
    <n v="36111"/>
  </r>
  <r>
    <n v="83"/>
    <x v="66"/>
    <x v="5"/>
    <n v="9104"/>
    <n v="10414"/>
    <n v="19518"/>
    <n v="21246"/>
  </r>
  <r>
    <n v="83"/>
    <x v="66"/>
    <x v="5"/>
    <n v="24093"/>
    <n v="27129"/>
    <n v="51222"/>
    <n v="32097"/>
  </r>
  <r>
    <n v="83"/>
    <x v="66"/>
    <x v="5"/>
    <n v="4808"/>
    <n v="5106"/>
    <n v="9914"/>
    <n v="5270"/>
  </r>
  <r>
    <n v="83"/>
    <x v="66"/>
    <x v="5"/>
    <n v="3092"/>
    <n v="3864"/>
    <n v="6956"/>
    <n v="3815"/>
  </r>
  <r>
    <n v="83"/>
    <x v="66"/>
    <x v="5"/>
    <n v="15048"/>
    <n v="17711"/>
    <n v="32759"/>
    <n v="22837"/>
  </r>
  <r>
    <n v="83"/>
    <x v="66"/>
    <x v="5"/>
    <n v="3603"/>
    <n v="4024"/>
    <n v="7627"/>
    <n v="9210"/>
  </r>
  <r>
    <n v="83"/>
    <x v="66"/>
    <x v="5"/>
    <n v="9469"/>
    <n v="10288"/>
    <n v="19757"/>
    <n v="16662"/>
  </r>
  <r>
    <n v="83"/>
    <x v="66"/>
    <x v="5"/>
    <n v="32784"/>
    <n v="38500"/>
    <n v="71284"/>
    <n v="27008"/>
  </r>
  <r>
    <n v="84"/>
    <x v="67"/>
    <x v="5"/>
    <n v="529077"/>
    <n v="547589"/>
    <n v="1076666"/>
    <n v="550373"/>
  </r>
  <r>
    <n v="84"/>
    <x v="67"/>
    <x v="5"/>
    <n v="9133"/>
    <n v="10044"/>
    <n v="19177"/>
    <n v="8794"/>
  </r>
  <r>
    <n v="84"/>
    <x v="67"/>
    <x v="5"/>
    <n v="41142"/>
    <n v="41970"/>
    <n v="83112"/>
    <n v="36100"/>
  </r>
  <r>
    <n v="84"/>
    <x v="67"/>
    <x v="5"/>
    <n v="12458"/>
    <n v="12419"/>
    <n v="24877"/>
    <n v="11061"/>
  </r>
  <r>
    <n v="84"/>
    <x v="67"/>
    <x v="5"/>
    <n v="5937"/>
    <n v="5682"/>
    <n v="11619"/>
    <n v="14031"/>
  </r>
  <r>
    <n v="84"/>
    <x v="67"/>
    <x v="5"/>
    <n v="18939"/>
    <n v="19770"/>
    <n v="38709"/>
    <n v="17756"/>
  </r>
  <r>
    <n v="84"/>
    <x v="67"/>
    <x v="5"/>
    <n v="26010"/>
    <n v="25584"/>
    <n v="51594"/>
    <n v="23599"/>
  </r>
  <r>
    <n v="84"/>
    <x v="67"/>
    <x v="5"/>
    <n v="21053"/>
    <n v="21195"/>
    <n v="42248"/>
    <n v="17704"/>
  </r>
  <r>
    <n v="84"/>
    <x v="67"/>
    <x v="5"/>
    <n v="4613"/>
    <n v="4674"/>
    <n v="9287"/>
    <n v="4136"/>
  </r>
  <r>
    <n v="84"/>
    <x v="67"/>
    <x v="5"/>
    <n v="12499"/>
    <n v="12016"/>
    <n v="24515"/>
    <n v="9865"/>
  </r>
  <r>
    <n v="84"/>
    <x v="67"/>
    <x v="5"/>
    <n v="14912"/>
    <n v="14745"/>
    <n v="29657"/>
    <n v="13632"/>
  </r>
  <r>
    <n v="84"/>
    <x v="67"/>
    <x v="5"/>
    <n v="25135"/>
    <n v="25621"/>
    <n v="50756"/>
    <n v="19007"/>
  </r>
  <r>
    <n v="84"/>
    <x v="67"/>
    <x v="5"/>
    <n v="10286"/>
    <n v="10484"/>
    <n v="20770"/>
    <n v="8086"/>
  </r>
  <r>
    <n v="84"/>
    <x v="67"/>
    <x v="5"/>
    <n v="13791"/>
    <n v="13784"/>
    <n v="27575"/>
    <n v="11781"/>
  </r>
  <r>
    <n v="84"/>
    <x v="67"/>
    <x v="5"/>
    <n v="8560"/>
    <n v="8833"/>
    <n v="17393"/>
    <n v="7281"/>
  </r>
  <r>
    <n v="84"/>
    <x v="67"/>
    <x v="5"/>
    <n v="31583"/>
    <n v="31205"/>
    <n v="62788"/>
    <n v="25331"/>
  </r>
  <r>
    <n v="84"/>
    <x v="67"/>
    <x v="5"/>
    <n v="37668"/>
    <n v="37830"/>
    <n v="75498"/>
    <n v="38068"/>
  </r>
  <r>
    <n v="84"/>
    <x v="67"/>
    <x v="5"/>
    <n v="14313"/>
    <n v="14090"/>
    <n v="28403"/>
    <n v="12017"/>
  </r>
  <r>
    <n v="84"/>
    <x v="67"/>
    <x v="5"/>
    <n v="8232"/>
    <n v="7689"/>
    <n v="15921"/>
    <n v="7667"/>
  </r>
  <r>
    <n v="84"/>
    <x v="67"/>
    <x v="5"/>
    <n v="9771"/>
    <n v="9537"/>
    <n v="19308"/>
    <n v="8130"/>
  </r>
  <r>
    <n v="84"/>
    <x v="67"/>
    <x v="5"/>
    <n v="4941"/>
    <n v="4899"/>
    <n v="9840"/>
    <n v="3573"/>
  </r>
  <r>
    <n v="84"/>
    <x v="67"/>
    <x v="5"/>
    <n v="5406"/>
    <n v="5719"/>
    <n v="11125"/>
    <n v="4378"/>
  </r>
  <r>
    <n v="84"/>
    <x v="67"/>
    <x v="5"/>
    <n v="7429"/>
    <n v="9238"/>
    <n v="16667"/>
    <n v="12007"/>
  </r>
  <r>
    <n v="84"/>
    <x v="67"/>
    <x v="5"/>
    <n v="5593"/>
    <n v="5648"/>
    <n v="11241"/>
    <n v="4141"/>
  </r>
  <r>
    <n v="84"/>
    <x v="67"/>
    <x v="5"/>
    <n v="3392"/>
    <n v="3430"/>
    <n v="6822"/>
    <n v="3104"/>
  </r>
  <r>
    <n v="84"/>
    <x v="67"/>
    <x v="5"/>
    <n v="9950"/>
    <n v="11146"/>
    <n v="21096"/>
    <n v="13336"/>
  </r>
  <r>
    <n v="84"/>
    <x v="67"/>
    <x v="5"/>
    <n v="8727"/>
    <n v="9015"/>
    <n v="17742"/>
    <n v="7417"/>
  </r>
  <r>
    <n v="84"/>
    <x v="67"/>
    <x v="5"/>
    <n v="1111"/>
    <n v="1146"/>
    <n v="2257"/>
    <n v="1103"/>
  </r>
  <r>
    <n v="84"/>
    <x v="67"/>
    <x v="5"/>
    <n v="2077"/>
    <n v="2147"/>
    <n v="4224"/>
    <n v="2093"/>
  </r>
  <r>
    <n v="84"/>
    <x v="67"/>
    <x v="5"/>
    <n v="4430"/>
    <n v="4993"/>
    <n v="9423"/>
    <n v="5983"/>
  </r>
  <r>
    <n v="84"/>
    <x v="67"/>
    <x v="5"/>
    <n v="849"/>
    <n v="802"/>
    <n v="1651"/>
    <n v="762"/>
  </r>
  <r>
    <n v="84"/>
    <x v="67"/>
    <x v="5"/>
    <n v="1550"/>
    <n v="1684"/>
    <n v="3234"/>
    <n v="1755"/>
  </r>
  <r>
    <n v="84"/>
    <x v="67"/>
    <x v="5"/>
    <n v="2235"/>
    <n v="2425"/>
    <n v="4660"/>
    <n v="2018"/>
  </r>
  <r>
    <n v="84"/>
    <x v="67"/>
    <x v="5"/>
    <n v="2451"/>
    <n v="2469"/>
    <n v="4920"/>
    <n v="2083"/>
  </r>
  <r>
    <n v="84"/>
    <x v="67"/>
    <x v="5"/>
    <n v="1164"/>
    <n v="1249"/>
    <n v="2413"/>
    <n v="1921"/>
  </r>
  <r>
    <n v="84"/>
    <x v="67"/>
    <x v="5"/>
    <n v="2282"/>
    <n v="2295"/>
    <n v="4577"/>
    <n v="2091"/>
  </r>
  <r>
    <n v="84"/>
    <x v="67"/>
    <x v="5"/>
    <n v="924"/>
    <n v="892"/>
    <n v="1816"/>
    <n v="1120"/>
  </r>
  <r>
    <n v="84"/>
    <x v="67"/>
    <x v="5"/>
    <n v="1357"/>
    <n v="1509"/>
    <n v="2866"/>
    <n v="1837"/>
  </r>
  <r>
    <n v="84"/>
    <x v="67"/>
    <x v="5"/>
    <n v="3827"/>
    <n v="3999"/>
    <n v="7826"/>
    <n v="2972"/>
  </r>
  <r>
    <n v="84"/>
    <x v="67"/>
    <x v="5"/>
    <n v="2347"/>
    <n v="2669"/>
    <n v="5016"/>
    <n v="3045"/>
  </r>
  <r>
    <n v="84"/>
    <x v="67"/>
    <x v="5"/>
    <n v="4059"/>
    <n v="4121"/>
    <n v="8180"/>
    <n v="6452"/>
  </r>
  <r>
    <n v="84"/>
    <x v="67"/>
    <x v="5"/>
    <n v="33390"/>
    <n v="36299"/>
    <n v="69689"/>
    <n v="61602"/>
  </r>
  <r>
    <n v="84"/>
    <x v="67"/>
    <x v="5"/>
    <n v="5919"/>
    <n v="6199"/>
    <n v="12118"/>
    <n v="6109"/>
  </r>
  <r>
    <n v="84"/>
    <x v="67"/>
    <x v="5"/>
    <n v="3575"/>
    <n v="3633"/>
    <n v="7208"/>
    <n v="3336"/>
  </r>
  <r>
    <n v="84"/>
    <x v="67"/>
    <x v="5"/>
    <n v="4452"/>
    <n v="4836"/>
    <n v="9288"/>
    <n v="4989"/>
  </r>
  <r>
    <n v="84"/>
    <x v="67"/>
    <x v="5"/>
    <n v="8526"/>
    <n v="9166"/>
    <n v="17692"/>
    <n v="9232"/>
  </r>
  <r>
    <n v="84"/>
    <x v="67"/>
    <x v="5"/>
    <n v="9254"/>
    <n v="9729"/>
    <n v="18983"/>
    <n v="8609"/>
  </r>
  <r>
    <n v="84"/>
    <x v="67"/>
    <x v="5"/>
    <n v="61825"/>
    <n v="69060"/>
    <n v="130885"/>
    <n v="79259"/>
  </r>
  <r>
    <n v="85"/>
    <x v="68"/>
    <x v="5"/>
    <n v="96944"/>
    <n v="95983"/>
    <n v="192927"/>
    <n v="98370"/>
  </r>
  <r>
    <n v="85"/>
    <x v="68"/>
    <x v="5"/>
    <n v="35589"/>
    <n v="35295"/>
    <n v="70884"/>
    <n v="40595"/>
  </r>
  <r>
    <n v="85"/>
    <x v="68"/>
    <x v="5"/>
    <n v="6413"/>
    <n v="6238"/>
    <n v="12651"/>
    <n v="5838"/>
  </r>
  <r>
    <n v="85"/>
    <x v="68"/>
    <x v="5"/>
    <n v="10441"/>
    <n v="10188"/>
    <n v="20629"/>
    <n v="8463"/>
  </r>
  <r>
    <n v="85"/>
    <x v="68"/>
    <x v="5"/>
    <n v="22683"/>
    <n v="21923"/>
    <n v="44606"/>
    <n v="23388"/>
  </r>
  <r>
    <n v="85"/>
    <x v="68"/>
    <x v="5"/>
    <n v="7389"/>
    <n v="7461"/>
    <n v="14850"/>
    <n v="4845"/>
  </r>
  <r>
    <n v="85"/>
    <x v="68"/>
    <x v="5"/>
    <n v="1697"/>
    <n v="1744"/>
    <n v="3441"/>
    <n v="2010"/>
  </r>
  <r>
    <n v="85"/>
    <x v="68"/>
    <x v="5"/>
    <n v="765"/>
    <n v="798"/>
    <n v="1563"/>
    <n v="687"/>
  </r>
  <r>
    <n v="85"/>
    <x v="68"/>
    <x v="5"/>
    <n v="1344"/>
    <n v="1287"/>
    <n v="2631"/>
    <n v="1244"/>
  </r>
  <r>
    <n v="85"/>
    <x v="68"/>
    <x v="5"/>
    <n v="1159"/>
    <n v="1259"/>
    <n v="2418"/>
    <n v="1131"/>
  </r>
  <r>
    <n v="85"/>
    <x v="68"/>
    <x v="5"/>
    <n v="1220"/>
    <n v="1125"/>
    <n v="2345"/>
    <n v="1836"/>
  </r>
  <r>
    <n v="85"/>
    <x v="68"/>
    <x v="5"/>
    <n v="8244"/>
    <n v="8665"/>
    <n v="16909"/>
    <n v="8333"/>
  </r>
  <r>
    <n v="86"/>
    <x v="69"/>
    <x v="5"/>
    <n v="250267"/>
    <n v="257786"/>
    <n v="508053"/>
    <n v="256148"/>
  </r>
  <r>
    <n v="86"/>
    <x v="69"/>
    <x v="5"/>
    <n v="46282"/>
    <n v="47336"/>
    <n v="93618"/>
    <n v="47513"/>
  </r>
  <r>
    <n v="86"/>
    <x v="69"/>
    <x v="5"/>
    <n v="41279"/>
    <n v="41506"/>
    <n v="82785"/>
    <n v="37440"/>
  </r>
  <r>
    <n v="86"/>
    <x v="69"/>
    <x v="5"/>
    <n v="19659"/>
    <n v="20161"/>
    <n v="39820"/>
    <n v="19062"/>
  </r>
  <r>
    <n v="86"/>
    <x v="69"/>
    <x v="5"/>
    <n v="27594"/>
    <n v="28722"/>
    <n v="56316"/>
    <n v="26186"/>
  </r>
  <r>
    <n v="86"/>
    <x v="69"/>
    <x v="5"/>
    <n v="12994"/>
    <n v="12964"/>
    <n v="25958"/>
    <n v="12433"/>
  </r>
  <r>
    <n v="86"/>
    <x v="69"/>
    <x v="5"/>
    <n v="11829"/>
    <n v="11426"/>
    <n v="23255"/>
    <n v="11354"/>
  </r>
  <r>
    <n v="86"/>
    <x v="69"/>
    <x v="5"/>
    <n v="34696"/>
    <n v="35098"/>
    <n v="69794"/>
    <n v="33712"/>
  </r>
  <r>
    <n v="86"/>
    <x v="69"/>
    <x v="5"/>
    <n v="10881"/>
    <n v="10855"/>
    <n v="21736"/>
    <n v="10400"/>
  </r>
  <r>
    <n v="86"/>
    <x v="69"/>
    <x v="5"/>
    <n v="5037"/>
    <n v="5312"/>
    <n v="10349"/>
    <n v="4985"/>
  </r>
  <r>
    <n v="86"/>
    <x v="69"/>
    <x v="5"/>
    <n v="2027"/>
    <n v="1986"/>
    <n v="4013"/>
    <n v="1719"/>
  </r>
  <r>
    <n v="86"/>
    <x v="69"/>
    <x v="5"/>
    <n v="1348"/>
    <n v="1535"/>
    <n v="2883"/>
    <n v="1726"/>
  </r>
  <r>
    <n v="86"/>
    <x v="69"/>
    <x v="5"/>
    <n v="760"/>
    <n v="753"/>
    <n v="1513"/>
    <n v="717"/>
  </r>
  <r>
    <n v="86"/>
    <x v="69"/>
    <x v="5"/>
    <n v="1582"/>
    <n v="1701"/>
    <n v="3283"/>
    <n v="2038"/>
  </r>
  <r>
    <n v="86"/>
    <x v="69"/>
    <x v="5"/>
    <n v="3105"/>
    <n v="3201"/>
    <n v="6306"/>
    <n v="3210"/>
  </r>
  <r>
    <n v="86"/>
    <x v="69"/>
    <x v="5"/>
    <n v="1030"/>
    <n v="1101"/>
    <n v="2131"/>
    <n v="1212"/>
  </r>
  <r>
    <n v="86"/>
    <x v="69"/>
    <x v="5"/>
    <n v="1740"/>
    <n v="1810"/>
    <n v="3550"/>
    <n v="2307"/>
  </r>
  <r>
    <n v="86"/>
    <x v="69"/>
    <x v="5"/>
    <n v="582"/>
    <n v="657"/>
    <n v="1239"/>
    <n v="908"/>
  </r>
  <r>
    <n v="86"/>
    <x v="69"/>
    <x v="5"/>
    <n v="920"/>
    <n v="959"/>
    <n v="1879"/>
    <n v="1346"/>
  </r>
  <r>
    <n v="86"/>
    <x v="69"/>
    <x v="5"/>
    <n v="938"/>
    <n v="1046"/>
    <n v="1984"/>
    <n v="1439"/>
  </r>
  <r>
    <n v="86"/>
    <x v="69"/>
    <x v="5"/>
    <n v="3184"/>
    <n v="3513"/>
    <n v="6697"/>
    <n v="4920"/>
  </r>
  <r>
    <n v="86"/>
    <x v="69"/>
    <x v="5"/>
    <n v="2894"/>
    <n v="3044"/>
    <n v="5938"/>
    <n v="3466"/>
  </r>
  <r>
    <n v="86"/>
    <x v="69"/>
    <x v="5"/>
    <n v="5050"/>
    <n v="5808"/>
    <n v="10858"/>
    <n v="7243"/>
  </r>
  <r>
    <n v="86"/>
    <x v="69"/>
    <x v="5"/>
    <n v="14856"/>
    <n v="17292"/>
    <n v="32148"/>
    <n v="20812"/>
  </r>
  <r>
    <n v="90"/>
    <x v="70"/>
    <x v="5"/>
    <n v="695802"/>
    <n v="735305"/>
    <n v="1431107"/>
    <n v="593923"/>
  </r>
  <r>
    <n v="90"/>
    <x v="70"/>
    <x v="5"/>
    <n v="7272"/>
    <n v="7930"/>
    <n v="15202"/>
    <n v="5918"/>
  </r>
  <r>
    <n v="90"/>
    <x v="70"/>
    <x v="5"/>
    <n v="21446"/>
    <n v="22447"/>
    <n v="43893"/>
    <n v="14551"/>
  </r>
  <r>
    <n v="90"/>
    <x v="70"/>
    <x v="5"/>
    <n v="50876"/>
    <n v="51458"/>
    <n v="102334"/>
    <n v="29763"/>
  </r>
  <r>
    <n v="90"/>
    <x v="70"/>
    <x v="5"/>
    <n v="31791"/>
    <n v="31167"/>
    <n v="62958"/>
    <n v="20460"/>
  </r>
  <r>
    <n v="90"/>
    <x v="70"/>
    <x v="5"/>
    <n v="30974"/>
    <n v="29515"/>
    <n v="60489"/>
    <n v="17541"/>
  </r>
  <r>
    <n v="90"/>
    <x v="70"/>
    <x v="5"/>
    <n v="40468"/>
    <n v="39840"/>
    <n v="80308"/>
    <n v="20407"/>
  </r>
  <r>
    <n v="90"/>
    <x v="70"/>
    <x v="5"/>
    <n v="23485"/>
    <n v="23966"/>
    <n v="47451"/>
    <n v="20201"/>
  </r>
  <r>
    <n v="90"/>
    <x v="70"/>
    <x v="5"/>
    <n v="7156"/>
    <n v="7453"/>
    <n v="14609"/>
    <n v="5499"/>
  </r>
  <r>
    <n v="90"/>
    <x v="70"/>
    <x v="5"/>
    <n v="33783"/>
    <n v="34135"/>
    <n v="67918"/>
    <n v="23493"/>
  </r>
  <r>
    <n v="90"/>
    <x v="70"/>
    <x v="5"/>
    <n v="29594"/>
    <n v="29333"/>
    <n v="58927"/>
    <n v="22395"/>
  </r>
  <r>
    <n v="90"/>
    <x v="70"/>
    <x v="5"/>
    <n v="15637"/>
    <n v="17032"/>
    <n v="32669"/>
    <n v="15251"/>
  </r>
  <r>
    <n v="90"/>
    <x v="70"/>
    <x v="5"/>
    <n v="11101"/>
    <n v="11964"/>
    <n v="23065"/>
    <n v="9810"/>
  </r>
  <r>
    <n v="90"/>
    <x v="70"/>
    <x v="5"/>
    <n v="14787"/>
    <n v="15300"/>
    <n v="30087"/>
    <n v="10564"/>
  </r>
  <r>
    <n v="90"/>
    <x v="70"/>
    <x v="5"/>
    <n v="5161"/>
    <n v="5299"/>
    <n v="10460"/>
    <n v="3991"/>
  </r>
  <r>
    <n v="90"/>
    <x v="70"/>
    <x v="5"/>
    <n v="21415"/>
    <n v="22386"/>
    <n v="43801"/>
    <n v="15721"/>
  </r>
  <r>
    <n v="90"/>
    <x v="70"/>
    <x v="5"/>
    <n v="5898"/>
    <n v="5888"/>
    <n v="11786"/>
    <n v="5470"/>
  </r>
  <r>
    <n v="90"/>
    <x v="70"/>
    <x v="5"/>
    <n v="8439"/>
    <n v="8946"/>
    <n v="17385"/>
    <n v="6860"/>
  </r>
  <r>
    <n v="90"/>
    <x v="70"/>
    <x v="5"/>
    <n v="4107"/>
    <n v="3502"/>
    <n v="7609"/>
    <n v="2938"/>
  </r>
  <r>
    <n v="90"/>
    <x v="70"/>
    <x v="5"/>
    <n v="3737"/>
    <n v="4013"/>
    <n v="7750"/>
    <n v="2822"/>
  </r>
  <r>
    <n v="90"/>
    <x v="70"/>
    <x v="5"/>
    <n v="5644"/>
    <n v="5982"/>
    <n v="11626"/>
    <n v="4057"/>
  </r>
  <r>
    <n v="90"/>
    <x v="70"/>
    <x v="5"/>
    <n v="5904"/>
    <n v="6017"/>
    <n v="11921"/>
    <n v="3473"/>
  </r>
  <r>
    <n v="90"/>
    <x v="70"/>
    <x v="5"/>
    <n v="11781"/>
    <n v="11869"/>
    <n v="23650"/>
    <n v="11027"/>
  </r>
  <r>
    <n v="90"/>
    <x v="70"/>
    <x v="5"/>
    <n v="7300"/>
    <n v="8200"/>
    <n v="15500"/>
    <n v="6875"/>
  </r>
  <r>
    <n v="90"/>
    <x v="70"/>
    <x v="5"/>
    <n v="7835"/>
    <n v="8057"/>
    <n v="15892"/>
    <n v="4841"/>
  </r>
  <r>
    <n v="90"/>
    <x v="70"/>
    <x v="5"/>
    <n v="4047"/>
    <n v="4312"/>
    <n v="8359"/>
    <n v="3689"/>
  </r>
  <r>
    <n v="90"/>
    <x v="70"/>
    <x v="5"/>
    <n v="17014"/>
    <n v="18749"/>
    <n v="35763"/>
    <n v="16945"/>
  </r>
  <r>
    <n v="90"/>
    <x v="70"/>
    <x v="5"/>
    <n v="20410"/>
    <n v="22757"/>
    <n v="43167"/>
    <n v="22492"/>
  </r>
  <r>
    <n v="90"/>
    <x v="70"/>
    <x v="5"/>
    <n v="6394"/>
    <n v="7429"/>
    <n v="13823"/>
    <n v="9493"/>
  </r>
  <r>
    <n v="90"/>
    <x v="70"/>
    <x v="5"/>
    <n v="20931"/>
    <n v="23852"/>
    <n v="44783"/>
    <n v="23597"/>
  </r>
  <r>
    <n v="90"/>
    <x v="70"/>
    <x v="5"/>
    <n v="24657"/>
    <n v="28190"/>
    <n v="52847"/>
    <n v="28678"/>
  </r>
  <r>
    <n v="90"/>
    <x v="70"/>
    <x v="5"/>
    <n v="21610"/>
    <n v="24487"/>
    <n v="46097"/>
    <n v="30251"/>
  </r>
  <r>
    <n v="90"/>
    <x v="70"/>
    <x v="5"/>
    <n v="19852"/>
    <n v="20281"/>
    <n v="40133"/>
    <n v="14173"/>
  </r>
  <r>
    <n v="90"/>
    <x v="70"/>
    <x v="5"/>
    <n v="1872"/>
    <n v="2132"/>
    <n v="4004"/>
    <n v="1831"/>
  </r>
  <r>
    <n v="90"/>
    <x v="70"/>
    <x v="5"/>
    <n v="3660"/>
    <n v="4094"/>
    <n v="7754"/>
    <n v="4992"/>
  </r>
  <r>
    <n v="90"/>
    <x v="70"/>
    <x v="5"/>
    <n v="3916"/>
    <n v="4154"/>
    <n v="8070"/>
    <n v="3252"/>
  </r>
  <r>
    <n v="90"/>
    <x v="70"/>
    <x v="5"/>
    <n v="7703"/>
    <n v="8163"/>
    <n v="15866"/>
    <n v="6450"/>
  </r>
  <r>
    <n v="90"/>
    <x v="70"/>
    <x v="5"/>
    <n v="3138"/>
    <n v="3322"/>
    <n v="6460"/>
    <n v="2170"/>
  </r>
  <r>
    <n v="90"/>
    <x v="70"/>
    <x v="5"/>
    <n v="1388"/>
    <n v="1551"/>
    <n v="2939"/>
    <n v="1190"/>
  </r>
  <r>
    <n v="90"/>
    <x v="70"/>
    <x v="5"/>
    <n v="2315"/>
    <n v="2554"/>
    <n v="4869"/>
    <n v="2704"/>
  </r>
  <r>
    <n v="90"/>
    <x v="70"/>
    <x v="5"/>
    <n v="2006"/>
    <n v="2208"/>
    <n v="4214"/>
    <n v="2029"/>
  </r>
  <r>
    <n v="90"/>
    <x v="70"/>
    <x v="5"/>
    <n v="5240"/>
    <n v="5480"/>
    <n v="10720"/>
    <n v="3648"/>
  </r>
  <r>
    <n v="90"/>
    <x v="70"/>
    <x v="5"/>
    <n v="640"/>
    <n v="688"/>
    <n v="1328"/>
    <n v="809"/>
  </r>
  <r>
    <n v="90"/>
    <x v="70"/>
    <x v="5"/>
    <n v="1370"/>
    <n v="1329"/>
    <n v="2699"/>
    <n v="1125"/>
  </r>
  <r>
    <n v="90"/>
    <x v="70"/>
    <x v="5"/>
    <n v="2939"/>
    <n v="2991"/>
    <n v="5930"/>
    <n v="3858"/>
  </r>
  <r>
    <n v="90"/>
    <x v="70"/>
    <x v="5"/>
    <n v="3291"/>
    <n v="3418"/>
    <n v="6709"/>
    <n v="3478"/>
  </r>
  <r>
    <n v="90"/>
    <x v="70"/>
    <x v="5"/>
    <n v="1353"/>
    <n v="1477"/>
    <n v="2830"/>
    <n v="1336"/>
  </r>
  <r>
    <n v="90"/>
    <x v="70"/>
    <x v="5"/>
    <n v="13456"/>
    <n v="14894"/>
    <n v="28350"/>
    <n v="13986"/>
  </r>
  <r>
    <n v="90"/>
    <x v="70"/>
    <x v="5"/>
    <n v="10347"/>
    <n v="10949"/>
    <n v="21296"/>
    <n v="9238"/>
  </r>
  <r>
    <n v="90"/>
    <x v="70"/>
    <x v="5"/>
    <n v="64864"/>
    <n v="75987"/>
    <n v="140851"/>
    <n v="70703"/>
  </r>
  <r>
    <n v="90"/>
    <x v="70"/>
    <x v="5"/>
    <n v="25798"/>
    <n v="28158"/>
    <n v="53956"/>
    <n v="27878"/>
  </r>
  <r>
    <n v="91"/>
    <x v="71"/>
    <x v="5"/>
    <n v="161667"/>
    <n v="163212"/>
    <n v="324879"/>
    <n v="111775"/>
  </r>
  <r>
    <n v="91"/>
    <x v="71"/>
    <x v="5"/>
    <n v="32816"/>
    <n v="33625"/>
    <n v="66441"/>
    <n v="19610"/>
  </r>
  <r>
    <n v="91"/>
    <x v="71"/>
    <x v="5"/>
    <n v="11067"/>
    <n v="11161"/>
    <n v="22228"/>
    <n v="6347"/>
  </r>
  <r>
    <n v="91"/>
    <x v="71"/>
    <x v="5"/>
    <n v="17766"/>
    <n v="17717"/>
    <n v="35483"/>
    <n v="12380"/>
  </r>
  <r>
    <n v="91"/>
    <x v="71"/>
    <x v="5"/>
    <n v="14873"/>
    <n v="15070"/>
    <n v="29943"/>
    <n v="9197"/>
  </r>
  <r>
    <n v="91"/>
    <x v="71"/>
    <x v="5"/>
    <n v="34386"/>
    <n v="34751"/>
    <n v="69137"/>
    <n v="22266"/>
  </r>
  <r>
    <n v="91"/>
    <x v="71"/>
    <x v="5"/>
    <n v="10770"/>
    <n v="10601"/>
    <n v="21371"/>
    <n v="7074"/>
  </r>
  <r>
    <n v="91"/>
    <x v="71"/>
    <x v="5"/>
    <n v="9531"/>
    <n v="9171"/>
    <n v="18702"/>
    <n v="6715"/>
  </r>
  <r>
    <n v="91"/>
    <x v="71"/>
    <x v="5"/>
    <n v="10529"/>
    <n v="9964"/>
    <n v="20493"/>
    <n v="9640"/>
  </r>
  <r>
    <n v="91"/>
    <x v="71"/>
    <x v="5"/>
    <n v="1603"/>
    <n v="1626"/>
    <n v="3229"/>
    <n v="1271"/>
  </r>
  <r>
    <n v="91"/>
    <x v="71"/>
    <x v="5"/>
    <n v="2326"/>
    <n v="2570"/>
    <n v="4896"/>
    <n v="2953"/>
  </r>
  <r>
    <n v="91"/>
    <x v="71"/>
    <x v="5"/>
    <n v="2684"/>
    <n v="2783"/>
    <n v="5467"/>
    <n v="2028"/>
  </r>
  <r>
    <n v="91"/>
    <x v="71"/>
    <x v="5"/>
    <n v="1094"/>
    <n v="1221"/>
    <n v="2315"/>
    <n v="1046"/>
  </r>
  <r>
    <n v="91"/>
    <x v="71"/>
    <x v="5"/>
    <n v="2007"/>
    <n v="2030"/>
    <n v="4037"/>
    <n v="1041"/>
  </r>
  <r>
    <n v="91"/>
    <x v="71"/>
    <x v="5"/>
    <n v="10215"/>
    <n v="10922"/>
    <n v="21137"/>
    <n v="10207"/>
  </r>
  <r>
    <n v="92"/>
    <x v="72"/>
    <x v="5"/>
    <n v="310045"/>
    <n v="324914"/>
    <n v="634959"/>
    <n v="246853"/>
  </r>
  <r>
    <n v="92"/>
    <x v="72"/>
    <x v="5"/>
    <n v="46421"/>
    <n v="50340"/>
    <n v="96761"/>
    <n v="43309"/>
  </r>
  <r>
    <n v="92"/>
    <x v="72"/>
    <x v="5"/>
    <n v="37295"/>
    <n v="38060"/>
    <n v="75355"/>
    <n v="25257"/>
  </r>
  <r>
    <n v="92"/>
    <x v="72"/>
    <x v="5"/>
    <n v="27718"/>
    <n v="28645"/>
    <n v="56363"/>
    <n v="18750"/>
  </r>
  <r>
    <n v="92"/>
    <x v="72"/>
    <x v="5"/>
    <n v="30666"/>
    <n v="31394"/>
    <n v="62060"/>
    <n v="22375"/>
  </r>
  <r>
    <n v="92"/>
    <x v="72"/>
    <x v="5"/>
    <n v="17651"/>
    <n v="17239"/>
    <n v="34890"/>
    <n v="13112"/>
  </r>
  <r>
    <n v="92"/>
    <x v="72"/>
    <x v="5"/>
    <n v="38286"/>
    <n v="39412"/>
    <n v="77698"/>
    <n v="27826"/>
  </r>
  <r>
    <n v="92"/>
    <x v="72"/>
    <x v="5"/>
    <n v="20002"/>
    <n v="20267"/>
    <n v="40269"/>
    <n v="14381"/>
  </r>
  <r>
    <n v="92"/>
    <x v="72"/>
    <x v="5"/>
    <n v="19839"/>
    <n v="21050"/>
    <n v="40889"/>
    <n v="14157"/>
  </r>
  <r>
    <n v="92"/>
    <x v="72"/>
    <x v="5"/>
    <n v="13174"/>
    <n v="13518"/>
    <n v="26692"/>
    <n v="10197"/>
  </r>
  <r>
    <n v="92"/>
    <x v="72"/>
    <x v="5"/>
    <n v="8420"/>
    <n v="8331"/>
    <n v="16751"/>
    <n v="5144"/>
  </r>
  <r>
    <n v="92"/>
    <x v="72"/>
    <x v="5"/>
    <n v="1155"/>
    <n v="1272"/>
    <n v="2427"/>
    <n v="1379"/>
  </r>
  <r>
    <n v="92"/>
    <x v="72"/>
    <x v="5"/>
    <n v="1611"/>
    <n v="1806"/>
    <n v="3417"/>
    <n v="1618"/>
  </r>
  <r>
    <n v="92"/>
    <x v="72"/>
    <x v="5"/>
    <n v="1466"/>
    <n v="1488"/>
    <n v="2954"/>
    <n v="1411"/>
  </r>
  <r>
    <n v="92"/>
    <x v="72"/>
    <x v="5"/>
    <n v="1780"/>
    <n v="1457"/>
    <n v="3237"/>
    <n v="1476"/>
  </r>
  <r>
    <n v="92"/>
    <x v="72"/>
    <x v="5"/>
    <n v="1927"/>
    <n v="2049"/>
    <n v="3976"/>
    <n v="1888"/>
  </r>
  <r>
    <n v="92"/>
    <x v="72"/>
    <x v="5"/>
    <n v="619"/>
    <n v="683"/>
    <n v="1302"/>
    <n v="664"/>
  </r>
  <r>
    <n v="92"/>
    <x v="72"/>
    <x v="5"/>
    <n v="1013"/>
    <n v="1068"/>
    <n v="2081"/>
    <n v="790"/>
  </r>
  <r>
    <n v="92"/>
    <x v="72"/>
    <x v="5"/>
    <n v="1096"/>
    <n v="1238"/>
    <n v="2334"/>
    <n v="1117"/>
  </r>
  <r>
    <n v="92"/>
    <x v="72"/>
    <x v="5"/>
    <n v="645"/>
    <n v="655"/>
    <n v="1300"/>
    <n v="670"/>
  </r>
  <r>
    <n v="92"/>
    <x v="72"/>
    <x v="5"/>
    <n v="3432"/>
    <n v="3987"/>
    <n v="7419"/>
    <n v="3874"/>
  </r>
  <r>
    <n v="92"/>
    <x v="72"/>
    <x v="5"/>
    <n v="1848"/>
    <n v="2009"/>
    <n v="3857"/>
    <n v="1819"/>
  </r>
  <r>
    <n v="92"/>
    <x v="72"/>
    <x v="5"/>
    <n v="3691"/>
    <n v="4103"/>
    <n v="7794"/>
    <n v="4232"/>
  </r>
  <r>
    <n v="92"/>
    <x v="72"/>
    <x v="5"/>
    <n v="5483"/>
    <n v="5705"/>
    <n v="11188"/>
    <n v="5143"/>
  </r>
  <r>
    <n v="92"/>
    <x v="72"/>
    <x v="5"/>
    <n v="24807"/>
    <n v="29138"/>
    <n v="53945"/>
    <n v="26264"/>
  </r>
  <r>
    <n v="93"/>
    <x v="73"/>
    <x v="5"/>
    <n v="252460"/>
    <n v="266980"/>
    <n v="519440"/>
    <n v="207767"/>
  </r>
  <r>
    <n v="93"/>
    <x v="73"/>
    <x v="5"/>
    <n v="42603"/>
    <n v="46931"/>
    <n v="89534"/>
    <n v="36125"/>
  </r>
  <r>
    <n v="93"/>
    <x v="73"/>
    <x v="5"/>
    <n v="14689"/>
    <n v="14882"/>
    <n v="29571"/>
    <n v="9934"/>
  </r>
  <r>
    <n v="93"/>
    <x v="73"/>
    <x v="5"/>
    <n v="15074"/>
    <n v="15762"/>
    <n v="30836"/>
    <n v="12083"/>
  </r>
  <r>
    <n v="93"/>
    <x v="73"/>
    <x v="5"/>
    <n v="7123"/>
    <n v="7215"/>
    <n v="14338"/>
    <n v="4992"/>
  </r>
  <r>
    <n v="93"/>
    <x v="73"/>
    <x v="5"/>
    <n v="37631"/>
    <n v="40840"/>
    <n v="78471"/>
    <n v="31374"/>
  </r>
  <r>
    <n v="93"/>
    <x v="73"/>
    <x v="5"/>
    <n v="16042"/>
    <n v="16641"/>
    <n v="32683"/>
    <n v="11544"/>
  </r>
  <r>
    <n v="93"/>
    <x v="73"/>
    <x v="5"/>
    <n v="8993"/>
    <n v="9026"/>
    <n v="18019"/>
    <n v="7138"/>
  </r>
  <r>
    <n v="93"/>
    <x v="73"/>
    <x v="5"/>
    <n v="21390"/>
    <n v="21810"/>
    <n v="43200"/>
    <n v="16564"/>
  </r>
  <r>
    <n v="93"/>
    <x v="73"/>
    <x v="5"/>
    <n v="8928"/>
    <n v="9106"/>
    <n v="18034"/>
    <n v="6797"/>
  </r>
  <r>
    <n v="93"/>
    <x v="73"/>
    <x v="5"/>
    <n v="13126"/>
    <n v="13667"/>
    <n v="26793"/>
    <n v="11251"/>
  </r>
  <r>
    <n v="93"/>
    <x v="73"/>
    <x v="5"/>
    <n v="5122"/>
    <n v="5270"/>
    <n v="10392"/>
    <n v="3790"/>
  </r>
  <r>
    <n v="93"/>
    <x v="73"/>
    <x v="5"/>
    <n v="3603"/>
    <n v="3583"/>
    <n v="7186"/>
    <n v="2281"/>
  </r>
  <r>
    <n v="93"/>
    <x v="73"/>
    <x v="5"/>
    <n v="3632"/>
    <n v="3688"/>
    <n v="7320"/>
    <n v="2390"/>
  </r>
  <r>
    <n v="93"/>
    <x v="73"/>
    <x v="5"/>
    <n v="4881"/>
    <n v="5085"/>
    <n v="9966"/>
    <n v="3624"/>
  </r>
  <r>
    <n v="93"/>
    <x v="73"/>
    <x v="5"/>
    <n v="1892"/>
    <n v="1945"/>
    <n v="3837"/>
    <n v="1498"/>
  </r>
  <r>
    <n v="93"/>
    <x v="73"/>
    <x v="5"/>
    <n v="2249"/>
    <n v="2325"/>
    <n v="4574"/>
    <n v="1729"/>
  </r>
  <r>
    <n v="93"/>
    <x v="73"/>
    <x v="5"/>
    <n v="4781"/>
    <n v="4138"/>
    <n v="8919"/>
    <n v="3688"/>
  </r>
  <r>
    <n v="93"/>
    <x v="73"/>
    <x v="5"/>
    <n v="5045"/>
    <n v="5294"/>
    <n v="10339"/>
    <n v="3784"/>
  </r>
  <r>
    <n v="93"/>
    <x v="73"/>
    <x v="5"/>
    <n v="3687"/>
    <n v="3782"/>
    <n v="7469"/>
    <n v="3288"/>
  </r>
  <r>
    <n v="93"/>
    <x v="73"/>
    <x v="5"/>
    <n v="4233"/>
    <n v="4459"/>
    <n v="8692"/>
    <n v="3081"/>
  </r>
  <r>
    <n v="93"/>
    <x v="73"/>
    <x v="5"/>
    <n v="1900"/>
    <n v="2090"/>
    <n v="3990"/>
    <n v="1934"/>
  </r>
  <r>
    <n v="93"/>
    <x v="73"/>
    <x v="5"/>
    <n v="2015"/>
    <n v="2087"/>
    <n v="4102"/>
    <n v="1828"/>
  </r>
  <r>
    <n v="93"/>
    <x v="73"/>
    <x v="5"/>
    <n v="1447"/>
    <n v="1610"/>
    <n v="3057"/>
    <n v="1546"/>
  </r>
  <r>
    <n v="93"/>
    <x v="73"/>
    <x v="5"/>
    <n v="1009"/>
    <n v="1153"/>
    <n v="2162"/>
    <n v="811"/>
  </r>
  <r>
    <n v="93"/>
    <x v="73"/>
    <x v="5"/>
    <n v="890"/>
    <n v="1072"/>
    <n v="1962"/>
    <n v="1212"/>
  </r>
  <r>
    <n v="93"/>
    <x v="73"/>
    <x v="5"/>
    <n v="2949"/>
    <n v="3227"/>
    <n v="6176"/>
    <n v="3579"/>
  </r>
  <r>
    <n v="93"/>
    <x v="73"/>
    <x v="5"/>
    <n v="2051"/>
    <n v="2187"/>
    <n v="4238"/>
    <n v="1609"/>
  </r>
  <r>
    <n v="93"/>
    <x v="73"/>
    <x v="5"/>
    <n v="1623"/>
    <n v="1788"/>
    <n v="3411"/>
    <n v="1678"/>
  </r>
  <r>
    <n v="93"/>
    <x v="73"/>
    <x v="5"/>
    <n v="13852"/>
    <n v="16317"/>
    <n v="30169"/>
    <n v="16615"/>
  </r>
  <r>
    <n v="94"/>
    <x v="74"/>
    <x v="5"/>
    <n v="366532"/>
    <n v="374372"/>
    <n v="740904"/>
    <n v="208009"/>
  </r>
  <r>
    <n v="94"/>
    <x v="74"/>
    <x v="5"/>
    <n v="44632"/>
    <n v="46805"/>
    <n v="91437"/>
    <n v="33717"/>
  </r>
  <r>
    <n v="94"/>
    <x v="74"/>
    <x v="5"/>
    <n v="30823"/>
    <n v="32294"/>
    <n v="63117"/>
    <n v="18698"/>
  </r>
  <r>
    <n v="94"/>
    <x v="74"/>
    <x v="5"/>
    <n v="30475"/>
    <n v="30901"/>
    <n v="61376"/>
    <n v="14493"/>
  </r>
  <r>
    <n v="94"/>
    <x v="74"/>
    <x v="5"/>
    <n v="18363"/>
    <n v="19031"/>
    <n v="37394"/>
    <n v="10039"/>
  </r>
  <r>
    <n v="94"/>
    <x v="74"/>
    <x v="5"/>
    <n v="28830"/>
    <n v="29394"/>
    <n v="58224"/>
    <n v="13685"/>
  </r>
  <r>
    <n v="94"/>
    <x v="74"/>
    <x v="5"/>
    <n v="12906"/>
    <n v="13306"/>
    <n v="26212"/>
    <n v="6218"/>
  </r>
  <r>
    <n v="94"/>
    <x v="74"/>
    <x v="5"/>
    <n v="28555"/>
    <n v="29784"/>
    <n v="58339"/>
    <n v="14331"/>
  </r>
  <r>
    <n v="94"/>
    <x v="74"/>
    <x v="5"/>
    <n v="6506"/>
    <n v="6746"/>
    <n v="13252"/>
    <n v="3645"/>
  </r>
  <r>
    <n v="94"/>
    <x v="74"/>
    <x v="5"/>
    <n v="36391"/>
    <n v="36861"/>
    <n v="73252"/>
    <n v="17067"/>
  </r>
  <r>
    <n v="94"/>
    <x v="74"/>
    <x v="5"/>
    <n v="46438"/>
    <n v="46759"/>
    <n v="93197"/>
    <n v="22771"/>
  </r>
  <r>
    <n v="94"/>
    <x v="74"/>
    <x v="5"/>
    <n v="9658"/>
    <n v="9883"/>
    <n v="19541"/>
    <n v="4678"/>
  </r>
  <r>
    <n v="94"/>
    <x v="74"/>
    <x v="5"/>
    <n v="8910"/>
    <n v="9088"/>
    <n v="17998"/>
    <n v="4803"/>
  </r>
  <r>
    <n v="94"/>
    <x v="74"/>
    <x v="5"/>
    <n v="2519"/>
    <n v="2671"/>
    <n v="5190"/>
    <n v="1453"/>
  </r>
  <r>
    <n v="94"/>
    <x v="74"/>
    <x v="5"/>
    <n v="3182"/>
    <n v="3064"/>
    <n v="6246"/>
    <n v="2016"/>
  </r>
  <r>
    <n v="94"/>
    <x v="74"/>
    <x v="5"/>
    <n v="5255"/>
    <n v="5356"/>
    <n v="10611"/>
    <n v="2468"/>
  </r>
  <r>
    <n v="94"/>
    <x v="74"/>
    <x v="5"/>
    <n v="1362"/>
    <n v="1541"/>
    <n v="2903"/>
    <n v="759"/>
  </r>
  <r>
    <n v="94"/>
    <x v="74"/>
    <x v="5"/>
    <n v="2500"/>
    <n v="2526"/>
    <n v="5026"/>
    <n v="1308"/>
  </r>
  <r>
    <n v="94"/>
    <x v="74"/>
    <x v="5"/>
    <n v="5517"/>
    <n v="5533"/>
    <n v="11050"/>
    <n v="2915"/>
  </r>
  <r>
    <n v="94"/>
    <x v="74"/>
    <x v="5"/>
    <n v="3112"/>
    <n v="3132"/>
    <n v="6244"/>
    <n v="2101"/>
  </r>
  <r>
    <n v="94"/>
    <x v="74"/>
    <x v="5"/>
    <n v="9400"/>
    <n v="6618"/>
    <n v="16018"/>
    <n v="6152"/>
  </r>
  <r>
    <n v="94"/>
    <x v="74"/>
    <x v="5"/>
    <n v="1469"/>
    <n v="1603"/>
    <n v="3072"/>
    <n v="1469"/>
  </r>
  <r>
    <n v="94"/>
    <x v="74"/>
    <x v="5"/>
    <n v="1593"/>
    <n v="1825"/>
    <n v="3418"/>
    <n v="1933"/>
  </r>
  <r>
    <n v="94"/>
    <x v="74"/>
    <x v="5"/>
    <n v="7156"/>
    <n v="7378"/>
    <n v="14534"/>
    <n v="4727"/>
  </r>
  <r>
    <n v="94"/>
    <x v="74"/>
    <x v="5"/>
    <n v="20980"/>
    <n v="22273"/>
    <n v="43253"/>
    <n v="16563"/>
  </r>
  <r>
    <n v="95"/>
    <x v="75"/>
    <x v="5"/>
    <n v="274701"/>
    <n v="278273"/>
    <n v="552974"/>
    <n v="181284"/>
  </r>
  <r>
    <n v="95"/>
    <x v="75"/>
    <x v="5"/>
    <n v="38800"/>
    <n v="39786"/>
    <n v="78586"/>
    <n v="20212"/>
  </r>
  <r>
    <n v="95"/>
    <x v="75"/>
    <x v="5"/>
    <n v="18751"/>
    <n v="17716"/>
    <n v="36467"/>
    <n v="16253"/>
  </r>
  <r>
    <n v="95"/>
    <x v="75"/>
    <x v="5"/>
    <n v="29480"/>
    <n v="28578"/>
    <n v="58058"/>
    <n v="16646"/>
  </r>
  <r>
    <n v="95"/>
    <x v="75"/>
    <x v="5"/>
    <n v="12941"/>
    <n v="11953"/>
    <n v="24894"/>
    <n v="9444"/>
  </r>
  <r>
    <n v="95"/>
    <x v="75"/>
    <x v="5"/>
    <n v="31859"/>
    <n v="31696"/>
    <n v="63555"/>
    <n v="15280"/>
  </r>
  <r>
    <n v="95"/>
    <x v="75"/>
    <x v="5"/>
    <n v="43642"/>
    <n v="44607"/>
    <n v="88249"/>
    <n v="21827"/>
  </r>
  <r>
    <n v="95"/>
    <x v="75"/>
    <x v="5"/>
    <n v="13416"/>
    <n v="12801"/>
    <n v="26217"/>
    <n v="7475"/>
  </r>
  <r>
    <n v="95"/>
    <x v="75"/>
    <x v="5"/>
    <n v="15754"/>
    <n v="15469"/>
    <n v="31223"/>
    <n v="6703"/>
  </r>
  <r>
    <n v="95"/>
    <x v="75"/>
    <x v="5"/>
    <n v="18302"/>
    <n v="19783"/>
    <n v="38085"/>
    <n v="17414"/>
  </r>
  <r>
    <n v="95"/>
    <x v="75"/>
    <x v="5"/>
    <n v="2451"/>
    <n v="2209"/>
    <n v="4660"/>
    <n v="2076"/>
  </r>
  <r>
    <n v="95"/>
    <x v="75"/>
    <x v="5"/>
    <n v="2949"/>
    <n v="3076"/>
    <n v="6025"/>
    <n v="1811"/>
  </r>
  <r>
    <n v="95"/>
    <x v="75"/>
    <x v="5"/>
    <n v="2537"/>
    <n v="2594"/>
    <n v="5131"/>
    <n v="1960"/>
  </r>
  <r>
    <n v="95"/>
    <x v="75"/>
    <x v="5"/>
    <n v="1246"/>
    <n v="1215"/>
    <n v="2461"/>
    <n v="812"/>
  </r>
  <r>
    <n v="95"/>
    <x v="75"/>
    <x v="5"/>
    <n v="719"/>
    <n v="706"/>
    <n v="1425"/>
    <n v="603"/>
  </r>
  <r>
    <n v="95"/>
    <x v="75"/>
    <x v="5"/>
    <n v="1268"/>
    <n v="1275"/>
    <n v="2543"/>
    <n v="1060"/>
  </r>
  <r>
    <n v="95"/>
    <x v="75"/>
    <x v="5"/>
    <n v="514"/>
    <n v="527"/>
    <n v="1041"/>
    <n v="393"/>
  </r>
  <r>
    <n v="95"/>
    <x v="75"/>
    <x v="5"/>
    <n v="12437"/>
    <n v="13467"/>
    <n v="25904"/>
    <n v="11651"/>
  </r>
  <r>
    <n v="95"/>
    <x v="75"/>
    <x v="5"/>
    <n v="27635"/>
    <n v="30815"/>
    <n v="58450"/>
    <n v="29664"/>
  </r>
  <r>
    <n v="96"/>
    <x v="76"/>
    <x v="5"/>
    <n v="407632"/>
    <n v="416364"/>
    <n v="823996"/>
    <n v="232664"/>
  </r>
  <r>
    <n v="96"/>
    <x v="76"/>
    <x v="5"/>
    <n v="44411"/>
    <n v="44203"/>
    <n v="88614"/>
    <n v="28297"/>
  </r>
  <r>
    <n v="96"/>
    <x v="76"/>
    <x v="5"/>
    <n v="27379"/>
    <n v="28121"/>
    <n v="55500"/>
    <n v="12788"/>
  </r>
  <r>
    <n v="96"/>
    <x v="76"/>
    <x v="5"/>
    <n v="20807"/>
    <n v="21493"/>
    <n v="42300"/>
    <n v="9876"/>
  </r>
  <r>
    <n v="96"/>
    <x v="76"/>
    <x v="5"/>
    <n v="22357"/>
    <n v="22972"/>
    <n v="45329"/>
    <n v="11101"/>
  </r>
  <r>
    <n v="96"/>
    <x v="76"/>
    <x v="5"/>
    <n v="39255"/>
    <n v="40607"/>
    <n v="79862"/>
    <n v="18377"/>
  </r>
  <r>
    <n v="96"/>
    <x v="76"/>
    <x v="5"/>
    <n v="34281"/>
    <n v="34309"/>
    <n v="68590"/>
    <n v="16441"/>
  </r>
  <r>
    <n v="96"/>
    <x v="76"/>
    <x v="5"/>
    <n v="19201"/>
    <n v="18678"/>
    <n v="37879"/>
    <n v="10045"/>
  </r>
  <r>
    <n v="96"/>
    <x v="76"/>
    <x v="5"/>
    <n v="22201"/>
    <n v="22633"/>
    <n v="44834"/>
    <n v="10977"/>
  </r>
  <r>
    <n v="96"/>
    <x v="76"/>
    <x v="5"/>
    <n v="11786"/>
    <n v="11357"/>
    <n v="23143"/>
    <n v="7666"/>
  </r>
  <r>
    <n v="96"/>
    <x v="76"/>
    <x v="5"/>
    <n v="19057"/>
    <n v="20215"/>
    <n v="39272"/>
    <n v="11845"/>
  </r>
  <r>
    <n v="96"/>
    <x v="76"/>
    <x v="5"/>
    <n v="24342"/>
    <n v="24998"/>
    <n v="49340"/>
    <n v="12786"/>
  </r>
  <r>
    <n v="96"/>
    <x v="76"/>
    <x v="5"/>
    <n v="20540"/>
    <n v="19989"/>
    <n v="40529"/>
    <n v="10159"/>
  </r>
  <r>
    <n v="96"/>
    <x v="76"/>
    <x v="5"/>
    <n v="20774"/>
    <n v="20945"/>
    <n v="41719"/>
    <n v="10241"/>
  </r>
  <r>
    <n v="96"/>
    <x v="76"/>
    <x v="5"/>
    <n v="3400"/>
    <n v="3578"/>
    <n v="6978"/>
    <n v="2172"/>
  </r>
  <r>
    <n v="96"/>
    <x v="76"/>
    <x v="5"/>
    <n v="1754"/>
    <n v="1685"/>
    <n v="3439"/>
    <n v="1650"/>
  </r>
  <r>
    <n v="96"/>
    <x v="76"/>
    <x v="5"/>
    <n v="2561"/>
    <n v="2708"/>
    <n v="5269"/>
    <n v="1731"/>
  </r>
  <r>
    <n v="96"/>
    <x v="76"/>
    <x v="5"/>
    <n v="2553"/>
    <n v="2716"/>
    <n v="5269"/>
    <n v="1484"/>
  </r>
  <r>
    <n v="96"/>
    <x v="76"/>
    <x v="5"/>
    <n v="2635"/>
    <n v="2565"/>
    <n v="5200"/>
    <n v="1924"/>
  </r>
  <r>
    <n v="96"/>
    <x v="76"/>
    <x v="5"/>
    <n v="3672"/>
    <n v="3817"/>
    <n v="7489"/>
    <n v="3753"/>
  </r>
  <r>
    <n v="96"/>
    <x v="76"/>
    <x v="5"/>
    <n v="4399"/>
    <n v="4280"/>
    <n v="8679"/>
    <n v="1842"/>
  </r>
  <r>
    <n v="96"/>
    <x v="76"/>
    <x v="5"/>
    <n v="3251"/>
    <n v="3501"/>
    <n v="6752"/>
    <n v="3920"/>
  </r>
  <r>
    <n v="96"/>
    <x v="76"/>
    <x v="5"/>
    <n v="1549"/>
    <n v="1538"/>
    <n v="3087"/>
    <n v="1148"/>
  </r>
  <r>
    <n v="96"/>
    <x v="76"/>
    <x v="5"/>
    <n v="4857"/>
    <n v="4863"/>
    <n v="9720"/>
    <n v="2380"/>
  </r>
  <r>
    <n v="96"/>
    <x v="76"/>
    <x v="5"/>
    <n v="2472"/>
    <n v="2696"/>
    <n v="5168"/>
    <n v="1501"/>
  </r>
  <r>
    <n v="96"/>
    <x v="76"/>
    <x v="5"/>
    <n v="9814"/>
    <n v="10377"/>
    <n v="20191"/>
    <n v="6005"/>
  </r>
  <r>
    <n v="96"/>
    <x v="76"/>
    <x v="5"/>
    <n v="18723"/>
    <n v="20858"/>
    <n v="39581"/>
    <n v="15884"/>
  </r>
  <r>
    <n v="96"/>
    <x v="76"/>
    <x v="5"/>
    <n v="19601"/>
    <n v="20662"/>
    <n v="40263"/>
    <n v="16671"/>
  </r>
  <r>
    <m/>
    <x v="77"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F180B-1030-48B3-B58F-9F60CA2E100A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A3:B81" firstHeaderRow="1" firstDataRow="1" firstDataCol="1"/>
  <pivotFields count="13">
    <pivotField showAll="0"/>
    <pivotField showAll="0"/>
    <pivotField axis="axisRow" showAll="0">
      <items count="78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ผลรวม ของ จำนวนประชากรทั้งหมด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D1F03-66CB-460E-93CB-CEDEA42EB689}" name="PivotTable1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A3:D81" firstHeaderRow="0" firstDataRow="1" firstDataCol="1"/>
  <pivotFields count="7">
    <pivotField showAll="0"/>
    <pivotField axis="axisRow"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h="1" x="77"/>
        <item t="default"/>
      </items>
    </pivotField>
    <pivotField showAll="0">
      <items count="8">
        <item x="0"/>
        <item x="4"/>
        <item x="1"/>
        <item x="2"/>
        <item x="5"/>
        <item x="3"/>
        <item x="6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ผลรวม ของ จำนวนประชากรชาย" fld="3" baseField="0" baseItem="0"/>
    <dataField name="ผลรวม ของ จำนวนประชากรหญิง" fld="4" baseField="0" baseItem="0"/>
    <dataField name="ผลรวม ของ จำนวนประชากรทั้งหมด" fld="5" baseField="0" baseItem="0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81A88-DD81-4D10-BE07-192DEBC9171C}" name="PivotTable9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3">
  <location ref="J1:K8" firstHeaderRow="1" firstDataRow="1" firstDataCol="1"/>
  <pivotFields count="7">
    <pivotField showAll="0"/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axis="axisRow" showAll="0">
      <items count="8">
        <item x="0"/>
        <item x="4"/>
        <item x="1"/>
        <item x="2"/>
        <item x="5"/>
        <item x="3"/>
        <item h="1"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ผลรวม ของ จำนวนบ้าน (หลังคาเรือน)" fld="6" baseField="0" baseItem="0" numFmtId="3"/>
  </dataFields>
  <formats count="1">
    <format dxfId="3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45B77-4DD2-42BA-8371-09C3C0687772}" name="PivotTable8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4">
  <location ref="G1:I8" firstHeaderRow="0" firstDataRow="1" firstDataCol="1"/>
  <pivotFields count="7">
    <pivotField showAll="0"/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axis="axisRow" showAll="0">
      <items count="8">
        <item x="0"/>
        <item x="4"/>
        <item x="1"/>
        <item x="2"/>
        <item x="5"/>
        <item x="3"/>
        <item h="1" x="6"/>
        <item t="default"/>
      </items>
    </pivotField>
    <pivotField dataField="1"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 ของ จำนวนประชากรชาย" fld="3" baseField="0" baseItem="0" numFmtId="3"/>
    <dataField name="ผลรวม ของ จำนวนประชากรหญิง" fld="4" baseField="0" baseItem="0" numFmtId="3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07214-E5FD-4938-8624-32B8134AD0E2}" name="PivotTable7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4">
  <location ref="D1:E12" firstHeaderRow="1" firstDataRow="1" firstDataCol="1"/>
  <pivotFields count="7">
    <pivotField showAll="0"/>
    <pivotField axis="axisRow" showAll="0" measureFilter="1" sortType="descending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h="1" x="0"/>
        <item h="1" x="4"/>
        <item x="1"/>
        <item h="1" x="2"/>
        <item h="1" x="5"/>
        <item h="1" x="3"/>
        <item h="1" x="6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20"/>
    </i>
    <i>
      <x v="76"/>
    </i>
    <i>
      <x v="13"/>
    </i>
    <i>
      <x v="5"/>
    </i>
    <i>
      <x v="8"/>
    </i>
    <i>
      <x v="27"/>
    </i>
    <i>
      <x v="73"/>
    </i>
    <i>
      <x v="21"/>
    </i>
    <i>
      <x v="55"/>
    </i>
    <i t="grand">
      <x/>
    </i>
  </rowItems>
  <colItems count="1">
    <i/>
  </colItems>
  <dataFields count="1">
    <dataField name="ผลรวม ของ จำนวนประชากรทั้งหมด" fld="5" baseField="0" baseItem="0" numFmtId="3"/>
  </dataFields>
  <formats count="1">
    <format dxfId="6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ABDE0-BB46-4A43-ACC1-4DE78C2EBD1C}" name="PivotTable6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7">
  <location ref="A1:B8" firstHeaderRow="1" firstDataRow="1" firstDataCol="1"/>
  <pivotFields count="7">
    <pivotField showAll="0"/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axis="axisRow" showAll="0">
      <items count="8">
        <item x="0"/>
        <item x="4"/>
        <item x="1"/>
        <item x="2"/>
        <item x="5"/>
        <item x="3"/>
        <item h="1" x="6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ผลรวม ของ จำนวนประชากรทั้งหมด" fld="5" baseField="0" baseItem="0" numFmtId="3"/>
  </dataFields>
  <formats count="1">
    <format dxfId="7">
      <pivotArea outline="0" collapsedLevelsAreSubtotals="1" fieldPosition="0"/>
    </format>
  </formats>
  <chartFormats count="8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D6800-2E9C-43C5-86E4-12F5F4D0A7B1}" name="PivotTable10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M1:P2" firstHeaderRow="0" firstDataRow="1" firstDataCol="0"/>
  <pivotFields count="7">
    <pivotField showAll="0"/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>
      <items count="8">
        <item x="0"/>
        <item x="4"/>
        <item x="1"/>
        <item x="2"/>
        <item x="5"/>
        <item x="3"/>
        <item h="1" x="6"/>
        <item t="default"/>
      </items>
    </pivotField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ผลรวม ของ จำนวนประชากรชาย" fld="3" baseField="0" baseItem="0"/>
    <dataField name="ผลรวม ของ จำนวนประชากรหญิง" fld="4" baseField="0" baseItem="0"/>
    <dataField name="ผลรวม ของ จำนวนประชากรทั้งหมด" fld="5" baseField="0" baseItem="0"/>
    <dataField name="ผลรวม ของ จำนวนบ้าน (หลังคาเรือน)" fld="6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969573-DD58-4D2D-9566-EB44CE5FADD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2" xr16:uid="{E295A2A6-F499-4741-99F1-B8A841E87B44}" autoFormatId="16" applyNumberFormats="0" applyBorderFormats="0" applyFontFormats="0" applyPatternFormats="0" applyAlignmentFormats="0" applyWidthHeightFormats="0">
  <queryTableRefresh nextId="15">
    <queryTableFields count="6">
      <queryTableField id="2" name="Column2" tableColumnId="2"/>
      <queryTableField id="3" name="Column3" tableColumnId="3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  <queryTableDeletedFields count="8">
      <deletedField name="Column4"/>
      <deletedField name="Column5"/>
      <deletedField name="Column6"/>
      <deletedField name="Column7"/>
      <deletedField name="Column8"/>
      <deletedField name="Column9"/>
      <deletedField name="Column14"/>
      <deletedField name="Column1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ตัวแบ่งส่วนข้อมูล_ภูมิภาค" xr10:uid="{A54DF3B6-DAF5-479A-B8D1-334AA4395138}" sourceName="ภูมิภาค">
  <pivotTables>
    <pivotTable tabId="16" name="PivotTable6"/>
    <pivotTable tabId="16" name="PivotTable10"/>
    <pivotTable tabId="16" name="PivotTable8"/>
    <pivotTable tabId="16" name="PivotTable9"/>
  </pivotTables>
  <data>
    <tabular pivotCacheId="1181938097">
      <items count="7">
        <i x="0" s="1"/>
        <i x="4" s="1"/>
        <i x="1" s="1"/>
        <i x="2" s="1"/>
        <i x="5" s="1"/>
        <i x="3" s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ตัวแบ่งส่วนข้อมูล_ชื่อจังหวัด" xr10:uid="{A6D295BC-B157-4516-961D-7D187C060750}" sourceName="ชื่อจังหวัด">
  <pivotTables>
    <pivotTable tabId="16" name="PivotTable6"/>
    <pivotTable tabId="16" name="PivotTable10"/>
    <pivotTable tabId="16" name="PivotTable8"/>
    <pivotTable tabId="16" name="PivotTable9"/>
  </pivotTables>
  <data>
    <tabular pivotCacheId="1181938097">
      <items count="78">
        <i x="0" s="1"/>
        <i x="64" s="1"/>
        <i x="56" s="1"/>
        <i x="34" s="1"/>
        <i x="49" s="1"/>
        <i x="28" s="1"/>
        <i x="12" s="1"/>
        <i x="14" s="1"/>
        <i x="10" s="1"/>
        <i x="8" s="1"/>
        <i x="24" s="1"/>
        <i x="69" s="1"/>
        <i x="45" s="1"/>
        <i x="38" s="1"/>
        <i x="72" s="1"/>
        <i x="13" s="1"/>
        <i x="50" s="1"/>
        <i x="16" s="1"/>
        <i x="58" s="1"/>
        <i x="36" s="1"/>
        <i x="18" s="1"/>
        <i x="63" s="1"/>
        <i x="47" s="1"/>
        <i x="2" s="1"/>
        <i x="76" s="1"/>
        <i x="43" s="1"/>
        <i x="26" s="1"/>
        <i x="19" s="1"/>
        <i x="3" s="1"/>
        <i x="62" s="1"/>
        <i x="15" s="1"/>
        <i x="74" s="1"/>
        <i x="4" s="1"/>
        <i x="44" s="1"/>
        <i x="65" s="1"/>
        <i x="73" s="1"/>
        <i x="53" s="1"/>
        <i x="52" s="1"/>
        <i x="61" s="1"/>
        <i x="54" s="1"/>
        <i x="42" s="1"/>
        <i x="66" s="1"/>
        <i x="32" s="1"/>
        <i x="37" s="1"/>
        <i x="46" s="1"/>
        <i x="23" s="1"/>
        <i x="75" s="1"/>
        <i x="33" s="1"/>
        <i x="68" s="1"/>
        <i x="11" s="1"/>
        <i x="55" s="1"/>
        <i x="6" s="1"/>
        <i x="40" s="1"/>
        <i x="39" s="1"/>
        <i x="30" s="1"/>
        <i x="21" s="1"/>
        <i x="35" s="1"/>
        <i x="70" s="1"/>
        <i x="71" s="1"/>
        <i x="1" s="1"/>
        <i x="60" s="1"/>
        <i x="59" s="1"/>
        <i x="17" s="1"/>
        <i x="9" s="1"/>
        <i x="7" s="1"/>
        <i x="51" s="1"/>
        <i x="57" s="1"/>
        <i x="67" s="1"/>
        <i x="20" s="1"/>
        <i x="31" s="1"/>
        <i x="27" s="1"/>
        <i x="5" s="1"/>
        <i x="25" s="1"/>
        <i x="29" s="1"/>
        <i x="41" s="1"/>
        <i x="48" s="1"/>
        <i x="22" s="1"/>
        <i x="7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ภูมิภาค" xr10:uid="{F4CAE49A-F5F5-4393-BF17-9F3C5DC17564}" cache="ตัวแบ่งส่วนข้อมูล_ภูมิภาค" caption="ภูมิภาค" rowHeight="247650"/>
  <slicer name="ชื่อจังหวัด" xr10:uid="{C808EE1D-528D-4B92-9ECF-7169E3825881}" cache="ตัวแบ่งส่วนข้อมูล_ชื่อจังหวัด" caption="ชื่อจังหวัด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1698C-52AA-4CAE-AECA-889CD2896000}" name="province_txt" displayName="province_txt" ref="A1:E78" tableType="queryTable" totalsRowShown="0" dataCellStyle="Normal 4">
  <tableColumns count="5">
    <tableColumn id="1" xr3:uid="{42A837D6-41A7-41ED-A1C5-81E8A544B83D}" uniqueName="1" name="รหัส" queryTableFieldId="1" dataCellStyle="Normal 4"/>
    <tableColumn id="2" xr3:uid="{D70AD875-206E-4387-A1B6-82B8C90F3B7D}" uniqueName="2" name="ชื่อจังหวัดT" queryTableFieldId="2" dataCellStyle="Normal 4"/>
    <tableColumn id="3" xr3:uid="{953FCE3D-82AF-4649-A6D4-A55379BFED98}" uniqueName="3" name="ละติจูด" queryTableFieldId="3" dataCellStyle="Normal 4"/>
    <tableColumn id="4" xr3:uid="{CFA788DE-1D02-492A-AF9A-C9644CCC6E5C}" uniqueName="4" name="ลองจิจูด" queryTableFieldId="4" dataCellStyle="Normal 4"/>
    <tableColumn id="5" xr3:uid="{C55C0AB8-06CC-47C5-A6D2-A10DA10471D7}" uniqueName="5" name="Zoom" queryTableFieldId="5" dataCellStyle="Normal 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04045F-AE2A-4B2E-82E8-AACC45E41B50}" name="population_2568" displayName="population_2568" ref="A1:F80" tableType="queryTable" totalsRowShown="0">
  <tableColumns count="6">
    <tableColumn id="2" xr3:uid="{F3EBDBC3-0CEF-4609-B020-F72D42813CB0}" uniqueName="2" name="Column2" queryTableFieldId="2"/>
    <tableColumn id="3" xr3:uid="{FB6ED0B5-962D-49EC-B9D7-3C6E21A084B8}" uniqueName="3" name="Column3" queryTableFieldId="3" dataDxfId="2"/>
    <tableColumn id="10" xr3:uid="{D99E1784-990B-4C1C-AF22-07E5CC11564F}" uniqueName="10" name="Column10" queryTableFieldId="10"/>
    <tableColumn id="11" xr3:uid="{878CAB7C-D097-4024-BC47-44A4B06A488E}" uniqueName="11" name="Column11" queryTableFieldId="11"/>
    <tableColumn id="12" xr3:uid="{2BA8D130-5EAE-4E59-9163-16981AF3E6DB}" uniqueName="12" name="Column12" queryTableFieldId="12"/>
    <tableColumn id="13" xr3:uid="{99DF0D9F-E449-4783-A6D3-C2DC1B3252DD}" uniqueName="13" name="Column13" queryTableField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2FC-E495-4D69-88E6-01B995AB6297}">
  <dimension ref="A1:E78"/>
  <sheetViews>
    <sheetView workbookViewId="0">
      <selection activeCell="N10" sqref="N10"/>
    </sheetView>
  </sheetViews>
  <sheetFormatPr defaultRowHeight="14.4" x14ac:dyDescent="0.3"/>
  <cols>
    <col min="2" max="2" width="17.88671875" customWidth="1"/>
    <col min="3" max="3" width="19.33203125" bestFit="1" customWidth="1"/>
    <col min="4" max="4" width="20.33203125" bestFit="1" customWidth="1"/>
    <col min="5" max="5" width="6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</row>
    <row r="3" spans="1:5" x14ac:dyDescent="0.3">
      <c r="A3" s="8" t="s">
        <v>23</v>
      </c>
      <c r="B3" s="8" t="s">
        <v>24</v>
      </c>
      <c r="C3" s="8" t="s">
        <v>25</v>
      </c>
      <c r="D3" s="8" t="s">
        <v>26</v>
      </c>
      <c r="E3" s="8" t="s">
        <v>22</v>
      </c>
    </row>
    <row r="4" spans="1:5" x14ac:dyDescent="0.3">
      <c r="A4" s="8" t="s">
        <v>27</v>
      </c>
      <c r="B4" s="8" t="s">
        <v>28</v>
      </c>
      <c r="C4" s="8" t="s">
        <v>29</v>
      </c>
      <c r="D4" s="8" t="s">
        <v>30</v>
      </c>
      <c r="E4" s="8" t="s">
        <v>22</v>
      </c>
    </row>
    <row r="5" spans="1:5" x14ac:dyDescent="0.3">
      <c r="A5" s="8" t="s">
        <v>31</v>
      </c>
      <c r="B5" s="8" t="s">
        <v>32</v>
      </c>
      <c r="C5" s="8" t="s">
        <v>33</v>
      </c>
      <c r="D5" s="8" t="s">
        <v>34</v>
      </c>
      <c r="E5" s="8" t="s">
        <v>22</v>
      </c>
    </row>
    <row r="6" spans="1:5" x14ac:dyDescent="0.3">
      <c r="A6" s="8" t="s">
        <v>35</v>
      </c>
      <c r="B6" s="8" t="s">
        <v>36</v>
      </c>
      <c r="C6" s="8" t="s">
        <v>37</v>
      </c>
      <c r="D6" s="8" t="s">
        <v>38</v>
      </c>
      <c r="E6" s="8" t="s">
        <v>22</v>
      </c>
    </row>
    <row r="7" spans="1:5" x14ac:dyDescent="0.3">
      <c r="A7" s="8" t="s">
        <v>39</v>
      </c>
      <c r="B7" s="8" t="s">
        <v>40</v>
      </c>
      <c r="C7" s="8" t="s">
        <v>41</v>
      </c>
      <c r="D7" s="8" t="s">
        <v>42</v>
      </c>
      <c r="E7" s="8" t="s">
        <v>22</v>
      </c>
    </row>
    <row r="8" spans="1:5" x14ac:dyDescent="0.3">
      <c r="A8" s="8" t="s">
        <v>43</v>
      </c>
      <c r="B8" s="8" t="s">
        <v>44</v>
      </c>
      <c r="C8" s="8" t="s">
        <v>45</v>
      </c>
      <c r="D8" s="8" t="s">
        <v>46</v>
      </c>
      <c r="E8" s="8" t="s">
        <v>22</v>
      </c>
    </row>
    <row r="9" spans="1:5" x14ac:dyDescent="0.3">
      <c r="A9" s="8" t="s">
        <v>47</v>
      </c>
      <c r="B9" s="8" t="s">
        <v>48</v>
      </c>
      <c r="C9" s="8" t="s">
        <v>49</v>
      </c>
      <c r="D9" s="8" t="s">
        <v>50</v>
      </c>
      <c r="E9" s="8" t="s">
        <v>22</v>
      </c>
    </row>
    <row r="10" spans="1:5" x14ac:dyDescent="0.3">
      <c r="A10" s="8" t="s">
        <v>51</v>
      </c>
      <c r="B10" s="8" t="s">
        <v>52</v>
      </c>
      <c r="C10" s="8" t="s">
        <v>53</v>
      </c>
      <c r="D10" s="8" t="s">
        <v>54</v>
      </c>
      <c r="E10" s="8" t="s">
        <v>22</v>
      </c>
    </row>
    <row r="11" spans="1:5" x14ac:dyDescent="0.3">
      <c r="A11" s="8" t="s">
        <v>55</v>
      </c>
      <c r="B11" s="8" t="s">
        <v>56</v>
      </c>
      <c r="C11" s="8" t="s">
        <v>57</v>
      </c>
      <c r="D11" s="8" t="s">
        <v>58</v>
      </c>
      <c r="E11" s="8" t="s">
        <v>22</v>
      </c>
    </row>
    <row r="12" spans="1:5" x14ac:dyDescent="0.3">
      <c r="A12" s="8" t="s">
        <v>59</v>
      </c>
      <c r="B12" s="8" t="s">
        <v>60</v>
      </c>
      <c r="C12" s="8" t="s">
        <v>61</v>
      </c>
      <c r="D12" s="8" t="s">
        <v>62</v>
      </c>
      <c r="E12" s="8" t="s">
        <v>22</v>
      </c>
    </row>
    <row r="13" spans="1:5" x14ac:dyDescent="0.3">
      <c r="A13" s="8" t="s">
        <v>63</v>
      </c>
      <c r="B13" s="8" t="s">
        <v>64</v>
      </c>
      <c r="C13" s="8" t="s">
        <v>65</v>
      </c>
      <c r="D13" s="8" t="s">
        <v>66</v>
      </c>
      <c r="E13" s="8" t="s">
        <v>22</v>
      </c>
    </row>
    <row r="14" spans="1:5" x14ac:dyDescent="0.3">
      <c r="A14" s="8" t="s">
        <v>67</v>
      </c>
      <c r="B14" s="8" t="s">
        <v>68</v>
      </c>
      <c r="C14" s="8" t="s">
        <v>69</v>
      </c>
      <c r="D14" s="8" t="s">
        <v>70</v>
      </c>
      <c r="E14" s="8" t="s">
        <v>22</v>
      </c>
    </row>
    <row r="15" spans="1:5" x14ac:dyDescent="0.3">
      <c r="A15" s="8" t="s">
        <v>71</v>
      </c>
      <c r="B15" s="8" t="s">
        <v>72</v>
      </c>
      <c r="C15" s="8" t="s">
        <v>73</v>
      </c>
      <c r="D15" s="8" t="s">
        <v>74</v>
      </c>
      <c r="E15" s="8" t="s">
        <v>22</v>
      </c>
    </row>
    <row r="16" spans="1:5" x14ac:dyDescent="0.3">
      <c r="A16" s="8" t="s">
        <v>75</v>
      </c>
      <c r="B16" s="8" t="s">
        <v>76</v>
      </c>
      <c r="C16" s="8" t="s">
        <v>77</v>
      </c>
      <c r="D16" s="8" t="s">
        <v>78</v>
      </c>
      <c r="E16" s="8" t="s">
        <v>22</v>
      </c>
    </row>
    <row r="17" spans="1:5" x14ac:dyDescent="0.3">
      <c r="A17" s="8" t="s">
        <v>79</v>
      </c>
      <c r="B17" s="8" t="s">
        <v>80</v>
      </c>
      <c r="C17" s="8" t="s">
        <v>81</v>
      </c>
      <c r="D17" s="8" t="s">
        <v>82</v>
      </c>
      <c r="E17" s="8" t="s">
        <v>22</v>
      </c>
    </row>
    <row r="18" spans="1:5" x14ac:dyDescent="0.3">
      <c r="A18" s="8" t="s">
        <v>83</v>
      </c>
      <c r="B18" s="8" t="s">
        <v>84</v>
      </c>
      <c r="C18" s="8" t="s">
        <v>85</v>
      </c>
      <c r="D18" s="8" t="s">
        <v>86</v>
      </c>
      <c r="E18" s="8" t="s">
        <v>22</v>
      </c>
    </row>
    <row r="19" spans="1:5" x14ac:dyDescent="0.3">
      <c r="A19" s="8" t="s">
        <v>87</v>
      </c>
      <c r="B19" s="8" t="s">
        <v>88</v>
      </c>
      <c r="C19" s="8" t="s">
        <v>89</v>
      </c>
      <c r="D19" s="8" t="s">
        <v>90</v>
      </c>
      <c r="E19" s="8" t="s">
        <v>22</v>
      </c>
    </row>
    <row r="20" spans="1:5" x14ac:dyDescent="0.3">
      <c r="A20" s="8" t="s">
        <v>91</v>
      </c>
      <c r="B20" s="8" t="s">
        <v>92</v>
      </c>
      <c r="C20" s="8" t="s">
        <v>93</v>
      </c>
      <c r="D20" s="8" t="s">
        <v>94</v>
      </c>
      <c r="E20" s="8" t="s">
        <v>22</v>
      </c>
    </row>
    <row r="21" spans="1:5" x14ac:dyDescent="0.3">
      <c r="A21" s="8" t="s">
        <v>95</v>
      </c>
      <c r="B21" s="8" t="s">
        <v>96</v>
      </c>
      <c r="C21" s="8" t="s">
        <v>97</v>
      </c>
      <c r="D21" s="8" t="s">
        <v>98</v>
      </c>
      <c r="E21" s="8" t="s">
        <v>22</v>
      </c>
    </row>
    <row r="22" spans="1:5" x14ac:dyDescent="0.3">
      <c r="A22" s="8" t="s">
        <v>99</v>
      </c>
      <c r="B22" s="8" t="s">
        <v>100</v>
      </c>
      <c r="C22" s="8" t="s">
        <v>101</v>
      </c>
      <c r="D22" s="8" t="s">
        <v>102</v>
      </c>
      <c r="E22" s="8" t="s">
        <v>22</v>
      </c>
    </row>
    <row r="23" spans="1:5" x14ac:dyDescent="0.3">
      <c r="A23" s="8" t="s">
        <v>103</v>
      </c>
      <c r="B23" s="8" t="s">
        <v>104</v>
      </c>
      <c r="C23" s="8" t="s">
        <v>105</v>
      </c>
      <c r="D23" s="8" t="s">
        <v>106</v>
      </c>
      <c r="E23" s="8" t="s">
        <v>22</v>
      </c>
    </row>
    <row r="24" spans="1:5" x14ac:dyDescent="0.3">
      <c r="A24" s="8" t="s">
        <v>107</v>
      </c>
      <c r="B24" s="8" t="s">
        <v>108</v>
      </c>
      <c r="C24" s="8" t="s">
        <v>109</v>
      </c>
      <c r="D24" s="8" t="s">
        <v>110</v>
      </c>
      <c r="E24" s="8" t="s">
        <v>22</v>
      </c>
    </row>
    <row r="25" spans="1:5" x14ac:dyDescent="0.3">
      <c r="A25" s="8" t="s">
        <v>111</v>
      </c>
      <c r="B25" s="8" t="s">
        <v>112</v>
      </c>
      <c r="C25" s="8" t="s">
        <v>113</v>
      </c>
      <c r="D25" s="8" t="s">
        <v>114</v>
      </c>
      <c r="E25" s="8" t="s">
        <v>22</v>
      </c>
    </row>
    <row r="26" spans="1:5" x14ac:dyDescent="0.3">
      <c r="A26" s="8" t="s">
        <v>115</v>
      </c>
      <c r="B26" s="8" t="s">
        <v>116</v>
      </c>
      <c r="C26" s="8" t="s">
        <v>117</v>
      </c>
      <c r="D26" s="8" t="s">
        <v>118</v>
      </c>
      <c r="E26" s="8" t="s">
        <v>22</v>
      </c>
    </row>
    <row r="27" spans="1:5" x14ac:dyDescent="0.3">
      <c r="A27" s="8" t="s">
        <v>119</v>
      </c>
      <c r="B27" s="8" t="s">
        <v>120</v>
      </c>
      <c r="C27" s="8" t="s">
        <v>121</v>
      </c>
      <c r="D27" s="8" t="s">
        <v>122</v>
      </c>
      <c r="E27" s="8" t="s">
        <v>22</v>
      </c>
    </row>
    <row r="28" spans="1:5" x14ac:dyDescent="0.3">
      <c r="A28" s="8" t="s">
        <v>123</v>
      </c>
      <c r="B28" s="8" t="s">
        <v>124</v>
      </c>
      <c r="C28" s="8" t="s">
        <v>125</v>
      </c>
      <c r="D28" s="8" t="s">
        <v>126</v>
      </c>
      <c r="E28" s="8" t="s">
        <v>22</v>
      </c>
    </row>
    <row r="29" spans="1:5" x14ac:dyDescent="0.3">
      <c r="A29" s="8" t="s">
        <v>127</v>
      </c>
      <c r="B29" s="8" t="s">
        <v>128</v>
      </c>
      <c r="C29" s="8" t="s">
        <v>129</v>
      </c>
      <c r="D29" s="8" t="s">
        <v>130</v>
      </c>
      <c r="E29" s="8" t="s">
        <v>22</v>
      </c>
    </row>
    <row r="30" spans="1:5" x14ac:dyDescent="0.3">
      <c r="A30" s="8" t="s">
        <v>131</v>
      </c>
      <c r="B30" s="8" t="s">
        <v>132</v>
      </c>
      <c r="C30" s="8" t="s">
        <v>133</v>
      </c>
      <c r="D30" s="8" t="s">
        <v>134</v>
      </c>
      <c r="E30" s="8" t="s">
        <v>22</v>
      </c>
    </row>
    <row r="31" spans="1:5" x14ac:dyDescent="0.3">
      <c r="A31" s="8" t="s">
        <v>135</v>
      </c>
      <c r="B31" s="8" t="s">
        <v>136</v>
      </c>
      <c r="C31" s="8" t="s">
        <v>137</v>
      </c>
      <c r="D31" s="8" t="s">
        <v>138</v>
      </c>
      <c r="E31" s="8" t="s">
        <v>22</v>
      </c>
    </row>
    <row r="32" spans="1:5" x14ac:dyDescent="0.3">
      <c r="A32" s="8" t="s">
        <v>139</v>
      </c>
      <c r="B32" s="8" t="s">
        <v>140</v>
      </c>
      <c r="C32" s="8" t="s">
        <v>141</v>
      </c>
      <c r="D32" s="8" t="s">
        <v>142</v>
      </c>
      <c r="E32" s="8" t="s">
        <v>22</v>
      </c>
    </row>
    <row r="33" spans="1:5" x14ac:dyDescent="0.3">
      <c r="A33" s="8" t="s">
        <v>143</v>
      </c>
      <c r="B33" s="8" t="s">
        <v>144</v>
      </c>
      <c r="C33" s="8" t="s">
        <v>145</v>
      </c>
      <c r="D33" s="8" t="s">
        <v>146</v>
      </c>
      <c r="E33" s="8" t="s">
        <v>22</v>
      </c>
    </row>
    <row r="34" spans="1:5" x14ac:dyDescent="0.3">
      <c r="A34" s="8" t="s">
        <v>147</v>
      </c>
      <c r="B34" s="8" t="s">
        <v>148</v>
      </c>
      <c r="C34" s="8" t="s">
        <v>149</v>
      </c>
      <c r="D34" s="8" t="s">
        <v>150</v>
      </c>
      <c r="E34" s="8" t="s">
        <v>22</v>
      </c>
    </row>
    <row r="35" spans="1:5" x14ac:dyDescent="0.3">
      <c r="A35" s="8" t="s">
        <v>151</v>
      </c>
      <c r="B35" s="8" t="s">
        <v>152</v>
      </c>
      <c r="C35" s="8" t="s">
        <v>153</v>
      </c>
      <c r="D35" s="8" t="s">
        <v>154</v>
      </c>
      <c r="E35" s="8" t="s">
        <v>22</v>
      </c>
    </row>
    <row r="36" spans="1:5" x14ac:dyDescent="0.3">
      <c r="A36" s="8" t="s">
        <v>155</v>
      </c>
      <c r="B36" s="8" t="s">
        <v>156</v>
      </c>
      <c r="C36" s="8" t="s">
        <v>157</v>
      </c>
      <c r="D36" s="8" t="s">
        <v>158</v>
      </c>
      <c r="E36" s="8" t="s">
        <v>22</v>
      </c>
    </row>
    <row r="37" spans="1:5" x14ac:dyDescent="0.3">
      <c r="A37" s="8" t="s">
        <v>159</v>
      </c>
      <c r="B37" s="8" t="s">
        <v>160</v>
      </c>
      <c r="C37" s="8" t="s">
        <v>161</v>
      </c>
      <c r="D37" s="8" t="s">
        <v>162</v>
      </c>
      <c r="E37" s="8" t="s">
        <v>22</v>
      </c>
    </row>
    <row r="38" spans="1:5" x14ac:dyDescent="0.3">
      <c r="A38" s="8" t="s">
        <v>163</v>
      </c>
      <c r="B38" s="8" t="s">
        <v>164</v>
      </c>
      <c r="C38" s="8" t="s">
        <v>165</v>
      </c>
      <c r="D38" s="8" t="s">
        <v>166</v>
      </c>
      <c r="E38" s="8" t="s">
        <v>22</v>
      </c>
    </row>
    <row r="39" spans="1:5" x14ac:dyDescent="0.3">
      <c r="A39" s="8" t="s">
        <v>167</v>
      </c>
      <c r="B39" s="8" t="s">
        <v>168</v>
      </c>
      <c r="C39" s="8" t="s">
        <v>169</v>
      </c>
      <c r="D39" s="8" t="s">
        <v>170</v>
      </c>
      <c r="E39" s="8" t="s">
        <v>22</v>
      </c>
    </row>
    <row r="40" spans="1:5" x14ac:dyDescent="0.3">
      <c r="A40" s="8" t="s">
        <v>171</v>
      </c>
      <c r="B40" s="8" t="s">
        <v>172</v>
      </c>
      <c r="C40" s="8" t="s">
        <v>173</v>
      </c>
      <c r="D40" s="8" t="s">
        <v>174</v>
      </c>
      <c r="E40" s="8" t="s">
        <v>22</v>
      </c>
    </row>
    <row r="41" spans="1:5" x14ac:dyDescent="0.3">
      <c r="A41" s="8" t="s">
        <v>175</v>
      </c>
      <c r="B41" s="8" t="s">
        <v>176</v>
      </c>
      <c r="C41" s="8" t="s">
        <v>177</v>
      </c>
      <c r="D41" s="8" t="s">
        <v>178</v>
      </c>
      <c r="E41" s="8" t="s">
        <v>22</v>
      </c>
    </row>
    <row r="42" spans="1:5" x14ac:dyDescent="0.3">
      <c r="A42" s="8" t="s">
        <v>179</v>
      </c>
      <c r="B42" s="8" t="s">
        <v>180</v>
      </c>
      <c r="C42" s="8" t="s">
        <v>181</v>
      </c>
      <c r="D42" s="8" t="s">
        <v>182</v>
      </c>
      <c r="E42" s="8" t="s">
        <v>22</v>
      </c>
    </row>
    <row r="43" spans="1:5" x14ac:dyDescent="0.3">
      <c r="A43" s="8" t="s">
        <v>183</v>
      </c>
      <c r="B43" s="8" t="s">
        <v>184</v>
      </c>
      <c r="C43" s="8" t="s">
        <v>185</v>
      </c>
      <c r="D43" s="8" t="s">
        <v>186</v>
      </c>
      <c r="E43" s="8" t="s">
        <v>22</v>
      </c>
    </row>
    <row r="44" spans="1:5" x14ac:dyDescent="0.3">
      <c r="A44" s="8" t="s">
        <v>187</v>
      </c>
      <c r="B44" s="8" t="s">
        <v>188</v>
      </c>
      <c r="C44" s="8" t="s">
        <v>189</v>
      </c>
      <c r="D44" s="8" t="s">
        <v>190</v>
      </c>
      <c r="E44" s="8" t="s">
        <v>22</v>
      </c>
    </row>
    <row r="45" spans="1:5" x14ac:dyDescent="0.3">
      <c r="A45" s="8" t="s">
        <v>191</v>
      </c>
      <c r="B45" s="8" t="s">
        <v>192</v>
      </c>
      <c r="C45" s="8" t="s">
        <v>193</v>
      </c>
      <c r="D45" s="8" t="s">
        <v>194</v>
      </c>
      <c r="E45" s="8" t="s">
        <v>22</v>
      </c>
    </row>
    <row r="46" spans="1:5" x14ac:dyDescent="0.3">
      <c r="A46" s="8" t="s">
        <v>195</v>
      </c>
      <c r="B46" s="8" t="s">
        <v>196</v>
      </c>
      <c r="C46" s="8" t="s">
        <v>197</v>
      </c>
      <c r="D46" s="8" t="s">
        <v>198</v>
      </c>
      <c r="E46" s="8" t="s">
        <v>22</v>
      </c>
    </row>
    <row r="47" spans="1:5" x14ac:dyDescent="0.3">
      <c r="A47" s="8" t="s">
        <v>199</v>
      </c>
      <c r="B47" s="8" t="s">
        <v>200</v>
      </c>
      <c r="C47" s="8" t="s">
        <v>201</v>
      </c>
      <c r="D47" s="8" t="s">
        <v>202</v>
      </c>
      <c r="E47" s="8" t="s">
        <v>22</v>
      </c>
    </row>
    <row r="48" spans="1:5" x14ac:dyDescent="0.3">
      <c r="A48" s="8" t="s">
        <v>203</v>
      </c>
      <c r="B48" s="8" t="s">
        <v>204</v>
      </c>
      <c r="C48" s="8" t="s">
        <v>205</v>
      </c>
      <c r="D48" s="8" t="s">
        <v>206</v>
      </c>
      <c r="E48" s="8" t="s">
        <v>22</v>
      </c>
    </row>
    <row r="49" spans="1:5" x14ac:dyDescent="0.3">
      <c r="A49" s="8" t="s">
        <v>207</v>
      </c>
      <c r="B49" s="8" t="s">
        <v>208</v>
      </c>
      <c r="C49" s="8" t="s">
        <v>209</v>
      </c>
      <c r="D49" s="8" t="s">
        <v>210</v>
      </c>
      <c r="E49" s="8" t="s">
        <v>22</v>
      </c>
    </row>
    <row r="50" spans="1:5" x14ac:dyDescent="0.3">
      <c r="A50" s="8" t="s">
        <v>211</v>
      </c>
      <c r="B50" s="8" t="s">
        <v>212</v>
      </c>
      <c r="C50" s="8" t="s">
        <v>213</v>
      </c>
      <c r="D50" s="8" t="s">
        <v>214</v>
      </c>
      <c r="E50" s="8" t="s">
        <v>22</v>
      </c>
    </row>
    <row r="51" spans="1:5" x14ac:dyDescent="0.3">
      <c r="A51" s="8" t="s">
        <v>215</v>
      </c>
      <c r="B51" s="8" t="s">
        <v>216</v>
      </c>
      <c r="C51" s="8" t="s">
        <v>217</v>
      </c>
      <c r="D51" s="8" t="s">
        <v>218</v>
      </c>
      <c r="E51" s="8" t="s">
        <v>22</v>
      </c>
    </row>
    <row r="52" spans="1:5" x14ac:dyDescent="0.3">
      <c r="A52" s="8" t="s">
        <v>219</v>
      </c>
      <c r="B52" s="8" t="s">
        <v>220</v>
      </c>
      <c r="C52" s="8" t="s">
        <v>221</v>
      </c>
      <c r="D52" s="8" t="s">
        <v>222</v>
      </c>
      <c r="E52" s="8" t="s">
        <v>22</v>
      </c>
    </row>
    <row r="53" spans="1:5" x14ac:dyDescent="0.3">
      <c r="A53" s="8" t="s">
        <v>223</v>
      </c>
      <c r="B53" s="8" t="s">
        <v>224</v>
      </c>
      <c r="C53" s="8" t="s">
        <v>225</v>
      </c>
      <c r="D53" s="8" t="s">
        <v>226</v>
      </c>
      <c r="E53" s="8" t="s">
        <v>22</v>
      </c>
    </row>
    <row r="54" spans="1:5" x14ac:dyDescent="0.3">
      <c r="A54" s="8" t="s">
        <v>227</v>
      </c>
      <c r="B54" s="8" t="s">
        <v>228</v>
      </c>
      <c r="C54" s="8" t="s">
        <v>229</v>
      </c>
      <c r="D54" s="8" t="s">
        <v>230</v>
      </c>
      <c r="E54" s="8" t="s">
        <v>22</v>
      </c>
    </row>
    <row r="55" spans="1:5" x14ac:dyDescent="0.3">
      <c r="A55" s="8" t="s">
        <v>231</v>
      </c>
      <c r="B55" s="8" t="s">
        <v>232</v>
      </c>
      <c r="C55" s="8" t="s">
        <v>233</v>
      </c>
      <c r="D55" s="8" t="s">
        <v>234</v>
      </c>
      <c r="E55" s="8" t="s">
        <v>22</v>
      </c>
    </row>
    <row r="56" spans="1:5" x14ac:dyDescent="0.3">
      <c r="A56" s="8" t="s">
        <v>235</v>
      </c>
      <c r="B56" s="8" t="s">
        <v>236</v>
      </c>
      <c r="C56" s="8" t="s">
        <v>237</v>
      </c>
      <c r="D56" s="8" t="s">
        <v>238</v>
      </c>
      <c r="E56" s="8" t="s">
        <v>22</v>
      </c>
    </row>
    <row r="57" spans="1:5" x14ac:dyDescent="0.3">
      <c r="A57" s="8" t="s">
        <v>239</v>
      </c>
      <c r="B57" s="8" t="s">
        <v>240</v>
      </c>
      <c r="C57" s="8" t="s">
        <v>241</v>
      </c>
      <c r="D57" s="8" t="s">
        <v>242</v>
      </c>
      <c r="E57" s="8" t="s">
        <v>22</v>
      </c>
    </row>
    <row r="58" spans="1:5" x14ac:dyDescent="0.3">
      <c r="A58" s="8" t="s">
        <v>243</v>
      </c>
      <c r="B58" s="8" t="s">
        <v>244</v>
      </c>
      <c r="C58" s="8" t="s">
        <v>245</v>
      </c>
      <c r="D58" s="8" t="s">
        <v>246</v>
      </c>
      <c r="E58" s="8" t="s">
        <v>22</v>
      </c>
    </row>
    <row r="59" spans="1:5" x14ac:dyDescent="0.3">
      <c r="A59" s="8" t="s">
        <v>247</v>
      </c>
      <c r="B59" s="8" t="s">
        <v>248</v>
      </c>
      <c r="C59" s="8" t="s">
        <v>249</v>
      </c>
      <c r="D59" s="8" t="s">
        <v>250</v>
      </c>
      <c r="E59" s="8" t="s">
        <v>22</v>
      </c>
    </row>
    <row r="60" spans="1:5" x14ac:dyDescent="0.3">
      <c r="A60" s="8" t="s">
        <v>251</v>
      </c>
      <c r="B60" s="8" t="s">
        <v>252</v>
      </c>
      <c r="C60" s="8" t="s">
        <v>253</v>
      </c>
      <c r="D60" s="8" t="s">
        <v>254</v>
      </c>
      <c r="E60" s="8" t="s">
        <v>22</v>
      </c>
    </row>
    <row r="61" spans="1:5" x14ac:dyDescent="0.3">
      <c r="A61" s="8" t="s">
        <v>255</v>
      </c>
      <c r="B61" s="8" t="s">
        <v>256</v>
      </c>
      <c r="C61" s="8" t="s">
        <v>257</v>
      </c>
      <c r="D61" s="8" t="s">
        <v>258</v>
      </c>
      <c r="E61" s="8" t="s">
        <v>22</v>
      </c>
    </row>
    <row r="62" spans="1:5" x14ac:dyDescent="0.3">
      <c r="A62" s="8" t="s">
        <v>259</v>
      </c>
      <c r="B62" s="8" t="s">
        <v>260</v>
      </c>
      <c r="C62" s="8" t="s">
        <v>261</v>
      </c>
      <c r="D62" s="8" t="s">
        <v>262</v>
      </c>
      <c r="E62" s="8" t="s">
        <v>22</v>
      </c>
    </row>
    <row r="63" spans="1:5" x14ac:dyDescent="0.3">
      <c r="A63" s="8" t="s">
        <v>263</v>
      </c>
      <c r="B63" s="8" t="s">
        <v>264</v>
      </c>
      <c r="C63" s="8" t="s">
        <v>265</v>
      </c>
      <c r="D63" s="8" t="s">
        <v>266</v>
      </c>
      <c r="E63" s="8" t="s">
        <v>22</v>
      </c>
    </row>
    <row r="64" spans="1:5" x14ac:dyDescent="0.3">
      <c r="A64" s="8" t="s">
        <v>267</v>
      </c>
      <c r="B64" s="8" t="s">
        <v>268</v>
      </c>
      <c r="C64" s="8" t="s">
        <v>269</v>
      </c>
      <c r="D64" s="8" t="s">
        <v>270</v>
      </c>
      <c r="E64" s="8" t="s">
        <v>22</v>
      </c>
    </row>
    <row r="65" spans="1:5" x14ac:dyDescent="0.3">
      <c r="A65" s="8" t="s">
        <v>271</v>
      </c>
      <c r="B65" s="8" t="s">
        <v>272</v>
      </c>
      <c r="C65" s="8" t="s">
        <v>273</v>
      </c>
      <c r="D65" s="8" t="s">
        <v>274</v>
      </c>
      <c r="E65" s="8" t="s">
        <v>22</v>
      </c>
    </row>
    <row r="66" spans="1:5" x14ac:dyDescent="0.3">
      <c r="A66" s="8" t="s">
        <v>275</v>
      </c>
      <c r="B66" s="8" t="s">
        <v>276</v>
      </c>
      <c r="C66" s="8" t="s">
        <v>277</v>
      </c>
      <c r="D66" s="8" t="s">
        <v>278</v>
      </c>
      <c r="E66" s="8" t="s">
        <v>22</v>
      </c>
    </row>
    <row r="67" spans="1:5" x14ac:dyDescent="0.3">
      <c r="A67" s="8" t="s">
        <v>279</v>
      </c>
      <c r="B67" s="8" t="s">
        <v>280</v>
      </c>
      <c r="C67" s="8" t="s">
        <v>281</v>
      </c>
      <c r="D67" s="8" t="s">
        <v>282</v>
      </c>
      <c r="E67" s="8" t="s">
        <v>22</v>
      </c>
    </row>
    <row r="68" spans="1:5" x14ac:dyDescent="0.3">
      <c r="A68" s="8" t="s">
        <v>283</v>
      </c>
      <c r="B68" s="8" t="s">
        <v>284</v>
      </c>
      <c r="C68" s="8" t="s">
        <v>285</v>
      </c>
      <c r="D68" s="8" t="s">
        <v>286</v>
      </c>
      <c r="E68" s="8" t="s">
        <v>22</v>
      </c>
    </row>
    <row r="69" spans="1:5" x14ac:dyDescent="0.3">
      <c r="A69" s="8" t="s">
        <v>287</v>
      </c>
      <c r="B69" s="8" t="s">
        <v>288</v>
      </c>
      <c r="C69" s="8" t="s">
        <v>289</v>
      </c>
      <c r="D69" s="8" t="s">
        <v>290</v>
      </c>
      <c r="E69" s="8" t="s">
        <v>22</v>
      </c>
    </row>
    <row r="70" spans="1:5" x14ac:dyDescent="0.3">
      <c r="A70" s="8" t="s">
        <v>291</v>
      </c>
      <c r="B70" s="8" t="s">
        <v>292</v>
      </c>
      <c r="C70" s="8" t="s">
        <v>293</v>
      </c>
      <c r="D70" s="8" t="s">
        <v>294</v>
      </c>
      <c r="E70" s="8" t="s">
        <v>22</v>
      </c>
    </row>
    <row r="71" spans="1:5" x14ac:dyDescent="0.3">
      <c r="A71" s="8" t="s">
        <v>295</v>
      </c>
      <c r="B71" s="8" t="s">
        <v>296</v>
      </c>
      <c r="C71" s="8" t="s">
        <v>297</v>
      </c>
      <c r="D71" s="8" t="s">
        <v>298</v>
      </c>
      <c r="E71" s="8" t="s">
        <v>22</v>
      </c>
    </row>
    <row r="72" spans="1:5" x14ac:dyDescent="0.3">
      <c r="A72" s="8" t="s">
        <v>299</v>
      </c>
      <c r="B72" s="8" t="s">
        <v>300</v>
      </c>
      <c r="C72" s="8" t="s">
        <v>301</v>
      </c>
      <c r="D72" s="8" t="s">
        <v>302</v>
      </c>
      <c r="E72" s="8" t="s">
        <v>22</v>
      </c>
    </row>
    <row r="73" spans="1:5" x14ac:dyDescent="0.3">
      <c r="A73" s="8" t="s">
        <v>303</v>
      </c>
      <c r="B73" s="8" t="s">
        <v>304</v>
      </c>
      <c r="C73" s="8" t="s">
        <v>305</v>
      </c>
      <c r="D73" s="8" t="s">
        <v>306</v>
      </c>
      <c r="E73" s="8" t="s">
        <v>22</v>
      </c>
    </row>
    <row r="74" spans="1:5" x14ac:dyDescent="0.3">
      <c r="A74" s="8" t="s">
        <v>307</v>
      </c>
      <c r="B74" s="8" t="s">
        <v>308</v>
      </c>
      <c r="C74" s="8" t="s">
        <v>309</v>
      </c>
      <c r="D74" s="8" t="s">
        <v>310</v>
      </c>
      <c r="E74" s="8" t="s">
        <v>22</v>
      </c>
    </row>
    <row r="75" spans="1:5" x14ac:dyDescent="0.3">
      <c r="A75" s="8" t="s">
        <v>311</v>
      </c>
      <c r="B75" s="8" t="s">
        <v>312</v>
      </c>
      <c r="C75" s="8" t="s">
        <v>313</v>
      </c>
      <c r="D75" s="8" t="s">
        <v>314</v>
      </c>
      <c r="E75" s="8" t="s">
        <v>22</v>
      </c>
    </row>
    <row r="76" spans="1:5" x14ac:dyDescent="0.3">
      <c r="A76" s="8" t="s">
        <v>315</v>
      </c>
      <c r="B76" s="8" t="s">
        <v>316</v>
      </c>
      <c r="C76" s="8" t="s">
        <v>317</v>
      </c>
      <c r="D76" s="8" t="s">
        <v>318</v>
      </c>
      <c r="E76" s="8" t="s">
        <v>22</v>
      </c>
    </row>
    <row r="77" spans="1:5" x14ac:dyDescent="0.3">
      <c r="A77" s="8" t="s">
        <v>319</v>
      </c>
      <c r="B77" s="8" t="s">
        <v>320</v>
      </c>
      <c r="C77" s="8" t="s">
        <v>321</v>
      </c>
      <c r="D77" s="8" t="s">
        <v>322</v>
      </c>
      <c r="E77" s="8" t="s">
        <v>22</v>
      </c>
    </row>
    <row r="78" spans="1:5" x14ac:dyDescent="0.3">
      <c r="A78" s="8" t="s">
        <v>323</v>
      </c>
      <c r="B78" s="8" t="s">
        <v>324</v>
      </c>
      <c r="C78" s="8" t="s">
        <v>325</v>
      </c>
      <c r="D78" s="8" t="s">
        <v>326</v>
      </c>
      <c r="E78" s="8" t="s">
        <v>327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38A4-7089-46B2-8446-F31B25DC8DC9}">
  <dimension ref="B1:E8"/>
  <sheetViews>
    <sheetView zoomScale="150" zoomScaleNormal="150" workbookViewId="0">
      <selection activeCell="E2" sqref="E2"/>
    </sheetView>
  </sheetViews>
  <sheetFormatPr defaultRowHeight="14.4" x14ac:dyDescent="0.3"/>
  <cols>
    <col min="3" max="3" width="13" customWidth="1"/>
    <col min="4" max="4" width="12.88671875" customWidth="1"/>
  </cols>
  <sheetData>
    <row r="1" spans="2:5" x14ac:dyDescent="0.3">
      <c r="B1" t="s">
        <v>2877</v>
      </c>
      <c r="C1" s="39" t="s">
        <v>2875</v>
      </c>
      <c r="D1" s="39" t="s">
        <v>2893</v>
      </c>
      <c r="E1" s="39" t="s">
        <v>2876</v>
      </c>
    </row>
    <row r="2" spans="2:5" x14ac:dyDescent="0.3">
      <c r="B2" t="s">
        <v>2878</v>
      </c>
      <c r="C2">
        <v>44</v>
      </c>
      <c r="D2">
        <v>66</v>
      </c>
      <c r="E2">
        <f>C2+D2</f>
        <v>110</v>
      </c>
    </row>
    <row r="3" spans="2:5" x14ac:dyDescent="0.3">
      <c r="B3" t="s">
        <v>2879</v>
      </c>
      <c r="C3">
        <v>3</v>
      </c>
      <c r="D3">
        <v>24</v>
      </c>
      <c r="E3">
        <f t="shared" ref="E3:E8" si="0">C3+D3</f>
        <v>27</v>
      </c>
    </row>
    <row r="4" spans="2:5" x14ac:dyDescent="0.3">
      <c r="B4" t="s">
        <v>2880</v>
      </c>
      <c r="C4">
        <v>45</v>
      </c>
      <c r="D4">
        <v>44</v>
      </c>
      <c r="E4">
        <f t="shared" si="0"/>
        <v>89</v>
      </c>
    </row>
    <row r="5" spans="2:5" x14ac:dyDescent="0.3">
      <c r="B5" t="s">
        <v>2881</v>
      </c>
      <c r="C5">
        <v>45</v>
      </c>
      <c r="D5">
        <v>2</v>
      </c>
      <c r="E5">
        <f t="shared" si="0"/>
        <v>47</v>
      </c>
    </row>
    <row r="6" spans="2:5" x14ac:dyDescent="0.3">
      <c r="B6" t="s">
        <v>2882</v>
      </c>
      <c r="C6">
        <v>55</v>
      </c>
      <c r="D6">
        <v>76</v>
      </c>
      <c r="E6">
        <f t="shared" si="0"/>
        <v>131</v>
      </c>
    </row>
    <row r="7" spans="2:5" x14ac:dyDescent="0.3">
      <c r="B7" t="s">
        <v>2883</v>
      </c>
      <c r="C7">
        <v>55</v>
      </c>
      <c r="D7">
        <v>66</v>
      </c>
      <c r="E7">
        <f t="shared" si="0"/>
        <v>121</v>
      </c>
    </row>
    <row r="8" spans="2:5" x14ac:dyDescent="0.3">
      <c r="B8" t="s">
        <v>2884</v>
      </c>
      <c r="C8">
        <v>46</v>
      </c>
      <c r="D8">
        <v>34</v>
      </c>
      <c r="E8">
        <f t="shared" si="0"/>
        <v>80</v>
      </c>
    </row>
  </sheetData>
  <phoneticPr fontId="17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0459-A9F8-40B5-831E-D46F1050F9D9}">
  <dimension ref="A1:M2531"/>
  <sheetViews>
    <sheetView workbookViewId="0">
      <selection activeCell="E1" sqref="E1:E1048576"/>
    </sheetView>
  </sheetViews>
  <sheetFormatPr defaultRowHeight="14.4" x14ac:dyDescent="0.3"/>
  <cols>
    <col min="1" max="1" width="6.5546875" bestFit="1" customWidth="1"/>
    <col min="2" max="2" width="10.109375" bestFit="1" customWidth="1"/>
    <col min="3" max="3" width="19.6640625" bestFit="1" customWidth="1"/>
    <col min="4" max="4" width="15.88671875" bestFit="1" customWidth="1"/>
    <col min="5" max="5" width="33.5546875" bestFit="1" customWidth="1"/>
    <col min="7" max="7" width="8.33203125" bestFit="1" customWidth="1"/>
    <col min="8" max="8" width="10.5546875" bestFit="1" customWidth="1"/>
    <col min="9" max="9" width="9.6640625" bestFit="1" customWidth="1"/>
    <col min="10" max="10" width="18.5546875" bestFit="1" customWidth="1"/>
    <col min="11" max="11" width="18.88671875" bestFit="1" customWidth="1"/>
    <col min="12" max="12" width="21" bestFit="1" customWidth="1"/>
    <col min="13" max="13" width="22.109375" bestFit="1" customWidth="1"/>
  </cols>
  <sheetData>
    <row r="1" spans="1:13" ht="27.6" x14ac:dyDescent="0.3">
      <c r="A1" s="9" t="s">
        <v>328</v>
      </c>
      <c r="B1" s="9" t="s">
        <v>329</v>
      </c>
      <c r="C1" s="9" t="s">
        <v>330</v>
      </c>
      <c r="D1" s="9" t="s">
        <v>331</v>
      </c>
      <c r="E1" s="9" t="s">
        <v>332</v>
      </c>
      <c r="F1" s="9" t="s">
        <v>333</v>
      </c>
      <c r="G1" s="9" t="s">
        <v>334</v>
      </c>
      <c r="H1" s="9" t="s">
        <v>335</v>
      </c>
      <c r="I1" s="9" t="s">
        <v>336</v>
      </c>
      <c r="J1" s="9" t="s">
        <v>337</v>
      </c>
      <c r="K1" s="9" t="s">
        <v>338</v>
      </c>
      <c r="L1" s="9" t="s">
        <v>339</v>
      </c>
      <c r="M1" s="9" t="s">
        <v>340</v>
      </c>
    </row>
    <row r="2" spans="1:13" x14ac:dyDescent="0.3">
      <c r="A2" s="10" t="s">
        <v>341</v>
      </c>
      <c r="B2" s="10">
        <v>0</v>
      </c>
      <c r="C2" s="10" t="s">
        <v>342</v>
      </c>
      <c r="D2" s="10">
        <v>0</v>
      </c>
      <c r="E2" s="10" t="s">
        <v>343</v>
      </c>
      <c r="F2" s="10">
        <v>0</v>
      </c>
      <c r="G2" s="10" t="s">
        <v>343</v>
      </c>
      <c r="H2" s="10">
        <v>0</v>
      </c>
      <c r="I2" s="10" t="s">
        <v>343</v>
      </c>
      <c r="J2" s="11">
        <v>32145282</v>
      </c>
      <c r="K2" s="11">
        <v>33805928</v>
      </c>
      <c r="L2" s="11">
        <v>65951210</v>
      </c>
      <c r="M2" s="11">
        <v>29128519</v>
      </c>
    </row>
    <row r="3" spans="1:13" x14ac:dyDescent="0.3">
      <c r="A3" s="10">
        <v>6712</v>
      </c>
      <c r="B3" s="10">
        <v>10</v>
      </c>
      <c r="C3" s="10" t="s">
        <v>344</v>
      </c>
      <c r="D3" s="10">
        <v>0</v>
      </c>
      <c r="E3" s="10" t="s">
        <v>343</v>
      </c>
      <c r="F3" s="10">
        <v>0</v>
      </c>
      <c r="G3" s="10" t="s">
        <v>343</v>
      </c>
      <c r="H3" s="10">
        <v>0</v>
      </c>
      <c r="I3" s="10" t="s">
        <v>343</v>
      </c>
      <c r="J3" s="11">
        <v>2544400</v>
      </c>
      <c r="K3" s="11">
        <v>2910620</v>
      </c>
      <c r="L3" s="11">
        <v>5455020</v>
      </c>
      <c r="M3" s="11">
        <v>3304462</v>
      </c>
    </row>
    <row r="4" spans="1:13" x14ac:dyDescent="0.3">
      <c r="A4" s="10">
        <v>6712</v>
      </c>
      <c r="B4" s="10">
        <v>10</v>
      </c>
      <c r="C4" s="10" t="s">
        <v>344</v>
      </c>
      <c r="D4" s="10">
        <v>1001</v>
      </c>
      <c r="E4" s="10" t="s">
        <v>345</v>
      </c>
      <c r="F4" s="10">
        <v>0</v>
      </c>
      <c r="G4" s="10" t="s">
        <v>343</v>
      </c>
      <c r="H4" s="10">
        <v>0</v>
      </c>
      <c r="I4" s="10" t="s">
        <v>343</v>
      </c>
      <c r="J4" s="11">
        <v>19110</v>
      </c>
      <c r="K4" s="11">
        <v>20235</v>
      </c>
      <c r="L4" s="11">
        <v>39345</v>
      </c>
      <c r="M4" s="11">
        <v>19016</v>
      </c>
    </row>
    <row r="5" spans="1:13" x14ac:dyDescent="0.3">
      <c r="A5" s="10">
        <v>6712</v>
      </c>
      <c r="B5" s="10">
        <v>10</v>
      </c>
      <c r="C5" s="10" t="s">
        <v>344</v>
      </c>
      <c r="D5" s="10">
        <v>1002</v>
      </c>
      <c r="E5" s="10" t="s">
        <v>346</v>
      </c>
      <c r="F5" s="10">
        <v>0</v>
      </c>
      <c r="G5" s="10" t="s">
        <v>343</v>
      </c>
      <c r="H5" s="10">
        <v>0</v>
      </c>
      <c r="I5" s="10" t="s">
        <v>343</v>
      </c>
      <c r="J5" s="11">
        <v>39732</v>
      </c>
      <c r="K5" s="11">
        <v>34852</v>
      </c>
      <c r="L5" s="11">
        <v>74584</v>
      </c>
      <c r="M5" s="11">
        <v>32869</v>
      </c>
    </row>
    <row r="6" spans="1:13" x14ac:dyDescent="0.3">
      <c r="A6" s="10">
        <v>6712</v>
      </c>
      <c r="B6" s="10">
        <v>10</v>
      </c>
      <c r="C6" s="10" t="s">
        <v>344</v>
      </c>
      <c r="D6" s="10">
        <v>1003</v>
      </c>
      <c r="E6" s="10" t="s">
        <v>347</v>
      </c>
      <c r="F6" s="10">
        <v>0</v>
      </c>
      <c r="G6" s="10" t="s">
        <v>343</v>
      </c>
      <c r="H6" s="10">
        <v>0</v>
      </c>
      <c r="I6" s="10" t="s">
        <v>343</v>
      </c>
      <c r="J6" s="11">
        <v>90282</v>
      </c>
      <c r="K6" s="11">
        <v>95945</v>
      </c>
      <c r="L6" s="11">
        <v>186227</v>
      </c>
      <c r="M6" s="11">
        <v>74844</v>
      </c>
    </row>
    <row r="7" spans="1:13" x14ac:dyDescent="0.3">
      <c r="A7" s="10">
        <v>6712</v>
      </c>
      <c r="B7" s="10">
        <v>10</v>
      </c>
      <c r="C7" s="10" t="s">
        <v>344</v>
      </c>
      <c r="D7" s="10">
        <v>1004</v>
      </c>
      <c r="E7" s="10" t="s">
        <v>348</v>
      </c>
      <c r="F7" s="10">
        <v>0</v>
      </c>
      <c r="G7" s="10" t="s">
        <v>343</v>
      </c>
      <c r="H7" s="10">
        <v>0</v>
      </c>
      <c r="I7" s="10" t="s">
        <v>343</v>
      </c>
      <c r="J7" s="11">
        <v>19497</v>
      </c>
      <c r="K7" s="11">
        <v>22204</v>
      </c>
      <c r="L7" s="11">
        <v>41701</v>
      </c>
      <c r="M7" s="11">
        <v>36025</v>
      </c>
    </row>
    <row r="8" spans="1:13" x14ac:dyDescent="0.3">
      <c r="A8" s="10">
        <v>6712</v>
      </c>
      <c r="B8" s="10">
        <v>10</v>
      </c>
      <c r="C8" s="10" t="s">
        <v>344</v>
      </c>
      <c r="D8" s="10">
        <v>1005</v>
      </c>
      <c r="E8" s="10" t="s">
        <v>349</v>
      </c>
      <c r="F8" s="10">
        <v>0</v>
      </c>
      <c r="G8" s="10" t="s">
        <v>343</v>
      </c>
      <c r="H8" s="10">
        <v>0</v>
      </c>
      <c r="I8" s="10" t="s">
        <v>343</v>
      </c>
      <c r="J8" s="11">
        <v>85680</v>
      </c>
      <c r="K8" s="11">
        <v>98551</v>
      </c>
      <c r="L8" s="11">
        <v>184231</v>
      </c>
      <c r="M8" s="11">
        <v>119489</v>
      </c>
    </row>
    <row r="9" spans="1:13" x14ac:dyDescent="0.3">
      <c r="A9" s="10">
        <v>6712</v>
      </c>
      <c r="B9" s="10">
        <v>10</v>
      </c>
      <c r="C9" s="10" t="s">
        <v>344</v>
      </c>
      <c r="D9" s="10">
        <v>1006</v>
      </c>
      <c r="E9" s="10" t="s">
        <v>350</v>
      </c>
      <c r="F9" s="10">
        <v>0</v>
      </c>
      <c r="G9" s="10" t="s">
        <v>343</v>
      </c>
      <c r="H9" s="10">
        <v>0</v>
      </c>
      <c r="I9" s="10" t="s">
        <v>343</v>
      </c>
      <c r="J9" s="11">
        <v>63927</v>
      </c>
      <c r="K9" s="11">
        <v>77485</v>
      </c>
      <c r="L9" s="11">
        <v>141412</v>
      </c>
      <c r="M9" s="11">
        <v>117821</v>
      </c>
    </row>
    <row r="10" spans="1:13" x14ac:dyDescent="0.3">
      <c r="A10" s="10">
        <v>6712</v>
      </c>
      <c r="B10" s="10">
        <v>10</v>
      </c>
      <c r="C10" s="10" t="s">
        <v>344</v>
      </c>
      <c r="D10" s="10">
        <v>1007</v>
      </c>
      <c r="E10" s="10" t="s">
        <v>351</v>
      </c>
      <c r="F10" s="10">
        <v>0</v>
      </c>
      <c r="G10" s="10" t="s">
        <v>343</v>
      </c>
      <c r="H10" s="10">
        <v>0</v>
      </c>
      <c r="I10" s="10" t="s">
        <v>343</v>
      </c>
      <c r="J10" s="11">
        <v>18530</v>
      </c>
      <c r="K10" s="11">
        <v>20869</v>
      </c>
      <c r="L10" s="11">
        <v>39399</v>
      </c>
      <c r="M10" s="11">
        <v>32452</v>
      </c>
    </row>
    <row r="11" spans="1:13" x14ac:dyDescent="0.3">
      <c r="A11" s="10">
        <v>6712</v>
      </c>
      <c r="B11" s="10">
        <v>10</v>
      </c>
      <c r="C11" s="10" t="s">
        <v>344</v>
      </c>
      <c r="D11" s="10">
        <v>1008</v>
      </c>
      <c r="E11" s="10" t="s">
        <v>352</v>
      </c>
      <c r="F11" s="10">
        <v>0</v>
      </c>
      <c r="G11" s="10" t="s">
        <v>343</v>
      </c>
      <c r="H11" s="10">
        <v>0</v>
      </c>
      <c r="I11" s="10" t="s">
        <v>343</v>
      </c>
      <c r="J11" s="11">
        <v>18021</v>
      </c>
      <c r="K11" s="11">
        <v>18884</v>
      </c>
      <c r="L11" s="11">
        <v>36905</v>
      </c>
      <c r="M11" s="11">
        <v>19623</v>
      </c>
    </row>
    <row r="12" spans="1:13" x14ac:dyDescent="0.3">
      <c r="A12" s="10">
        <v>6712</v>
      </c>
      <c r="B12" s="10">
        <v>10</v>
      </c>
      <c r="C12" s="10" t="s">
        <v>344</v>
      </c>
      <c r="D12" s="10">
        <v>1009</v>
      </c>
      <c r="E12" s="10" t="s">
        <v>353</v>
      </c>
      <c r="F12" s="10">
        <v>0</v>
      </c>
      <c r="G12" s="10" t="s">
        <v>343</v>
      </c>
      <c r="H12" s="10">
        <v>0</v>
      </c>
      <c r="I12" s="10" t="s">
        <v>343</v>
      </c>
      <c r="J12" s="11">
        <v>37951</v>
      </c>
      <c r="K12" s="11">
        <v>47119</v>
      </c>
      <c r="L12" s="11">
        <v>85070</v>
      </c>
      <c r="M12" s="11">
        <v>65282</v>
      </c>
    </row>
    <row r="13" spans="1:13" x14ac:dyDescent="0.3">
      <c r="A13" s="10">
        <v>6712</v>
      </c>
      <c r="B13" s="10">
        <v>10</v>
      </c>
      <c r="C13" s="10" t="s">
        <v>344</v>
      </c>
      <c r="D13" s="10">
        <v>1010</v>
      </c>
      <c r="E13" s="10" t="s">
        <v>354</v>
      </c>
      <c r="F13" s="10">
        <v>0</v>
      </c>
      <c r="G13" s="10" t="s">
        <v>343</v>
      </c>
      <c r="H13" s="10">
        <v>0</v>
      </c>
      <c r="I13" s="10" t="s">
        <v>343</v>
      </c>
      <c r="J13" s="11">
        <v>66126</v>
      </c>
      <c r="K13" s="11">
        <v>74626</v>
      </c>
      <c r="L13" s="11">
        <v>140752</v>
      </c>
      <c r="M13" s="11">
        <v>66394</v>
      </c>
    </row>
    <row r="14" spans="1:13" x14ac:dyDescent="0.3">
      <c r="A14" s="10">
        <v>6712</v>
      </c>
      <c r="B14" s="10">
        <v>10</v>
      </c>
      <c r="C14" s="10" t="s">
        <v>344</v>
      </c>
      <c r="D14" s="10">
        <v>1011</v>
      </c>
      <c r="E14" s="10" t="s">
        <v>355</v>
      </c>
      <c r="F14" s="10">
        <v>0</v>
      </c>
      <c r="G14" s="10" t="s">
        <v>343</v>
      </c>
      <c r="H14" s="10">
        <v>0</v>
      </c>
      <c r="I14" s="10" t="s">
        <v>343</v>
      </c>
      <c r="J14" s="11">
        <v>85480</v>
      </c>
      <c r="K14" s="11">
        <v>95773</v>
      </c>
      <c r="L14" s="11">
        <v>181253</v>
      </c>
      <c r="M14" s="11">
        <v>108362</v>
      </c>
    </row>
    <row r="15" spans="1:13" x14ac:dyDescent="0.3">
      <c r="A15" s="10">
        <v>6712</v>
      </c>
      <c r="B15" s="10">
        <v>10</v>
      </c>
      <c r="C15" s="10" t="s">
        <v>344</v>
      </c>
      <c r="D15" s="10">
        <v>1012</v>
      </c>
      <c r="E15" s="10" t="s">
        <v>356</v>
      </c>
      <c r="F15" s="10">
        <v>0</v>
      </c>
      <c r="G15" s="10" t="s">
        <v>343</v>
      </c>
      <c r="H15" s="10">
        <v>0</v>
      </c>
      <c r="I15" s="10" t="s">
        <v>343</v>
      </c>
      <c r="J15" s="11">
        <v>33567</v>
      </c>
      <c r="K15" s="11">
        <v>39266</v>
      </c>
      <c r="L15" s="11">
        <v>72833</v>
      </c>
      <c r="M15" s="11">
        <v>54412</v>
      </c>
    </row>
    <row r="16" spans="1:13" x14ac:dyDescent="0.3">
      <c r="A16" s="10">
        <v>6712</v>
      </c>
      <c r="B16" s="10">
        <v>10</v>
      </c>
      <c r="C16" s="10" t="s">
        <v>344</v>
      </c>
      <c r="D16" s="10">
        <v>1013</v>
      </c>
      <c r="E16" s="10" t="s">
        <v>357</v>
      </c>
      <c r="F16" s="10">
        <v>0</v>
      </c>
      <c r="G16" s="10" t="s">
        <v>343</v>
      </c>
      <c r="H16" s="10">
        <v>0</v>
      </c>
      <c r="I16" s="10" t="s">
        <v>343</v>
      </c>
      <c r="J16" s="11">
        <v>9144</v>
      </c>
      <c r="K16" s="11">
        <v>9701</v>
      </c>
      <c r="L16" s="11">
        <v>18845</v>
      </c>
      <c r="M16" s="11">
        <v>13160</v>
      </c>
    </row>
    <row r="17" spans="1:13" x14ac:dyDescent="0.3">
      <c r="A17" s="10">
        <v>6712</v>
      </c>
      <c r="B17" s="10">
        <v>10</v>
      </c>
      <c r="C17" s="10" t="s">
        <v>344</v>
      </c>
      <c r="D17" s="10">
        <v>1014</v>
      </c>
      <c r="E17" s="10" t="s">
        <v>358</v>
      </c>
      <c r="F17" s="10">
        <v>0</v>
      </c>
      <c r="G17" s="10" t="s">
        <v>343</v>
      </c>
      <c r="H17" s="10">
        <v>0</v>
      </c>
      <c r="I17" s="10" t="s">
        <v>343</v>
      </c>
      <c r="J17" s="11">
        <v>30205</v>
      </c>
      <c r="K17" s="11">
        <v>32820</v>
      </c>
      <c r="L17" s="11">
        <v>63025</v>
      </c>
      <c r="M17" s="11">
        <v>46536</v>
      </c>
    </row>
    <row r="18" spans="1:13" x14ac:dyDescent="0.3">
      <c r="A18" s="10">
        <v>6712</v>
      </c>
      <c r="B18" s="10">
        <v>10</v>
      </c>
      <c r="C18" s="10" t="s">
        <v>344</v>
      </c>
      <c r="D18" s="10">
        <v>1015</v>
      </c>
      <c r="E18" s="10" t="s">
        <v>359</v>
      </c>
      <c r="F18" s="10">
        <v>0</v>
      </c>
      <c r="G18" s="10" t="s">
        <v>343</v>
      </c>
      <c r="H18" s="10">
        <v>0</v>
      </c>
      <c r="I18" s="10" t="s">
        <v>343</v>
      </c>
      <c r="J18" s="11">
        <v>45180</v>
      </c>
      <c r="K18" s="11">
        <v>51989</v>
      </c>
      <c r="L18" s="11">
        <v>97169</v>
      </c>
      <c r="M18" s="11">
        <v>65530</v>
      </c>
    </row>
    <row r="19" spans="1:13" x14ac:dyDescent="0.3">
      <c r="A19" s="10">
        <v>6712</v>
      </c>
      <c r="B19" s="10">
        <v>10</v>
      </c>
      <c r="C19" s="10" t="s">
        <v>344</v>
      </c>
      <c r="D19" s="10">
        <v>1016</v>
      </c>
      <c r="E19" s="10" t="s">
        <v>360</v>
      </c>
      <c r="F19" s="10">
        <v>0</v>
      </c>
      <c r="G19" s="10" t="s">
        <v>343</v>
      </c>
      <c r="H19" s="10">
        <v>0</v>
      </c>
      <c r="I19" s="10" t="s">
        <v>343</v>
      </c>
      <c r="J19" s="11">
        <v>27759</v>
      </c>
      <c r="K19" s="11">
        <v>32038</v>
      </c>
      <c r="L19" s="11">
        <v>59797</v>
      </c>
      <c r="M19" s="11">
        <v>32954</v>
      </c>
    </row>
    <row r="20" spans="1:13" x14ac:dyDescent="0.3">
      <c r="A20" s="10">
        <v>6712</v>
      </c>
      <c r="B20" s="10">
        <v>10</v>
      </c>
      <c r="C20" s="10" t="s">
        <v>344</v>
      </c>
      <c r="D20" s="10">
        <v>1017</v>
      </c>
      <c r="E20" s="10" t="s">
        <v>361</v>
      </c>
      <c r="F20" s="10">
        <v>0</v>
      </c>
      <c r="G20" s="10" t="s">
        <v>343</v>
      </c>
      <c r="H20" s="10">
        <v>0</v>
      </c>
      <c r="I20" s="10" t="s">
        <v>343</v>
      </c>
      <c r="J20" s="11">
        <v>37334</v>
      </c>
      <c r="K20" s="11">
        <v>46624</v>
      </c>
      <c r="L20" s="11">
        <v>83958</v>
      </c>
      <c r="M20" s="11">
        <v>95001</v>
      </c>
    </row>
    <row r="21" spans="1:13" x14ac:dyDescent="0.3">
      <c r="A21" s="10">
        <v>6712</v>
      </c>
      <c r="B21" s="10">
        <v>10</v>
      </c>
      <c r="C21" s="10" t="s">
        <v>344</v>
      </c>
      <c r="D21" s="10">
        <v>1018</v>
      </c>
      <c r="E21" s="10" t="s">
        <v>362</v>
      </c>
      <c r="F21" s="10">
        <v>0</v>
      </c>
      <c r="G21" s="10" t="s">
        <v>343</v>
      </c>
      <c r="H21" s="10">
        <v>0</v>
      </c>
      <c r="I21" s="10" t="s">
        <v>343</v>
      </c>
      <c r="J21" s="11">
        <v>29066</v>
      </c>
      <c r="K21" s="11">
        <v>34291</v>
      </c>
      <c r="L21" s="11">
        <v>63357</v>
      </c>
      <c r="M21" s="11">
        <v>42956</v>
      </c>
    </row>
    <row r="22" spans="1:13" x14ac:dyDescent="0.3">
      <c r="A22" s="10">
        <v>6712</v>
      </c>
      <c r="B22" s="10">
        <v>10</v>
      </c>
      <c r="C22" s="10" t="s">
        <v>344</v>
      </c>
      <c r="D22" s="10">
        <v>1019</v>
      </c>
      <c r="E22" s="10" t="s">
        <v>363</v>
      </c>
      <c r="F22" s="10">
        <v>0</v>
      </c>
      <c r="G22" s="10" t="s">
        <v>343</v>
      </c>
      <c r="H22" s="10">
        <v>0</v>
      </c>
      <c r="I22" s="10" t="s">
        <v>343</v>
      </c>
      <c r="J22" s="11">
        <v>46929</v>
      </c>
      <c r="K22" s="11">
        <v>53958</v>
      </c>
      <c r="L22" s="11">
        <v>100887</v>
      </c>
      <c r="M22" s="11">
        <v>45173</v>
      </c>
    </row>
    <row r="23" spans="1:13" x14ac:dyDescent="0.3">
      <c r="A23" s="10">
        <v>6712</v>
      </c>
      <c r="B23" s="10">
        <v>10</v>
      </c>
      <c r="C23" s="10" t="s">
        <v>344</v>
      </c>
      <c r="D23" s="10">
        <v>1020</v>
      </c>
      <c r="E23" s="10" t="s">
        <v>364</v>
      </c>
      <c r="F23" s="10">
        <v>0</v>
      </c>
      <c r="G23" s="10" t="s">
        <v>343</v>
      </c>
      <c r="H23" s="10">
        <v>0</v>
      </c>
      <c r="I23" s="10" t="s">
        <v>343</v>
      </c>
      <c r="J23" s="11">
        <v>44877</v>
      </c>
      <c r="K23" s="11">
        <v>51868</v>
      </c>
      <c r="L23" s="11">
        <v>96745</v>
      </c>
      <c r="M23" s="11">
        <v>55591</v>
      </c>
    </row>
    <row r="24" spans="1:13" x14ac:dyDescent="0.3">
      <c r="A24" s="10">
        <v>6712</v>
      </c>
      <c r="B24" s="10">
        <v>10</v>
      </c>
      <c r="C24" s="10" t="s">
        <v>344</v>
      </c>
      <c r="D24" s="10">
        <v>1021</v>
      </c>
      <c r="E24" s="10" t="s">
        <v>365</v>
      </c>
      <c r="F24" s="10">
        <v>0</v>
      </c>
      <c r="G24" s="10" t="s">
        <v>343</v>
      </c>
      <c r="H24" s="10">
        <v>0</v>
      </c>
      <c r="I24" s="10" t="s">
        <v>343</v>
      </c>
      <c r="J24" s="11">
        <v>87025</v>
      </c>
      <c r="K24" s="11">
        <v>98570</v>
      </c>
      <c r="L24" s="11">
        <v>185595</v>
      </c>
      <c r="M24" s="11">
        <v>95111</v>
      </c>
    </row>
    <row r="25" spans="1:13" x14ac:dyDescent="0.3">
      <c r="A25" s="10">
        <v>6712</v>
      </c>
      <c r="B25" s="10">
        <v>10</v>
      </c>
      <c r="C25" s="10" t="s">
        <v>344</v>
      </c>
      <c r="D25" s="10">
        <v>1022</v>
      </c>
      <c r="E25" s="10" t="s">
        <v>366</v>
      </c>
      <c r="F25" s="10">
        <v>0</v>
      </c>
      <c r="G25" s="10" t="s">
        <v>343</v>
      </c>
      <c r="H25" s="10">
        <v>0</v>
      </c>
      <c r="I25" s="10" t="s">
        <v>343</v>
      </c>
      <c r="J25" s="11">
        <v>56096</v>
      </c>
      <c r="K25" s="11">
        <v>65620</v>
      </c>
      <c r="L25" s="11">
        <v>121716</v>
      </c>
      <c r="M25" s="11">
        <v>69711</v>
      </c>
    </row>
    <row r="26" spans="1:13" x14ac:dyDescent="0.3">
      <c r="A26" s="10">
        <v>6712</v>
      </c>
      <c r="B26" s="10">
        <v>10</v>
      </c>
      <c r="C26" s="10" t="s">
        <v>344</v>
      </c>
      <c r="D26" s="10">
        <v>1023</v>
      </c>
      <c r="E26" s="10" t="s">
        <v>367</v>
      </c>
      <c r="F26" s="10">
        <v>0</v>
      </c>
      <c r="G26" s="10" t="s">
        <v>343</v>
      </c>
      <c r="H26" s="10">
        <v>0</v>
      </c>
      <c r="I26" s="10" t="s">
        <v>343</v>
      </c>
      <c r="J26" s="11">
        <v>71814</v>
      </c>
      <c r="K26" s="11">
        <v>83142</v>
      </c>
      <c r="L26" s="11">
        <v>154956</v>
      </c>
      <c r="M26" s="11">
        <v>66262</v>
      </c>
    </row>
    <row r="27" spans="1:13" x14ac:dyDescent="0.3">
      <c r="A27" s="10">
        <v>6712</v>
      </c>
      <c r="B27" s="10">
        <v>10</v>
      </c>
      <c r="C27" s="10" t="s">
        <v>344</v>
      </c>
      <c r="D27" s="10">
        <v>1024</v>
      </c>
      <c r="E27" s="10" t="s">
        <v>368</v>
      </c>
      <c r="F27" s="10">
        <v>0</v>
      </c>
      <c r="G27" s="10" t="s">
        <v>343</v>
      </c>
      <c r="H27" s="10">
        <v>0</v>
      </c>
      <c r="I27" s="10" t="s">
        <v>343</v>
      </c>
      <c r="J27" s="11">
        <v>35669</v>
      </c>
      <c r="K27" s="11">
        <v>39308</v>
      </c>
      <c r="L27" s="11">
        <v>74977</v>
      </c>
      <c r="M27" s="11">
        <v>39190</v>
      </c>
    </row>
    <row r="28" spans="1:13" x14ac:dyDescent="0.3">
      <c r="A28" s="10">
        <v>6712</v>
      </c>
      <c r="B28" s="10">
        <v>10</v>
      </c>
      <c r="C28" s="10" t="s">
        <v>344</v>
      </c>
      <c r="D28" s="10">
        <v>1025</v>
      </c>
      <c r="E28" s="10" t="s">
        <v>369</v>
      </c>
      <c r="F28" s="10">
        <v>0</v>
      </c>
      <c r="G28" s="10" t="s">
        <v>343</v>
      </c>
      <c r="H28" s="10">
        <v>0</v>
      </c>
      <c r="I28" s="10" t="s">
        <v>343</v>
      </c>
      <c r="J28" s="11">
        <v>39053</v>
      </c>
      <c r="K28" s="11">
        <v>47518</v>
      </c>
      <c r="L28" s="11">
        <v>86571</v>
      </c>
      <c r="M28" s="11">
        <v>60745</v>
      </c>
    </row>
    <row r="29" spans="1:13" x14ac:dyDescent="0.3">
      <c r="A29" s="10">
        <v>6712</v>
      </c>
      <c r="B29" s="10">
        <v>10</v>
      </c>
      <c r="C29" s="10" t="s">
        <v>344</v>
      </c>
      <c r="D29" s="10">
        <v>1026</v>
      </c>
      <c r="E29" s="10" t="s">
        <v>370</v>
      </c>
      <c r="F29" s="10">
        <v>0</v>
      </c>
      <c r="G29" s="10" t="s">
        <v>343</v>
      </c>
      <c r="H29" s="10">
        <v>0</v>
      </c>
      <c r="I29" s="10" t="s">
        <v>343</v>
      </c>
      <c r="J29" s="11">
        <v>50731</v>
      </c>
      <c r="K29" s="11">
        <v>60049</v>
      </c>
      <c r="L29" s="11">
        <v>110780</v>
      </c>
      <c r="M29" s="11">
        <v>65046</v>
      </c>
    </row>
    <row r="30" spans="1:13" x14ac:dyDescent="0.3">
      <c r="A30" s="10">
        <v>6712</v>
      </c>
      <c r="B30" s="10">
        <v>10</v>
      </c>
      <c r="C30" s="10" t="s">
        <v>344</v>
      </c>
      <c r="D30" s="10">
        <v>1027</v>
      </c>
      <c r="E30" s="10" t="s">
        <v>371</v>
      </c>
      <c r="F30" s="10">
        <v>0</v>
      </c>
      <c r="G30" s="10" t="s">
        <v>343</v>
      </c>
      <c r="H30" s="10">
        <v>0</v>
      </c>
      <c r="I30" s="10" t="s">
        <v>343</v>
      </c>
      <c r="J30" s="11">
        <v>61733</v>
      </c>
      <c r="K30" s="11">
        <v>74375</v>
      </c>
      <c r="L30" s="11">
        <v>136108</v>
      </c>
      <c r="M30" s="11">
        <v>77441</v>
      </c>
    </row>
    <row r="31" spans="1:13" x14ac:dyDescent="0.3">
      <c r="A31" s="10">
        <v>6712</v>
      </c>
      <c r="B31" s="10">
        <v>10</v>
      </c>
      <c r="C31" s="10" t="s">
        <v>344</v>
      </c>
      <c r="D31" s="10">
        <v>1028</v>
      </c>
      <c r="E31" s="10" t="s">
        <v>372</v>
      </c>
      <c r="F31" s="10">
        <v>0</v>
      </c>
      <c r="G31" s="10" t="s">
        <v>343</v>
      </c>
      <c r="H31" s="10">
        <v>0</v>
      </c>
      <c r="I31" s="10" t="s">
        <v>343</v>
      </c>
      <c r="J31" s="11">
        <v>33209</v>
      </c>
      <c r="K31" s="11">
        <v>37111</v>
      </c>
      <c r="L31" s="11">
        <v>70320</v>
      </c>
      <c r="M31" s="11">
        <v>45256</v>
      </c>
    </row>
    <row r="32" spans="1:13" x14ac:dyDescent="0.3">
      <c r="A32" s="10">
        <v>6712</v>
      </c>
      <c r="B32" s="10">
        <v>10</v>
      </c>
      <c r="C32" s="10" t="s">
        <v>344</v>
      </c>
      <c r="D32" s="10">
        <v>1029</v>
      </c>
      <c r="E32" s="10" t="s">
        <v>373</v>
      </c>
      <c r="F32" s="10">
        <v>0</v>
      </c>
      <c r="G32" s="10" t="s">
        <v>343</v>
      </c>
      <c r="H32" s="10">
        <v>0</v>
      </c>
      <c r="I32" s="10" t="s">
        <v>343</v>
      </c>
      <c r="J32" s="11">
        <v>54023</v>
      </c>
      <c r="K32" s="11">
        <v>63483</v>
      </c>
      <c r="L32" s="11">
        <v>117506</v>
      </c>
      <c r="M32" s="11">
        <v>78559</v>
      </c>
    </row>
    <row r="33" spans="1:13" x14ac:dyDescent="0.3">
      <c r="A33" s="10">
        <v>6712</v>
      </c>
      <c r="B33" s="10">
        <v>10</v>
      </c>
      <c r="C33" s="10" t="s">
        <v>344</v>
      </c>
      <c r="D33" s="10">
        <v>1030</v>
      </c>
      <c r="E33" s="10" t="s">
        <v>374</v>
      </c>
      <c r="F33" s="10">
        <v>0</v>
      </c>
      <c r="G33" s="10" t="s">
        <v>343</v>
      </c>
      <c r="H33" s="10">
        <v>0</v>
      </c>
      <c r="I33" s="10" t="s">
        <v>343</v>
      </c>
      <c r="J33" s="11">
        <v>70502</v>
      </c>
      <c r="K33" s="11">
        <v>83998</v>
      </c>
      <c r="L33" s="11">
        <v>154500</v>
      </c>
      <c r="M33" s="11">
        <v>140621</v>
      </c>
    </row>
    <row r="34" spans="1:13" x14ac:dyDescent="0.3">
      <c r="A34" s="10">
        <v>6712</v>
      </c>
      <c r="B34" s="10">
        <v>10</v>
      </c>
      <c r="C34" s="10" t="s">
        <v>344</v>
      </c>
      <c r="D34" s="10">
        <v>1031</v>
      </c>
      <c r="E34" s="10" t="s">
        <v>375</v>
      </c>
      <c r="F34" s="10">
        <v>0</v>
      </c>
      <c r="G34" s="10" t="s">
        <v>343</v>
      </c>
      <c r="H34" s="10">
        <v>0</v>
      </c>
      <c r="I34" s="10" t="s">
        <v>343</v>
      </c>
      <c r="J34" s="11">
        <v>35777</v>
      </c>
      <c r="K34" s="11">
        <v>40447</v>
      </c>
      <c r="L34" s="11">
        <v>76224</v>
      </c>
      <c r="M34" s="11">
        <v>40867</v>
      </c>
    </row>
    <row r="35" spans="1:13" x14ac:dyDescent="0.3">
      <c r="A35" s="10">
        <v>6712</v>
      </c>
      <c r="B35" s="10">
        <v>10</v>
      </c>
      <c r="C35" s="10" t="s">
        <v>344</v>
      </c>
      <c r="D35" s="10">
        <v>1032</v>
      </c>
      <c r="E35" s="10" t="s">
        <v>376</v>
      </c>
      <c r="F35" s="10">
        <v>0</v>
      </c>
      <c r="G35" s="10" t="s">
        <v>343</v>
      </c>
      <c r="H35" s="10">
        <v>0</v>
      </c>
      <c r="I35" s="10" t="s">
        <v>343</v>
      </c>
      <c r="J35" s="11">
        <v>86073</v>
      </c>
      <c r="K35" s="11">
        <v>98282</v>
      </c>
      <c r="L35" s="11">
        <v>184355</v>
      </c>
      <c r="M35" s="11">
        <v>97910</v>
      </c>
    </row>
    <row r="36" spans="1:13" x14ac:dyDescent="0.3">
      <c r="A36" s="10">
        <v>6712</v>
      </c>
      <c r="B36" s="10">
        <v>10</v>
      </c>
      <c r="C36" s="10" t="s">
        <v>344</v>
      </c>
      <c r="D36" s="10">
        <v>1033</v>
      </c>
      <c r="E36" s="10" t="s">
        <v>377</v>
      </c>
      <c r="F36" s="10">
        <v>0</v>
      </c>
      <c r="G36" s="10" t="s">
        <v>343</v>
      </c>
      <c r="H36" s="10">
        <v>0</v>
      </c>
      <c r="I36" s="10" t="s">
        <v>343</v>
      </c>
      <c r="J36" s="11">
        <v>41969</v>
      </c>
      <c r="K36" s="11">
        <v>47044</v>
      </c>
      <c r="L36" s="11">
        <v>89013</v>
      </c>
      <c r="M36" s="11">
        <v>83803</v>
      </c>
    </row>
    <row r="37" spans="1:13" x14ac:dyDescent="0.3">
      <c r="A37" s="10">
        <v>6712</v>
      </c>
      <c r="B37" s="10">
        <v>10</v>
      </c>
      <c r="C37" s="10" t="s">
        <v>344</v>
      </c>
      <c r="D37" s="10">
        <v>1034</v>
      </c>
      <c r="E37" s="10" t="s">
        <v>378</v>
      </c>
      <c r="F37" s="10">
        <v>0</v>
      </c>
      <c r="G37" s="10" t="s">
        <v>343</v>
      </c>
      <c r="H37" s="10">
        <v>0</v>
      </c>
      <c r="I37" s="10" t="s">
        <v>343</v>
      </c>
      <c r="J37" s="11">
        <v>56013</v>
      </c>
      <c r="K37" s="11">
        <v>67392</v>
      </c>
      <c r="L37" s="11">
        <v>123405</v>
      </c>
      <c r="M37" s="11">
        <v>85646</v>
      </c>
    </row>
    <row r="38" spans="1:13" x14ac:dyDescent="0.3">
      <c r="A38" s="10">
        <v>6712</v>
      </c>
      <c r="B38" s="10">
        <v>10</v>
      </c>
      <c r="C38" s="10" t="s">
        <v>344</v>
      </c>
      <c r="D38" s="10">
        <v>1035</v>
      </c>
      <c r="E38" s="10" t="s">
        <v>379</v>
      </c>
      <c r="F38" s="10">
        <v>0</v>
      </c>
      <c r="G38" s="10" t="s">
        <v>343</v>
      </c>
      <c r="H38" s="10">
        <v>0</v>
      </c>
      <c r="I38" s="10" t="s">
        <v>343</v>
      </c>
      <c r="J38" s="11">
        <v>65638</v>
      </c>
      <c r="K38" s="11">
        <v>73789</v>
      </c>
      <c r="L38" s="11">
        <v>139427</v>
      </c>
      <c r="M38" s="11">
        <v>74595</v>
      </c>
    </row>
    <row r="39" spans="1:13" x14ac:dyDescent="0.3">
      <c r="A39" s="10">
        <v>6712</v>
      </c>
      <c r="B39" s="10">
        <v>10</v>
      </c>
      <c r="C39" s="10" t="s">
        <v>344</v>
      </c>
      <c r="D39" s="10">
        <v>1036</v>
      </c>
      <c r="E39" s="10" t="s">
        <v>380</v>
      </c>
      <c r="F39" s="10">
        <v>0</v>
      </c>
      <c r="G39" s="10" t="s">
        <v>343</v>
      </c>
      <c r="H39" s="10">
        <v>0</v>
      </c>
      <c r="I39" s="10" t="s">
        <v>343</v>
      </c>
      <c r="J39" s="11">
        <v>82415</v>
      </c>
      <c r="K39" s="11">
        <v>83632</v>
      </c>
      <c r="L39" s="11">
        <v>166047</v>
      </c>
      <c r="M39" s="11">
        <v>83308</v>
      </c>
    </row>
    <row r="40" spans="1:13" x14ac:dyDescent="0.3">
      <c r="A40" s="10">
        <v>6712</v>
      </c>
      <c r="B40" s="10">
        <v>10</v>
      </c>
      <c r="C40" s="10" t="s">
        <v>344</v>
      </c>
      <c r="D40" s="10">
        <v>1037</v>
      </c>
      <c r="E40" s="10" t="s">
        <v>381</v>
      </c>
      <c r="F40" s="10">
        <v>0</v>
      </c>
      <c r="G40" s="10" t="s">
        <v>343</v>
      </c>
      <c r="H40" s="10">
        <v>0</v>
      </c>
      <c r="I40" s="10" t="s">
        <v>343</v>
      </c>
      <c r="J40" s="11">
        <v>29553</v>
      </c>
      <c r="K40" s="11">
        <v>33079</v>
      </c>
      <c r="L40" s="11">
        <v>62632</v>
      </c>
      <c r="M40" s="11">
        <v>58075</v>
      </c>
    </row>
    <row r="41" spans="1:13" x14ac:dyDescent="0.3">
      <c r="A41" s="10">
        <v>6712</v>
      </c>
      <c r="B41" s="10">
        <v>10</v>
      </c>
      <c r="C41" s="10" t="s">
        <v>344</v>
      </c>
      <c r="D41" s="10">
        <v>1038</v>
      </c>
      <c r="E41" s="10" t="s">
        <v>382</v>
      </c>
      <c r="F41" s="10">
        <v>0</v>
      </c>
      <c r="G41" s="10" t="s">
        <v>343</v>
      </c>
      <c r="H41" s="10">
        <v>0</v>
      </c>
      <c r="I41" s="10" t="s">
        <v>343</v>
      </c>
      <c r="J41" s="11">
        <v>50667</v>
      </c>
      <c r="K41" s="11">
        <v>61419</v>
      </c>
      <c r="L41" s="11">
        <v>112086</v>
      </c>
      <c r="M41" s="11">
        <v>60732</v>
      </c>
    </row>
    <row r="42" spans="1:13" x14ac:dyDescent="0.3">
      <c r="A42" s="10">
        <v>6712</v>
      </c>
      <c r="B42" s="10">
        <v>10</v>
      </c>
      <c r="C42" s="10" t="s">
        <v>344</v>
      </c>
      <c r="D42" s="10">
        <v>1039</v>
      </c>
      <c r="E42" s="10" t="s">
        <v>383</v>
      </c>
      <c r="F42" s="10">
        <v>0</v>
      </c>
      <c r="G42" s="10" t="s">
        <v>343</v>
      </c>
      <c r="H42" s="10">
        <v>0</v>
      </c>
      <c r="I42" s="10" t="s">
        <v>343</v>
      </c>
      <c r="J42" s="11">
        <v>37206</v>
      </c>
      <c r="K42" s="11">
        <v>43066</v>
      </c>
      <c r="L42" s="11">
        <v>80272</v>
      </c>
      <c r="M42" s="11">
        <v>87305</v>
      </c>
    </row>
    <row r="43" spans="1:13" x14ac:dyDescent="0.3">
      <c r="A43" s="10">
        <v>6712</v>
      </c>
      <c r="B43" s="10">
        <v>10</v>
      </c>
      <c r="C43" s="10" t="s">
        <v>344</v>
      </c>
      <c r="D43" s="10">
        <v>1040</v>
      </c>
      <c r="E43" s="10" t="s">
        <v>384</v>
      </c>
      <c r="F43" s="10">
        <v>0</v>
      </c>
      <c r="G43" s="10" t="s">
        <v>343</v>
      </c>
      <c r="H43" s="10">
        <v>0</v>
      </c>
      <c r="I43" s="10" t="s">
        <v>343</v>
      </c>
      <c r="J43" s="11">
        <v>88757</v>
      </c>
      <c r="K43" s="11">
        <v>103724</v>
      </c>
      <c r="L43" s="11">
        <v>192481</v>
      </c>
      <c r="M43" s="11">
        <v>97890</v>
      </c>
    </row>
    <row r="44" spans="1:13" x14ac:dyDescent="0.3">
      <c r="A44" s="10">
        <v>6712</v>
      </c>
      <c r="B44" s="10">
        <v>10</v>
      </c>
      <c r="C44" s="10" t="s">
        <v>344</v>
      </c>
      <c r="D44" s="10">
        <v>1041</v>
      </c>
      <c r="E44" s="10" t="s">
        <v>385</v>
      </c>
      <c r="F44" s="10">
        <v>0</v>
      </c>
      <c r="G44" s="10" t="s">
        <v>343</v>
      </c>
      <c r="H44" s="10">
        <v>0</v>
      </c>
      <c r="I44" s="10" t="s">
        <v>343</v>
      </c>
      <c r="J44" s="11">
        <v>46653</v>
      </c>
      <c r="K44" s="11">
        <v>51524</v>
      </c>
      <c r="L44" s="11">
        <v>98177</v>
      </c>
      <c r="M44" s="11">
        <v>62353</v>
      </c>
    </row>
    <row r="45" spans="1:13" x14ac:dyDescent="0.3">
      <c r="A45" s="10">
        <v>6712</v>
      </c>
      <c r="B45" s="10">
        <v>10</v>
      </c>
      <c r="C45" s="10" t="s">
        <v>344</v>
      </c>
      <c r="D45" s="10">
        <v>1042</v>
      </c>
      <c r="E45" s="10" t="s">
        <v>386</v>
      </c>
      <c r="F45" s="10">
        <v>0</v>
      </c>
      <c r="G45" s="10" t="s">
        <v>343</v>
      </c>
      <c r="H45" s="10">
        <v>0</v>
      </c>
      <c r="I45" s="10" t="s">
        <v>343</v>
      </c>
      <c r="J45" s="11">
        <v>99098</v>
      </c>
      <c r="K45" s="11">
        <v>113477</v>
      </c>
      <c r="L45" s="11">
        <v>212575</v>
      </c>
      <c r="M45" s="11">
        <v>112297</v>
      </c>
    </row>
    <row r="46" spans="1:13" x14ac:dyDescent="0.3">
      <c r="A46" s="10">
        <v>6712</v>
      </c>
      <c r="B46" s="10">
        <v>10</v>
      </c>
      <c r="C46" s="10" t="s">
        <v>344</v>
      </c>
      <c r="D46" s="10">
        <v>1043</v>
      </c>
      <c r="E46" s="10" t="s">
        <v>387</v>
      </c>
      <c r="F46" s="10">
        <v>0</v>
      </c>
      <c r="G46" s="10" t="s">
        <v>343</v>
      </c>
      <c r="H46" s="10">
        <v>0</v>
      </c>
      <c r="I46" s="10" t="s">
        <v>343</v>
      </c>
      <c r="J46" s="11">
        <v>43668</v>
      </c>
      <c r="K46" s="11">
        <v>50526</v>
      </c>
      <c r="L46" s="11">
        <v>94194</v>
      </c>
      <c r="M46" s="11">
        <v>48118</v>
      </c>
    </row>
    <row r="47" spans="1:13" x14ac:dyDescent="0.3">
      <c r="A47" s="10">
        <v>6712</v>
      </c>
      <c r="B47" s="10">
        <v>10</v>
      </c>
      <c r="C47" s="10" t="s">
        <v>344</v>
      </c>
      <c r="D47" s="10">
        <v>1044</v>
      </c>
      <c r="E47" s="10" t="s">
        <v>388</v>
      </c>
      <c r="F47" s="10">
        <v>0</v>
      </c>
      <c r="G47" s="10" t="s">
        <v>343</v>
      </c>
      <c r="H47" s="10">
        <v>0</v>
      </c>
      <c r="I47" s="10" t="s">
        <v>343</v>
      </c>
      <c r="J47" s="11">
        <v>44684</v>
      </c>
      <c r="K47" s="11">
        <v>52975</v>
      </c>
      <c r="L47" s="11">
        <v>97659</v>
      </c>
      <c r="M47" s="11">
        <v>43914</v>
      </c>
    </row>
    <row r="48" spans="1:13" x14ac:dyDescent="0.3">
      <c r="A48" s="10">
        <v>6712</v>
      </c>
      <c r="B48" s="10">
        <v>10</v>
      </c>
      <c r="C48" s="10" t="s">
        <v>344</v>
      </c>
      <c r="D48" s="10">
        <v>1045</v>
      </c>
      <c r="E48" s="10" t="s">
        <v>389</v>
      </c>
      <c r="F48" s="10">
        <v>0</v>
      </c>
      <c r="G48" s="10" t="s">
        <v>343</v>
      </c>
      <c r="H48" s="10">
        <v>0</v>
      </c>
      <c r="I48" s="10" t="s">
        <v>343</v>
      </c>
      <c r="J48" s="11">
        <v>46600</v>
      </c>
      <c r="K48" s="11">
        <v>56456</v>
      </c>
      <c r="L48" s="11">
        <v>103056</v>
      </c>
      <c r="M48" s="11">
        <v>65168</v>
      </c>
    </row>
    <row r="49" spans="1:13" x14ac:dyDescent="0.3">
      <c r="A49" s="10">
        <v>6712</v>
      </c>
      <c r="B49" s="10">
        <v>10</v>
      </c>
      <c r="C49" s="10" t="s">
        <v>344</v>
      </c>
      <c r="D49" s="10">
        <v>1046</v>
      </c>
      <c r="E49" s="10" t="s">
        <v>390</v>
      </c>
      <c r="F49" s="10">
        <v>0</v>
      </c>
      <c r="G49" s="10" t="s">
        <v>343</v>
      </c>
      <c r="H49" s="10">
        <v>0</v>
      </c>
      <c r="I49" s="10" t="s">
        <v>343</v>
      </c>
      <c r="J49" s="11">
        <v>100401</v>
      </c>
      <c r="K49" s="11">
        <v>113910</v>
      </c>
      <c r="L49" s="11">
        <v>214311</v>
      </c>
      <c r="M49" s="11">
        <v>93955</v>
      </c>
    </row>
    <row r="50" spans="1:13" x14ac:dyDescent="0.3">
      <c r="A50" s="10">
        <v>6712</v>
      </c>
      <c r="B50" s="10">
        <v>10</v>
      </c>
      <c r="C50" s="10" t="s">
        <v>344</v>
      </c>
      <c r="D50" s="10">
        <v>1047</v>
      </c>
      <c r="E50" s="10" t="s">
        <v>391</v>
      </c>
      <c r="F50" s="10">
        <v>0</v>
      </c>
      <c r="G50" s="10" t="s">
        <v>343</v>
      </c>
      <c r="H50" s="10">
        <v>0</v>
      </c>
      <c r="I50" s="10" t="s">
        <v>343</v>
      </c>
      <c r="J50" s="11">
        <v>39112</v>
      </c>
      <c r="K50" s="11">
        <v>45889</v>
      </c>
      <c r="L50" s="11">
        <v>85001</v>
      </c>
      <c r="M50" s="11">
        <v>78445</v>
      </c>
    </row>
    <row r="51" spans="1:13" x14ac:dyDescent="0.3">
      <c r="A51" s="10">
        <v>6712</v>
      </c>
      <c r="B51" s="10">
        <v>10</v>
      </c>
      <c r="C51" s="10" t="s">
        <v>344</v>
      </c>
      <c r="D51" s="10">
        <v>1048</v>
      </c>
      <c r="E51" s="10" t="s">
        <v>392</v>
      </c>
      <c r="F51" s="10">
        <v>0</v>
      </c>
      <c r="G51" s="10" t="s">
        <v>343</v>
      </c>
      <c r="H51" s="10">
        <v>0</v>
      </c>
      <c r="I51" s="10" t="s">
        <v>343</v>
      </c>
      <c r="J51" s="11">
        <v>37026</v>
      </c>
      <c r="K51" s="11">
        <v>43323</v>
      </c>
      <c r="L51" s="11">
        <v>80349</v>
      </c>
      <c r="M51" s="11">
        <v>37042</v>
      </c>
    </row>
    <row r="52" spans="1:13" x14ac:dyDescent="0.3">
      <c r="A52" s="10">
        <v>6712</v>
      </c>
      <c r="B52" s="10">
        <v>10</v>
      </c>
      <c r="C52" s="10" t="s">
        <v>344</v>
      </c>
      <c r="D52" s="10">
        <v>1049</v>
      </c>
      <c r="E52" s="10" t="s">
        <v>393</v>
      </c>
      <c r="F52" s="10">
        <v>0</v>
      </c>
      <c r="G52" s="10" t="s">
        <v>343</v>
      </c>
      <c r="H52" s="10">
        <v>0</v>
      </c>
      <c r="I52" s="10" t="s">
        <v>343</v>
      </c>
      <c r="J52" s="11">
        <v>57702</v>
      </c>
      <c r="K52" s="11">
        <v>66362</v>
      </c>
      <c r="L52" s="11">
        <v>124064</v>
      </c>
      <c r="M52" s="11">
        <v>57688</v>
      </c>
    </row>
    <row r="53" spans="1:13" x14ac:dyDescent="0.3">
      <c r="A53" s="10">
        <v>6712</v>
      </c>
      <c r="B53" s="10">
        <v>10</v>
      </c>
      <c r="C53" s="10" t="s">
        <v>344</v>
      </c>
      <c r="D53" s="10">
        <v>1050</v>
      </c>
      <c r="E53" s="10" t="s">
        <v>394</v>
      </c>
      <c r="F53" s="10">
        <v>0</v>
      </c>
      <c r="G53" s="10" t="s">
        <v>343</v>
      </c>
      <c r="H53" s="10">
        <v>0</v>
      </c>
      <c r="I53" s="10" t="s">
        <v>343</v>
      </c>
      <c r="J53" s="11">
        <v>47136</v>
      </c>
      <c r="K53" s="11">
        <v>52032</v>
      </c>
      <c r="L53" s="11">
        <v>99168</v>
      </c>
      <c r="M53" s="11">
        <v>53919</v>
      </c>
    </row>
    <row r="54" spans="1:13" x14ac:dyDescent="0.3">
      <c r="A54" s="10">
        <v>6712</v>
      </c>
      <c r="B54" s="10">
        <v>11</v>
      </c>
      <c r="C54" s="10" t="s">
        <v>395</v>
      </c>
      <c r="D54" s="10">
        <v>0</v>
      </c>
      <c r="E54" s="10" t="s">
        <v>343</v>
      </c>
      <c r="F54" s="10">
        <v>0</v>
      </c>
      <c r="G54" s="10" t="s">
        <v>343</v>
      </c>
      <c r="H54" s="10">
        <v>0</v>
      </c>
      <c r="I54" s="10" t="s">
        <v>343</v>
      </c>
      <c r="J54" s="11">
        <v>654057</v>
      </c>
      <c r="K54" s="11">
        <v>726769</v>
      </c>
      <c r="L54" s="11">
        <v>1380826</v>
      </c>
      <c r="M54" s="11">
        <v>783230</v>
      </c>
    </row>
    <row r="55" spans="1:13" x14ac:dyDescent="0.3">
      <c r="A55" s="10">
        <v>6712</v>
      </c>
      <c r="B55" s="10">
        <v>11</v>
      </c>
      <c r="C55" s="10" t="s">
        <v>395</v>
      </c>
      <c r="D55" s="10">
        <v>1101</v>
      </c>
      <c r="E55" s="10" t="s">
        <v>396</v>
      </c>
      <c r="F55" s="10">
        <v>0</v>
      </c>
      <c r="G55" s="10" t="s">
        <v>343</v>
      </c>
      <c r="H55" s="10">
        <v>0</v>
      </c>
      <c r="I55" s="10" t="s">
        <v>343</v>
      </c>
      <c r="J55" s="11">
        <v>61166</v>
      </c>
      <c r="K55" s="11">
        <v>68415</v>
      </c>
      <c r="L55" s="11">
        <v>129581</v>
      </c>
      <c r="M55" s="11">
        <v>61601</v>
      </c>
    </row>
    <row r="56" spans="1:13" x14ac:dyDescent="0.3">
      <c r="A56" s="10">
        <v>6712</v>
      </c>
      <c r="B56" s="10">
        <v>11</v>
      </c>
      <c r="C56" s="10" t="s">
        <v>395</v>
      </c>
      <c r="D56" s="10">
        <v>1102</v>
      </c>
      <c r="E56" s="10" t="s">
        <v>397</v>
      </c>
      <c r="F56" s="10">
        <v>0</v>
      </c>
      <c r="G56" s="10" t="s">
        <v>343</v>
      </c>
      <c r="H56" s="10">
        <v>0</v>
      </c>
      <c r="I56" s="10" t="s">
        <v>343</v>
      </c>
      <c r="J56" s="11">
        <v>48301</v>
      </c>
      <c r="K56" s="11">
        <v>51734</v>
      </c>
      <c r="L56" s="11">
        <v>100035</v>
      </c>
      <c r="M56" s="11">
        <v>52769</v>
      </c>
    </row>
    <row r="57" spans="1:13" x14ac:dyDescent="0.3">
      <c r="A57" s="10">
        <v>6712</v>
      </c>
      <c r="B57" s="10">
        <v>11</v>
      </c>
      <c r="C57" s="10" t="s">
        <v>395</v>
      </c>
      <c r="D57" s="10">
        <v>1103</v>
      </c>
      <c r="E57" s="10" t="s">
        <v>398</v>
      </c>
      <c r="F57" s="10">
        <v>0</v>
      </c>
      <c r="G57" s="10" t="s">
        <v>343</v>
      </c>
      <c r="H57" s="10">
        <v>0</v>
      </c>
      <c r="I57" s="10" t="s">
        <v>343</v>
      </c>
      <c r="J57" s="11">
        <v>133427</v>
      </c>
      <c r="K57" s="11">
        <v>152067</v>
      </c>
      <c r="L57" s="11">
        <v>285494</v>
      </c>
      <c r="M57" s="11">
        <v>192624</v>
      </c>
    </row>
    <row r="58" spans="1:13" x14ac:dyDescent="0.3">
      <c r="A58" s="10">
        <v>6712</v>
      </c>
      <c r="B58" s="10">
        <v>11</v>
      </c>
      <c r="C58" s="10" t="s">
        <v>395</v>
      </c>
      <c r="D58" s="10">
        <v>1104</v>
      </c>
      <c r="E58" s="10" t="s">
        <v>399</v>
      </c>
      <c r="F58" s="10">
        <v>0</v>
      </c>
      <c r="G58" s="10" t="s">
        <v>343</v>
      </c>
      <c r="H58" s="10">
        <v>0</v>
      </c>
      <c r="I58" s="10" t="s">
        <v>343</v>
      </c>
      <c r="J58" s="11">
        <v>17857</v>
      </c>
      <c r="K58" s="11">
        <v>19426</v>
      </c>
      <c r="L58" s="11">
        <v>37283</v>
      </c>
      <c r="M58" s="11">
        <v>13733</v>
      </c>
    </row>
    <row r="59" spans="1:13" x14ac:dyDescent="0.3">
      <c r="A59" s="10">
        <v>6712</v>
      </c>
      <c r="B59" s="10">
        <v>11</v>
      </c>
      <c r="C59" s="10" t="s">
        <v>395</v>
      </c>
      <c r="D59" s="10">
        <v>1105</v>
      </c>
      <c r="E59" s="10" t="s">
        <v>400</v>
      </c>
      <c r="F59" s="10">
        <v>0</v>
      </c>
      <c r="G59" s="10" t="s">
        <v>343</v>
      </c>
      <c r="H59" s="10">
        <v>0</v>
      </c>
      <c r="I59" s="10" t="s">
        <v>343</v>
      </c>
      <c r="J59" s="11">
        <v>60736</v>
      </c>
      <c r="K59" s="11">
        <v>66527</v>
      </c>
      <c r="L59" s="11">
        <v>127263</v>
      </c>
      <c r="M59" s="11">
        <v>61264</v>
      </c>
    </row>
    <row r="60" spans="1:13" x14ac:dyDescent="0.3">
      <c r="A60" s="10">
        <v>6712</v>
      </c>
      <c r="B60" s="10">
        <v>11</v>
      </c>
      <c r="C60" s="10" t="s">
        <v>395</v>
      </c>
      <c r="D60" s="10">
        <v>1106</v>
      </c>
      <c r="E60" s="10" t="s">
        <v>401</v>
      </c>
      <c r="F60" s="10">
        <v>0</v>
      </c>
      <c r="G60" s="10" t="s">
        <v>343</v>
      </c>
      <c r="H60" s="10">
        <v>0</v>
      </c>
      <c r="I60" s="10" t="s">
        <v>343</v>
      </c>
      <c r="J60" s="11">
        <v>30437</v>
      </c>
      <c r="K60" s="11">
        <v>33064</v>
      </c>
      <c r="L60" s="11">
        <v>63501</v>
      </c>
      <c r="M60" s="11">
        <v>48202</v>
      </c>
    </row>
    <row r="61" spans="1:13" x14ac:dyDescent="0.3">
      <c r="A61" s="10">
        <v>6712</v>
      </c>
      <c r="B61" s="10">
        <v>11</v>
      </c>
      <c r="C61" s="10" t="s">
        <v>395</v>
      </c>
      <c r="D61" s="10">
        <v>1183</v>
      </c>
      <c r="E61" s="10" t="s">
        <v>402</v>
      </c>
      <c r="F61" s="10">
        <v>0</v>
      </c>
      <c r="G61" s="10" t="s">
        <v>343</v>
      </c>
      <c r="H61" s="10">
        <v>0</v>
      </c>
      <c r="I61" s="10" t="s">
        <v>343</v>
      </c>
      <c r="J61" s="11">
        <v>19139</v>
      </c>
      <c r="K61" s="11">
        <v>22020</v>
      </c>
      <c r="L61" s="11">
        <v>41159</v>
      </c>
      <c r="M61" s="11">
        <v>17887</v>
      </c>
    </row>
    <row r="62" spans="1:13" x14ac:dyDescent="0.3">
      <c r="A62" s="10">
        <v>6712</v>
      </c>
      <c r="B62" s="10">
        <v>11</v>
      </c>
      <c r="C62" s="10" t="s">
        <v>395</v>
      </c>
      <c r="D62" s="10">
        <v>1184</v>
      </c>
      <c r="E62" s="10" t="s">
        <v>403</v>
      </c>
      <c r="F62" s="10">
        <v>0</v>
      </c>
      <c r="G62" s="10" t="s">
        <v>343</v>
      </c>
      <c r="H62" s="10">
        <v>0</v>
      </c>
      <c r="I62" s="10" t="s">
        <v>343</v>
      </c>
      <c r="J62" s="11">
        <v>9566</v>
      </c>
      <c r="K62" s="11">
        <v>10654</v>
      </c>
      <c r="L62" s="11">
        <v>20220</v>
      </c>
      <c r="M62" s="11">
        <v>18771</v>
      </c>
    </row>
    <row r="63" spans="1:13" x14ac:dyDescent="0.3">
      <c r="A63" s="10">
        <v>6712</v>
      </c>
      <c r="B63" s="10">
        <v>11</v>
      </c>
      <c r="C63" s="10" t="s">
        <v>395</v>
      </c>
      <c r="D63" s="10">
        <v>1185</v>
      </c>
      <c r="E63" s="10" t="s">
        <v>404</v>
      </c>
      <c r="F63" s="10">
        <v>0</v>
      </c>
      <c r="G63" s="10" t="s">
        <v>343</v>
      </c>
      <c r="H63" s="10">
        <v>0</v>
      </c>
      <c r="I63" s="10" t="s">
        <v>343</v>
      </c>
      <c r="J63" s="11">
        <v>10700</v>
      </c>
      <c r="K63" s="11">
        <v>11358</v>
      </c>
      <c r="L63" s="11">
        <v>22058</v>
      </c>
      <c r="M63" s="11">
        <v>9612</v>
      </c>
    </row>
    <row r="64" spans="1:13" x14ac:dyDescent="0.3">
      <c r="A64" s="10">
        <v>6712</v>
      </c>
      <c r="B64" s="10">
        <v>11</v>
      </c>
      <c r="C64" s="10" t="s">
        <v>395</v>
      </c>
      <c r="D64" s="10">
        <v>1186</v>
      </c>
      <c r="E64" s="10" t="s">
        <v>405</v>
      </c>
      <c r="F64" s="10">
        <v>0</v>
      </c>
      <c r="G64" s="10" t="s">
        <v>343</v>
      </c>
      <c r="H64" s="10">
        <v>0</v>
      </c>
      <c r="I64" s="10" t="s">
        <v>343</v>
      </c>
      <c r="J64" s="11">
        <v>5441</v>
      </c>
      <c r="K64" s="11">
        <v>5681</v>
      </c>
      <c r="L64" s="11">
        <v>11122</v>
      </c>
      <c r="M64" s="11">
        <v>5764</v>
      </c>
    </row>
    <row r="65" spans="1:13" x14ac:dyDescent="0.3">
      <c r="A65" s="10">
        <v>6712</v>
      </c>
      <c r="B65" s="10">
        <v>11</v>
      </c>
      <c r="C65" s="10" t="s">
        <v>395</v>
      </c>
      <c r="D65" s="10">
        <v>1187</v>
      </c>
      <c r="E65" s="10" t="s">
        <v>406</v>
      </c>
      <c r="F65" s="10">
        <v>0</v>
      </c>
      <c r="G65" s="10" t="s">
        <v>343</v>
      </c>
      <c r="H65" s="10">
        <v>0</v>
      </c>
      <c r="I65" s="10" t="s">
        <v>343</v>
      </c>
      <c r="J65" s="11">
        <v>5358</v>
      </c>
      <c r="K65" s="11">
        <v>5382</v>
      </c>
      <c r="L65" s="11">
        <v>10740</v>
      </c>
      <c r="M65" s="11">
        <v>2252</v>
      </c>
    </row>
    <row r="66" spans="1:13" x14ac:dyDescent="0.3">
      <c r="A66" s="10">
        <v>6712</v>
      </c>
      <c r="B66" s="10">
        <v>11</v>
      </c>
      <c r="C66" s="10" t="s">
        <v>395</v>
      </c>
      <c r="D66" s="10">
        <v>1188</v>
      </c>
      <c r="E66" s="10" t="s">
        <v>407</v>
      </c>
      <c r="F66" s="10">
        <v>0</v>
      </c>
      <c r="G66" s="10" t="s">
        <v>343</v>
      </c>
      <c r="H66" s="10">
        <v>0</v>
      </c>
      <c r="I66" s="10" t="s">
        <v>343</v>
      </c>
      <c r="J66" s="11">
        <v>3087</v>
      </c>
      <c r="K66" s="11">
        <v>3393</v>
      </c>
      <c r="L66" s="11">
        <v>6480</v>
      </c>
      <c r="M66" s="11">
        <v>2520</v>
      </c>
    </row>
    <row r="67" spans="1:13" x14ac:dyDescent="0.3">
      <c r="A67" s="10">
        <v>6712</v>
      </c>
      <c r="B67" s="10">
        <v>11</v>
      </c>
      <c r="C67" s="10" t="s">
        <v>395</v>
      </c>
      <c r="D67" s="10">
        <v>1189</v>
      </c>
      <c r="E67" s="10" t="s">
        <v>408</v>
      </c>
      <c r="F67" s="10">
        <v>0</v>
      </c>
      <c r="G67" s="10" t="s">
        <v>343</v>
      </c>
      <c r="H67" s="10">
        <v>0</v>
      </c>
      <c r="I67" s="10" t="s">
        <v>343</v>
      </c>
      <c r="J67" s="11">
        <v>1368</v>
      </c>
      <c r="K67" s="11">
        <v>1420</v>
      </c>
      <c r="L67" s="11">
        <v>2788</v>
      </c>
      <c r="M67" s="10">
        <v>928</v>
      </c>
    </row>
    <row r="68" spans="1:13" x14ac:dyDescent="0.3">
      <c r="A68" s="10">
        <v>6712</v>
      </c>
      <c r="B68" s="10">
        <v>11</v>
      </c>
      <c r="C68" s="10" t="s">
        <v>395</v>
      </c>
      <c r="D68" s="10">
        <v>1190</v>
      </c>
      <c r="E68" s="10" t="s">
        <v>409</v>
      </c>
      <c r="F68" s="10">
        <v>0</v>
      </c>
      <c r="G68" s="10" t="s">
        <v>343</v>
      </c>
      <c r="H68" s="10">
        <v>0</v>
      </c>
      <c r="I68" s="10" t="s">
        <v>343</v>
      </c>
      <c r="J68" s="11">
        <v>5388</v>
      </c>
      <c r="K68" s="11">
        <v>5663</v>
      </c>
      <c r="L68" s="11">
        <v>11051</v>
      </c>
      <c r="M68" s="11">
        <v>3327</v>
      </c>
    </row>
    <row r="69" spans="1:13" x14ac:dyDescent="0.3">
      <c r="A69" s="10">
        <v>6712</v>
      </c>
      <c r="B69" s="10">
        <v>11</v>
      </c>
      <c r="C69" s="10" t="s">
        <v>395</v>
      </c>
      <c r="D69" s="10">
        <v>1191</v>
      </c>
      <c r="E69" s="10" t="s">
        <v>410</v>
      </c>
      <c r="F69" s="10">
        <v>0</v>
      </c>
      <c r="G69" s="10" t="s">
        <v>343</v>
      </c>
      <c r="H69" s="10">
        <v>0</v>
      </c>
      <c r="I69" s="10" t="s">
        <v>343</v>
      </c>
      <c r="J69" s="11">
        <v>57311</v>
      </c>
      <c r="K69" s="11">
        <v>62508</v>
      </c>
      <c r="L69" s="11">
        <v>119819</v>
      </c>
      <c r="M69" s="11">
        <v>62862</v>
      </c>
    </row>
    <row r="70" spans="1:13" x14ac:dyDescent="0.3">
      <c r="A70" s="10">
        <v>6712</v>
      </c>
      <c r="B70" s="10">
        <v>11</v>
      </c>
      <c r="C70" s="10" t="s">
        <v>395</v>
      </c>
      <c r="D70" s="10">
        <v>1192</v>
      </c>
      <c r="E70" s="10" t="s">
        <v>411</v>
      </c>
      <c r="F70" s="10">
        <v>0</v>
      </c>
      <c r="G70" s="10" t="s">
        <v>343</v>
      </c>
      <c r="H70" s="10">
        <v>0</v>
      </c>
      <c r="I70" s="10" t="s">
        <v>343</v>
      </c>
      <c r="J70" s="11">
        <v>12070</v>
      </c>
      <c r="K70" s="11">
        <v>13823</v>
      </c>
      <c r="L70" s="11">
        <v>25893</v>
      </c>
      <c r="M70" s="11">
        <v>15843</v>
      </c>
    </row>
    <row r="71" spans="1:13" x14ac:dyDescent="0.3">
      <c r="A71" s="10">
        <v>6712</v>
      </c>
      <c r="B71" s="10">
        <v>11</v>
      </c>
      <c r="C71" s="10" t="s">
        <v>395</v>
      </c>
      <c r="D71" s="10">
        <v>1193</v>
      </c>
      <c r="E71" s="10" t="s">
        <v>412</v>
      </c>
      <c r="F71" s="10">
        <v>0</v>
      </c>
      <c r="G71" s="10" t="s">
        <v>343</v>
      </c>
      <c r="H71" s="10">
        <v>0</v>
      </c>
      <c r="I71" s="10" t="s">
        <v>343</v>
      </c>
      <c r="J71" s="11">
        <v>44467</v>
      </c>
      <c r="K71" s="11">
        <v>51284</v>
      </c>
      <c r="L71" s="11">
        <v>95751</v>
      </c>
      <c r="M71" s="11">
        <v>50820</v>
      </c>
    </row>
    <row r="72" spans="1:13" x14ac:dyDescent="0.3">
      <c r="A72" s="10">
        <v>6712</v>
      </c>
      <c r="B72" s="10">
        <v>11</v>
      </c>
      <c r="C72" s="10" t="s">
        <v>395</v>
      </c>
      <c r="D72" s="10">
        <v>1194</v>
      </c>
      <c r="E72" s="10" t="s">
        <v>413</v>
      </c>
      <c r="F72" s="10">
        <v>0</v>
      </c>
      <c r="G72" s="10" t="s">
        <v>343</v>
      </c>
      <c r="H72" s="10">
        <v>0</v>
      </c>
      <c r="I72" s="10" t="s">
        <v>343</v>
      </c>
      <c r="J72" s="11">
        <v>24941</v>
      </c>
      <c r="K72" s="11">
        <v>28638</v>
      </c>
      <c r="L72" s="11">
        <v>53579</v>
      </c>
      <c r="M72" s="11">
        <v>29381</v>
      </c>
    </row>
    <row r="73" spans="1:13" x14ac:dyDescent="0.3">
      <c r="A73" s="10">
        <v>6712</v>
      </c>
      <c r="B73" s="10">
        <v>11</v>
      </c>
      <c r="C73" s="10" t="s">
        <v>395</v>
      </c>
      <c r="D73" s="10">
        <v>1195</v>
      </c>
      <c r="E73" s="10" t="s">
        <v>414</v>
      </c>
      <c r="F73" s="10">
        <v>0</v>
      </c>
      <c r="G73" s="10" t="s">
        <v>343</v>
      </c>
      <c r="H73" s="10">
        <v>0</v>
      </c>
      <c r="I73" s="10" t="s">
        <v>343</v>
      </c>
      <c r="J73" s="11">
        <v>32662</v>
      </c>
      <c r="K73" s="11">
        <v>34961</v>
      </c>
      <c r="L73" s="11">
        <v>67623</v>
      </c>
      <c r="M73" s="11">
        <v>36471</v>
      </c>
    </row>
    <row r="74" spans="1:13" x14ac:dyDescent="0.3">
      <c r="A74" s="10">
        <v>6712</v>
      </c>
      <c r="B74" s="10">
        <v>11</v>
      </c>
      <c r="C74" s="10" t="s">
        <v>395</v>
      </c>
      <c r="D74" s="10">
        <v>1196</v>
      </c>
      <c r="E74" s="10" t="s">
        <v>415</v>
      </c>
      <c r="F74" s="10">
        <v>0</v>
      </c>
      <c r="G74" s="10" t="s">
        <v>343</v>
      </c>
      <c r="H74" s="10">
        <v>0</v>
      </c>
      <c r="I74" s="10" t="s">
        <v>343</v>
      </c>
      <c r="J74" s="11">
        <v>13772</v>
      </c>
      <c r="K74" s="11">
        <v>16775</v>
      </c>
      <c r="L74" s="11">
        <v>30547</v>
      </c>
      <c r="M74" s="11">
        <v>31575</v>
      </c>
    </row>
    <row r="75" spans="1:13" x14ac:dyDescent="0.3">
      <c r="A75" s="10">
        <v>6712</v>
      </c>
      <c r="B75" s="10">
        <v>11</v>
      </c>
      <c r="C75" s="10" t="s">
        <v>395</v>
      </c>
      <c r="D75" s="10">
        <v>1197</v>
      </c>
      <c r="E75" s="10" t="s">
        <v>416</v>
      </c>
      <c r="F75" s="10">
        <v>0</v>
      </c>
      <c r="G75" s="10" t="s">
        <v>343</v>
      </c>
      <c r="H75" s="10">
        <v>0</v>
      </c>
      <c r="I75" s="10" t="s">
        <v>343</v>
      </c>
      <c r="J75" s="11">
        <v>31356</v>
      </c>
      <c r="K75" s="11">
        <v>34584</v>
      </c>
      <c r="L75" s="11">
        <v>65940</v>
      </c>
      <c r="M75" s="11">
        <v>38716</v>
      </c>
    </row>
    <row r="76" spans="1:13" x14ac:dyDescent="0.3">
      <c r="A76" s="10">
        <v>6712</v>
      </c>
      <c r="B76" s="10">
        <v>11</v>
      </c>
      <c r="C76" s="10" t="s">
        <v>395</v>
      </c>
      <c r="D76" s="10">
        <v>1198</v>
      </c>
      <c r="E76" s="10" t="s">
        <v>417</v>
      </c>
      <c r="F76" s="10">
        <v>0</v>
      </c>
      <c r="G76" s="10" t="s">
        <v>343</v>
      </c>
      <c r="H76" s="10">
        <v>0</v>
      </c>
      <c r="I76" s="10" t="s">
        <v>343</v>
      </c>
      <c r="J76" s="11">
        <v>3836</v>
      </c>
      <c r="K76" s="11">
        <v>4128</v>
      </c>
      <c r="L76" s="11">
        <v>7964</v>
      </c>
      <c r="M76" s="11">
        <v>2187</v>
      </c>
    </row>
    <row r="77" spans="1:13" x14ac:dyDescent="0.3">
      <c r="A77" s="10">
        <v>6712</v>
      </c>
      <c r="B77" s="10">
        <v>11</v>
      </c>
      <c r="C77" s="10" t="s">
        <v>395</v>
      </c>
      <c r="D77" s="10">
        <v>1199</v>
      </c>
      <c r="E77" s="10" t="s">
        <v>418</v>
      </c>
      <c r="F77" s="10">
        <v>0</v>
      </c>
      <c r="G77" s="10" t="s">
        <v>343</v>
      </c>
      <c r="H77" s="10">
        <v>0</v>
      </c>
      <c r="I77" s="10" t="s">
        <v>343</v>
      </c>
      <c r="J77" s="11">
        <v>21671</v>
      </c>
      <c r="K77" s="11">
        <v>23264</v>
      </c>
      <c r="L77" s="11">
        <v>44935</v>
      </c>
      <c r="M77" s="11">
        <v>24121</v>
      </c>
    </row>
    <row r="78" spans="1:13" x14ac:dyDescent="0.3">
      <c r="A78" s="10">
        <v>6712</v>
      </c>
      <c r="B78" s="10">
        <v>12</v>
      </c>
      <c r="C78" s="10" t="s">
        <v>419</v>
      </c>
      <c r="D78" s="10">
        <v>0</v>
      </c>
      <c r="E78" s="10" t="s">
        <v>343</v>
      </c>
      <c r="F78" s="10">
        <v>0</v>
      </c>
      <c r="G78" s="10" t="s">
        <v>343</v>
      </c>
      <c r="H78" s="10">
        <v>0</v>
      </c>
      <c r="I78" s="10" t="s">
        <v>343</v>
      </c>
      <c r="J78" s="11">
        <v>609722</v>
      </c>
      <c r="K78" s="11">
        <v>708197</v>
      </c>
      <c r="L78" s="11">
        <v>1317919</v>
      </c>
      <c r="M78" s="11">
        <v>768221</v>
      </c>
    </row>
    <row r="79" spans="1:13" x14ac:dyDescent="0.3">
      <c r="A79" s="10">
        <v>6712</v>
      </c>
      <c r="B79" s="10">
        <v>12</v>
      </c>
      <c r="C79" s="10" t="s">
        <v>419</v>
      </c>
      <c r="D79" s="10">
        <v>1201</v>
      </c>
      <c r="E79" s="10" t="s">
        <v>420</v>
      </c>
      <c r="F79" s="10">
        <v>0</v>
      </c>
      <c r="G79" s="10" t="s">
        <v>343</v>
      </c>
      <c r="H79" s="10">
        <v>0</v>
      </c>
      <c r="I79" s="10" t="s">
        <v>343</v>
      </c>
      <c r="J79" s="11">
        <v>27551</v>
      </c>
      <c r="K79" s="11">
        <v>32083</v>
      </c>
      <c r="L79" s="11">
        <v>59634</v>
      </c>
      <c r="M79" s="11">
        <v>32547</v>
      </c>
    </row>
    <row r="80" spans="1:13" x14ac:dyDescent="0.3">
      <c r="A80" s="10">
        <v>6712</v>
      </c>
      <c r="B80" s="10">
        <v>12</v>
      </c>
      <c r="C80" s="10" t="s">
        <v>419</v>
      </c>
      <c r="D80" s="10">
        <v>1202</v>
      </c>
      <c r="E80" s="10" t="s">
        <v>421</v>
      </c>
      <c r="F80" s="10">
        <v>0</v>
      </c>
      <c r="G80" s="10" t="s">
        <v>343</v>
      </c>
      <c r="H80" s="10">
        <v>0</v>
      </c>
      <c r="I80" s="10" t="s">
        <v>343</v>
      </c>
      <c r="J80" s="11">
        <v>16983</v>
      </c>
      <c r="K80" s="11">
        <v>20085</v>
      </c>
      <c r="L80" s="11">
        <v>37068</v>
      </c>
      <c r="M80" s="11">
        <v>21583</v>
      </c>
    </row>
    <row r="81" spans="1:13" x14ac:dyDescent="0.3">
      <c r="A81" s="10">
        <v>6712</v>
      </c>
      <c r="B81" s="10">
        <v>12</v>
      </c>
      <c r="C81" s="10" t="s">
        <v>419</v>
      </c>
      <c r="D81" s="10">
        <v>1203</v>
      </c>
      <c r="E81" s="10" t="s">
        <v>422</v>
      </c>
      <c r="F81" s="10">
        <v>0</v>
      </c>
      <c r="G81" s="10" t="s">
        <v>343</v>
      </c>
      <c r="H81" s="10">
        <v>0</v>
      </c>
      <c r="I81" s="10" t="s">
        <v>343</v>
      </c>
      <c r="J81" s="11">
        <v>52035</v>
      </c>
      <c r="K81" s="11">
        <v>60762</v>
      </c>
      <c r="L81" s="11">
        <v>112797</v>
      </c>
      <c r="M81" s="11">
        <v>57746</v>
      </c>
    </row>
    <row r="82" spans="1:13" x14ac:dyDescent="0.3">
      <c r="A82" s="10">
        <v>6712</v>
      </c>
      <c r="B82" s="10">
        <v>12</v>
      </c>
      <c r="C82" s="10" t="s">
        <v>419</v>
      </c>
      <c r="D82" s="10">
        <v>1204</v>
      </c>
      <c r="E82" s="10" t="s">
        <v>423</v>
      </c>
      <c r="F82" s="10">
        <v>0</v>
      </c>
      <c r="G82" s="10" t="s">
        <v>343</v>
      </c>
      <c r="H82" s="10">
        <v>0</v>
      </c>
      <c r="I82" s="10" t="s">
        <v>343</v>
      </c>
      <c r="J82" s="11">
        <v>71049</v>
      </c>
      <c r="K82" s="11">
        <v>81309</v>
      </c>
      <c r="L82" s="11">
        <v>152358</v>
      </c>
      <c r="M82" s="11">
        <v>87928</v>
      </c>
    </row>
    <row r="83" spans="1:13" x14ac:dyDescent="0.3">
      <c r="A83" s="10">
        <v>6712</v>
      </c>
      <c r="B83" s="10">
        <v>12</v>
      </c>
      <c r="C83" s="10" t="s">
        <v>419</v>
      </c>
      <c r="D83" s="10">
        <v>1205</v>
      </c>
      <c r="E83" s="10" t="s">
        <v>424</v>
      </c>
      <c r="F83" s="10">
        <v>0</v>
      </c>
      <c r="G83" s="10" t="s">
        <v>343</v>
      </c>
      <c r="H83" s="10">
        <v>0</v>
      </c>
      <c r="I83" s="10" t="s">
        <v>343</v>
      </c>
      <c r="J83" s="11">
        <v>35700</v>
      </c>
      <c r="K83" s="11">
        <v>39636</v>
      </c>
      <c r="L83" s="11">
        <v>75336</v>
      </c>
      <c r="M83" s="11">
        <v>37897</v>
      </c>
    </row>
    <row r="84" spans="1:13" x14ac:dyDescent="0.3">
      <c r="A84" s="10">
        <v>6712</v>
      </c>
      <c r="B84" s="10">
        <v>12</v>
      </c>
      <c r="C84" s="10" t="s">
        <v>419</v>
      </c>
      <c r="D84" s="10">
        <v>1206</v>
      </c>
      <c r="E84" s="10" t="s">
        <v>425</v>
      </c>
      <c r="F84" s="10">
        <v>0</v>
      </c>
      <c r="G84" s="10" t="s">
        <v>343</v>
      </c>
      <c r="H84" s="10">
        <v>0</v>
      </c>
      <c r="I84" s="10" t="s">
        <v>343</v>
      </c>
      <c r="J84" s="11">
        <v>25423</v>
      </c>
      <c r="K84" s="11">
        <v>28622</v>
      </c>
      <c r="L84" s="11">
        <v>54045</v>
      </c>
      <c r="M84" s="11">
        <v>27816</v>
      </c>
    </row>
    <row r="85" spans="1:13" x14ac:dyDescent="0.3">
      <c r="A85" s="10">
        <v>6712</v>
      </c>
      <c r="B85" s="10">
        <v>12</v>
      </c>
      <c r="C85" s="10" t="s">
        <v>419</v>
      </c>
      <c r="D85" s="10">
        <v>1285</v>
      </c>
      <c r="E85" s="10" t="s">
        <v>426</v>
      </c>
      <c r="F85" s="10">
        <v>0</v>
      </c>
      <c r="G85" s="10" t="s">
        <v>343</v>
      </c>
      <c r="H85" s="10">
        <v>0</v>
      </c>
      <c r="I85" s="10" t="s">
        <v>343</v>
      </c>
      <c r="J85" s="11">
        <v>19010</v>
      </c>
      <c r="K85" s="11">
        <v>22221</v>
      </c>
      <c r="L85" s="11">
        <v>41231</v>
      </c>
      <c r="M85" s="11">
        <v>17483</v>
      </c>
    </row>
    <row r="86" spans="1:13" x14ac:dyDescent="0.3">
      <c r="A86" s="10">
        <v>6712</v>
      </c>
      <c r="B86" s="10">
        <v>12</v>
      </c>
      <c r="C86" s="10" t="s">
        <v>419</v>
      </c>
      <c r="D86" s="10">
        <v>1286</v>
      </c>
      <c r="E86" s="10" t="s">
        <v>427</v>
      </c>
      <c r="F86" s="10">
        <v>0</v>
      </c>
      <c r="G86" s="10" t="s">
        <v>343</v>
      </c>
      <c r="H86" s="10">
        <v>0</v>
      </c>
      <c r="I86" s="10" t="s">
        <v>343</v>
      </c>
      <c r="J86" s="11">
        <v>18241</v>
      </c>
      <c r="K86" s="11">
        <v>22123</v>
      </c>
      <c r="L86" s="11">
        <v>40364</v>
      </c>
      <c r="M86" s="11">
        <v>27183</v>
      </c>
    </row>
    <row r="87" spans="1:13" x14ac:dyDescent="0.3">
      <c r="A87" s="10">
        <v>6712</v>
      </c>
      <c r="B87" s="10">
        <v>12</v>
      </c>
      <c r="C87" s="10" t="s">
        <v>419</v>
      </c>
      <c r="D87" s="10">
        <v>1287</v>
      </c>
      <c r="E87" s="10" t="s">
        <v>428</v>
      </c>
      <c r="F87" s="10">
        <v>0</v>
      </c>
      <c r="G87" s="10" t="s">
        <v>343</v>
      </c>
      <c r="H87" s="10">
        <v>0</v>
      </c>
      <c r="I87" s="10" t="s">
        <v>343</v>
      </c>
      <c r="J87" s="11">
        <v>5654</v>
      </c>
      <c r="K87" s="11">
        <v>6530</v>
      </c>
      <c r="L87" s="11">
        <v>12184</v>
      </c>
      <c r="M87" s="11">
        <v>7024</v>
      </c>
    </row>
    <row r="88" spans="1:13" x14ac:dyDescent="0.3">
      <c r="A88" s="10">
        <v>6712</v>
      </c>
      <c r="B88" s="10">
        <v>12</v>
      </c>
      <c r="C88" s="10" t="s">
        <v>419</v>
      </c>
      <c r="D88" s="10">
        <v>1288</v>
      </c>
      <c r="E88" s="10" t="s">
        <v>429</v>
      </c>
      <c r="F88" s="10">
        <v>0</v>
      </c>
      <c r="G88" s="10" t="s">
        <v>343</v>
      </c>
      <c r="H88" s="10">
        <v>0</v>
      </c>
      <c r="I88" s="10" t="s">
        <v>343</v>
      </c>
      <c r="J88" s="11">
        <v>23889</v>
      </c>
      <c r="K88" s="11">
        <v>28185</v>
      </c>
      <c r="L88" s="11">
        <v>52074</v>
      </c>
      <c r="M88" s="11">
        <v>25259</v>
      </c>
    </row>
    <row r="89" spans="1:13" x14ac:dyDescent="0.3">
      <c r="A89" s="10">
        <v>6712</v>
      </c>
      <c r="B89" s="10">
        <v>12</v>
      </c>
      <c r="C89" s="10" t="s">
        <v>419</v>
      </c>
      <c r="D89" s="10">
        <v>1289</v>
      </c>
      <c r="E89" s="10" t="s">
        <v>430</v>
      </c>
      <c r="F89" s="10">
        <v>0</v>
      </c>
      <c r="G89" s="10" t="s">
        <v>343</v>
      </c>
      <c r="H89" s="10">
        <v>0</v>
      </c>
      <c r="I89" s="10" t="s">
        <v>343</v>
      </c>
      <c r="J89" s="11">
        <v>11408</v>
      </c>
      <c r="K89" s="11">
        <v>13521</v>
      </c>
      <c r="L89" s="11">
        <v>24929</v>
      </c>
      <c r="M89" s="11">
        <v>13668</v>
      </c>
    </row>
    <row r="90" spans="1:13" x14ac:dyDescent="0.3">
      <c r="A90" s="10">
        <v>6712</v>
      </c>
      <c r="B90" s="10">
        <v>12</v>
      </c>
      <c r="C90" s="10" t="s">
        <v>419</v>
      </c>
      <c r="D90" s="10">
        <v>1290</v>
      </c>
      <c r="E90" s="10" t="s">
        <v>431</v>
      </c>
      <c r="F90" s="10">
        <v>0</v>
      </c>
      <c r="G90" s="10" t="s">
        <v>343</v>
      </c>
      <c r="H90" s="10">
        <v>0</v>
      </c>
      <c r="I90" s="10" t="s">
        <v>343</v>
      </c>
      <c r="J90" s="11">
        <v>11264</v>
      </c>
      <c r="K90" s="11">
        <v>13370</v>
      </c>
      <c r="L90" s="11">
        <v>24634</v>
      </c>
      <c r="M90" s="11">
        <v>16101</v>
      </c>
    </row>
    <row r="91" spans="1:13" x14ac:dyDescent="0.3">
      <c r="A91" s="10">
        <v>6712</v>
      </c>
      <c r="B91" s="10">
        <v>12</v>
      </c>
      <c r="C91" s="10" t="s">
        <v>419</v>
      </c>
      <c r="D91" s="10">
        <v>1291</v>
      </c>
      <c r="E91" s="10" t="s">
        <v>432</v>
      </c>
      <c r="F91" s="10">
        <v>0</v>
      </c>
      <c r="G91" s="10" t="s">
        <v>343</v>
      </c>
      <c r="H91" s="10">
        <v>0</v>
      </c>
      <c r="I91" s="10" t="s">
        <v>343</v>
      </c>
      <c r="J91" s="11">
        <v>1294</v>
      </c>
      <c r="K91" s="11">
        <v>1305</v>
      </c>
      <c r="L91" s="11">
        <v>2599</v>
      </c>
      <c r="M91" s="11">
        <v>1237</v>
      </c>
    </row>
    <row r="92" spans="1:13" x14ac:dyDescent="0.3">
      <c r="A92" s="10">
        <v>6712</v>
      </c>
      <c r="B92" s="10">
        <v>12</v>
      </c>
      <c r="C92" s="10" t="s">
        <v>419</v>
      </c>
      <c r="D92" s="10">
        <v>1292</v>
      </c>
      <c r="E92" s="10" t="s">
        <v>433</v>
      </c>
      <c r="F92" s="10">
        <v>0</v>
      </c>
      <c r="G92" s="10" t="s">
        <v>343</v>
      </c>
      <c r="H92" s="10">
        <v>0</v>
      </c>
      <c r="I92" s="10" t="s">
        <v>343</v>
      </c>
      <c r="J92" s="11">
        <v>6621</v>
      </c>
      <c r="K92" s="11">
        <v>7376</v>
      </c>
      <c r="L92" s="11">
        <v>13997</v>
      </c>
      <c r="M92" s="11">
        <v>6572</v>
      </c>
    </row>
    <row r="93" spans="1:13" x14ac:dyDescent="0.3">
      <c r="A93" s="10">
        <v>6712</v>
      </c>
      <c r="B93" s="10">
        <v>12</v>
      </c>
      <c r="C93" s="10" t="s">
        <v>419</v>
      </c>
      <c r="D93" s="10">
        <v>1293</v>
      </c>
      <c r="E93" s="10" t="s">
        <v>434</v>
      </c>
      <c r="F93" s="10">
        <v>0</v>
      </c>
      <c r="G93" s="10" t="s">
        <v>343</v>
      </c>
      <c r="H93" s="10">
        <v>0</v>
      </c>
      <c r="I93" s="10" t="s">
        <v>343</v>
      </c>
      <c r="J93" s="11">
        <v>2932</v>
      </c>
      <c r="K93" s="11">
        <v>3071</v>
      </c>
      <c r="L93" s="11">
        <v>6003</v>
      </c>
      <c r="M93" s="11">
        <v>2847</v>
      </c>
    </row>
    <row r="94" spans="1:13" x14ac:dyDescent="0.3">
      <c r="A94" s="10">
        <v>6712</v>
      </c>
      <c r="B94" s="10">
        <v>12</v>
      </c>
      <c r="C94" s="10" t="s">
        <v>419</v>
      </c>
      <c r="D94" s="10">
        <v>1294</v>
      </c>
      <c r="E94" s="10" t="s">
        <v>435</v>
      </c>
      <c r="F94" s="10">
        <v>0</v>
      </c>
      <c r="G94" s="10" t="s">
        <v>343</v>
      </c>
      <c r="H94" s="10">
        <v>0</v>
      </c>
      <c r="I94" s="10" t="s">
        <v>343</v>
      </c>
      <c r="J94" s="11">
        <v>22198</v>
      </c>
      <c r="K94" s="11">
        <v>26310</v>
      </c>
      <c r="L94" s="11">
        <v>48508</v>
      </c>
      <c r="M94" s="11">
        <v>24758</v>
      </c>
    </row>
    <row r="95" spans="1:13" x14ac:dyDescent="0.3">
      <c r="A95" s="10">
        <v>6712</v>
      </c>
      <c r="B95" s="10">
        <v>12</v>
      </c>
      <c r="C95" s="10" t="s">
        <v>419</v>
      </c>
      <c r="D95" s="10">
        <v>1295</v>
      </c>
      <c r="E95" s="10" t="s">
        <v>436</v>
      </c>
      <c r="F95" s="10">
        <v>0</v>
      </c>
      <c r="G95" s="10" t="s">
        <v>343</v>
      </c>
      <c r="H95" s="10">
        <v>0</v>
      </c>
      <c r="I95" s="10" t="s">
        <v>343</v>
      </c>
      <c r="J95" s="11">
        <v>15241</v>
      </c>
      <c r="K95" s="11">
        <v>17920</v>
      </c>
      <c r="L95" s="11">
        <v>33161</v>
      </c>
      <c r="M95" s="11">
        <v>13922</v>
      </c>
    </row>
    <row r="96" spans="1:13" x14ac:dyDescent="0.3">
      <c r="A96" s="10">
        <v>6712</v>
      </c>
      <c r="B96" s="10">
        <v>12</v>
      </c>
      <c r="C96" s="10" t="s">
        <v>419</v>
      </c>
      <c r="D96" s="10">
        <v>1296</v>
      </c>
      <c r="E96" s="10" t="s">
        <v>437</v>
      </c>
      <c r="F96" s="10">
        <v>0</v>
      </c>
      <c r="G96" s="10" t="s">
        <v>343</v>
      </c>
      <c r="H96" s="10">
        <v>0</v>
      </c>
      <c r="I96" s="10" t="s">
        <v>343</v>
      </c>
      <c r="J96" s="11">
        <v>20294</v>
      </c>
      <c r="K96" s="11">
        <v>24158</v>
      </c>
      <c r="L96" s="11">
        <v>44452</v>
      </c>
      <c r="M96" s="11">
        <v>23084</v>
      </c>
    </row>
    <row r="97" spans="1:13" x14ac:dyDescent="0.3">
      <c r="A97" s="10">
        <v>6712</v>
      </c>
      <c r="B97" s="10">
        <v>12</v>
      </c>
      <c r="C97" s="10" t="s">
        <v>419</v>
      </c>
      <c r="D97" s="10">
        <v>1297</v>
      </c>
      <c r="E97" s="10" t="s">
        <v>438</v>
      </c>
      <c r="F97" s="10">
        <v>0</v>
      </c>
      <c r="G97" s="10" t="s">
        <v>343</v>
      </c>
      <c r="H97" s="10">
        <v>0</v>
      </c>
      <c r="I97" s="10" t="s">
        <v>343</v>
      </c>
      <c r="J97" s="11">
        <v>86885</v>
      </c>
      <c r="K97" s="11">
        <v>101978</v>
      </c>
      <c r="L97" s="11">
        <v>188863</v>
      </c>
      <c r="M97" s="11">
        <v>141775</v>
      </c>
    </row>
    <row r="98" spans="1:13" x14ac:dyDescent="0.3">
      <c r="A98" s="10">
        <v>6712</v>
      </c>
      <c r="B98" s="10">
        <v>12</v>
      </c>
      <c r="C98" s="10" t="s">
        <v>419</v>
      </c>
      <c r="D98" s="10">
        <v>1298</v>
      </c>
      <c r="E98" s="10" t="s">
        <v>439</v>
      </c>
      <c r="F98" s="10">
        <v>0</v>
      </c>
      <c r="G98" s="10" t="s">
        <v>343</v>
      </c>
      <c r="H98" s="10">
        <v>0</v>
      </c>
      <c r="I98" s="10" t="s">
        <v>343</v>
      </c>
      <c r="J98" s="11">
        <v>23979</v>
      </c>
      <c r="K98" s="11">
        <v>28520</v>
      </c>
      <c r="L98" s="11">
        <v>52499</v>
      </c>
      <c r="M98" s="11">
        <v>27957</v>
      </c>
    </row>
    <row r="99" spans="1:13" x14ac:dyDescent="0.3">
      <c r="A99" s="10">
        <v>6712</v>
      </c>
      <c r="B99" s="10">
        <v>12</v>
      </c>
      <c r="C99" s="10" t="s">
        <v>419</v>
      </c>
      <c r="D99" s="10">
        <v>1299</v>
      </c>
      <c r="E99" s="10" t="s">
        <v>440</v>
      </c>
      <c r="F99" s="10">
        <v>0</v>
      </c>
      <c r="G99" s="10" t="s">
        <v>343</v>
      </c>
      <c r="H99" s="10">
        <v>0</v>
      </c>
      <c r="I99" s="10" t="s">
        <v>343</v>
      </c>
      <c r="J99" s="11">
        <v>112071</v>
      </c>
      <c r="K99" s="11">
        <v>129112</v>
      </c>
      <c r="L99" s="11">
        <v>241183</v>
      </c>
      <c r="M99" s="11">
        <v>153834</v>
      </c>
    </row>
    <row r="100" spans="1:13" x14ac:dyDescent="0.3">
      <c r="A100" s="10">
        <v>6712</v>
      </c>
      <c r="B100" s="10">
        <v>13</v>
      </c>
      <c r="C100" s="10" t="s">
        <v>441</v>
      </c>
      <c r="D100" s="10">
        <v>0</v>
      </c>
      <c r="E100" s="10" t="s">
        <v>343</v>
      </c>
      <c r="F100" s="10">
        <v>0</v>
      </c>
      <c r="G100" s="10" t="s">
        <v>343</v>
      </c>
      <c r="H100" s="10">
        <v>0</v>
      </c>
      <c r="I100" s="10" t="s">
        <v>343</v>
      </c>
      <c r="J100" s="11">
        <v>584170</v>
      </c>
      <c r="K100" s="11">
        <v>652301</v>
      </c>
      <c r="L100" s="11">
        <v>1236471</v>
      </c>
      <c r="M100" s="11">
        <v>716096</v>
      </c>
    </row>
    <row r="101" spans="1:13" x14ac:dyDescent="0.3">
      <c r="A101" s="10">
        <v>6712</v>
      </c>
      <c r="B101" s="10">
        <v>13</v>
      </c>
      <c r="C101" s="10" t="s">
        <v>441</v>
      </c>
      <c r="D101" s="10">
        <v>1301</v>
      </c>
      <c r="E101" s="10" t="s">
        <v>442</v>
      </c>
      <c r="F101" s="10">
        <v>0</v>
      </c>
      <c r="G101" s="10" t="s">
        <v>343</v>
      </c>
      <c r="H101" s="10">
        <v>0</v>
      </c>
      <c r="I101" s="10" t="s">
        <v>343</v>
      </c>
      <c r="J101" s="11">
        <v>49341</v>
      </c>
      <c r="K101" s="11">
        <v>54354</v>
      </c>
      <c r="L101" s="11">
        <v>103695</v>
      </c>
      <c r="M101" s="11">
        <v>53829</v>
      </c>
    </row>
    <row r="102" spans="1:13" x14ac:dyDescent="0.3">
      <c r="A102" s="10">
        <v>6712</v>
      </c>
      <c r="B102" s="10">
        <v>13</v>
      </c>
      <c r="C102" s="10" t="s">
        <v>441</v>
      </c>
      <c r="D102" s="10">
        <v>1302</v>
      </c>
      <c r="E102" s="10" t="s">
        <v>443</v>
      </c>
      <c r="F102" s="10">
        <v>0</v>
      </c>
      <c r="G102" s="10" t="s">
        <v>343</v>
      </c>
      <c r="H102" s="10">
        <v>0</v>
      </c>
      <c r="I102" s="10" t="s">
        <v>343</v>
      </c>
      <c r="J102" s="11">
        <v>74503</v>
      </c>
      <c r="K102" s="11">
        <v>82914</v>
      </c>
      <c r="L102" s="11">
        <v>157417</v>
      </c>
      <c r="M102" s="11">
        <v>79158</v>
      </c>
    </row>
    <row r="103" spans="1:13" x14ac:dyDescent="0.3">
      <c r="A103" s="10">
        <v>6712</v>
      </c>
      <c r="B103" s="10">
        <v>13</v>
      </c>
      <c r="C103" s="10" t="s">
        <v>441</v>
      </c>
      <c r="D103" s="10">
        <v>1304</v>
      </c>
      <c r="E103" s="10" t="s">
        <v>444</v>
      </c>
      <c r="F103" s="10">
        <v>0</v>
      </c>
      <c r="G103" s="10" t="s">
        <v>343</v>
      </c>
      <c r="H103" s="10">
        <v>0</v>
      </c>
      <c r="I103" s="10" t="s">
        <v>343</v>
      </c>
      <c r="J103" s="11">
        <v>26334</v>
      </c>
      <c r="K103" s="11">
        <v>26896</v>
      </c>
      <c r="L103" s="11">
        <v>53230</v>
      </c>
      <c r="M103" s="11">
        <v>18370</v>
      </c>
    </row>
    <row r="104" spans="1:13" x14ac:dyDescent="0.3">
      <c r="A104" s="10">
        <v>6712</v>
      </c>
      <c r="B104" s="10">
        <v>13</v>
      </c>
      <c r="C104" s="10" t="s">
        <v>441</v>
      </c>
      <c r="D104" s="10">
        <v>1305</v>
      </c>
      <c r="E104" s="10" t="s">
        <v>445</v>
      </c>
      <c r="F104" s="10">
        <v>0</v>
      </c>
      <c r="G104" s="10" t="s">
        <v>343</v>
      </c>
      <c r="H104" s="10">
        <v>0</v>
      </c>
      <c r="I104" s="10" t="s">
        <v>343</v>
      </c>
      <c r="J104" s="11">
        <v>30143</v>
      </c>
      <c r="K104" s="11">
        <v>31837</v>
      </c>
      <c r="L104" s="11">
        <v>61980</v>
      </c>
      <c r="M104" s="11">
        <v>32552</v>
      </c>
    </row>
    <row r="105" spans="1:13" x14ac:dyDescent="0.3">
      <c r="A105" s="10">
        <v>6712</v>
      </c>
      <c r="B105" s="10">
        <v>13</v>
      </c>
      <c r="C105" s="10" t="s">
        <v>441</v>
      </c>
      <c r="D105" s="10">
        <v>1306</v>
      </c>
      <c r="E105" s="10" t="s">
        <v>446</v>
      </c>
      <c r="F105" s="10">
        <v>0</v>
      </c>
      <c r="G105" s="10" t="s">
        <v>343</v>
      </c>
      <c r="H105" s="10">
        <v>0</v>
      </c>
      <c r="I105" s="10" t="s">
        <v>343</v>
      </c>
      <c r="J105" s="11">
        <v>44499</v>
      </c>
      <c r="K105" s="11">
        <v>47784</v>
      </c>
      <c r="L105" s="11">
        <v>92283</v>
      </c>
      <c r="M105" s="11">
        <v>47687</v>
      </c>
    </row>
    <row r="106" spans="1:13" x14ac:dyDescent="0.3">
      <c r="A106" s="10">
        <v>6712</v>
      </c>
      <c r="B106" s="10">
        <v>13</v>
      </c>
      <c r="C106" s="10" t="s">
        <v>441</v>
      </c>
      <c r="D106" s="10">
        <v>1307</v>
      </c>
      <c r="E106" s="10" t="s">
        <v>447</v>
      </c>
      <c r="F106" s="10">
        <v>0</v>
      </c>
      <c r="G106" s="10" t="s">
        <v>343</v>
      </c>
      <c r="H106" s="10">
        <v>0</v>
      </c>
      <c r="I106" s="10" t="s">
        <v>343</v>
      </c>
      <c r="J106" s="11">
        <v>22500</v>
      </c>
      <c r="K106" s="11">
        <v>24085</v>
      </c>
      <c r="L106" s="11">
        <v>46585</v>
      </c>
      <c r="M106" s="11">
        <v>21923</v>
      </c>
    </row>
    <row r="107" spans="1:13" x14ac:dyDescent="0.3">
      <c r="A107" s="10">
        <v>6712</v>
      </c>
      <c r="B107" s="10">
        <v>13</v>
      </c>
      <c r="C107" s="10" t="s">
        <v>441</v>
      </c>
      <c r="D107" s="10">
        <v>1379</v>
      </c>
      <c r="E107" s="10" t="s">
        <v>448</v>
      </c>
      <c r="F107" s="10">
        <v>0</v>
      </c>
      <c r="G107" s="10" t="s">
        <v>343</v>
      </c>
      <c r="H107" s="10">
        <v>0</v>
      </c>
      <c r="I107" s="10" t="s">
        <v>343</v>
      </c>
      <c r="J107" s="11">
        <v>34392</v>
      </c>
      <c r="K107" s="11">
        <v>39735</v>
      </c>
      <c r="L107" s="11">
        <v>74127</v>
      </c>
      <c r="M107" s="11">
        <v>43060</v>
      </c>
    </row>
    <row r="108" spans="1:13" x14ac:dyDescent="0.3">
      <c r="A108" s="10">
        <v>6712</v>
      </c>
      <c r="B108" s="10">
        <v>13</v>
      </c>
      <c r="C108" s="10" t="s">
        <v>441</v>
      </c>
      <c r="D108" s="10">
        <v>1380</v>
      </c>
      <c r="E108" s="10" t="s">
        <v>449</v>
      </c>
      <c r="F108" s="10">
        <v>0</v>
      </c>
      <c r="G108" s="10" t="s">
        <v>343</v>
      </c>
      <c r="H108" s="10">
        <v>0</v>
      </c>
      <c r="I108" s="10" t="s">
        <v>343</v>
      </c>
      <c r="J108" s="11">
        <v>12562</v>
      </c>
      <c r="K108" s="11">
        <v>14183</v>
      </c>
      <c r="L108" s="11">
        <v>26745</v>
      </c>
      <c r="M108" s="11">
        <v>22598</v>
      </c>
    </row>
    <row r="109" spans="1:13" x14ac:dyDescent="0.3">
      <c r="A109" s="10">
        <v>6712</v>
      </c>
      <c r="B109" s="10">
        <v>13</v>
      </c>
      <c r="C109" s="10" t="s">
        <v>441</v>
      </c>
      <c r="D109" s="10">
        <v>1381</v>
      </c>
      <c r="E109" s="10" t="s">
        <v>450</v>
      </c>
      <c r="F109" s="10">
        <v>0</v>
      </c>
      <c r="G109" s="10" t="s">
        <v>343</v>
      </c>
      <c r="H109" s="10">
        <v>0</v>
      </c>
      <c r="I109" s="10" t="s">
        <v>343</v>
      </c>
      <c r="J109" s="11">
        <v>6278</v>
      </c>
      <c r="K109" s="11">
        <v>7143</v>
      </c>
      <c r="L109" s="11">
        <v>13421</v>
      </c>
      <c r="M109" s="11">
        <v>7614</v>
      </c>
    </row>
    <row r="110" spans="1:13" x14ac:dyDescent="0.3">
      <c r="A110" s="10">
        <v>6712</v>
      </c>
      <c r="B110" s="10">
        <v>13</v>
      </c>
      <c r="C110" s="10" t="s">
        <v>441</v>
      </c>
      <c r="D110" s="10">
        <v>1382</v>
      </c>
      <c r="E110" s="10" t="s">
        <v>451</v>
      </c>
      <c r="F110" s="10">
        <v>0</v>
      </c>
      <c r="G110" s="10" t="s">
        <v>343</v>
      </c>
      <c r="H110" s="10">
        <v>0</v>
      </c>
      <c r="I110" s="10" t="s">
        <v>343</v>
      </c>
      <c r="J110" s="11">
        <v>30376</v>
      </c>
      <c r="K110" s="11">
        <v>35368</v>
      </c>
      <c r="L110" s="11">
        <v>65744</v>
      </c>
      <c r="M110" s="11">
        <v>34215</v>
      </c>
    </row>
    <row r="111" spans="1:13" x14ac:dyDescent="0.3">
      <c r="A111" s="10">
        <v>6712</v>
      </c>
      <c r="B111" s="10">
        <v>13</v>
      </c>
      <c r="C111" s="10" t="s">
        <v>441</v>
      </c>
      <c r="D111" s="10">
        <v>1383</v>
      </c>
      <c r="E111" s="10" t="s">
        <v>452</v>
      </c>
      <c r="F111" s="10">
        <v>0</v>
      </c>
      <c r="G111" s="10" t="s">
        <v>343</v>
      </c>
      <c r="H111" s="10">
        <v>0</v>
      </c>
      <c r="I111" s="10" t="s">
        <v>343</v>
      </c>
      <c r="J111" s="11">
        <v>15493</v>
      </c>
      <c r="K111" s="11">
        <v>17926</v>
      </c>
      <c r="L111" s="11">
        <v>33419</v>
      </c>
      <c r="M111" s="11">
        <v>21232</v>
      </c>
    </row>
    <row r="112" spans="1:13" x14ac:dyDescent="0.3">
      <c r="A112" s="10">
        <v>6712</v>
      </c>
      <c r="B112" s="10">
        <v>13</v>
      </c>
      <c r="C112" s="10" t="s">
        <v>441</v>
      </c>
      <c r="D112" s="10">
        <v>1384</v>
      </c>
      <c r="E112" s="10" t="s">
        <v>453</v>
      </c>
      <c r="F112" s="10">
        <v>0</v>
      </c>
      <c r="G112" s="10" t="s">
        <v>343</v>
      </c>
      <c r="H112" s="10">
        <v>0</v>
      </c>
      <c r="I112" s="10" t="s">
        <v>343</v>
      </c>
      <c r="J112" s="11">
        <v>15807</v>
      </c>
      <c r="K112" s="11">
        <v>18801</v>
      </c>
      <c r="L112" s="11">
        <v>34608</v>
      </c>
      <c r="M112" s="11">
        <v>16961</v>
      </c>
    </row>
    <row r="113" spans="1:13" x14ac:dyDescent="0.3">
      <c r="A113" s="10">
        <v>6712</v>
      </c>
      <c r="B113" s="10">
        <v>13</v>
      </c>
      <c r="C113" s="10" t="s">
        <v>441</v>
      </c>
      <c r="D113" s="10">
        <v>1386</v>
      </c>
      <c r="E113" s="10" t="s">
        <v>454</v>
      </c>
      <c r="F113" s="10">
        <v>0</v>
      </c>
      <c r="G113" s="10" t="s">
        <v>343</v>
      </c>
      <c r="H113" s="10">
        <v>0</v>
      </c>
      <c r="I113" s="10" t="s">
        <v>343</v>
      </c>
      <c r="J113" s="11">
        <v>7665</v>
      </c>
      <c r="K113" s="11">
        <v>8824</v>
      </c>
      <c r="L113" s="11">
        <v>16489</v>
      </c>
      <c r="M113" s="11">
        <v>9185</v>
      </c>
    </row>
    <row r="114" spans="1:13" x14ac:dyDescent="0.3">
      <c r="A114" s="10">
        <v>6712</v>
      </c>
      <c r="B114" s="10">
        <v>13</v>
      </c>
      <c r="C114" s="10" t="s">
        <v>441</v>
      </c>
      <c r="D114" s="10">
        <v>1387</v>
      </c>
      <c r="E114" s="10" t="s">
        <v>455</v>
      </c>
      <c r="F114" s="10">
        <v>0</v>
      </c>
      <c r="G114" s="10" t="s">
        <v>343</v>
      </c>
      <c r="H114" s="10">
        <v>0</v>
      </c>
      <c r="I114" s="10" t="s">
        <v>343</v>
      </c>
      <c r="J114" s="11">
        <v>5540</v>
      </c>
      <c r="K114" s="11">
        <v>5929</v>
      </c>
      <c r="L114" s="11">
        <v>11469</v>
      </c>
      <c r="M114" s="11">
        <v>5209</v>
      </c>
    </row>
    <row r="115" spans="1:13" x14ac:dyDescent="0.3">
      <c r="A115" s="10">
        <v>6712</v>
      </c>
      <c r="B115" s="10">
        <v>13</v>
      </c>
      <c r="C115" s="10" t="s">
        <v>441</v>
      </c>
      <c r="D115" s="10">
        <v>1388</v>
      </c>
      <c r="E115" s="10" t="s">
        <v>456</v>
      </c>
      <c r="F115" s="10">
        <v>0</v>
      </c>
      <c r="G115" s="10" t="s">
        <v>343</v>
      </c>
      <c r="H115" s="10">
        <v>0</v>
      </c>
      <c r="I115" s="10" t="s">
        <v>343</v>
      </c>
      <c r="J115" s="11">
        <v>10211</v>
      </c>
      <c r="K115" s="11">
        <v>11422</v>
      </c>
      <c r="L115" s="11">
        <v>21633</v>
      </c>
      <c r="M115" s="11">
        <v>11782</v>
      </c>
    </row>
    <row r="116" spans="1:13" x14ac:dyDescent="0.3">
      <c r="A116" s="10">
        <v>6712</v>
      </c>
      <c r="B116" s="10">
        <v>13</v>
      </c>
      <c r="C116" s="10" t="s">
        <v>441</v>
      </c>
      <c r="D116" s="10">
        <v>1389</v>
      </c>
      <c r="E116" s="10" t="s">
        <v>457</v>
      </c>
      <c r="F116" s="10">
        <v>0</v>
      </c>
      <c r="G116" s="10" t="s">
        <v>343</v>
      </c>
      <c r="H116" s="10">
        <v>0</v>
      </c>
      <c r="I116" s="10" t="s">
        <v>343</v>
      </c>
      <c r="J116" s="11">
        <v>1334</v>
      </c>
      <c r="K116" s="11">
        <v>1399</v>
      </c>
      <c r="L116" s="11">
        <v>2733</v>
      </c>
      <c r="M116" s="11">
        <v>1088</v>
      </c>
    </row>
    <row r="117" spans="1:13" x14ac:dyDescent="0.3">
      <c r="A117" s="10">
        <v>6712</v>
      </c>
      <c r="B117" s="10">
        <v>13</v>
      </c>
      <c r="C117" s="10" t="s">
        <v>441</v>
      </c>
      <c r="D117" s="10">
        <v>1390</v>
      </c>
      <c r="E117" s="10" t="s">
        <v>458</v>
      </c>
      <c r="F117" s="10">
        <v>0</v>
      </c>
      <c r="G117" s="10" t="s">
        <v>343</v>
      </c>
      <c r="H117" s="10">
        <v>0</v>
      </c>
      <c r="I117" s="10" t="s">
        <v>343</v>
      </c>
      <c r="J117" s="11">
        <v>5387</v>
      </c>
      <c r="K117" s="11">
        <v>5788</v>
      </c>
      <c r="L117" s="11">
        <v>11175</v>
      </c>
      <c r="M117" s="11">
        <v>6073</v>
      </c>
    </row>
    <row r="118" spans="1:13" x14ac:dyDescent="0.3">
      <c r="A118" s="10">
        <v>6712</v>
      </c>
      <c r="B118" s="10">
        <v>13</v>
      </c>
      <c r="C118" s="10" t="s">
        <v>441</v>
      </c>
      <c r="D118" s="10">
        <v>1391</v>
      </c>
      <c r="E118" s="10" t="s">
        <v>459</v>
      </c>
      <c r="F118" s="10">
        <v>0</v>
      </c>
      <c r="G118" s="10" t="s">
        <v>343</v>
      </c>
      <c r="H118" s="10">
        <v>0</v>
      </c>
      <c r="I118" s="10" t="s">
        <v>343</v>
      </c>
      <c r="J118" s="11">
        <v>1995</v>
      </c>
      <c r="K118" s="11">
        <v>2067</v>
      </c>
      <c r="L118" s="11">
        <v>4062</v>
      </c>
      <c r="M118" s="11">
        <v>2019</v>
      </c>
    </row>
    <row r="119" spans="1:13" x14ac:dyDescent="0.3">
      <c r="A119" s="10">
        <v>6712</v>
      </c>
      <c r="B119" s="10">
        <v>13</v>
      </c>
      <c r="C119" s="10" t="s">
        <v>441</v>
      </c>
      <c r="D119" s="10">
        <v>1392</v>
      </c>
      <c r="E119" s="10" t="s">
        <v>460</v>
      </c>
      <c r="F119" s="10">
        <v>0</v>
      </c>
      <c r="G119" s="10" t="s">
        <v>343</v>
      </c>
      <c r="H119" s="10">
        <v>0</v>
      </c>
      <c r="I119" s="10" t="s">
        <v>343</v>
      </c>
      <c r="J119" s="11">
        <v>15645</v>
      </c>
      <c r="K119" s="11">
        <v>17542</v>
      </c>
      <c r="L119" s="11">
        <v>33187</v>
      </c>
      <c r="M119" s="11">
        <v>18204</v>
      </c>
    </row>
    <row r="120" spans="1:13" x14ac:dyDescent="0.3">
      <c r="A120" s="10">
        <v>6712</v>
      </c>
      <c r="B120" s="10">
        <v>13</v>
      </c>
      <c r="C120" s="10" t="s">
        <v>441</v>
      </c>
      <c r="D120" s="10">
        <v>1393</v>
      </c>
      <c r="E120" s="10" t="s">
        <v>461</v>
      </c>
      <c r="F120" s="10">
        <v>0</v>
      </c>
      <c r="G120" s="10" t="s">
        <v>343</v>
      </c>
      <c r="H120" s="10">
        <v>0</v>
      </c>
      <c r="I120" s="10" t="s">
        <v>343</v>
      </c>
      <c r="J120" s="11">
        <v>31208</v>
      </c>
      <c r="K120" s="11">
        <v>34678</v>
      </c>
      <c r="L120" s="11">
        <v>65886</v>
      </c>
      <c r="M120" s="11">
        <v>35018</v>
      </c>
    </row>
    <row r="121" spans="1:13" x14ac:dyDescent="0.3">
      <c r="A121" s="10">
        <v>6712</v>
      </c>
      <c r="B121" s="10">
        <v>13</v>
      </c>
      <c r="C121" s="10" t="s">
        <v>441</v>
      </c>
      <c r="D121" s="10">
        <v>1394</v>
      </c>
      <c r="E121" s="10" t="s">
        <v>462</v>
      </c>
      <c r="F121" s="10">
        <v>0</v>
      </c>
      <c r="G121" s="10" t="s">
        <v>343</v>
      </c>
      <c r="H121" s="10">
        <v>0</v>
      </c>
      <c r="I121" s="10" t="s">
        <v>343</v>
      </c>
      <c r="J121" s="11">
        <v>34625</v>
      </c>
      <c r="K121" s="11">
        <v>39684</v>
      </c>
      <c r="L121" s="11">
        <v>74309</v>
      </c>
      <c r="M121" s="11">
        <v>65588</v>
      </c>
    </row>
    <row r="122" spans="1:13" x14ac:dyDescent="0.3">
      <c r="A122" s="10">
        <v>6712</v>
      </c>
      <c r="B122" s="10">
        <v>13</v>
      </c>
      <c r="C122" s="10" t="s">
        <v>441</v>
      </c>
      <c r="D122" s="10">
        <v>1395</v>
      </c>
      <c r="E122" s="10" t="s">
        <v>463</v>
      </c>
      <c r="F122" s="10">
        <v>0</v>
      </c>
      <c r="G122" s="10" t="s">
        <v>343</v>
      </c>
      <c r="H122" s="10">
        <v>0</v>
      </c>
      <c r="I122" s="10" t="s">
        <v>343</v>
      </c>
      <c r="J122" s="11">
        <v>3751</v>
      </c>
      <c r="K122" s="11">
        <v>4220</v>
      </c>
      <c r="L122" s="11">
        <v>7971</v>
      </c>
      <c r="M122" s="11">
        <v>4625</v>
      </c>
    </row>
    <row r="123" spans="1:13" x14ac:dyDescent="0.3">
      <c r="A123" s="10">
        <v>6712</v>
      </c>
      <c r="B123" s="10">
        <v>13</v>
      </c>
      <c r="C123" s="10" t="s">
        <v>441</v>
      </c>
      <c r="D123" s="10">
        <v>1396</v>
      </c>
      <c r="E123" s="10" t="s">
        <v>464</v>
      </c>
      <c r="F123" s="10">
        <v>0</v>
      </c>
      <c r="G123" s="10" t="s">
        <v>343</v>
      </c>
      <c r="H123" s="10">
        <v>0</v>
      </c>
      <c r="I123" s="10" t="s">
        <v>343</v>
      </c>
      <c r="J123" s="11">
        <v>34959</v>
      </c>
      <c r="K123" s="11">
        <v>39828</v>
      </c>
      <c r="L123" s="11">
        <v>74787</v>
      </c>
      <c r="M123" s="11">
        <v>60771</v>
      </c>
    </row>
    <row r="124" spans="1:13" x14ac:dyDescent="0.3">
      <c r="A124" s="10">
        <v>6712</v>
      </c>
      <c r="B124" s="10">
        <v>13</v>
      </c>
      <c r="C124" s="10" t="s">
        <v>441</v>
      </c>
      <c r="D124" s="10">
        <v>1397</v>
      </c>
      <c r="E124" s="10" t="s">
        <v>465</v>
      </c>
      <c r="F124" s="10">
        <v>0</v>
      </c>
      <c r="G124" s="10" t="s">
        <v>343</v>
      </c>
      <c r="H124" s="10">
        <v>0</v>
      </c>
      <c r="I124" s="10" t="s">
        <v>343</v>
      </c>
      <c r="J124" s="11">
        <v>19829</v>
      </c>
      <c r="K124" s="11">
        <v>22243</v>
      </c>
      <c r="L124" s="11">
        <v>42072</v>
      </c>
      <c r="M124" s="11">
        <v>29248</v>
      </c>
    </row>
    <row r="125" spans="1:13" x14ac:dyDescent="0.3">
      <c r="A125" s="10">
        <v>6712</v>
      </c>
      <c r="B125" s="10">
        <v>13</v>
      </c>
      <c r="C125" s="10" t="s">
        <v>441</v>
      </c>
      <c r="D125" s="10">
        <v>1398</v>
      </c>
      <c r="E125" s="10" t="s">
        <v>466</v>
      </c>
      <c r="F125" s="10">
        <v>0</v>
      </c>
      <c r="G125" s="10" t="s">
        <v>343</v>
      </c>
      <c r="H125" s="10">
        <v>0</v>
      </c>
      <c r="I125" s="10" t="s">
        <v>343</v>
      </c>
      <c r="J125" s="11">
        <v>39418</v>
      </c>
      <c r="K125" s="11">
        <v>45906</v>
      </c>
      <c r="L125" s="11">
        <v>85324</v>
      </c>
      <c r="M125" s="11">
        <v>58403</v>
      </c>
    </row>
    <row r="126" spans="1:13" x14ac:dyDescent="0.3">
      <c r="A126" s="10">
        <v>6712</v>
      </c>
      <c r="B126" s="10">
        <v>13</v>
      </c>
      <c r="C126" s="10" t="s">
        <v>441</v>
      </c>
      <c r="D126" s="10">
        <v>1399</v>
      </c>
      <c r="E126" s="10" t="s">
        <v>467</v>
      </c>
      <c r="F126" s="10">
        <v>0</v>
      </c>
      <c r="G126" s="10" t="s">
        <v>343</v>
      </c>
      <c r="H126" s="10">
        <v>0</v>
      </c>
      <c r="I126" s="10" t="s">
        <v>343</v>
      </c>
      <c r="J126" s="11">
        <v>10375</v>
      </c>
      <c r="K126" s="11">
        <v>11745</v>
      </c>
      <c r="L126" s="11">
        <v>22120</v>
      </c>
      <c r="M126" s="11">
        <v>9684</v>
      </c>
    </row>
    <row r="127" spans="1:13" x14ac:dyDescent="0.3">
      <c r="A127" s="10">
        <v>6712</v>
      </c>
      <c r="B127" s="10">
        <v>14</v>
      </c>
      <c r="C127" s="10" t="s">
        <v>468</v>
      </c>
      <c r="D127" s="10">
        <v>0</v>
      </c>
      <c r="E127" s="10" t="s">
        <v>343</v>
      </c>
      <c r="F127" s="10">
        <v>0</v>
      </c>
      <c r="G127" s="10" t="s">
        <v>343</v>
      </c>
      <c r="H127" s="10">
        <v>0</v>
      </c>
      <c r="I127" s="10" t="s">
        <v>343</v>
      </c>
      <c r="J127" s="11">
        <v>394331</v>
      </c>
      <c r="K127" s="11">
        <v>428389</v>
      </c>
      <c r="L127" s="11">
        <v>822720</v>
      </c>
      <c r="M127" s="11">
        <v>362285</v>
      </c>
    </row>
    <row r="128" spans="1:13" x14ac:dyDescent="0.3">
      <c r="A128" s="10">
        <v>6712</v>
      </c>
      <c r="B128" s="10">
        <v>14</v>
      </c>
      <c r="C128" s="10" t="s">
        <v>468</v>
      </c>
      <c r="D128" s="10">
        <v>1401</v>
      </c>
      <c r="E128" s="10" t="s">
        <v>469</v>
      </c>
      <c r="F128" s="10">
        <v>0</v>
      </c>
      <c r="G128" s="10" t="s">
        <v>343</v>
      </c>
      <c r="H128" s="10">
        <v>0</v>
      </c>
      <c r="I128" s="10" t="s">
        <v>343</v>
      </c>
      <c r="J128" s="11">
        <v>34471</v>
      </c>
      <c r="K128" s="11">
        <v>37891</v>
      </c>
      <c r="L128" s="11">
        <v>72362</v>
      </c>
      <c r="M128" s="11">
        <v>27558</v>
      </c>
    </row>
    <row r="129" spans="1:13" x14ac:dyDescent="0.3">
      <c r="A129" s="10">
        <v>6712</v>
      </c>
      <c r="B129" s="10">
        <v>14</v>
      </c>
      <c r="C129" s="10" t="s">
        <v>468</v>
      </c>
      <c r="D129" s="10">
        <v>1402</v>
      </c>
      <c r="E129" s="10" t="s">
        <v>470</v>
      </c>
      <c r="F129" s="10">
        <v>0</v>
      </c>
      <c r="G129" s="10" t="s">
        <v>343</v>
      </c>
      <c r="H129" s="10">
        <v>0</v>
      </c>
      <c r="I129" s="10" t="s">
        <v>343</v>
      </c>
      <c r="J129" s="11">
        <v>14680</v>
      </c>
      <c r="K129" s="11">
        <v>16177</v>
      </c>
      <c r="L129" s="11">
        <v>30857</v>
      </c>
      <c r="M129" s="11">
        <v>12016</v>
      </c>
    </row>
    <row r="130" spans="1:13" x14ac:dyDescent="0.3">
      <c r="A130" s="10">
        <v>6712</v>
      </c>
      <c r="B130" s="10">
        <v>14</v>
      </c>
      <c r="C130" s="10" t="s">
        <v>468</v>
      </c>
      <c r="D130" s="10">
        <v>1403</v>
      </c>
      <c r="E130" s="10" t="s">
        <v>471</v>
      </c>
      <c r="F130" s="10">
        <v>0</v>
      </c>
      <c r="G130" s="10" t="s">
        <v>343</v>
      </c>
      <c r="H130" s="10">
        <v>0</v>
      </c>
      <c r="I130" s="10" t="s">
        <v>343</v>
      </c>
      <c r="J130" s="11">
        <v>10547</v>
      </c>
      <c r="K130" s="11">
        <v>11571</v>
      </c>
      <c r="L130" s="11">
        <v>22118</v>
      </c>
      <c r="M130" s="11">
        <v>12395</v>
      </c>
    </row>
    <row r="131" spans="1:13" x14ac:dyDescent="0.3">
      <c r="A131" s="10">
        <v>6712</v>
      </c>
      <c r="B131" s="10">
        <v>14</v>
      </c>
      <c r="C131" s="10" t="s">
        <v>468</v>
      </c>
      <c r="D131" s="10">
        <v>1404</v>
      </c>
      <c r="E131" s="10" t="s">
        <v>472</v>
      </c>
      <c r="F131" s="10">
        <v>0</v>
      </c>
      <c r="G131" s="10" t="s">
        <v>343</v>
      </c>
      <c r="H131" s="10">
        <v>0</v>
      </c>
      <c r="I131" s="10" t="s">
        <v>343</v>
      </c>
      <c r="J131" s="11">
        <v>15281</v>
      </c>
      <c r="K131" s="11">
        <v>16112</v>
      </c>
      <c r="L131" s="11">
        <v>31393</v>
      </c>
      <c r="M131" s="11">
        <v>11241</v>
      </c>
    </row>
    <row r="132" spans="1:13" x14ac:dyDescent="0.3">
      <c r="A132" s="10">
        <v>6712</v>
      </c>
      <c r="B132" s="10">
        <v>14</v>
      </c>
      <c r="C132" s="10" t="s">
        <v>468</v>
      </c>
      <c r="D132" s="10">
        <v>1405</v>
      </c>
      <c r="E132" s="10" t="s">
        <v>473</v>
      </c>
      <c r="F132" s="10">
        <v>0</v>
      </c>
      <c r="G132" s="10" t="s">
        <v>343</v>
      </c>
      <c r="H132" s="10">
        <v>0</v>
      </c>
      <c r="I132" s="10" t="s">
        <v>343</v>
      </c>
      <c r="J132" s="11">
        <v>6817</v>
      </c>
      <c r="K132" s="11">
        <v>7399</v>
      </c>
      <c r="L132" s="11">
        <v>14216</v>
      </c>
      <c r="M132" s="11">
        <v>5639</v>
      </c>
    </row>
    <row r="133" spans="1:13" x14ac:dyDescent="0.3">
      <c r="A133" s="10">
        <v>6712</v>
      </c>
      <c r="B133" s="10">
        <v>14</v>
      </c>
      <c r="C133" s="10" t="s">
        <v>468</v>
      </c>
      <c r="D133" s="10">
        <v>1406</v>
      </c>
      <c r="E133" s="10" t="s">
        <v>474</v>
      </c>
      <c r="F133" s="10">
        <v>0</v>
      </c>
      <c r="G133" s="10" t="s">
        <v>343</v>
      </c>
      <c r="H133" s="10">
        <v>0</v>
      </c>
      <c r="I133" s="10" t="s">
        <v>343</v>
      </c>
      <c r="J133" s="11">
        <v>19043</v>
      </c>
      <c r="K133" s="11">
        <v>20931</v>
      </c>
      <c r="L133" s="11">
        <v>39974</v>
      </c>
      <c r="M133" s="11">
        <v>19079</v>
      </c>
    </row>
    <row r="134" spans="1:13" x14ac:dyDescent="0.3">
      <c r="A134" s="10">
        <v>6712</v>
      </c>
      <c r="B134" s="10">
        <v>14</v>
      </c>
      <c r="C134" s="10" t="s">
        <v>468</v>
      </c>
      <c r="D134" s="10">
        <v>1407</v>
      </c>
      <c r="E134" s="10" t="s">
        <v>475</v>
      </c>
      <c r="F134" s="10">
        <v>0</v>
      </c>
      <c r="G134" s="10" t="s">
        <v>343</v>
      </c>
      <c r="H134" s="10">
        <v>0</v>
      </c>
      <c r="I134" s="10" t="s">
        <v>343</v>
      </c>
      <c r="J134" s="11">
        <v>17399</v>
      </c>
      <c r="K134" s="11">
        <v>18569</v>
      </c>
      <c r="L134" s="11">
        <v>35968</v>
      </c>
      <c r="M134" s="11">
        <v>13122</v>
      </c>
    </row>
    <row r="135" spans="1:13" x14ac:dyDescent="0.3">
      <c r="A135" s="10">
        <v>6712</v>
      </c>
      <c r="B135" s="10">
        <v>14</v>
      </c>
      <c r="C135" s="10" t="s">
        <v>468</v>
      </c>
      <c r="D135" s="10">
        <v>1408</v>
      </c>
      <c r="E135" s="10" t="s">
        <v>476</v>
      </c>
      <c r="F135" s="10">
        <v>0</v>
      </c>
      <c r="G135" s="10" t="s">
        <v>343</v>
      </c>
      <c r="H135" s="10">
        <v>0</v>
      </c>
      <c r="I135" s="10" t="s">
        <v>343</v>
      </c>
      <c r="J135" s="11">
        <v>10398</v>
      </c>
      <c r="K135" s="11">
        <v>11217</v>
      </c>
      <c r="L135" s="11">
        <v>21615</v>
      </c>
      <c r="M135" s="11">
        <v>7573</v>
      </c>
    </row>
    <row r="136" spans="1:13" x14ac:dyDescent="0.3">
      <c r="A136" s="10">
        <v>6712</v>
      </c>
      <c r="B136" s="10">
        <v>14</v>
      </c>
      <c r="C136" s="10" t="s">
        <v>468</v>
      </c>
      <c r="D136" s="10">
        <v>1409</v>
      </c>
      <c r="E136" s="10" t="s">
        <v>477</v>
      </c>
      <c r="F136" s="10">
        <v>0</v>
      </c>
      <c r="G136" s="10" t="s">
        <v>343</v>
      </c>
      <c r="H136" s="10">
        <v>0</v>
      </c>
      <c r="I136" s="10" t="s">
        <v>343</v>
      </c>
      <c r="J136" s="11">
        <v>12548</v>
      </c>
      <c r="K136" s="11">
        <v>13293</v>
      </c>
      <c r="L136" s="11">
        <v>25841</v>
      </c>
      <c r="M136" s="11">
        <v>8876</v>
      </c>
    </row>
    <row r="137" spans="1:13" x14ac:dyDescent="0.3">
      <c r="A137" s="10">
        <v>6712</v>
      </c>
      <c r="B137" s="10">
        <v>14</v>
      </c>
      <c r="C137" s="10" t="s">
        <v>468</v>
      </c>
      <c r="D137" s="10">
        <v>1410</v>
      </c>
      <c r="E137" s="10" t="s">
        <v>478</v>
      </c>
      <c r="F137" s="10">
        <v>0</v>
      </c>
      <c r="G137" s="10" t="s">
        <v>343</v>
      </c>
      <c r="H137" s="10">
        <v>0</v>
      </c>
      <c r="I137" s="10" t="s">
        <v>343</v>
      </c>
      <c r="J137" s="11">
        <v>14649</v>
      </c>
      <c r="K137" s="11">
        <v>15025</v>
      </c>
      <c r="L137" s="11">
        <v>29674</v>
      </c>
      <c r="M137" s="11">
        <v>10235</v>
      </c>
    </row>
    <row r="138" spans="1:13" x14ac:dyDescent="0.3">
      <c r="A138" s="10">
        <v>6712</v>
      </c>
      <c r="B138" s="10">
        <v>14</v>
      </c>
      <c r="C138" s="10" t="s">
        <v>468</v>
      </c>
      <c r="D138" s="10">
        <v>1411</v>
      </c>
      <c r="E138" s="10" t="s">
        <v>479</v>
      </c>
      <c r="F138" s="10">
        <v>0</v>
      </c>
      <c r="G138" s="10" t="s">
        <v>343</v>
      </c>
      <c r="H138" s="10">
        <v>0</v>
      </c>
      <c r="I138" s="10" t="s">
        <v>343</v>
      </c>
      <c r="J138" s="11">
        <v>28592</v>
      </c>
      <c r="K138" s="11">
        <v>30246</v>
      </c>
      <c r="L138" s="11">
        <v>58838</v>
      </c>
      <c r="M138" s="11">
        <v>28560</v>
      </c>
    </row>
    <row r="139" spans="1:13" x14ac:dyDescent="0.3">
      <c r="A139" s="10">
        <v>6712</v>
      </c>
      <c r="B139" s="10">
        <v>14</v>
      </c>
      <c r="C139" s="10" t="s">
        <v>468</v>
      </c>
      <c r="D139" s="10">
        <v>1412</v>
      </c>
      <c r="E139" s="10" t="s">
        <v>480</v>
      </c>
      <c r="F139" s="10">
        <v>0</v>
      </c>
      <c r="G139" s="10" t="s">
        <v>343</v>
      </c>
      <c r="H139" s="10">
        <v>0</v>
      </c>
      <c r="I139" s="10" t="s">
        <v>343</v>
      </c>
      <c r="J139" s="11">
        <v>14780</v>
      </c>
      <c r="K139" s="11">
        <v>15677</v>
      </c>
      <c r="L139" s="11">
        <v>30457</v>
      </c>
      <c r="M139" s="11">
        <v>10296</v>
      </c>
    </row>
    <row r="140" spans="1:13" x14ac:dyDescent="0.3">
      <c r="A140" s="10">
        <v>6712</v>
      </c>
      <c r="B140" s="10">
        <v>14</v>
      </c>
      <c r="C140" s="10" t="s">
        <v>468</v>
      </c>
      <c r="D140" s="10">
        <v>1413</v>
      </c>
      <c r="E140" s="10" t="s">
        <v>481</v>
      </c>
      <c r="F140" s="10">
        <v>0</v>
      </c>
      <c r="G140" s="10" t="s">
        <v>343</v>
      </c>
      <c r="H140" s="10">
        <v>0</v>
      </c>
      <c r="I140" s="10" t="s">
        <v>343</v>
      </c>
      <c r="J140" s="11">
        <v>6745</v>
      </c>
      <c r="K140" s="11">
        <v>6895</v>
      </c>
      <c r="L140" s="11">
        <v>13640</v>
      </c>
      <c r="M140" s="11">
        <v>4652</v>
      </c>
    </row>
    <row r="141" spans="1:13" x14ac:dyDescent="0.3">
      <c r="A141" s="10">
        <v>6712</v>
      </c>
      <c r="B141" s="10">
        <v>14</v>
      </c>
      <c r="C141" s="10" t="s">
        <v>468</v>
      </c>
      <c r="D141" s="10">
        <v>1414</v>
      </c>
      <c r="E141" s="10" t="s">
        <v>482</v>
      </c>
      <c r="F141" s="10">
        <v>0</v>
      </c>
      <c r="G141" s="10" t="s">
        <v>343</v>
      </c>
      <c r="H141" s="10">
        <v>0</v>
      </c>
      <c r="I141" s="10" t="s">
        <v>343</v>
      </c>
      <c r="J141" s="11">
        <v>22617</v>
      </c>
      <c r="K141" s="11">
        <v>24526</v>
      </c>
      <c r="L141" s="11">
        <v>47143</v>
      </c>
      <c r="M141" s="11">
        <v>23369</v>
      </c>
    </row>
    <row r="142" spans="1:13" x14ac:dyDescent="0.3">
      <c r="A142" s="10">
        <v>6712</v>
      </c>
      <c r="B142" s="10">
        <v>14</v>
      </c>
      <c r="C142" s="10" t="s">
        <v>468</v>
      </c>
      <c r="D142" s="10">
        <v>1415</v>
      </c>
      <c r="E142" s="10" t="s">
        <v>483</v>
      </c>
      <c r="F142" s="10">
        <v>0</v>
      </c>
      <c r="G142" s="10" t="s">
        <v>343</v>
      </c>
      <c r="H142" s="10">
        <v>0</v>
      </c>
      <c r="I142" s="10" t="s">
        <v>343</v>
      </c>
      <c r="J142" s="11">
        <v>6364</v>
      </c>
      <c r="K142" s="11">
        <v>6984</v>
      </c>
      <c r="L142" s="11">
        <v>13348</v>
      </c>
      <c r="M142" s="11">
        <v>5342</v>
      </c>
    </row>
    <row r="143" spans="1:13" x14ac:dyDescent="0.3">
      <c r="A143" s="10">
        <v>6712</v>
      </c>
      <c r="B143" s="10">
        <v>14</v>
      </c>
      <c r="C143" s="10" t="s">
        <v>468</v>
      </c>
      <c r="D143" s="10">
        <v>1416</v>
      </c>
      <c r="E143" s="10" t="s">
        <v>484</v>
      </c>
      <c r="F143" s="10">
        <v>0</v>
      </c>
      <c r="G143" s="10" t="s">
        <v>343</v>
      </c>
      <c r="H143" s="10">
        <v>0</v>
      </c>
      <c r="I143" s="10" t="s">
        <v>343</v>
      </c>
      <c r="J143" s="11">
        <v>3121</v>
      </c>
      <c r="K143" s="11">
        <v>3568</v>
      </c>
      <c r="L143" s="11">
        <v>6689</v>
      </c>
      <c r="M143" s="11">
        <v>2766</v>
      </c>
    </row>
    <row r="144" spans="1:13" x14ac:dyDescent="0.3">
      <c r="A144" s="10">
        <v>6712</v>
      </c>
      <c r="B144" s="10">
        <v>14</v>
      </c>
      <c r="C144" s="10" t="s">
        <v>468</v>
      </c>
      <c r="D144" s="10">
        <v>1465</v>
      </c>
      <c r="E144" s="10" t="s">
        <v>485</v>
      </c>
      <c r="F144" s="10">
        <v>0</v>
      </c>
      <c r="G144" s="10" t="s">
        <v>343</v>
      </c>
      <c r="H144" s="10">
        <v>0</v>
      </c>
      <c r="I144" s="10" t="s">
        <v>343</v>
      </c>
      <c r="J144" s="11">
        <v>6931</v>
      </c>
      <c r="K144" s="11">
        <v>8122</v>
      </c>
      <c r="L144" s="11">
        <v>15053</v>
      </c>
      <c r="M144" s="11">
        <v>10719</v>
      </c>
    </row>
    <row r="145" spans="1:13" x14ac:dyDescent="0.3">
      <c r="A145" s="10">
        <v>6712</v>
      </c>
      <c r="B145" s="10">
        <v>14</v>
      </c>
      <c r="C145" s="10" t="s">
        <v>468</v>
      </c>
      <c r="D145" s="10">
        <v>1466</v>
      </c>
      <c r="E145" s="10" t="s">
        <v>486</v>
      </c>
      <c r="F145" s="10">
        <v>0</v>
      </c>
      <c r="G145" s="10" t="s">
        <v>343</v>
      </c>
      <c r="H145" s="10">
        <v>0</v>
      </c>
      <c r="I145" s="10" t="s">
        <v>343</v>
      </c>
      <c r="J145" s="11">
        <v>3670</v>
      </c>
      <c r="K145" s="11">
        <v>3823</v>
      </c>
      <c r="L145" s="11">
        <v>7493</v>
      </c>
      <c r="M145" s="11">
        <v>3061</v>
      </c>
    </row>
    <row r="146" spans="1:13" x14ac:dyDescent="0.3">
      <c r="A146" s="10">
        <v>6712</v>
      </c>
      <c r="B146" s="10">
        <v>14</v>
      </c>
      <c r="C146" s="10" t="s">
        <v>468</v>
      </c>
      <c r="D146" s="10">
        <v>1467</v>
      </c>
      <c r="E146" s="10" t="s">
        <v>487</v>
      </c>
      <c r="F146" s="10">
        <v>0</v>
      </c>
      <c r="G146" s="10" t="s">
        <v>343</v>
      </c>
      <c r="H146" s="10">
        <v>0</v>
      </c>
      <c r="I146" s="10" t="s">
        <v>343</v>
      </c>
      <c r="J146" s="11">
        <v>3199</v>
      </c>
      <c r="K146" s="11">
        <v>3550</v>
      </c>
      <c r="L146" s="11">
        <v>6749</v>
      </c>
      <c r="M146" s="11">
        <v>3047</v>
      </c>
    </row>
    <row r="147" spans="1:13" x14ac:dyDescent="0.3">
      <c r="A147" s="10">
        <v>6712</v>
      </c>
      <c r="B147" s="10">
        <v>14</v>
      </c>
      <c r="C147" s="10" t="s">
        <v>468</v>
      </c>
      <c r="D147" s="10">
        <v>1468</v>
      </c>
      <c r="E147" s="10" t="s">
        <v>488</v>
      </c>
      <c r="F147" s="10">
        <v>0</v>
      </c>
      <c r="G147" s="10" t="s">
        <v>343</v>
      </c>
      <c r="H147" s="10">
        <v>0</v>
      </c>
      <c r="I147" s="10" t="s">
        <v>343</v>
      </c>
      <c r="J147" s="11">
        <v>3673</v>
      </c>
      <c r="K147" s="11">
        <v>4150</v>
      </c>
      <c r="L147" s="11">
        <v>7823</v>
      </c>
      <c r="M147" s="11">
        <v>4352</v>
      </c>
    </row>
    <row r="148" spans="1:13" x14ac:dyDescent="0.3">
      <c r="A148" s="10">
        <v>6712</v>
      </c>
      <c r="B148" s="10">
        <v>14</v>
      </c>
      <c r="C148" s="10" t="s">
        <v>468</v>
      </c>
      <c r="D148" s="10">
        <v>1469</v>
      </c>
      <c r="E148" s="10" t="s">
        <v>489</v>
      </c>
      <c r="F148" s="10">
        <v>0</v>
      </c>
      <c r="G148" s="10" t="s">
        <v>343</v>
      </c>
      <c r="H148" s="10">
        <v>0</v>
      </c>
      <c r="I148" s="10" t="s">
        <v>343</v>
      </c>
      <c r="J148" s="11">
        <v>6321</v>
      </c>
      <c r="K148" s="11">
        <v>7321</v>
      </c>
      <c r="L148" s="11">
        <v>13642</v>
      </c>
      <c r="M148" s="11">
        <v>6045</v>
      </c>
    </row>
    <row r="149" spans="1:13" x14ac:dyDescent="0.3">
      <c r="A149" s="10">
        <v>6712</v>
      </c>
      <c r="B149" s="10">
        <v>14</v>
      </c>
      <c r="C149" s="10" t="s">
        <v>468</v>
      </c>
      <c r="D149" s="10">
        <v>1470</v>
      </c>
      <c r="E149" s="10" t="s">
        <v>490</v>
      </c>
      <c r="F149" s="10">
        <v>0</v>
      </c>
      <c r="G149" s="10" t="s">
        <v>343</v>
      </c>
      <c r="H149" s="10">
        <v>0</v>
      </c>
      <c r="I149" s="10" t="s">
        <v>343</v>
      </c>
      <c r="J149" s="11">
        <v>4982</v>
      </c>
      <c r="K149" s="11">
        <v>5303</v>
      </c>
      <c r="L149" s="11">
        <v>10285</v>
      </c>
      <c r="M149" s="11">
        <v>4727</v>
      </c>
    </row>
    <row r="150" spans="1:13" x14ac:dyDescent="0.3">
      <c r="A150" s="10">
        <v>6712</v>
      </c>
      <c r="B150" s="10">
        <v>14</v>
      </c>
      <c r="C150" s="10" t="s">
        <v>468</v>
      </c>
      <c r="D150" s="10">
        <v>1471</v>
      </c>
      <c r="E150" s="10" t="s">
        <v>491</v>
      </c>
      <c r="F150" s="10">
        <v>0</v>
      </c>
      <c r="G150" s="10" t="s">
        <v>343</v>
      </c>
      <c r="H150" s="10">
        <v>0</v>
      </c>
      <c r="I150" s="10" t="s">
        <v>343</v>
      </c>
      <c r="J150" s="11">
        <v>4598</v>
      </c>
      <c r="K150" s="11">
        <v>5163</v>
      </c>
      <c r="L150" s="11">
        <v>9761</v>
      </c>
      <c r="M150" s="11">
        <v>6103</v>
      </c>
    </row>
    <row r="151" spans="1:13" x14ac:dyDescent="0.3">
      <c r="A151" s="10">
        <v>6712</v>
      </c>
      <c r="B151" s="10">
        <v>14</v>
      </c>
      <c r="C151" s="10" t="s">
        <v>468</v>
      </c>
      <c r="D151" s="10">
        <v>1472</v>
      </c>
      <c r="E151" s="10" t="s">
        <v>492</v>
      </c>
      <c r="F151" s="10">
        <v>0</v>
      </c>
      <c r="G151" s="10" t="s">
        <v>343</v>
      </c>
      <c r="H151" s="10">
        <v>0</v>
      </c>
      <c r="I151" s="10" t="s">
        <v>343</v>
      </c>
      <c r="J151" s="11">
        <v>2487</v>
      </c>
      <c r="K151" s="11">
        <v>2823</v>
      </c>
      <c r="L151" s="11">
        <v>5310</v>
      </c>
      <c r="M151" s="11">
        <v>3511</v>
      </c>
    </row>
    <row r="152" spans="1:13" x14ac:dyDescent="0.3">
      <c r="A152" s="10">
        <v>6712</v>
      </c>
      <c r="B152" s="10">
        <v>14</v>
      </c>
      <c r="C152" s="10" t="s">
        <v>468</v>
      </c>
      <c r="D152" s="10">
        <v>1473</v>
      </c>
      <c r="E152" s="10" t="s">
        <v>493</v>
      </c>
      <c r="F152" s="10">
        <v>0</v>
      </c>
      <c r="G152" s="10" t="s">
        <v>343</v>
      </c>
      <c r="H152" s="10">
        <v>0</v>
      </c>
      <c r="I152" s="10" t="s">
        <v>343</v>
      </c>
      <c r="J152" s="10">
        <v>921</v>
      </c>
      <c r="K152" s="11">
        <v>1000</v>
      </c>
      <c r="L152" s="11">
        <v>1921</v>
      </c>
      <c r="M152" s="10">
        <v>892</v>
      </c>
    </row>
    <row r="153" spans="1:13" x14ac:dyDescent="0.3">
      <c r="A153" s="10">
        <v>6712</v>
      </c>
      <c r="B153" s="10">
        <v>14</v>
      </c>
      <c r="C153" s="10" t="s">
        <v>468</v>
      </c>
      <c r="D153" s="10">
        <v>1474</v>
      </c>
      <c r="E153" s="10" t="s">
        <v>494</v>
      </c>
      <c r="F153" s="10">
        <v>0</v>
      </c>
      <c r="G153" s="10" t="s">
        <v>343</v>
      </c>
      <c r="H153" s="10">
        <v>0</v>
      </c>
      <c r="I153" s="10" t="s">
        <v>343</v>
      </c>
      <c r="J153" s="11">
        <v>2913</v>
      </c>
      <c r="K153" s="11">
        <v>3180</v>
      </c>
      <c r="L153" s="11">
        <v>6093</v>
      </c>
      <c r="M153" s="11">
        <v>2573</v>
      </c>
    </row>
    <row r="154" spans="1:13" x14ac:dyDescent="0.3">
      <c r="A154" s="10">
        <v>6712</v>
      </c>
      <c r="B154" s="10">
        <v>14</v>
      </c>
      <c r="C154" s="10" t="s">
        <v>468</v>
      </c>
      <c r="D154" s="10">
        <v>1475</v>
      </c>
      <c r="E154" s="10" t="s">
        <v>495</v>
      </c>
      <c r="F154" s="10">
        <v>0</v>
      </c>
      <c r="G154" s="10" t="s">
        <v>343</v>
      </c>
      <c r="H154" s="10">
        <v>0</v>
      </c>
      <c r="I154" s="10" t="s">
        <v>343</v>
      </c>
      <c r="J154" s="11">
        <v>1541</v>
      </c>
      <c r="K154" s="11">
        <v>1631</v>
      </c>
      <c r="L154" s="11">
        <v>3172</v>
      </c>
      <c r="M154" s="11">
        <v>1506</v>
      </c>
    </row>
    <row r="155" spans="1:13" x14ac:dyDescent="0.3">
      <c r="A155" s="10">
        <v>6712</v>
      </c>
      <c r="B155" s="10">
        <v>14</v>
      </c>
      <c r="C155" s="10" t="s">
        <v>468</v>
      </c>
      <c r="D155" s="10">
        <v>1476</v>
      </c>
      <c r="E155" s="10" t="s">
        <v>496</v>
      </c>
      <c r="F155" s="10">
        <v>0</v>
      </c>
      <c r="G155" s="10" t="s">
        <v>343</v>
      </c>
      <c r="H155" s="10">
        <v>0</v>
      </c>
      <c r="I155" s="10" t="s">
        <v>343</v>
      </c>
      <c r="J155" s="11">
        <v>3461</v>
      </c>
      <c r="K155" s="11">
        <v>3980</v>
      </c>
      <c r="L155" s="11">
        <v>7441</v>
      </c>
      <c r="M155" s="11">
        <v>4734</v>
      </c>
    </row>
    <row r="156" spans="1:13" x14ac:dyDescent="0.3">
      <c r="A156" s="10">
        <v>6712</v>
      </c>
      <c r="B156" s="10">
        <v>14</v>
      </c>
      <c r="C156" s="10" t="s">
        <v>468</v>
      </c>
      <c r="D156" s="10">
        <v>1477</v>
      </c>
      <c r="E156" s="10" t="s">
        <v>497</v>
      </c>
      <c r="F156" s="10">
        <v>0</v>
      </c>
      <c r="G156" s="10" t="s">
        <v>343</v>
      </c>
      <c r="H156" s="10">
        <v>0</v>
      </c>
      <c r="I156" s="10" t="s">
        <v>343</v>
      </c>
      <c r="J156" s="11">
        <v>2507</v>
      </c>
      <c r="K156" s="11">
        <v>2679</v>
      </c>
      <c r="L156" s="11">
        <v>5186</v>
      </c>
      <c r="M156" s="11">
        <v>1957</v>
      </c>
    </row>
    <row r="157" spans="1:13" x14ac:dyDescent="0.3">
      <c r="A157" s="10">
        <v>6712</v>
      </c>
      <c r="B157" s="10">
        <v>14</v>
      </c>
      <c r="C157" s="10" t="s">
        <v>468</v>
      </c>
      <c r="D157" s="10">
        <v>1478</v>
      </c>
      <c r="E157" s="10" t="s">
        <v>498</v>
      </c>
      <c r="F157" s="10">
        <v>0</v>
      </c>
      <c r="G157" s="10" t="s">
        <v>343</v>
      </c>
      <c r="H157" s="10">
        <v>0</v>
      </c>
      <c r="I157" s="10" t="s">
        <v>343</v>
      </c>
      <c r="J157" s="11">
        <v>2710</v>
      </c>
      <c r="K157" s="11">
        <v>2955</v>
      </c>
      <c r="L157" s="11">
        <v>5665</v>
      </c>
      <c r="M157" s="11">
        <v>1860</v>
      </c>
    </row>
    <row r="158" spans="1:13" x14ac:dyDescent="0.3">
      <c r="A158" s="10">
        <v>6712</v>
      </c>
      <c r="B158" s="10">
        <v>14</v>
      </c>
      <c r="C158" s="10" t="s">
        <v>468</v>
      </c>
      <c r="D158" s="10">
        <v>1479</v>
      </c>
      <c r="E158" s="10" t="s">
        <v>499</v>
      </c>
      <c r="F158" s="10">
        <v>0</v>
      </c>
      <c r="G158" s="10" t="s">
        <v>343</v>
      </c>
      <c r="H158" s="10">
        <v>0</v>
      </c>
      <c r="I158" s="10" t="s">
        <v>343</v>
      </c>
      <c r="J158" s="11">
        <v>10705</v>
      </c>
      <c r="K158" s="11">
        <v>11338</v>
      </c>
      <c r="L158" s="11">
        <v>22043</v>
      </c>
      <c r="M158" s="11">
        <v>10322</v>
      </c>
    </row>
    <row r="159" spans="1:13" x14ac:dyDescent="0.3">
      <c r="A159" s="10">
        <v>6712</v>
      </c>
      <c r="B159" s="10">
        <v>14</v>
      </c>
      <c r="C159" s="10" t="s">
        <v>468</v>
      </c>
      <c r="D159" s="10">
        <v>1480</v>
      </c>
      <c r="E159" s="10" t="s">
        <v>500</v>
      </c>
      <c r="F159" s="10">
        <v>0</v>
      </c>
      <c r="G159" s="10" t="s">
        <v>343</v>
      </c>
      <c r="H159" s="10">
        <v>0</v>
      </c>
      <c r="I159" s="10" t="s">
        <v>343</v>
      </c>
      <c r="J159" s="11">
        <v>1264</v>
      </c>
      <c r="K159" s="11">
        <v>1308</v>
      </c>
      <c r="L159" s="11">
        <v>2572</v>
      </c>
      <c r="M159" s="11">
        <v>1459</v>
      </c>
    </row>
    <row r="160" spans="1:13" x14ac:dyDescent="0.3">
      <c r="A160" s="10">
        <v>6712</v>
      </c>
      <c r="B160" s="10">
        <v>14</v>
      </c>
      <c r="C160" s="10" t="s">
        <v>468</v>
      </c>
      <c r="D160" s="10">
        <v>1481</v>
      </c>
      <c r="E160" s="10" t="s">
        <v>501</v>
      </c>
      <c r="F160" s="10">
        <v>0</v>
      </c>
      <c r="G160" s="10" t="s">
        <v>343</v>
      </c>
      <c r="H160" s="10">
        <v>0</v>
      </c>
      <c r="I160" s="10" t="s">
        <v>343</v>
      </c>
      <c r="J160" s="11">
        <v>2417</v>
      </c>
      <c r="K160" s="11">
        <v>2758</v>
      </c>
      <c r="L160" s="11">
        <v>5175</v>
      </c>
      <c r="M160" s="11">
        <v>2642</v>
      </c>
    </row>
    <row r="161" spans="1:13" x14ac:dyDescent="0.3">
      <c r="A161" s="10">
        <v>6712</v>
      </c>
      <c r="B161" s="10">
        <v>14</v>
      </c>
      <c r="C161" s="10" t="s">
        <v>468</v>
      </c>
      <c r="D161" s="10">
        <v>1482</v>
      </c>
      <c r="E161" s="10" t="s">
        <v>502</v>
      </c>
      <c r="F161" s="10">
        <v>0</v>
      </c>
      <c r="G161" s="10" t="s">
        <v>343</v>
      </c>
      <c r="H161" s="10">
        <v>0</v>
      </c>
      <c r="I161" s="10" t="s">
        <v>343</v>
      </c>
      <c r="J161" s="11">
        <v>3530</v>
      </c>
      <c r="K161" s="11">
        <v>3701</v>
      </c>
      <c r="L161" s="11">
        <v>7231</v>
      </c>
      <c r="M161" s="11">
        <v>2858</v>
      </c>
    </row>
    <row r="162" spans="1:13" x14ac:dyDescent="0.3">
      <c r="A162" s="10">
        <v>6712</v>
      </c>
      <c r="B162" s="10">
        <v>14</v>
      </c>
      <c r="C162" s="10" t="s">
        <v>468</v>
      </c>
      <c r="D162" s="10">
        <v>1483</v>
      </c>
      <c r="E162" s="10" t="s">
        <v>503</v>
      </c>
      <c r="F162" s="10">
        <v>0</v>
      </c>
      <c r="G162" s="10" t="s">
        <v>343</v>
      </c>
      <c r="H162" s="10">
        <v>0</v>
      </c>
      <c r="I162" s="10" t="s">
        <v>343</v>
      </c>
      <c r="J162" s="11">
        <v>4401</v>
      </c>
      <c r="K162" s="11">
        <v>4688</v>
      </c>
      <c r="L162" s="11">
        <v>9089</v>
      </c>
      <c r="M162" s="11">
        <v>4451</v>
      </c>
    </row>
    <row r="163" spans="1:13" x14ac:dyDescent="0.3">
      <c r="A163" s="10">
        <v>6712</v>
      </c>
      <c r="B163" s="10">
        <v>14</v>
      </c>
      <c r="C163" s="10" t="s">
        <v>468</v>
      </c>
      <c r="D163" s="10">
        <v>1484</v>
      </c>
      <c r="E163" s="10" t="s">
        <v>504</v>
      </c>
      <c r="F163" s="10">
        <v>0</v>
      </c>
      <c r="G163" s="10" t="s">
        <v>343</v>
      </c>
      <c r="H163" s="10">
        <v>0</v>
      </c>
      <c r="I163" s="10" t="s">
        <v>343</v>
      </c>
      <c r="J163" s="11">
        <v>4436</v>
      </c>
      <c r="K163" s="11">
        <v>5032</v>
      </c>
      <c r="L163" s="11">
        <v>9468</v>
      </c>
      <c r="M163" s="11">
        <v>6919</v>
      </c>
    </row>
    <row r="164" spans="1:13" x14ac:dyDescent="0.3">
      <c r="A164" s="10">
        <v>6712</v>
      </c>
      <c r="B164" s="10">
        <v>14</v>
      </c>
      <c r="C164" s="10" t="s">
        <v>468</v>
      </c>
      <c r="D164" s="10">
        <v>1485</v>
      </c>
      <c r="E164" s="10" t="s">
        <v>505</v>
      </c>
      <c r="F164" s="10">
        <v>0</v>
      </c>
      <c r="G164" s="10" t="s">
        <v>343</v>
      </c>
      <c r="H164" s="10">
        <v>0</v>
      </c>
      <c r="I164" s="10" t="s">
        <v>343</v>
      </c>
      <c r="J164" s="11">
        <v>5322</v>
      </c>
      <c r="K164" s="11">
        <v>6152</v>
      </c>
      <c r="L164" s="11">
        <v>11474</v>
      </c>
      <c r="M164" s="11">
        <v>7605</v>
      </c>
    </row>
    <row r="165" spans="1:13" x14ac:dyDescent="0.3">
      <c r="A165" s="10">
        <v>6712</v>
      </c>
      <c r="B165" s="10">
        <v>14</v>
      </c>
      <c r="C165" s="10" t="s">
        <v>468</v>
      </c>
      <c r="D165" s="10">
        <v>1486</v>
      </c>
      <c r="E165" s="10" t="s">
        <v>506</v>
      </c>
      <c r="F165" s="10">
        <v>0</v>
      </c>
      <c r="G165" s="10" t="s">
        <v>343</v>
      </c>
      <c r="H165" s="10">
        <v>0</v>
      </c>
      <c r="I165" s="10" t="s">
        <v>343</v>
      </c>
      <c r="J165" s="11">
        <v>3124</v>
      </c>
      <c r="K165" s="11">
        <v>3222</v>
      </c>
      <c r="L165" s="11">
        <v>6346</v>
      </c>
      <c r="M165" s="11">
        <v>2210</v>
      </c>
    </row>
    <row r="166" spans="1:13" x14ac:dyDescent="0.3">
      <c r="A166" s="10">
        <v>6712</v>
      </c>
      <c r="B166" s="10">
        <v>14</v>
      </c>
      <c r="C166" s="10" t="s">
        <v>468</v>
      </c>
      <c r="D166" s="10">
        <v>1487</v>
      </c>
      <c r="E166" s="10" t="s">
        <v>507</v>
      </c>
      <c r="F166" s="10">
        <v>0</v>
      </c>
      <c r="G166" s="10" t="s">
        <v>343</v>
      </c>
      <c r="H166" s="10">
        <v>0</v>
      </c>
      <c r="I166" s="10" t="s">
        <v>343</v>
      </c>
      <c r="J166" s="11">
        <v>2413</v>
      </c>
      <c r="K166" s="11">
        <v>2707</v>
      </c>
      <c r="L166" s="11">
        <v>5120</v>
      </c>
      <c r="M166" s="11">
        <v>2280</v>
      </c>
    </row>
    <row r="167" spans="1:13" x14ac:dyDescent="0.3">
      <c r="A167" s="10">
        <v>6712</v>
      </c>
      <c r="B167" s="10">
        <v>14</v>
      </c>
      <c r="C167" s="10" t="s">
        <v>468</v>
      </c>
      <c r="D167" s="10">
        <v>1488</v>
      </c>
      <c r="E167" s="10" t="s">
        <v>508</v>
      </c>
      <c r="F167" s="10">
        <v>0</v>
      </c>
      <c r="G167" s="10" t="s">
        <v>343</v>
      </c>
      <c r="H167" s="10">
        <v>0</v>
      </c>
      <c r="I167" s="10" t="s">
        <v>343</v>
      </c>
      <c r="J167" s="11">
        <v>4037</v>
      </c>
      <c r="K167" s="11">
        <v>4286</v>
      </c>
      <c r="L167" s="11">
        <v>8323</v>
      </c>
      <c r="M167" s="11">
        <v>3426</v>
      </c>
    </row>
    <row r="168" spans="1:13" x14ac:dyDescent="0.3">
      <c r="A168" s="10">
        <v>6712</v>
      </c>
      <c r="B168" s="10">
        <v>14</v>
      </c>
      <c r="C168" s="10" t="s">
        <v>468</v>
      </c>
      <c r="D168" s="10">
        <v>1489</v>
      </c>
      <c r="E168" s="10" t="s">
        <v>509</v>
      </c>
      <c r="F168" s="10">
        <v>0</v>
      </c>
      <c r="G168" s="10" t="s">
        <v>343</v>
      </c>
      <c r="H168" s="10">
        <v>0</v>
      </c>
      <c r="I168" s="10" t="s">
        <v>343</v>
      </c>
      <c r="J168" s="11">
        <v>5094</v>
      </c>
      <c r="K168" s="11">
        <v>5592</v>
      </c>
      <c r="L168" s="11">
        <v>10686</v>
      </c>
      <c r="M168" s="11">
        <v>3851</v>
      </c>
    </row>
    <row r="169" spans="1:13" x14ac:dyDescent="0.3">
      <c r="A169" s="10">
        <v>6712</v>
      </c>
      <c r="B169" s="10">
        <v>14</v>
      </c>
      <c r="C169" s="10" t="s">
        <v>468</v>
      </c>
      <c r="D169" s="10">
        <v>1490</v>
      </c>
      <c r="E169" s="10" t="s">
        <v>510</v>
      </c>
      <c r="F169" s="10">
        <v>0</v>
      </c>
      <c r="G169" s="10" t="s">
        <v>343</v>
      </c>
      <c r="H169" s="10">
        <v>0</v>
      </c>
      <c r="I169" s="10" t="s">
        <v>343</v>
      </c>
      <c r="J169" s="11">
        <v>3011</v>
      </c>
      <c r="K169" s="11">
        <v>3090</v>
      </c>
      <c r="L169" s="11">
        <v>6101</v>
      </c>
      <c r="M169" s="11">
        <v>1900</v>
      </c>
    </row>
    <row r="170" spans="1:13" x14ac:dyDescent="0.3">
      <c r="A170" s="10">
        <v>6712</v>
      </c>
      <c r="B170" s="10">
        <v>14</v>
      </c>
      <c r="C170" s="10" t="s">
        <v>468</v>
      </c>
      <c r="D170" s="10">
        <v>1491</v>
      </c>
      <c r="E170" s="10" t="s">
        <v>511</v>
      </c>
      <c r="F170" s="10">
        <v>0</v>
      </c>
      <c r="G170" s="10" t="s">
        <v>343</v>
      </c>
      <c r="H170" s="10">
        <v>0</v>
      </c>
      <c r="I170" s="10" t="s">
        <v>343</v>
      </c>
      <c r="J170" s="11">
        <v>4910</v>
      </c>
      <c r="K170" s="11">
        <v>5127</v>
      </c>
      <c r="L170" s="11">
        <v>10037</v>
      </c>
      <c r="M170" s="11">
        <v>4048</v>
      </c>
    </row>
    <row r="171" spans="1:13" x14ac:dyDescent="0.3">
      <c r="A171" s="10">
        <v>6712</v>
      </c>
      <c r="B171" s="10">
        <v>14</v>
      </c>
      <c r="C171" s="10" t="s">
        <v>468</v>
      </c>
      <c r="D171" s="10">
        <v>1492</v>
      </c>
      <c r="E171" s="10" t="s">
        <v>512</v>
      </c>
      <c r="F171" s="10">
        <v>0</v>
      </c>
      <c r="G171" s="10" t="s">
        <v>343</v>
      </c>
      <c r="H171" s="10">
        <v>0</v>
      </c>
      <c r="I171" s="10" t="s">
        <v>343</v>
      </c>
      <c r="J171" s="11">
        <v>3653</v>
      </c>
      <c r="K171" s="11">
        <v>3907</v>
      </c>
      <c r="L171" s="11">
        <v>7560</v>
      </c>
      <c r="M171" s="11">
        <v>2910</v>
      </c>
    </row>
    <row r="172" spans="1:13" x14ac:dyDescent="0.3">
      <c r="A172" s="10">
        <v>6712</v>
      </c>
      <c r="B172" s="10">
        <v>14</v>
      </c>
      <c r="C172" s="10" t="s">
        <v>468</v>
      </c>
      <c r="D172" s="10">
        <v>1493</v>
      </c>
      <c r="E172" s="10" t="s">
        <v>513</v>
      </c>
      <c r="F172" s="10">
        <v>0</v>
      </c>
      <c r="G172" s="10" t="s">
        <v>343</v>
      </c>
      <c r="H172" s="10">
        <v>0</v>
      </c>
      <c r="I172" s="10" t="s">
        <v>343</v>
      </c>
      <c r="J172" s="11">
        <v>3229</v>
      </c>
      <c r="K172" s="11">
        <v>3520</v>
      </c>
      <c r="L172" s="11">
        <v>6749</v>
      </c>
      <c r="M172" s="11">
        <v>3079</v>
      </c>
    </row>
    <row r="173" spans="1:13" x14ac:dyDescent="0.3">
      <c r="A173" s="10">
        <v>6712</v>
      </c>
      <c r="B173" s="10">
        <v>14</v>
      </c>
      <c r="C173" s="10" t="s">
        <v>468</v>
      </c>
      <c r="D173" s="10">
        <v>1494</v>
      </c>
      <c r="E173" s="10" t="s">
        <v>514</v>
      </c>
      <c r="F173" s="10">
        <v>0</v>
      </c>
      <c r="G173" s="10" t="s">
        <v>343</v>
      </c>
      <c r="H173" s="10">
        <v>0</v>
      </c>
      <c r="I173" s="10" t="s">
        <v>343</v>
      </c>
      <c r="J173" s="11">
        <v>3793</v>
      </c>
      <c r="K173" s="11">
        <v>4241</v>
      </c>
      <c r="L173" s="11">
        <v>8034</v>
      </c>
      <c r="M173" s="11">
        <v>4190</v>
      </c>
    </row>
    <row r="174" spans="1:13" x14ac:dyDescent="0.3">
      <c r="A174" s="10">
        <v>6712</v>
      </c>
      <c r="B174" s="10">
        <v>14</v>
      </c>
      <c r="C174" s="10" t="s">
        <v>468</v>
      </c>
      <c r="D174" s="10">
        <v>1495</v>
      </c>
      <c r="E174" s="10" t="s">
        <v>515</v>
      </c>
      <c r="F174" s="10">
        <v>0</v>
      </c>
      <c r="G174" s="10" t="s">
        <v>343</v>
      </c>
      <c r="H174" s="10">
        <v>0</v>
      </c>
      <c r="I174" s="10" t="s">
        <v>343</v>
      </c>
      <c r="J174" s="11">
        <v>9053</v>
      </c>
      <c r="K174" s="11">
        <v>10645</v>
      </c>
      <c r="L174" s="11">
        <v>19698</v>
      </c>
      <c r="M174" s="11">
        <v>11524</v>
      </c>
    </row>
    <row r="175" spans="1:13" x14ac:dyDescent="0.3">
      <c r="A175" s="10">
        <v>6712</v>
      </c>
      <c r="B175" s="10">
        <v>14</v>
      </c>
      <c r="C175" s="10" t="s">
        <v>468</v>
      </c>
      <c r="D175" s="10">
        <v>1496</v>
      </c>
      <c r="E175" s="10" t="s">
        <v>516</v>
      </c>
      <c r="F175" s="10">
        <v>0</v>
      </c>
      <c r="G175" s="10" t="s">
        <v>343</v>
      </c>
      <c r="H175" s="10">
        <v>0</v>
      </c>
      <c r="I175" s="10" t="s">
        <v>343</v>
      </c>
      <c r="J175" s="11">
        <v>5066</v>
      </c>
      <c r="K175" s="11">
        <v>5525</v>
      </c>
      <c r="L175" s="11">
        <v>10591</v>
      </c>
      <c r="M175" s="11">
        <v>3362</v>
      </c>
    </row>
    <row r="176" spans="1:13" x14ac:dyDescent="0.3">
      <c r="A176" s="10">
        <v>6712</v>
      </c>
      <c r="B176" s="10">
        <v>14</v>
      </c>
      <c r="C176" s="10" t="s">
        <v>468</v>
      </c>
      <c r="D176" s="10">
        <v>1497</v>
      </c>
      <c r="E176" s="10" t="s">
        <v>517</v>
      </c>
      <c r="F176" s="10">
        <v>0</v>
      </c>
      <c r="G176" s="10" t="s">
        <v>343</v>
      </c>
      <c r="H176" s="10">
        <v>0</v>
      </c>
      <c r="I176" s="10" t="s">
        <v>343</v>
      </c>
      <c r="J176" s="11">
        <v>2910</v>
      </c>
      <c r="K176" s="11">
        <v>3318</v>
      </c>
      <c r="L176" s="11">
        <v>6228</v>
      </c>
      <c r="M176" s="11">
        <v>3261</v>
      </c>
    </row>
    <row r="177" spans="1:13" x14ac:dyDescent="0.3">
      <c r="A177" s="10">
        <v>6712</v>
      </c>
      <c r="B177" s="10">
        <v>14</v>
      </c>
      <c r="C177" s="10" t="s">
        <v>468</v>
      </c>
      <c r="D177" s="10">
        <v>1498</v>
      </c>
      <c r="E177" s="10" t="s">
        <v>518</v>
      </c>
      <c r="F177" s="10">
        <v>0</v>
      </c>
      <c r="G177" s="10" t="s">
        <v>343</v>
      </c>
      <c r="H177" s="10">
        <v>0</v>
      </c>
      <c r="I177" s="10" t="s">
        <v>343</v>
      </c>
      <c r="J177" s="11">
        <v>1615</v>
      </c>
      <c r="K177" s="11">
        <v>1794</v>
      </c>
      <c r="L177" s="11">
        <v>3409</v>
      </c>
      <c r="M177" s="11">
        <v>1500</v>
      </c>
    </row>
    <row r="178" spans="1:13" x14ac:dyDescent="0.3">
      <c r="A178" s="10">
        <v>6712</v>
      </c>
      <c r="B178" s="10">
        <v>14</v>
      </c>
      <c r="C178" s="10" t="s">
        <v>468</v>
      </c>
      <c r="D178" s="10">
        <v>1499</v>
      </c>
      <c r="E178" s="10" t="s">
        <v>519</v>
      </c>
      <c r="F178" s="10">
        <v>0</v>
      </c>
      <c r="G178" s="10" t="s">
        <v>343</v>
      </c>
      <c r="H178" s="10">
        <v>0</v>
      </c>
      <c r="I178" s="10" t="s">
        <v>343</v>
      </c>
      <c r="J178" s="11">
        <v>22382</v>
      </c>
      <c r="K178" s="11">
        <v>24677</v>
      </c>
      <c r="L178" s="11">
        <v>47059</v>
      </c>
      <c r="M178" s="11">
        <v>20682</v>
      </c>
    </row>
    <row r="179" spans="1:13" x14ac:dyDescent="0.3">
      <c r="A179" s="10">
        <v>6712</v>
      </c>
      <c r="B179" s="10">
        <v>15</v>
      </c>
      <c r="C179" s="10" t="s">
        <v>520</v>
      </c>
      <c r="D179" s="10">
        <v>0</v>
      </c>
      <c r="E179" s="10" t="s">
        <v>343</v>
      </c>
      <c r="F179" s="10">
        <v>0</v>
      </c>
      <c r="G179" s="10" t="s">
        <v>343</v>
      </c>
      <c r="H179" s="10">
        <v>0</v>
      </c>
      <c r="I179" s="10" t="s">
        <v>343</v>
      </c>
      <c r="J179" s="11">
        <v>128445</v>
      </c>
      <c r="K179" s="11">
        <v>140430</v>
      </c>
      <c r="L179" s="11">
        <v>268875</v>
      </c>
      <c r="M179" s="11">
        <v>105354</v>
      </c>
    </row>
    <row r="180" spans="1:13" x14ac:dyDescent="0.3">
      <c r="A180" s="10">
        <v>6712</v>
      </c>
      <c r="B180" s="10">
        <v>15</v>
      </c>
      <c r="C180" s="10" t="s">
        <v>520</v>
      </c>
      <c r="D180" s="10">
        <v>1501</v>
      </c>
      <c r="E180" s="10" t="s">
        <v>521</v>
      </c>
      <c r="F180" s="10">
        <v>0</v>
      </c>
      <c r="G180" s="10" t="s">
        <v>343</v>
      </c>
      <c r="H180" s="10">
        <v>0</v>
      </c>
      <c r="I180" s="10" t="s">
        <v>343</v>
      </c>
      <c r="J180" s="11">
        <v>20501</v>
      </c>
      <c r="K180" s="11">
        <v>22698</v>
      </c>
      <c r="L180" s="11">
        <v>43199</v>
      </c>
      <c r="M180" s="11">
        <v>17828</v>
      </c>
    </row>
    <row r="181" spans="1:13" x14ac:dyDescent="0.3">
      <c r="A181" s="10">
        <v>6712</v>
      </c>
      <c r="B181" s="10">
        <v>15</v>
      </c>
      <c r="C181" s="10" t="s">
        <v>520</v>
      </c>
      <c r="D181" s="10">
        <v>1502</v>
      </c>
      <c r="E181" s="10" t="s">
        <v>522</v>
      </c>
      <c r="F181" s="10">
        <v>0</v>
      </c>
      <c r="G181" s="10" t="s">
        <v>343</v>
      </c>
      <c r="H181" s="10">
        <v>0</v>
      </c>
      <c r="I181" s="10" t="s">
        <v>343</v>
      </c>
      <c r="J181" s="11">
        <v>3383</v>
      </c>
      <c r="K181" s="11">
        <v>3604</v>
      </c>
      <c r="L181" s="11">
        <v>6987</v>
      </c>
      <c r="M181" s="11">
        <v>2535</v>
      </c>
    </row>
    <row r="182" spans="1:13" x14ac:dyDescent="0.3">
      <c r="A182" s="10">
        <v>6712</v>
      </c>
      <c r="B182" s="10">
        <v>15</v>
      </c>
      <c r="C182" s="10" t="s">
        <v>520</v>
      </c>
      <c r="D182" s="10">
        <v>1503</v>
      </c>
      <c r="E182" s="10" t="s">
        <v>523</v>
      </c>
      <c r="F182" s="10">
        <v>0</v>
      </c>
      <c r="G182" s="10" t="s">
        <v>343</v>
      </c>
      <c r="H182" s="10">
        <v>0</v>
      </c>
      <c r="I182" s="10" t="s">
        <v>343</v>
      </c>
      <c r="J182" s="11">
        <v>8767</v>
      </c>
      <c r="K182" s="11">
        <v>9637</v>
      </c>
      <c r="L182" s="11">
        <v>18404</v>
      </c>
      <c r="M182" s="11">
        <v>6972</v>
      </c>
    </row>
    <row r="183" spans="1:13" x14ac:dyDescent="0.3">
      <c r="A183" s="10">
        <v>6712</v>
      </c>
      <c r="B183" s="10">
        <v>15</v>
      </c>
      <c r="C183" s="10" t="s">
        <v>520</v>
      </c>
      <c r="D183" s="10">
        <v>1504</v>
      </c>
      <c r="E183" s="10" t="s">
        <v>524</v>
      </c>
      <c r="F183" s="10">
        <v>0</v>
      </c>
      <c r="G183" s="10" t="s">
        <v>343</v>
      </c>
      <c r="H183" s="10">
        <v>0</v>
      </c>
      <c r="I183" s="10" t="s">
        <v>343</v>
      </c>
      <c r="J183" s="11">
        <v>20382</v>
      </c>
      <c r="K183" s="11">
        <v>22485</v>
      </c>
      <c r="L183" s="11">
        <v>42867</v>
      </c>
      <c r="M183" s="11">
        <v>15483</v>
      </c>
    </row>
    <row r="184" spans="1:13" x14ac:dyDescent="0.3">
      <c r="A184" s="10">
        <v>6712</v>
      </c>
      <c r="B184" s="10">
        <v>15</v>
      </c>
      <c r="C184" s="10" t="s">
        <v>520</v>
      </c>
      <c r="D184" s="10">
        <v>1505</v>
      </c>
      <c r="E184" s="10" t="s">
        <v>525</v>
      </c>
      <c r="F184" s="10">
        <v>0</v>
      </c>
      <c r="G184" s="10" t="s">
        <v>343</v>
      </c>
      <c r="H184" s="10">
        <v>0</v>
      </c>
      <c r="I184" s="10" t="s">
        <v>343</v>
      </c>
      <c r="J184" s="11">
        <v>14659</v>
      </c>
      <c r="K184" s="11">
        <v>15391</v>
      </c>
      <c r="L184" s="11">
        <v>30050</v>
      </c>
      <c r="M184" s="11">
        <v>10515</v>
      </c>
    </row>
    <row r="185" spans="1:13" x14ac:dyDescent="0.3">
      <c r="A185" s="10">
        <v>6712</v>
      </c>
      <c r="B185" s="10">
        <v>15</v>
      </c>
      <c r="C185" s="10" t="s">
        <v>520</v>
      </c>
      <c r="D185" s="10">
        <v>1506</v>
      </c>
      <c r="E185" s="10" t="s">
        <v>526</v>
      </c>
      <c r="F185" s="10">
        <v>0</v>
      </c>
      <c r="G185" s="10" t="s">
        <v>343</v>
      </c>
      <c r="H185" s="10">
        <v>0</v>
      </c>
      <c r="I185" s="10" t="s">
        <v>343</v>
      </c>
      <c r="J185" s="11">
        <v>23882</v>
      </c>
      <c r="K185" s="11">
        <v>25891</v>
      </c>
      <c r="L185" s="11">
        <v>49773</v>
      </c>
      <c r="M185" s="11">
        <v>19007</v>
      </c>
    </row>
    <row r="186" spans="1:13" x14ac:dyDescent="0.3">
      <c r="A186" s="10">
        <v>6712</v>
      </c>
      <c r="B186" s="10">
        <v>15</v>
      </c>
      <c r="C186" s="10" t="s">
        <v>520</v>
      </c>
      <c r="D186" s="10">
        <v>1507</v>
      </c>
      <c r="E186" s="10" t="s">
        <v>527</v>
      </c>
      <c r="F186" s="10">
        <v>0</v>
      </c>
      <c r="G186" s="10" t="s">
        <v>343</v>
      </c>
      <c r="H186" s="10">
        <v>0</v>
      </c>
      <c r="I186" s="10" t="s">
        <v>343</v>
      </c>
      <c r="J186" s="11">
        <v>3985</v>
      </c>
      <c r="K186" s="11">
        <v>4246</v>
      </c>
      <c r="L186" s="11">
        <v>8231</v>
      </c>
      <c r="M186" s="11">
        <v>2957</v>
      </c>
    </row>
    <row r="187" spans="1:13" x14ac:dyDescent="0.3">
      <c r="A187" s="10">
        <v>6712</v>
      </c>
      <c r="B187" s="10">
        <v>15</v>
      </c>
      <c r="C187" s="10" t="s">
        <v>520</v>
      </c>
      <c r="D187" s="10">
        <v>1590</v>
      </c>
      <c r="E187" s="10" t="s">
        <v>528</v>
      </c>
      <c r="F187" s="10">
        <v>0</v>
      </c>
      <c r="G187" s="10" t="s">
        <v>343</v>
      </c>
      <c r="H187" s="10">
        <v>0</v>
      </c>
      <c r="I187" s="10" t="s">
        <v>343</v>
      </c>
      <c r="J187" s="11">
        <v>4955</v>
      </c>
      <c r="K187" s="11">
        <v>5467</v>
      </c>
      <c r="L187" s="11">
        <v>10422</v>
      </c>
      <c r="M187" s="11">
        <v>3734</v>
      </c>
    </row>
    <row r="188" spans="1:13" x14ac:dyDescent="0.3">
      <c r="A188" s="10">
        <v>6712</v>
      </c>
      <c r="B188" s="10">
        <v>15</v>
      </c>
      <c r="C188" s="10" t="s">
        <v>520</v>
      </c>
      <c r="D188" s="10">
        <v>1591</v>
      </c>
      <c r="E188" s="10" t="s">
        <v>529</v>
      </c>
      <c r="F188" s="10">
        <v>0</v>
      </c>
      <c r="G188" s="10" t="s">
        <v>343</v>
      </c>
      <c r="H188" s="10">
        <v>0</v>
      </c>
      <c r="I188" s="10" t="s">
        <v>343</v>
      </c>
      <c r="J188" s="11">
        <v>2539</v>
      </c>
      <c r="K188" s="11">
        <v>3081</v>
      </c>
      <c r="L188" s="11">
        <v>5620</v>
      </c>
      <c r="M188" s="11">
        <v>3067</v>
      </c>
    </row>
    <row r="189" spans="1:13" x14ac:dyDescent="0.3">
      <c r="A189" s="10">
        <v>6712</v>
      </c>
      <c r="B189" s="10">
        <v>15</v>
      </c>
      <c r="C189" s="10" t="s">
        <v>520</v>
      </c>
      <c r="D189" s="10">
        <v>1592</v>
      </c>
      <c r="E189" s="10" t="s">
        <v>530</v>
      </c>
      <c r="F189" s="10">
        <v>0</v>
      </c>
      <c r="G189" s="10" t="s">
        <v>343</v>
      </c>
      <c r="H189" s="10">
        <v>0</v>
      </c>
      <c r="I189" s="10" t="s">
        <v>343</v>
      </c>
      <c r="J189" s="11">
        <v>3519</v>
      </c>
      <c r="K189" s="11">
        <v>3867</v>
      </c>
      <c r="L189" s="11">
        <v>7386</v>
      </c>
      <c r="M189" s="11">
        <v>2914</v>
      </c>
    </row>
    <row r="190" spans="1:13" x14ac:dyDescent="0.3">
      <c r="A190" s="10">
        <v>6712</v>
      </c>
      <c r="B190" s="10">
        <v>15</v>
      </c>
      <c r="C190" s="10" t="s">
        <v>520</v>
      </c>
      <c r="D190" s="10">
        <v>1593</v>
      </c>
      <c r="E190" s="10" t="s">
        <v>531</v>
      </c>
      <c r="F190" s="10">
        <v>0</v>
      </c>
      <c r="G190" s="10" t="s">
        <v>343</v>
      </c>
      <c r="H190" s="10">
        <v>0</v>
      </c>
      <c r="I190" s="10" t="s">
        <v>343</v>
      </c>
      <c r="J190" s="11">
        <v>1490</v>
      </c>
      <c r="K190" s="11">
        <v>1611</v>
      </c>
      <c r="L190" s="11">
        <v>3101</v>
      </c>
      <c r="M190" s="11">
        <v>1292</v>
      </c>
    </row>
    <row r="191" spans="1:13" x14ac:dyDescent="0.3">
      <c r="A191" s="10">
        <v>6712</v>
      </c>
      <c r="B191" s="10">
        <v>15</v>
      </c>
      <c r="C191" s="10" t="s">
        <v>520</v>
      </c>
      <c r="D191" s="10">
        <v>1594</v>
      </c>
      <c r="E191" s="10" t="s">
        <v>532</v>
      </c>
      <c r="F191" s="10">
        <v>0</v>
      </c>
      <c r="G191" s="10" t="s">
        <v>343</v>
      </c>
      <c r="H191" s="10">
        <v>0</v>
      </c>
      <c r="I191" s="10" t="s">
        <v>343</v>
      </c>
      <c r="J191" s="11">
        <v>1946</v>
      </c>
      <c r="K191" s="11">
        <v>2140</v>
      </c>
      <c r="L191" s="11">
        <v>4086</v>
      </c>
      <c r="M191" s="11">
        <v>1536</v>
      </c>
    </row>
    <row r="192" spans="1:13" x14ac:dyDescent="0.3">
      <c r="A192" s="10">
        <v>6712</v>
      </c>
      <c r="B192" s="10">
        <v>15</v>
      </c>
      <c r="C192" s="10" t="s">
        <v>520</v>
      </c>
      <c r="D192" s="10">
        <v>1595</v>
      </c>
      <c r="E192" s="10" t="s">
        <v>533</v>
      </c>
      <c r="F192" s="10">
        <v>0</v>
      </c>
      <c r="G192" s="10" t="s">
        <v>343</v>
      </c>
      <c r="H192" s="10">
        <v>0</v>
      </c>
      <c r="I192" s="10" t="s">
        <v>343</v>
      </c>
      <c r="J192" s="11">
        <v>1923</v>
      </c>
      <c r="K192" s="11">
        <v>2158</v>
      </c>
      <c r="L192" s="11">
        <v>4081</v>
      </c>
      <c r="M192" s="11">
        <v>1766</v>
      </c>
    </row>
    <row r="193" spans="1:13" x14ac:dyDescent="0.3">
      <c r="A193" s="10">
        <v>6712</v>
      </c>
      <c r="B193" s="10">
        <v>15</v>
      </c>
      <c r="C193" s="10" t="s">
        <v>520</v>
      </c>
      <c r="D193" s="10">
        <v>1596</v>
      </c>
      <c r="E193" s="10" t="s">
        <v>534</v>
      </c>
      <c r="F193" s="10">
        <v>0</v>
      </c>
      <c r="G193" s="10" t="s">
        <v>343</v>
      </c>
      <c r="H193" s="10">
        <v>0</v>
      </c>
      <c r="I193" s="10" t="s">
        <v>343</v>
      </c>
      <c r="J193" s="11">
        <v>5925</v>
      </c>
      <c r="K193" s="11">
        <v>6380</v>
      </c>
      <c r="L193" s="11">
        <v>12305</v>
      </c>
      <c r="M193" s="11">
        <v>4352</v>
      </c>
    </row>
    <row r="194" spans="1:13" x14ac:dyDescent="0.3">
      <c r="A194" s="10">
        <v>6712</v>
      </c>
      <c r="B194" s="10">
        <v>15</v>
      </c>
      <c r="C194" s="10" t="s">
        <v>520</v>
      </c>
      <c r="D194" s="10">
        <v>1597</v>
      </c>
      <c r="E194" s="10" t="s">
        <v>535</v>
      </c>
      <c r="F194" s="10">
        <v>0</v>
      </c>
      <c r="G194" s="10" t="s">
        <v>343</v>
      </c>
      <c r="H194" s="10">
        <v>0</v>
      </c>
      <c r="I194" s="10" t="s">
        <v>343</v>
      </c>
      <c r="J194" s="11">
        <v>1305</v>
      </c>
      <c r="K194" s="11">
        <v>1398</v>
      </c>
      <c r="L194" s="11">
        <v>2703</v>
      </c>
      <c r="M194" s="11">
        <v>1047</v>
      </c>
    </row>
    <row r="195" spans="1:13" x14ac:dyDescent="0.3">
      <c r="A195" s="10">
        <v>6712</v>
      </c>
      <c r="B195" s="10">
        <v>15</v>
      </c>
      <c r="C195" s="10" t="s">
        <v>520</v>
      </c>
      <c r="D195" s="10">
        <v>1598</v>
      </c>
      <c r="E195" s="10" t="s">
        <v>536</v>
      </c>
      <c r="F195" s="10">
        <v>0</v>
      </c>
      <c r="G195" s="10" t="s">
        <v>343</v>
      </c>
      <c r="H195" s="10">
        <v>0</v>
      </c>
      <c r="I195" s="10" t="s">
        <v>343</v>
      </c>
      <c r="J195" s="11">
        <v>4001</v>
      </c>
      <c r="K195" s="11">
        <v>4436</v>
      </c>
      <c r="L195" s="11">
        <v>8437</v>
      </c>
      <c r="M195" s="11">
        <v>3645</v>
      </c>
    </row>
    <row r="196" spans="1:13" x14ac:dyDescent="0.3">
      <c r="A196" s="10">
        <v>6712</v>
      </c>
      <c r="B196" s="10">
        <v>15</v>
      </c>
      <c r="C196" s="10" t="s">
        <v>520</v>
      </c>
      <c r="D196" s="10">
        <v>1599</v>
      </c>
      <c r="E196" s="10" t="s">
        <v>537</v>
      </c>
      <c r="F196" s="10">
        <v>0</v>
      </c>
      <c r="G196" s="10" t="s">
        <v>343</v>
      </c>
      <c r="H196" s="10">
        <v>0</v>
      </c>
      <c r="I196" s="10" t="s">
        <v>343</v>
      </c>
      <c r="J196" s="11">
        <v>5283</v>
      </c>
      <c r="K196" s="11">
        <v>5940</v>
      </c>
      <c r="L196" s="11">
        <v>11223</v>
      </c>
      <c r="M196" s="11">
        <v>6704</v>
      </c>
    </row>
    <row r="197" spans="1:13" x14ac:dyDescent="0.3">
      <c r="A197" s="10">
        <v>6712</v>
      </c>
      <c r="B197" s="10">
        <v>16</v>
      </c>
      <c r="C197" s="10" t="s">
        <v>538</v>
      </c>
      <c r="D197" s="10">
        <v>0</v>
      </c>
      <c r="E197" s="10" t="s">
        <v>343</v>
      </c>
      <c r="F197" s="10">
        <v>0</v>
      </c>
      <c r="G197" s="10" t="s">
        <v>343</v>
      </c>
      <c r="H197" s="10">
        <v>0</v>
      </c>
      <c r="I197" s="10" t="s">
        <v>343</v>
      </c>
      <c r="J197" s="11">
        <v>360040</v>
      </c>
      <c r="K197" s="11">
        <v>365226</v>
      </c>
      <c r="L197" s="11">
        <v>725266</v>
      </c>
      <c r="M197" s="11">
        <v>306787</v>
      </c>
    </row>
    <row r="198" spans="1:13" x14ac:dyDescent="0.3">
      <c r="A198" s="10">
        <v>6712</v>
      </c>
      <c r="B198" s="10">
        <v>16</v>
      </c>
      <c r="C198" s="10" t="s">
        <v>538</v>
      </c>
      <c r="D198" s="10">
        <v>1601</v>
      </c>
      <c r="E198" s="10" t="s">
        <v>539</v>
      </c>
      <c r="F198" s="10">
        <v>0</v>
      </c>
      <c r="G198" s="10" t="s">
        <v>343</v>
      </c>
      <c r="H198" s="10">
        <v>0</v>
      </c>
      <c r="I198" s="10" t="s">
        <v>343</v>
      </c>
      <c r="J198" s="11">
        <v>48899</v>
      </c>
      <c r="K198" s="11">
        <v>50068</v>
      </c>
      <c r="L198" s="11">
        <v>98967</v>
      </c>
      <c r="M198" s="11">
        <v>42967</v>
      </c>
    </row>
    <row r="199" spans="1:13" x14ac:dyDescent="0.3">
      <c r="A199" s="10">
        <v>6712</v>
      </c>
      <c r="B199" s="10">
        <v>16</v>
      </c>
      <c r="C199" s="10" t="s">
        <v>538</v>
      </c>
      <c r="D199" s="10">
        <v>1602</v>
      </c>
      <c r="E199" s="10" t="s">
        <v>540</v>
      </c>
      <c r="F199" s="10">
        <v>0</v>
      </c>
      <c r="G199" s="10" t="s">
        <v>343</v>
      </c>
      <c r="H199" s="10">
        <v>0</v>
      </c>
      <c r="I199" s="10" t="s">
        <v>343</v>
      </c>
      <c r="J199" s="11">
        <v>27092</v>
      </c>
      <c r="K199" s="11">
        <v>28062</v>
      </c>
      <c r="L199" s="11">
        <v>55154</v>
      </c>
      <c r="M199" s="11">
        <v>24942</v>
      </c>
    </row>
    <row r="200" spans="1:13" x14ac:dyDescent="0.3">
      <c r="A200" s="10">
        <v>6712</v>
      </c>
      <c r="B200" s="10">
        <v>16</v>
      </c>
      <c r="C200" s="10" t="s">
        <v>538</v>
      </c>
      <c r="D200" s="10">
        <v>1603</v>
      </c>
      <c r="E200" s="10" t="s">
        <v>541</v>
      </c>
      <c r="F200" s="10">
        <v>0</v>
      </c>
      <c r="G200" s="10" t="s">
        <v>343</v>
      </c>
      <c r="H200" s="10">
        <v>0</v>
      </c>
      <c r="I200" s="10" t="s">
        <v>343</v>
      </c>
      <c r="J200" s="11">
        <v>36982</v>
      </c>
      <c r="K200" s="11">
        <v>37818</v>
      </c>
      <c r="L200" s="11">
        <v>74800</v>
      </c>
      <c r="M200" s="11">
        <v>29980</v>
      </c>
    </row>
    <row r="201" spans="1:13" x14ac:dyDescent="0.3">
      <c r="A201" s="10">
        <v>6712</v>
      </c>
      <c r="B201" s="10">
        <v>16</v>
      </c>
      <c r="C201" s="10" t="s">
        <v>538</v>
      </c>
      <c r="D201" s="10">
        <v>1604</v>
      </c>
      <c r="E201" s="10" t="s">
        <v>542</v>
      </c>
      <c r="F201" s="10">
        <v>0</v>
      </c>
      <c r="G201" s="10" t="s">
        <v>343</v>
      </c>
      <c r="H201" s="10">
        <v>0</v>
      </c>
      <c r="I201" s="10" t="s">
        <v>343</v>
      </c>
      <c r="J201" s="11">
        <v>36093</v>
      </c>
      <c r="K201" s="11">
        <v>36928</v>
      </c>
      <c r="L201" s="11">
        <v>73021</v>
      </c>
      <c r="M201" s="11">
        <v>29362</v>
      </c>
    </row>
    <row r="202" spans="1:13" x14ac:dyDescent="0.3">
      <c r="A202" s="10">
        <v>6712</v>
      </c>
      <c r="B202" s="10">
        <v>16</v>
      </c>
      <c r="C202" s="10" t="s">
        <v>538</v>
      </c>
      <c r="D202" s="10">
        <v>1605</v>
      </c>
      <c r="E202" s="10" t="s">
        <v>543</v>
      </c>
      <c r="F202" s="10">
        <v>0</v>
      </c>
      <c r="G202" s="10" t="s">
        <v>343</v>
      </c>
      <c r="H202" s="10">
        <v>0</v>
      </c>
      <c r="I202" s="10" t="s">
        <v>343</v>
      </c>
      <c r="J202" s="11">
        <v>20612</v>
      </c>
      <c r="K202" s="11">
        <v>22431</v>
      </c>
      <c r="L202" s="11">
        <v>43043</v>
      </c>
      <c r="M202" s="11">
        <v>14624</v>
      </c>
    </row>
    <row r="203" spans="1:13" x14ac:dyDescent="0.3">
      <c r="A203" s="10">
        <v>6712</v>
      </c>
      <c r="B203" s="10">
        <v>16</v>
      </c>
      <c r="C203" s="10" t="s">
        <v>538</v>
      </c>
      <c r="D203" s="10">
        <v>1606</v>
      </c>
      <c r="E203" s="10" t="s">
        <v>544</v>
      </c>
      <c r="F203" s="10">
        <v>0</v>
      </c>
      <c r="G203" s="10" t="s">
        <v>343</v>
      </c>
      <c r="H203" s="10">
        <v>0</v>
      </c>
      <c r="I203" s="10" t="s">
        <v>343</v>
      </c>
      <c r="J203" s="11">
        <v>32006</v>
      </c>
      <c r="K203" s="11">
        <v>34773</v>
      </c>
      <c r="L203" s="11">
        <v>66779</v>
      </c>
      <c r="M203" s="11">
        <v>24176</v>
      </c>
    </row>
    <row r="204" spans="1:13" x14ac:dyDescent="0.3">
      <c r="A204" s="10">
        <v>6712</v>
      </c>
      <c r="B204" s="10">
        <v>16</v>
      </c>
      <c r="C204" s="10" t="s">
        <v>538</v>
      </c>
      <c r="D204" s="10">
        <v>1607</v>
      </c>
      <c r="E204" s="10" t="s">
        <v>545</v>
      </c>
      <c r="F204" s="10">
        <v>0</v>
      </c>
      <c r="G204" s="10" t="s">
        <v>343</v>
      </c>
      <c r="H204" s="10">
        <v>0</v>
      </c>
      <c r="I204" s="10" t="s">
        <v>343</v>
      </c>
      <c r="J204" s="11">
        <v>12697</v>
      </c>
      <c r="K204" s="11">
        <v>13021</v>
      </c>
      <c r="L204" s="11">
        <v>25718</v>
      </c>
      <c r="M204" s="11">
        <v>8933</v>
      </c>
    </row>
    <row r="205" spans="1:13" x14ac:dyDescent="0.3">
      <c r="A205" s="10">
        <v>6712</v>
      </c>
      <c r="B205" s="10">
        <v>16</v>
      </c>
      <c r="C205" s="10" t="s">
        <v>538</v>
      </c>
      <c r="D205" s="10">
        <v>1608</v>
      </c>
      <c r="E205" s="10" t="s">
        <v>546</v>
      </c>
      <c r="F205" s="10">
        <v>0</v>
      </c>
      <c r="G205" s="10" t="s">
        <v>343</v>
      </c>
      <c r="H205" s="10">
        <v>0</v>
      </c>
      <c r="I205" s="10" t="s">
        <v>343</v>
      </c>
      <c r="J205" s="11">
        <v>7034</v>
      </c>
      <c r="K205" s="11">
        <v>6901</v>
      </c>
      <c r="L205" s="11">
        <v>13935</v>
      </c>
      <c r="M205" s="11">
        <v>5500</v>
      </c>
    </row>
    <row r="206" spans="1:13" x14ac:dyDescent="0.3">
      <c r="A206" s="10">
        <v>6712</v>
      </c>
      <c r="B206" s="10">
        <v>16</v>
      </c>
      <c r="C206" s="10" t="s">
        <v>538</v>
      </c>
      <c r="D206" s="10">
        <v>1609</v>
      </c>
      <c r="E206" s="10" t="s">
        <v>547</v>
      </c>
      <c r="F206" s="10">
        <v>0</v>
      </c>
      <c r="G206" s="10" t="s">
        <v>343</v>
      </c>
      <c r="H206" s="10">
        <v>0</v>
      </c>
      <c r="I206" s="10" t="s">
        <v>343</v>
      </c>
      <c r="J206" s="11">
        <v>12049</v>
      </c>
      <c r="K206" s="11">
        <v>12080</v>
      </c>
      <c r="L206" s="11">
        <v>24129</v>
      </c>
      <c r="M206" s="11">
        <v>8178</v>
      </c>
    </row>
    <row r="207" spans="1:13" x14ac:dyDescent="0.3">
      <c r="A207" s="10">
        <v>6712</v>
      </c>
      <c r="B207" s="10">
        <v>16</v>
      </c>
      <c r="C207" s="10" t="s">
        <v>538</v>
      </c>
      <c r="D207" s="10">
        <v>1610</v>
      </c>
      <c r="E207" s="10" t="s">
        <v>548</v>
      </c>
      <c r="F207" s="10">
        <v>0</v>
      </c>
      <c r="G207" s="10" t="s">
        <v>343</v>
      </c>
      <c r="H207" s="10">
        <v>0</v>
      </c>
      <c r="I207" s="10" t="s">
        <v>343</v>
      </c>
      <c r="J207" s="11">
        <v>13320</v>
      </c>
      <c r="K207" s="11">
        <v>13602</v>
      </c>
      <c r="L207" s="11">
        <v>26922</v>
      </c>
      <c r="M207" s="11">
        <v>9872</v>
      </c>
    </row>
    <row r="208" spans="1:13" x14ac:dyDescent="0.3">
      <c r="A208" s="10">
        <v>6712</v>
      </c>
      <c r="B208" s="10">
        <v>16</v>
      </c>
      <c r="C208" s="10" t="s">
        <v>538</v>
      </c>
      <c r="D208" s="10">
        <v>1611</v>
      </c>
      <c r="E208" s="10" t="s">
        <v>549</v>
      </c>
      <c r="F208" s="10">
        <v>0</v>
      </c>
      <c r="G208" s="10" t="s">
        <v>343</v>
      </c>
      <c r="H208" s="10">
        <v>0</v>
      </c>
      <c r="I208" s="10" t="s">
        <v>343</v>
      </c>
      <c r="J208" s="11">
        <v>13460</v>
      </c>
      <c r="K208" s="11">
        <v>13956</v>
      </c>
      <c r="L208" s="11">
        <v>27416</v>
      </c>
      <c r="M208" s="11">
        <v>10512</v>
      </c>
    </row>
    <row r="209" spans="1:13" x14ac:dyDescent="0.3">
      <c r="A209" s="10">
        <v>6712</v>
      </c>
      <c r="B209" s="10">
        <v>16</v>
      </c>
      <c r="C209" s="10" t="s">
        <v>538</v>
      </c>
      <c r="D209" s="10">
        <v>1681</v>
      </c>
      <c r="E209" s="10" t="s">
        <v>550</v>
      </c>
      <c r="F209" s="10">
        <v>0</v>
      </c>
      <c r="G209" s="10" t="s">
        <v>343</v>
      </c>
      <c r="H209" s="10">
        <v>0</v>
      </c>
      <c r="I209" s="10" t="s">
        <v>343</v>
      </c>
      <c r="J209" s="11">
        <v>5180</v>
      </c>
      <c r="K209" s="11">
        <v>6093</v>
      </c>
      <c r="L209" s="11">
        <v>11273</v>
      </c>
      <c r="M209" s="11">
        <v>6169</v>
      </c>
    </row>
    <row r="210" spans="1:13" x14ac:dyDescent="0.3">
      <c r="A210" s="10">
        <v>6712</v>
      </c>
      <c r="B210" s="10">
        <v>16</v>
      </c>
      <c r="C210" s="10" t="s">
        <v>538</v>
      </c>
      <c r="D210" s="10">
        <v>1682</v>
      </c>
      <c r="E210" s="10" t="s">
        <v>551</v>
      </c>
      <c r="F210" s="10">
        <v>0</v>
      </c>
      <c r="G210" s="10" t="s">
        <v>343</v>
      </c>
      <c r="H210" s="10">
        <v>0</v>
      </c>
      <c r="I210" s="10" t="s">
        <v>343</v>
      </c>
      <c r="J210" s="11">
        <v>6044</v>
      </c>
      <c r="K210" s="11">
        <v>5086</v>
      </c>
      <c r="L210" s="11">
        <v>11130</v>
      </c>
      <c r="M210" s="11">
        <v>5000</v>
      </c>
    </row>
    <row r="211" spans="1:13" x14ac:dyDescent="0.3">
      <c r="A211" s="10">
        <v>6712</v>
      </c>
      <c r="B211" s="10">
        <v>16</v>
      </c>
      <c r="C211" s="10" t="s">
        <v>538</v>
      </c>
      <c r="D211" s="10">
        <v>1683</v>
      </c>
      <c r="E211" s="10" t="s">
        <v>552</v>
      </c>
      <c r="F211" s="10">
        <v>0</v>
      </c>
      <c r="G211" s="10" t="s">
        <v>343</v>
      </c>
      <c r="H211" s="10">
        <v>0</v>
      </c>
      <c r="I211" s="10" t="s">
        <v>343</v>
      </c>
      <c r="J211" s="11">
        <v>15304</v>
      </c>
      <c r="K211" s="11">
        <v>12993</v>
      </c>
      <c r="L211" s="11">
        <v>28297</v>
      </c>
      <c r="M211" s="11">
        <v>13166</v>
      </c>
    </row>
    <row r="212" spans="1:13" x14ac:dyDescent="0.3">
      <c r="A212" s="10">
        <v>6712</v>
      </c>
      <c r="B212" s="10">
        <v>16</v>
      </c>
      <c r="C212" s="10" t="s">
        <v>538</v>
      </c>
      <c r="D212" s="10">
        <v>1684</v>
      </c>
      <c r="E212" s="10" t="s">
        <v>553</v>
      </c>
      <c r="F212" s="10">
        <v>0</v>
      </c>
      <c r="G212" s="10" t="s">
        <v>343</v>
      </c>
      <c r="H212" s="10">
        <v>0</v>
      </c>
      <c r="I212" s="10" t="s">
        <v>343</v>
      </c>
      <c r="J212" s="11">
        <v>6730</v>
      </c>
      <c r="K212" s="11">
        <v>7628</v>
      </c>
      <c r="L212" s="11">
        <v>14358</v>
      </c>
      <c r="M212" s="11">
        <v>7340</v>
      </c>
    </row>
    <row r="213" spans="1:13" x14ac:dyDescent="0.3">
      <c r="A213" s="10">
        <v>6712</v>
      </c>
      <c r="B213" s="10">
        <v>16</v>
      </c>
      <c r="C213" s="10" t="s">
        <v>538</v>
      </c>
      <c r="D213" s="10">
        <v>1685</v>
      </c>
      <c r="E213" s="10" t="s">
        <v>554</v>
      </c>
      <c r="F213" s="10">
        <v>0</v>
      </c>
      <c r="G213" s="10" t="s">
        <v>343</v>
      </c>
      <c r="H213" s="10">
        <v>0</v>
      </c>
      <c r="I213" s="10" t="s">
        <v>343</v>
      </c>
      <c r="J213" s="11">
        <v>3889</v>
      </c>
      <c r="K213" s="11">
        <v>4167</v>
      </c>
      <c r="L213" s="11">
        <v>8056</v>
      </c>
      <c r="M213" s="11">
        <v>3955</v>
      </c>
    </row>
    <row r="214" spans="1:13" x14ac:dyDescent="0.3">
      <c r="A214" s="10">
        <v>6712</v>
      </c>
      <c r="B214" s="10">
        <v>16</v>
      </c>
      <c r="C214" s="10" t="s">
        <v>538</v>
      </c>
      <c r="D214" s="10">
        <v>1686</v>
      </c>
      <c r="E214" s="10" t="s">
        <v>555</v>
      </c>
      <c r="F214" s="10">
        <v>0</v>
      </c>
      <c r="G214" s="10" t="s">
        <v>343</v>
      </c>
      <c r="H214" s="10">
        <v>0</v>
      </c>
      <c r="I214" s="10" t="s">
        <v>343</v>
      </c>
      <c r="J214" s="11">
        <v>14600</v>
      </c>
      <c r="K214" s="11">
        <v>8666</v>
      </c>
      <c r="L214" s="11">
        <v>23266</v>
      </c>
      <c r="M214" s="11">
        <v>12062</v>
      </c>
    </row>
    <row r="215" spans="1:13" x14ac:dyDescent="0.3">
      <c r="A215" s="10">
        <v>6712</v>
      </c>
      <c r="B215" s="10">
        <v>16</v>
      </c>
      <c r="C215" s="10" t="s">
        <v>538</v>
      </c>
      <c r="D215" s="10">
        <v>1688</v>
      </c>
      <c r="E215" s="10" t="s">
        <v>556</v>
      </c>
      <c r="F215" s="10">
        <v>0</v>
      </c>
      <c r="G215" s="10" t="s">
        <v>343</v>
      </c>
      <c r="H215" s="10">
        <v>0</v>
      </c>
      <c r="I215" s="10" t="s">
        <v>343</v>
      </c>
      <c r="J215" s="11">
        <v>3337</v>
      </c>
      <c r="K215" s="11">
        <v>3610</v>
      </c>
      <c r="L215" s="11">
        <v>6947</v>
      </c>
      <c r="M215" s="11">
        <v>3246</v>
      </c>
    </row>
    <row r="216" spans="1:13" x14ac:dyDescent="0.3">
      <c r="A216" s="10">
        <v>6712</v>
      </c>
      <c r="B216" s="10">
        <v>16</v>
      </c>
      <c r="C216" s="10" t="s">
        <v>538</v>
      </c>
      <c r="D216" s="10">
        <v>1689</v>
      </c>
      <c r="E216" s="10" t="s">
        <v>557</v>
      </c>
      <c r="F216" s="10">
        <v>0</v>
      </c>
      <c r="G216" s="10" t="s">
        <v>343</v>
      </c>
      <c r="H216" s="10">
        <v>0</v>
      </c>
      <c r="I216" s="10" t="s">
        <v>343</v>
      </c>
      <c r="J216" s="11">
        <v>1853</v>
      </c>
      <c r="K216" s="11">
        <v>1882</v>
      </c>
      <c r="L216" s="11">
        <v>3735</v>
      </c>
      <c r="M216" s="11">
        <v>2222</v>
      </c>
    </row>
    <row r="217" spans="1:13" x14ac:dyDescent="0.3">
      <c r="A217" s="10">
        <v>6712</v>
      </c>
      <c r="B217" s="10">
        <v>16</v>
      </c>
      <c r="C217" s="10" t="s">
        <v>538</v>
      </c>
      <c r="D217" s="10">
        <v>1690</v>
      </c>
      <c r="E217" s="10" t="s">
        <v>558</v>
      </c>
      <c r="F217" s="10">
        <v>0</v>
      </c>
      <c r="G217" s="10" t="s">
        <v>343</v>
      </c>
      <c r="H217" s="10">
        <v>0</v>
      </c>
      <c r="I217" s="10" t="s">
        <v>343</v>
      </c>
      <c r="J217" s="10">
        <v>992</v>
      </c>
      <c r="K217" s="11">
        <v>1053</v>
      </c>
      <c r="L217" s="11">
        <v>2045</v>
      </c>
      <c r="M217" s="10">
        <v>916</v>
      </c>
    </row>
    <row r="218" spans="1:13" x14ac:dyDescent="0.3">
      <c r="A218" s="10">
        <v>6712</v>
      </c>
      <c r="B218" s="10">
        <v>16</v>
      </c>
      <c r="C218" s="10" t="s">
        <v>538</v>
      </c>
      <c r="D218" s="10">
        <v>1691</v>
      </c>
      <c r="E218" s="10" t="s">
        <v>559</v>
      </c>
      <c r="F218" s="10">
        <v>0</v>
      </c>
      <c r="G218" s="10" t="s">
        <v>343</v>
      </c>
      <c r="H218" s="10">
        <v>0</v>
      </c>
      <c r="I218" s="10" t="s">
        <v>343</v>
      </c>
      <c r="J218" s="11">
        <v>1017</v>
      </c>
      <c r="K218" s="11">
        <v>1181</v>
      </c>
      <c r="L218" s="11">
        <v>2198</v>
      </c>
      <c r="M218" s="11">
        <v>1044</v>
      </c>
    </row>
    <row r="219" spans="1:13" x14ac:dyDescent="0.3">
      <c r="A219" s="10">
        <v>6712</v>
      </c>
      <c r="B219" s="10">
        <v>16</v>
      </c>
      <c r="C219" s="10" t="s">
        <v>538</v>
      </c>
      <c r="D219" s="10">
        <v>1692</v>
      </c>
      <c r="E219" s="10" t="s">
        <v>560</v>
      </c>
      <c r="F219" s="10">
        <v>0</v>
      </c>
      <c r="G219" s="10" t="s">
        <v>343</v>
      </c>
      <c r="H219" s="10">
        <v>0</v>
      </c>
      <c r="I219" s="10" t="s">
        <v>343</v>
      </c>
      <c r="J219" s="11">
        <v>7288</v>
      </c>
      <c r="K219" s="11">
        <v>7844</v>
      </c>
      <c r="L219" s="11">
        <v>15132</v>
      </c>
      <c r="M219" s="11">
        <v>8808</v>
      </c>
    </row>
    <row r="220" spans="1:13" x14ac:dyDescent="0.3">
      <c r="A220" s="10">
        <v>6712</v>
      </c>
      <c r="B220" s="10">
        <v>16</v>
      </c>
      <c r="C220" s="10" t="s">
        <v>538</v>
      </c>
      <c r="D220" s="10">
        <v>1693</v>
      </c>
      <c r="E220" s="10" t="s">
        <v>561</v>
      </c>
      <c r="F220" s="10">
        <v>0</v>
      </c>
      <c r="G220" s="10" t="s">
        <v>343</v>
      </c>
      <c r="H220" s="10">
        <v>0</v>
      </c>
      <c r="I220" s="10" t="s">
        <v>343</v>
      </c>
      <c r="J220" s="11">
        <v>2298</v>
      </c>
      <c r="K220" s="11">
        <v>2454</v>
      </c>
      <c r="L220" s="11">
        <v>4752</v>
      </c>
      <c r="M220" s="11">
        <v>2181</v>
      </c>
    </row>
    <row r="221" spans="1:13" x14ac:dyDescent="0.3">
      <c r="A221" s="10">
        <v>6712</v>
      </c>
      <c r="B221" s="10">
        <v>16</v>
      </c>
      <c r="C221" s="10" t="s">
        <v>538</v>
      </c>
      <c r="D221" s="10">
        <v>1694</v>
      </c>
      <c r="E221" s="10" t="s">
        <v>562</v>
      </c>
      <c r="F221" s="10">
        <v>0</v>
      </c>
      <c r="G221" s="10" t="s">
        <v>343</v>
      </c>
      <c r="H221" s="10">
        <v>0</v>
      </c>
      <c r="I221" s="10" t="s">
        <v>343</v>
      </c>
      <c r="J221" s="11">
        <v>1430</v>
      </c>
      <c r="K221" s="11">
        <v>1608</v>
      </c>
      <c r="L221" s="11">
        <v>3038</v>
      </c>
      <c r="M221" s="11">
        <v>1485</v>
      </c>
    </row>
    <row r="222" spans="1:13" x14ac:dyDescent="0.3">
      <c r="A222" s="10">
        <v>6712</v>
      </c>
      <c r="B222" s="10">
        <v>16</v>
      </c>
      <c r="C222" s="10" t="s">
        <v>538</v>
      </c>
      <c r="D222" s="10">
        <v>1695</v>
      </c>
      <c r="E222" s="10" t="s">
        <v>563</v>
      </c>
      <c r="F222" s="10">
        <v>0</v>
      </c>
      <c r="G222" s="10" t="s">
        <v>343</v>
      </c>
      <c r="H222" s="10">
        <v>0</v>
      </c>
      <c r="I222" s="10" t="s">
        <v>343</v>
      </c>
      <c r="J222" s="11">
        <v>1382</v>
      </c>
      <c r="K222" s="11">
        <v>1424</v>
      </c>
      <c r="L222" s="11">
        <v>2806</v>
      </c>
      <c r="M222" s="11">
        <v>1151</v>
      </c>
    </row>
    <row r="223" spans="1:13" x14ac:dyDescent="0.3">
      <c r="A223" s="10">
        <v>6712</v>
      </c>
      <c r="B223" s="10">
        <v>16</v>
      </c>
      <c r="C223" s="10" t="s">
        <v>538</v>
      </c>
      <c r="D223" s="10">
        <v>1696</v>
      </c>
      <c r="E223" s="10" t="s">
        <v>564</v>
      </c>
      <c r="F223" s="10">
        <v>0</v>
      </c>
      <c r="G223" s="10" t="s">
        <v>343</v>
      </c>
      <c r="H223" s="10">
        <v>0</v>
      </c>
      <c r="I223" s="10" t="s">
        <v>343</v>
      </c>
      <c r="J223" s="11">
        <v>14913</v>
      </c>
      <c r="K223" s="11">
        <v>15304</v>
      </c>
      <c r="L223" s="11">
        <v>30217</v>
      </c>
      <c r="M223" s="11">
        <v>12398</v>
      </c>
    </row>
    <row r="224" spans="1:13" x14ac:dyDescent="0.3">
      <c r="A224" s="10">
        <v>6712</v>
      </c>
      <c r="B224" s="10">
        <v>16</v>
      </c>
      <c r="C224" s="10" t="s">
        <v>538</v>
      </c>
      <c r="D224" s="10">
        <v>1697</v>
      </c>
      <c r="E224" s="10" t="s">
        <v>565</v>
      </c>
      <c r="F224" s="10">
        <v>0</v>
      </c>
      <c r="G224" s="10" t="s">
        <v>343</v>
      </c>
      <c r="H224" s="10">
        <v>0</v>
      </c>
      <c r="I224" s="10" t="s">
        <v>343</v>
      </c>
      <c r="J224" s="11">
        <v>2636</v>
      </c>
      <c r="K224" s="11">
        <v>2855</v>
      </c>
      <c r="L224" s="11">
        <v>5491</v>
      </c>
      <c r="M224" s="11">
        <v>2445</v>
      </c>
    </row>
    <row r="225" spans="1:13" x14ac:dyDescent="0.3">
      <c r="A225" s="10">
        <v>6712</v>
      </c>
      <c r="B225" s="10">
        <v>16</v>
      </c>
      <c r="C225" s="10" t="s">
        <v>538</v>
      </c>
      <c r="D225" s="10">
        <v>1698</v>
      </c>
      <c r="E225" s="10" t="s">
        <v>566</v>
      </c>
      <c r="F225" s="10">
        <v>0</v>
      </c>
      <c r="G225" s="10" t="s">
        <v>343</v>
      </c>
      <c r="H225" s="10">
        <v>0</v>
      </c>
      <c r="I225" s="10" t="s">
        <v>343</v>
      </c>
      <c r="J225" s="11">
        <v>1410</v>
      </c>
      <c r="K225" s="11">
        <v>1572</v>
      </c>
      <c r="L225" s="11">
        <v>2982</v>
      </c>
      <c r="M225" s="11">
        <v>1345</v>
      </c>
    </row>
    <row r="226" spans="1:13" x14ac:dyDescent="0.3">
      <c r="A226" s="10">
        <v>6712</v>
      </c>
      <c r="B226" s="10">
        <v>16</v>
      </c>
      <c r="C226" s="10" t="s">
        <v>538</v>
      </c>
      <c r="D226" s="10">
        <v>1699</v>
      </c>
      <c r="E226" s="10" t="s">
        <v>567</v>
      </c>
      <c r="F226" s="10">
        <v>0</v>
      </c>
      <c r="G226" s="10" t="s">
        <v>343</v>
      </c>
      <c r="H226" s="10">
        <v>0</v>
      </c>
      <c r="I226" s="10" t="s">
        <v>343</v>
      </c>
      <c r="J226" s="11">
        <v>9493</v>
      </c>
      <c r="K226" s="11">
        <v>10166</v>
      </c>
      <c r="L226" s="11">
        <v>19659</v>
      </c>
      <c r="M226" s="11">
        <v>12808</v>
      </c>
    </row>
    <row r="227" spans="1:13" x14ac:dyDescent="0.3">
      <c r="A227" s="10">
        <v>6712</v>
      </c>
      <c r="B227" s="10">
        <v>17</v>
      </c>
      <c r="C227" s="10" t="s">
        <v>568</v>
      </c>
      <c r="D227" s="10">
        <v>0</v>
      </c>
      <c r="E227" s="10" t="s">
        <v>343</v>
      </c>
      <c r="F227" s="10">
        <v>0</v>
      </c>
      <c r="G227" s="10" t="s">
        <v>343</v>
      </c>
      <c r="H227" s="10">
        <v>0</v>
      </c>
      <c r="I227" s="10" t="s">
        <v>343</v>
      </c>
      <c r="J227" s="11">
        <v>94895</v>
      </c>
      <c r="K227" s="11">
        <v>104908</v>
      </c>
      <c r="L227" s="11">
        <v>199803</v>
      </c>
      <c r="M227" s="11">
        <v>81992</v>
      </c>
    </row>
    <row r="228" spans="1:13" x14ac:dyDescent="0.3">
      <c r="A228" s="10">
        <v>6712</v>
      </c>
      <c r="B228" s="10">
        <v>17</v>
      </c>
      <c r="C228" s="10" t="s">
        <v>568</v>
      </c>
      <c r="D228" s="10">
        <v>1701</v>
      </c>
      <c r="E228" s="10" t="s">
        <v>569</v>
      </c>
      <c r="F228" s="10">
        <v>0</v>
      </c>
      <c r="G228" s="10" t="s">
        <v>343</v>
      </c>
      <c r="H228" s="10">
        <v>0</v>
      </c>
      <c r="I228" s="10" t="s">
        <v>343</v>
      </c>
      <c r="J228" s="11">
        <v>16819</v>
      </c>
      <c r="K228" s="11">
        <v>19331</v>
      </c>
      <c r="L228" s="11">
        <v>36150</v>
      </c>
      <c r="M228" s="11">
        <v>14194</v>
      </c>
    </row>
    <row r="229" spans="1:13" x14ac:dyDescent="0.3">
      <c r="A229" s="10">
        <v>6712</v>
      </c>
      <c r="B229" s="10">
        <v>17</v>
      </c>
      <c r="C229" s="10" t="s">
        <v>568</v>
      </c>
      <c r="D229" s="10">
        <v>1702</v>
      </c>
      <c r="E229" s="10" t="s">
        <v>570</v>
      </c>
      <c r="F229" s="10">
        <v>0</v>
      </c>
      <c r="G229" s="10" t="s">
        <v>343</v>
      </c>
      <c r="H229" s="10">
        <v>0</v>
      </c>
      <c r="I229" s="10" t="s">
        <v>343</v>
      </c>
      <c r="J229" s="11">
        <v>9154</v>
      </c>
      <c r="K229" s="11">
        <v>9773</v>
      </c>
      <c r="L229" s="11">
        <v>18927</v>
      </c>
      <c r="M229" s="11">
        <v>7396</v>
      </c>
    </row>
    <row r="230" spans="1:13" x14ac:dyDescent="0.3">
      <c r="A230" s="10">
        <v>6712</v>
      </c>
      <c r="B230" s="10">
        <v>17</v>
      </c>
      <c r="C230" s="10" t="s">
        <v>568</v>
      </c>
      <c r="D230" s="10">
        <v>1703</v>
      </c>
      <c r="E230" s="10" t="s">
        <v>571</v>
      </c>
      <c r="F230" s="10">
        <v>0</v>
      </c>
      <c r="G230" s="10" t="s">
        <v>343</v>
      </c>
      <c r="H230" s="10">
        <v>0</v>
      </c>
      <c r="I230" s="10" t="s">
        <v>343</v>
      </c>
      <c r="J230" s="11">
        <v>12264</v>
      </c>
      <c r="K230" s="11">
        <v>13165</v>
      </c>
      <c r="L230" s="11">
        <v>25429</v>
      </c>
      <c r="M230" s="11">
        <v>9318</v>
      </c>
    </row>
    <row r="231" spans="1:13" x14ac:dyDescent="0.3">
      <c r="A231" s="10">
        <v>6712</v>
      </c>
      <c r="B231" s="10">
        <v>17</v>
      </c>
      <c r="C231" s="10" t="s">
        <v>568</v>
      </c>
      <c r="D231" s="10">
        <v>1704</v>
      </c>
      <c r="E231" s="10" t="s">
        <v>572</v>
      </c>
      <c r="F231" s="10">
        <v>0</v>
      </c>
      <c r="G231" s="10" t="s">
        <v>343</v>
      </c>
      <c r="H231" s="10">
        <v>0</v>
      </c>
      <c r="I231" s="10" t="s">
        <v>343</v>
      </c>
      <c r="J231" s="11">
        <v>7587</v>
      </c>
      <c r="K231" s="11">
        <v>8421</v>
      </c>
      <c r="L231" s="11">
        <v>16008</v>
      </c>
      <c r="M231" s="11">
        <v>6153</v>
      </c>
    </row>
    <row r="232" spans="1:13" x14ac:dyDescent="0.3">
      <c r="A232" s="10">
        <v>6712</v>
      </c>
      <c r="B232" s="10">
        <v>17</v>
      </c>
      <c r="C232" s="10" t="s">
        <v>568</v>
      </c>
      <c r="D232" s="10">
        <v>1705</v>
      </c>
      <c r="E232" s="10" t="s">
        <v>573</v>
      </c>
      <c r="F232" s="10">
        <v>0</v>
      </c>
      <c r="G232" s="10" t="s">
        <v>343</v>
      </c>
      <c r="H232" s="10">
        <v>0</v>
      </c>
      <c r="I232" s="10" t="s">
        <v>343</v>
      </c>
      <c r="J232" s="11">
        <v>2482</v>
      </c>
      <c r="K232" s="11">
        <v>2803</v>
      </c>
      <c r="L232" s="11">
        <v>5285</v>
      </c>
      <c r="M232" s="11">
        <v>1928</v>
      </c>
    </row>
    <row r="233" spans="1:13" x14ac:dyDescent="0.3">
      <c r="A233" s="10">
        <v>6712</v>
      </c>
      <c r="B233" s="10">
        <v>17</v>
      </c>
      <c r="C233" s="10" t="s">
        <v>568</v>
      </c>
      <c r="D233" s="10">
        <v>1706</v>
      </c>
      <c r="E233" s="10" t="s">
        <v>574</v>
      </c>
      <c r="F233" s="10">
        <v>0</v>
      </c>
      <c r="G233" s="10" t="s">
        <v>343</v>
      </c>
      <c r="H233" s="10">
        <v>0</v>
      </c>
      <c r="I233" s="10" t="s">
        <v>343</v>
      </c>
      <c r="J233" s="11">
        <v>22738</v>
      </c>
      <c r="K233" s="11">
        <v>24680</v>
      </c>
      <c r="L233" s="11">
        <v>47418</v>
      </c>
      <c r="M233" s="11">
        <v>18239</v>
      </c>
    </row>
    <row r="234" spans="1:13" x14ac:dyDescent="0.3">
      <c r="A234" s="10">
        <v>6712</v>
      </c>
      <c r="B234" s="10">
        <v>17</v>
      </c>
      <c r="C234" s="10" t="s">
        <v>568</v>
      </c>
      <c r="D234" s="10">
        <v>1793</v>
      </c>
      <c r="E234" s="10" t="s">
        <v>575</v>
      </c>
      <c r="F234" s="10">
        <v>0</v>
      </c>
      <c r="G234" s="10" t="s">
        <v>343</v>
      </c>
      <c r="H234" s="10">
        <v>0</v>
      </c>
      <c r="I234" s="10" t="s">
        <v>343</v>
      </c>
      <c r="J234" s="11">
        <v>1998</v>
      </c>
      <c r="K234" s="11">
        <v>2195</v>
      </c>
      <c r="L234" s="11">
        <v>4193</v>
      </c>
      <c r="M234" s="11">
        <v>2304</v>
      </c>
    </row>
    <row r="235" spans="1:13" x14ac:dyDescent="0.3">
      <c r="A235" s="10">
        <v>6712</v>
      </c>
      <c r="B235" s="10">
        <v>17</v>
      </c>
      <c r="C235" s="10" t="s">
        <v>568</v>
      </c>
      <c r="D235" s="10">
        <v>1794</v>
      </c>
      <c r="E235" s="10" t="s">
        <v>576</v>
      </c>
      <c r="F235" s="10">
        <v>0</v>
      </c>
      <c r="G235" s="10" t="s">
        <v>343</v>
      </c>
      <c r="H235" s="10">
        <v>0</v>
      </c>
      <c r="I235" s="10" t="s">
        <v>343</v>
      </c>
      <c r="J235" s="11">
        <v>4017</v>
      </c>
      <c r="K235" s="11">
        <v>4374</v>
      </c>
      <c r="L235" s="11">
        <v>8391</v>
      </c>
      <c r="M235" s="11">
        <v>3544</v>
      </c>
    </row>
    <row r="236" spans="1:13" x14ac:dyDescent="0.3">
      <c r="A236" s="10">
        <v>6712</v>
      </c>
      <c r="B236" s="10">
        <v>17</v>
      </c>
      <c r="C236" s="10" t="s">
        <v>568</v>
      </c>
      <c r="D236" s="10">
        <v>1795</v>
      </c>
      <c r="E236" s="10" t="s">
        <v>577</v>
      </c>
      <c r="F236" s="10">
        <v>0</v>
      </c>
      <c r="G236" s="10" t="s">
        <v>343</v>
      </c>
      <c r="H236" s="10">
        <v>0</v>
      </c>
      <c r="I236" s="10" t="s">
        <v>343</v>
      </c>
      <c r="J236" s="11">
        <v>1479</v>
      </c>
      <c r="K236" s="11">
        <v>1582</v>
      </c>
      <c r="L236" s="11">
        <v>3061</v>
      </c>
      <c r="M236" s="11">
        <v>1335</v>
      </c>
    </row>
    <row r="237" spans="1:13" x14ac:dyDescent="0.3">
      <c r="A237" s="10">
        <v>6712</v>
      </c>
      <c r="B237" s="10">
        <v>17</v>
      </c>
      <c r="C237" s="10" t="s">
        <v>568</v>
      </c>
      <c r="D237" s="10">
        <v>1796</v>
      </c>
      <c r="E237" s="10" t="s">
        <v>578</v>
      </c>
      <c r="F237" s="10">
        <v>0</v>
      </c>
      <c r="G237" s="10" t="s">
        <v>343</v>
      </c>
      <c r="H237" s="10">
        <v>0</v>
      </c>
      <c r="I237" s="10" t="s">
        <v>343</v>
      </c>
      <c r="J237" s="11">
        <v>1561</v>
      </c>
      <c r="K237" s="11">
        <v>1709</v>
      </c>
      <c r="L237" s="11">
        <v>3270</v>
      </c>
      <c r="M237" s="11">
        <v>1426</v>
      </c>
    </row>
    <row r="238" spans="1:13" x14ac:dyDescent="0.3">
      <c r="A238" s="10">
        <v>6712</v>
      </c>
      <c r="B238" s="10">
        <v>17</v>
      </c>
      <c r="C238" s="10" t="s">
        <v>568</v>
      </c>
      <c r="D238" s="10">
        <v>1797</v>
      </c>
      <c r="E238" s="10" t="s">
        <v>579</v>
      </c>
      <c r="F238" s="10">
        <v>0</v>
      </c>
      <c r="G238" s="10" t="s">
        <v>343</v>
      </c>
      <c r="H238" s="10">
        <v>0</v>
      </c>
      <c r="I238" s="10" t="s">
        <v>343</v>
      </c>
      <c r="J238" s="10">
        <v>910</v>
      </c>
      <c r="K238" s="11">
        <v>1015</v>
      </c>
      <c r="L238" s="11">
        <v>1925</v>
      </c>
      <c r="M238" s="10">
        <v>868</v>
      </c>
    </row>
    <row r="239" spans="1:13" x14ac:dyDescent="0.3">
      <c r="A239" s="10">
        <v>6712</v>
      </c>
      <c r="B239" s="10">
        <v>17</v>
      </c>
      <c r="C239" s="10" t="s">
        <v>568</v>
      </c>
      <c r="D239" s="10">
        <v>1798</v>
      </c>
      <c r="E239" s="10" t="s">
        <v>580</v>
      </c>
      <c r="F239" s="10">
        <v>0</v>
      </c>
      <c r="G239" s="10" t="s">
        <v>343</v>
      </c>
      <c r="H239" s="10">
        <v>0</v>
      </c>
      <c r="I239" s="10" t="s">
        <v>343</v>
      </c>
      <c r="J239" s="11">
        <v>6289</v>
      </c>
      <c r="K239" s="11">
        <v>7093</v>
      </c>
      <c r="L239" s="11">
        <v>13382</v>
      </c>
      <c r="M239" s="11">
        <v>5839</v>
      </c>
    </row>
    <row r="240" spans="1:13" x14ac:dyDescent="0.3">
      <c r="A240" s="10">
        <v>6712</v>
      </c>
      <c r="B240" s="10">
        <v>17</v>
      </c>
      <c r="C240" s="10" t="s">
        <v>568</v>
      </c>
      <c r="D240" s="10">
        <v>1799</v>
      </c>
      <c r="E240" s="10" t="s">
        <v>581</v>
      </c>
      <c r="F240" s="10">
        <v>0</v>
      </c>
      <c r="G240" s="10" t="s">
        <v>343</v>
      </c>
      <c r="H240" s="10">
        <v>0</v>
      </c>
      <c r="I240" s="10" t="s">
        <v>343</v>
      </c>
      <c r="J240" s="11">
        <v>7597</v>
      </c>
      <c r="K240" s="11">
        <v>8767</v>
      </c>
      <c r="L240" s="11">
        <v>16364</v>
      </c>
      <c r="M240" s="11">
        <v>9448</v>
      </c>
    </row>
    <row r="241" spans="1:13" x14ac:dyDescent="0.3">
      <c r="A241" s="10">
        <v>6712</v>
      </c>
      <c r="B241" s="10">
        <v>18</v>
      </c>
      <c r="C241" s="10" t="s">
        <v>582</v>
      </c>
      <c r="D241" s="10">
        <v>0</v>
      </c>
      <c r="E241" s="10" t="s">
        <v>343</v>
      </c>
      <c r="F241" s="10">
        <v>0</v>
      </c>
      <c r="G241" s="10" t="s">
        <v>343</v>
      </c>
      <c r="H241" s="10">
        <v>0</v>
      </c>
      <c r="I241" s="10" t="s">
        <v>343</v>
      </c>
      <c r="J241" s="11">
        <v>150495</v>
      </c>
      <c r="K241" s="11">
        <v>163264</v>
      </c>
      <c r="L241" s="11">
        <v>313759</v>
      </c>
      <c r="M241" s="11">
        <v>132908</v>
      </c>
    </row>
    <row r="242" spans="1:13" x14ac:dyDescent="0.3">
      <c r="A242" s="10">
        <v>6712</v>
      </c>
      <c r="B242" s="10">
        <v>18</v>
      </c>
      <c r="C242" s="10" t="s">
        <v>582</v>
      </c>
      <c r="D242" s="10">
        <v>1801</v>
      </c>
      <c r="E242" s="10" t="s">
        <v>583</v>
      </c>
      <c r="F242" s="10">
        <v>0</v>
      </c>
      <c r="G242" s="10" t="s">
        <v>343</v>
      </c>
      <c r="H242" s="10">
        <v>0</v>
      </c>
      <c r="I242" s="10" t="s">
        <v>343</v>
      </c>
      <c r="J242" s="11">
        <v>10954</v>
      </c>
      <c r="K242" s="11">
        <v>11729</v>
      </c>
      <c r="L242" s="11">
        <v>22683</v>
      </c>
      <c r="M242" s="11">
        <v>9117</v>
      </c>
    </row>
    <row r="243" spans="1:13" x14ac:dyDescent="0.3">
      <c r="A243" s="10">
        <v>6712</v>
      </c>
      <c r="B243" s="10">
        <v>18</v>
      </c>
      <c r="C243" s="10" t="s">
        <v>582</v>
      </c>
      <c r="D243" s="10">
        <v>1802</v>
      </c>
      <c r="E243" s="10" t="s">
        <v>584</v>
      </c>
      <c r="F243" s="10">
        <v>0</v>
      </c>
      <c r="G243" s="10" t="s">
        <v>343</v>
      </c>
      <c r="H243" s="10">
        <v>0</v>
      </c>
      <c r="I243" s="10" t="s">
        <v>343</v>
      </c>
      <c r="J243" s="11">
        <v>11065</v>
      </c>
      <c r="K243" s="11">
        <v>12139</v>
      </c>
      <c r="L243" s="11">
        <v>23204</v>
      </c>
      <c r="M243" s="11">
        <v>9341</v>
      </c>
    </row>
    <row r="244" spans="1:13" x14ac:dyDescent="0.3">
      <c r="A244" s="10">
        <v>6712</v>
      </c>
      <c r="B244" s="10">
        <v>18</v>
      </c>
      <c r="C244" s="10" t="s">
        <v>582</v>
      </c>
      <c r="D244" s="10">
        <v>1803</v>
      </c>
      <c r="E244" s="10" t="s">
        <v>585</v>
      </c>
      <c r="F244" s="10">
        <v>0</v>
      </c>
      <c r="G244" s="10" t="s">
        <v>343</v>
      </c>
      <c r="H244" s="10">
        <v>0</v>
      </c>
      <c r="I244" s="10" t="s">
        <v>343</v>
      </c>
      <c r="J244" s="11">
        <v>10487</v>
      </c>
      <c r="K244" s="11">
        <v>11203</v>
      </c>
      <c r="L244" s="11">
        <v>21690</v>
      </c>
      <c r="M244" s="11">
        <v>9659</v>
      </c>
    </row>
    <row r="245" spans="1:13" x14ac:dyDescent="0.3">
      <c r="A245" s="10">
        <v>6712</v>
      </c>
      <c r="B245" s="10">
        <v>18</v>
      </c>
      <c r="C245" s="10" t="s">
        <v>582</v>
      </c>
      <c r="D245" s="10">
        <v>1804</v>
      </c>
      <c r="E245" s="10" t="s">
        <v>586</v>
      </c>
      <c r="F245" s="10">
        <v>0</v>
      </c>
      <c r="G245" s="10" t="s">
        <v>343</v>
      </c>
      <c r="H245" s="10">
        <v>0</v>
      </c>
      <c r="I245" s="10" t="s">
        <v>343</v>
      </c>
      <c r="J245" s="11">
        <v>14409</v>
      </c>
      <c r="K245" s="11">
        <v>15479</v>
      </c>
      <c r="L245" s="11">
        <v>29888</v>
      </c>
      <c r="M245" s="11">
        <v>12121</v>
      </c>
    </row>
    <row r="246" spans="1:13" x14ac:dyDescent="0.3">
      <c r="A246" s="10">
        <v>6712</v>
      </c>
      <c r="B246" s="10">
        <v>18</v>
      </c>
      <c r="C246" s="10" t="s">
        <v>582</v>
      </c>
      <c r="D246" s="10">
        <v>1805</v>
      </c>
      <c r="E246" s="10" t="s">
        <v>587</v>
      </c>
      <c r="F246" s="10">
        <v>0</v>
      </c>
      <c r="G246" s="10" t="s">
        <v>343</v>
      </c>
      <c r="H246" s="10">
        <v>0</v>
      </c>
      <c r="I246" s="10" t="s">
        <v>343</v>
      </c>
      <c r="J246" s="11">
        <v>28442</v>
      </c>
      <c r="K246" s="11">
        <v>30956</v>
      </c>
      <c r="L246" s="11">
        <v>59398</v>
      </c>
      <c r="M246" s="11">
        <v>22886</v>
      </c>
    </row>
    <row r="247" spans="1:13" x14ac:dyDescent="0.3">
      <c r="A247" s="10">
        <v>6712</v>
      </c>
      <c r="B247" s="10">
        <v>18</v>
      </c>
      <c r="C247" s="10" t="s">
        <v>582</v>
      </c>
      <c r="D247" s="10">
        <v>1806</v>
      </c>
      <c r="E247" s="10" t="s">
        <v>588</v>
      </c>
      <c r="F247" s="10">
        <v>0</v>
      </c>
      <c r="G247" s="10" t="s">
        <v>343</v>
      </c>
      <c r="H247" s="10">
        <v>0</v>
      </c>
      <c r="I247" s="10" t="s">
        <v>343</v>
      </c>
      <c r="J247" s="11">
        <v>19462</v>
      </c>
      <c r="K247" s="11">
        <v>20748</v>
      </c>
      <c r="L247" s="11">
        <v>40210</v>
      </c>
      <c r="M247" s="11">
        <v>15267</v>
      </c>
    </row>
    <row r="248" spans="1:13" x14ac:dyDescent="0.3">
      <c r="A248" s="10">
        <v>6712</v>
      </c>
      <c r="B248" s="10">
        <v>18</v>
      </c>
      <c r="C248" s="10" t="s">
        <v>582</v>
      </c>
      <c r="D248" s="10">
        <v>1807</v>
      </c>
      <c r="E248" s="10" t="s">
        <v>589</v>
      </c>
      <c r="F248" s="10">
        <v>0</v>
      </c>
      <c r="G248" s="10" t="s">
        <v>343</v>
      </c>
      <c r="H248" s="10">
        <v>0</v>
      </c>
      <c r="I248" s="10" t="s">
        <v>343</v>
      </c>
      <c r="J248" s="11">
        <v>6199</v>
      </c>
      <c r="K248" s="11">
        <v>6426</v>
      </c>
      <c r="L248" s="11">
        <v>12625</v>
      </c>
      <c r="M248" s="11">
        <v>5316</v>
      </c>
    </row>
    <row r="249" spans="1:13" x14ac:dyDescent="0.3">
      <c r="A249" s="10">
        <v>6712</v>
      </c>
      <c r="B249" s="10">
        <v>18</v>
      </c>
      <c r="C249" s="10" t="s">
        <v>582</v>
      </c>
      <c r="D249" s="10">
        <v>1808</v>
      </c>
      <c r="E249" s="10" t="s">
        <v>590</v>
      </c>
      <c r="F249" s="10">
        <v>0</v>
      </c>
      <c r="G249" s="10" t="s">
        <v>343</v>
      </c>
      <c r="H249" s="10">
        <v>0</v>
      </c>
      <c r="I249" s="10" t="s">
        <v>343</v>
      </c>
      <c r="J249" s="11">
        <v>5241</v>
      </c>
      <c r="K249" s="11">
        <v>5436</v>
      </c>
      <c r="L249" s="11">
        <v>10677</v>
      </c>
      <c r="M249" s="11">
        <v>4139</v>
      </c>
    </row>
    <row r="250" spans="1:13" x14ac:dyDescent="0.3">
      <c r="A250" s="10">
        <v>6712</v>
      </c>
      <c r="B250" s="10">
        <v>18</v>
      </c>
      <c r="C250" s="10" t="s">
        <v>582</v>
      </c>
      <c r="D250" s="10">
        <v>1880</v>
      </c>
      <c r="E250" s="10" t="s">
        <v>463</v>
      </c>
      <c r="F250" s="10">
        <v>0</v>
      </c>
      <c r="G250" s="10" t="s">
        <v>343</v>
      </c>
      <c r="H250" s="10">
        <v>0</v>
      </c>
      <c r="I250" s="10" t="s">
        <v>343</v>
      </c>
      <c r="J250" s="11">
        <v>2396</v>
      </c>
      <c r="K250" s="11">
        <v>2684</v>
      </c>
      <c r="L250" s="11">
        <v>5080</v>
      </c>
      <c r="M250" s="11">
        <v>2670</v>
      </c>
    </row>
    <row r="251" spans="1:13" x14ac:dyDescent="0.3">
      <c r="A251" s="10">
        <v>6712</v>
      </c>
      <c r="B251" s="10">
        <v>18</v>
      </c>
      <c r="C251" s="10" t="s">
        <v>582</v>
      </c>
      <c r="D251" s="10">
        <v>1881</v>
      </c>
      <c r="E251" s="10" t="s">
        <v>591</v>
      </c>
      <c r="F251" s="10">
        <v>0</v>
      </c>
      <c r="G251" s="10" t="s">
        <v>343</v>
      </c>
      <c r="H251" s="10">
        <v>0</v>
      </c>
      <c r="I251" s="10" t="s">
        <v>343</v>
      </c>
      <c r="J251" s="11">
        <v>3469</v>
      </c>
      <c r="K251" s="11">
        <v>3879</v>
      </c>
      <c r="L251" s="11">
        <v>7348</v>
      </c>
      <c r="M251" s="11">
        <v>2656</v>
      </c>
    </row>
    <row r="252" spans="1:13" x14ac:dyDescent="0.3">
      <c r="A252" s="10">
        <v>6712</v>
      </c>
      <c r="B252" s="10">
        <v>18</v>
      </c>
      <c r="C252" s="10" t="s">
        <v>582</v>
      </c>
      <c r="D252" s="10">
        <v>1882</v>
      </c>
      <c r="E252" s="10" t="s">
        <v>592</v>
      </c>
      <c r="F252" s="10">
        <v>0</v>
      </c>
      <c r="G252" s="10" t="s">
        <v>343</v>
      </c>
      <c r="H252" s="10">
        <v>0</v>
      </c>
      <c r="I252" s="10" t="s">
        <v>343</v>
      </c>
      <c r="J252" s="11">
        <v>3604</v>
      </c>
      <c r="K252" s="11">
        <v>3787</v>
      </c>
      <c r="L252" s="11">
        <v>7391</v>
      </c>
      <c r="M252" s="11">
        <v>2559</v>
      </c>
    </row>
    <row r="253" spans="1:13" x14ac:dyDescent="0.3">
      <c r="A253" s="10">
        <v>6712</v>
      </c>
      <c r="B253" s="10">
        <v>18</v>
      </c>
      <c r="C253" s="10" t="s">
        <v>582</v>
      </c>
      <c r="D253" s="10">
        <v>1883</v>
      </c>
      <c r="E253" s="10" t="s">
        <v>593</v>
      </c>
      <c r="F253" s="10">
        <v>0</v>
      </c>
      <c r="G253" s="10" t="s">
        <v>343</v>
      </c>
      <c r="H253" s="10">
        <v>0</v>
      </c>
      <c r="I253" s="10" t="s">
        <v>343</v>
      </c>
      <c r="J253" s="11">
        <v>2391</v>
      </c>
      <c r="K253" s="11">
        <v>2539</v>
      </c>
      <c r="L253" s="11">
        <v>4930</v>
      </c>
      <c r="M253" s="11">
        <v>1886</v>
      </c>
    </row>
    <row r="254" spans="1:13" x14ac:dyDescent="0.3">
      <c r="A254" s="10">
        <v>6712</v>
      </c>
      <c r="B254" s="10">
        <v>18</v>
      </c>
      <c r="C254" s="10" t="s">
        <v>582</v>
      </c>
      <c r="D254" s="10">
        <v>1884</v>
      </c>
      <c r="E254" s="10" t="s">
        <v>594</v>
      </c>
      <c r="F254" s="10">
        <v>0</v>
      </c>
      <c r="G254" s="10" t="s">
        <v>343</v>
      </c>
      <c r="H254" s="10">
        <v>0</v>
      </c>
      <c r="I254" s="10" t="s">
        <v>343</v>
      </c>
      <c r="J254" s="11">
        <v>3511</v>
      </c>
      <c r="K254" s="11">
        <v>4250</v>
      </c>
      <c r="L254" s="11">
        <v>7761</v>
      </c>
      <c r="M254" s="11">
        <v>2794</v>
      </c>
    </row>
    <row r="255" spans="1:13" x14ac:dyDescent="0.3">
      <c r="A255" s="10">
        <v>6712</v>
      </c>
      <c r="B255" s="10">
        <v>18</v>
      </c>
      <c r="C255" s="10" t="s">
        <v>582</v>
      </c>
      <c r="D255" s="10">
        <v>1885</v>
      </c>
      <c r="E255" s="10" t="s">
        <v>595</v>
      </c>
      <c r="F255" s="10">
        <v>0</v>
      </c>
      <c r="G255" s="10" t="s">
        <v>343</v>
      </c>
      <c r="H255" s="10">
        <v>0</v>
      </c>
      <c r="I255" s="10" t="s">
        <v>343</v>
      </c>
      <c r="J255" s="11">
        <v>3322</v>
      </c>
      <c r="K255" s="11">
        <v>3775</v>
      </c>
      <c r="L255" s="11">
        <v>7097</v>
      </c>
      <c r="M255" s="11">
        <v>3800</v>
      </c>
    </row>
    <row r="256" spans="1:13" x14ac:dyDescent="0.3">
      <c r="A256" s="10">
        <v>6712</v>
      </c>
      <c r="B256" s="10">
        <v>18</v>
      </c>
      <c r="C256" s="10" t="s">
        <v>582</v>
      </c>
      <c r="D256" s="10">
        <v>1887</v>
      </c>
      <c r="E256" s="10" t="s">
        <v>596</v>
      </c>
      <c r="F256" s="10">
        <v>0</v>
      </c>
      <c r="G256" s="10" t="s">
        <v>343</v>
      </c>
      <c r="H256" s="10">
        <v>0</v>
      </c>
      <c r="I256" s="10" t="s">
        <v>343</v>
      </c>
      <c r="J256" s="11">
        <v>3682</v>
      </c>
      <c r="K256" s="11">
        <v>3844</v>
      </c>
      <c r="L256" s="11">
        <v>7526</v>
      </c>
      <c r="M256" s="11">
        <v>2908</v>
      </c>
    </row>
    <row r="257" spans="1:13" x14ac:dyDescent="0.3">
      <c r="A257" s="10">
        <v>6712</v>
      </c>
      <c r="B257" s="10">
        <v>18</v>
      </c>
      <c r="C257" s="10" t="s">
        <v>582</v>
      </c>
      <c r="D257" s="10">
        <v>1889</v>
      </c>
      <c r="E257" s="10" t="s">
        <v>597</v>
      </c>
      <c r="F257" s="10">
        <v>0</v>
      </c>
      <c r="G257" s="10" t="s">
        <v>343</v>
      </c>
      <c r="H257" s="10">
        <v>0</v>
      </c>
      <c r="I257" s="10" t="s">
        <v>343</v>
      </c>
      <c r="J257" s="11">
        <v>3212</v>
      </c>
      <c r="K257" s="11">
        <v>3381</v>
      </c>
      <c r="L257" s="11">
        <v>6593</v>
      </c>
      <c r="M257" s="11">
        <v>2587</v>
      </c>
    </row>
    <row r="258" spans="1:13" x14ac:dyDescent="0.3">
      <c r="A258" s="10">
        <v>6712</v>
      </c>
      <c r="B258" s="10">
        <v>18</v>
      </c>
      <c r="C258" s="10" t="s">
        <v>582</v>
      </c>
      <c r="D258" s="10">
        <v>1890</v>
      </c>
      <c r="E258" s="10" t="s">
        <v>598</v>
      </c>
      <c r="F258" s="10">
        <v>0</v>
      </c>
      <c r="G258" s="10" t="s">
        <v>343</v>
      </c>
      <c r="H258" s="10">
        <v>0</v>
      </c>
      <c r="I258" s="10" t="s">
        <v>343</v>
      </c>
      <c r="J258" s="11">
        <v>2799</v>
      </c>
      <c r="K258" s="11">
        <v>3095</v>
      </c>
      <c r="L258" s="11">
        <v>5894</v>
      </c>
      <c r="M258" s="11">
        <v>2800</v>
      </c>
    </row>
    <row r="259" spans="1:13" x14ac:dyDescent="0.3">
      <c r="A259" s="10">
        <v>6712</v>
      </c>
      <c r="B259" s="10">
        <v>18</v>
      </c>
      <c r="C259" s="10" t="s">
        <v>582</v>
      </c>
      <c r="D259" s="10">
        <v>1891</v>
      </c>
      <c r="E259" s="10" t="s">
        <v>599</v>
      </c>
      <c r="F259" s="10">
        <v>0</v>
      </c>
      <c r="G259" s="10" t="s">
        <v>343</v>
      </c>
      <c r="H259" s="10">
        <v>0</v>
      </c>
      <c r="I259" s="10" t="s">
        <v>343</v>
      </c>
      <c r="J259" s="11">
        <v>1845</v>
      </c>
      <c r="K259" s="11">
        <v>2070</v>
      </c>
      <c r="L259" s="11">
        <v>3915</v>
      </c>
      <c r="M259" s="11">
        <v>2504</v>
      </c>
    </row>
    <row r="260" spans="1:13" x14ac:dyDescent="0.3">
      <c r="A260" s="10">
        <v>6712</v>
      </c>
      <c r="B260" s="10">
        <v>18</v>
      </c>
      <c r="C260" s="10" t="s">
        <v>582</v>
      </c>
      <c r="D260" s="10">
        <v>1892</v>
      </c>
      <c r="E260" s="10" t="s">
        <v>600</v>
      </c>
      <c r="F260" s="10">
        <v>0</v>
      </c>
      <c r="G260" s="10" t="s">
        <v>343</v>
      </c>
      <c r="H260" s="10">
        <v>0</v>
      </c>
      <c r="I260" s="10" t="s">
        <v>343</v>
      </c>
      <c r="J260" s="10">
        <v>597</v>
      </c>
      <c r="K260" s="10">
        <v>644</v>
      </c>
      <c r="L260" s="11">
        <v>1241</v>
      </c>
      <c r="M260" s="10">
        <v>492</v>
      </c>
    </row>
    <row r="261" spans="1:13" x14ac:dyDescent="0.3">
      <c r="A261" s="10">
        <v>6712</v>
      </c>
      <c r="B261" s="10">
        <v>18</v>
      </c>
      <c r="C261" s="10" t="s">
        <v>582</v>
      </c>
      <c r="D261" s="10">
        <v>1893</v>
      </c>
      <c r="E261" s="10" t="s">
        <v>601</v>
      </c>
      <c r="F261" s="10">
        <v>0</v>
      </c>
      <c r="G261" s="10" t="s">
        <v>343</v>
      </c>
      <c r="H261" s="10">
        <v>0</v>
      </c>
      <c r="I261" s="10" t="s">
        <v>343</v>
      </c>
      <c r="J261" s="11">
        <v>1110</v>
      </c>
      <c r="K261" s="11">
        <v>1264</v>
      </c>
      <c r="L261" s="11">
        <v>2374</v>
      </c>
      <c r="M261" s="11">
        <v>1401</v>
      </c>
    </row>
    <row r="262" spans="1:13" x14ac:dyDescent="0.3">
      <c r="A262" s="10">
        <v>6712</v>
      </c>
      <c r="B262" s="10">
        <v>18</v>
      </c>
      <c r="C262" s="10" t="s">
        <v>582</v>
      </c>
      <c r="D262" s="10">
        <v>1894</v>
      </c>
      <c r="E262" s="10" t="s">
        <v>602</v>
      </c>
      <c r="F262" s="10">
        <v>0</v>
      </c>
      <c r="G262" s="10" t="s">
        <v>343</v>
      </c>
      <c r="H262" s="10">
        <v>0</v>
      </c>
      <c r="I262" s="10" t="s">
        <v>343</v>
      </c>
      <c r="J262" s="11">
        <v>1421</v>
      </c>
      <c r="K262" s="11">
        <v>1509</v>
      </c>
      <c r="L262" s="11">
        <v>2930</v>
      </c>
      <c r="M262" s="11">
        <v>1399</v>
      </c>
    </row>
    <row r="263" spans="1:13" x14ac:dyDescent="0.3">
      <c r="A263" s="10">
        <v>6712</v>
      </c>
      <c r="B263" s="10">
        <v>18</v>
      </c>
      <c r="C263" s="10" t="s">
        <v>582</v>
      </c>
      <c r="D263" s="10">
        <v>1895</v>
      </c>
      <c r="E263" s="10" t="s">
        <v>603</v>
      </c>
      <c r="F263" s="10">
        <v>0</v>
      </c>
      <c r="G263" s="10" t="s">
        <v>343</v>
      </c>
      <c r="H263" s="10">
        <v>0</v>
      </c>
      <c r="I263" s="10" t="s">
        <v>343</v>
      </c>
      <c r="J263" s="10">
        <v>689</v>
      </c>
      <c r="K263" s="10">
        <v>781</v>
      </c>
      <c r="L263" s="11">
        <v>1470</v>
      </c>
      <c r="M263" s="10">
        <v>585</v>
      </c>
    </row>
    <row r="264" spans="1:13" x14ac:dyDescent="0.3">
      <c r="A264" s="10">
        <v>6712</v>
      </c>
      <c r="B264" s="10">
        <v>18</v>
      </c>
      <c r="C264" s="10" t="s">
        <v>582</v>
      </c>
      <c r="D264" s="10">
        <v>1896</v>
      </c>
      <c r="E264" s="10" t="s">
        <v>604</v>
      </c>
      <c r="F264" s="10">
        <v>0</v>
      </c>
      <c r="G264" s="10" t="s">
        <v>343</v>
      </c>
      <c r="H264" s="10">
        <v>0</v>
      </c>
      <c r="I264" s="10" t="s">
        <v>343</v>
      </c>
      <c r="J264" s="11">
        <v>2886</v>
      </c>
      <c r="K264" s="11">
        <v>3140</v>
      </c>
      <c r="L264" s="11">
        <v>6026</v>
      </c>
      <c r="M264" s="11">
        <v>3329</v>
      </c>
    </row>
    <row r="265" spans="1:13" x14ac:dyDescent="0.3">
      <c r="A265" s="10">
        <v>6712</v>
      </c>
      <c r="B265" s="10">
        <v>18</v>
      </c>
      <c r="C265" s="10" t="s">
        <v>582</v>
      </c>
      <c r="D265" s="10">
        <v>1897</v>
      </c>
      <c r="E265" s="10" t="s">
        <v>605</v>
      </c>
      <c r="F265" s="10">
        <v>0</v>
      </c>
      <c r="G265" s="10" t="s">
        <v>343</v>
      </c>
      <c r="H265" s="10">
        <v>0</v>
      </c>
      <c r="I265" s="10" t="s">
        <v>343</v>
      </c>
      <c r="J265" s="10">
        <v>845</v>
      </c>
      <c r="K265" s="10">
        <v>929</v>
      </c>
      <c r="L265" s="11">
        <v>1774</v>
      </c>
      <c r="M265" s="11">
        <v>1015</v>
      </c>
    </row>
    <row r="266" spans="1:13" x14ac:dyDescent="0.3">
      <c r="A266" s="10">
        <v>6712</v>
      </c>
      <c r="B266" s="10">
        <v>18</v>
      </c>
      <c r="C266" s="10" t="s">
        <v>582</v>
      </c>
      <c r="D266" s="10">
        <v>1898</v>
      </c>
      <c r="E266" s="10" t="s">
        <v>606</v>
      </c>
      <c r="F266" s="10">
        <v>0</v>
      </c>
      <c r="G266" s="10" t="s">
        <v>343</v>
      </c>
      <c r="H266" s="10">
        <v>0</v>
      </c>
      <c r="I266" s="10" t="s">
        <v>343</v>
      </c>
      <c r="J266" s="11">
        <v>1418</v>
      </c>
      <c r="K266" s="11">
        <v>1587</v>
      </c>
      <c r="L266" s="11">
        <v>3005</v>
      </c>
      <c r="M266" s="11">
        <v>1989</v>
      </c>
    </row>
    <row r="267" spans="1:13" x14ac:dyDescent="0.3">
      <c r="A267" s="10">
        <v>6712</v>
      </c>
      <c r="B267" s="10">
        <v>18</v>
      </c>
      <c r="C267" s="10" t="s">
        <v>582</v>
      </c>
      <c r="D267" s="10">
        <v>1899</v>
      </c>
      <c r="E267" s="10" t="s">
        <v>607</v>
      </c>
      <c r="F267" s="10">
        <v>0</v>
      </c>
      <c r="G267" s="10" t="s">
        <v>343</v>
      </c>
      <c r="H267" s="10">
        <v>0</v>
      </c>
      <c r="I267" s="10" t="s">
        <v>343</v>
      </c>
      <c r="J267" s="11">
        <v>5039</v>
      </c>
      <c r="K267" s="11">
        <v>5990</v>
      </c>
      <c r="L267" s="11">
        <v>11029</v>
      </c>
      <c r="M267" s="11">
        <v>7688</v>
      </c>
    </row>
    <row r="268" spans="1:13" x14ac:dyDescent="0.3">
      <c r="A268" s="10">
        <v>6712</v>
      </c>
      <c r="B268" s="10">
        <v>19</v>
      </c>
      <c r="C268" s="10" t="s">
        <v>608</v>
      </c>
      <c r="D268" s="10">
        <v>0</v>
      </c>
      <c r="E268" s="10" t="s">
        <v>343</v>
      </c>
      <c r="F268" s="10">
        <v>0</v>
      </c>
      <c r="G268" s="10" t="s">
        <v>343</v>
      </c>
      <c r="H268" s="10">
        <v>0</v>
      </c>
      <c r="I268" s="10" t="s">
        <v>343</v>
      </c>
      <c r="J268" s="11">
        <v>313262</v>
      </c>
      <c r="K268" s="11">
        <v>325903</v>
      </c>
      <c r="L268" s="11">
        <v>639165</v>
      </c>
      <c r="M268" s="11">
        <v>305526</v>
      </c>
    </row>
    <row r="269" spans="1:13" x14ac:dyDescent="0.3">
      <c r="A269" s="10">
        <v>6712</v>
      </c>
      <c r="B269" s="10">
        <v>19</v>
      </c>
      <c r="C269" s="10" t="s">
        <v>608</v>
      </c>
      <c r="D269" s="10">
        <v>1901</v>
      </c>
      <c r="E269" s="10" t="s">
        <v>609</v>
      </c>
      <c r="F269" s="10">
        <v>0</v>
      </c>
      <c r="G269" s="10" t="s">
        <v>343</v>
      </c>
      <c r="H269" s="10">
        <v>0</v>
      </c>
      <c r="I269" s="10" t="s">
        <v>343</v>
      </c>
      <c r="J269" s="11">
        <v>26031</v>
      </c>
      <c r="K269" s="11">
        <v>22612</v>
      </c>
      <c r="L269" s="11">
        <v>48643</v>
      </c>
      <c r="M269" s="11">
        <v>21717</v>
      </c>
    </row>
    <row r="270" spans="1:13" x14ac:dyDescent="0.3">
      <c r="A270" s="10">
        <v>6712</v>
      </c>
      <c r="B270" s="10">
        <v>19</v>
      </c>
      <c r="C270" s="10" t="s">
        <v>608</v>
      </c>
      <c r="D270" s="10">
        <v>1902</v>
      </c>
      <c r="E270" s="10" t="s">
        <v>610</v>
      </c>
      <c r="F270" s="10">
        <v>0</v>
      </c>
      <c r="G270" s="10" t="s">
        <v>343</v>
      </c>
      <c r="H270" s="10">
        <v>0</v>
      </c>
      <c r="I270" s="10" t="s">
        <v>343</v>
      </c>
      <c r="J270" s="11">
        <v>34838</v>
      </c>
      <c r="K270" s="11">
        <v>35823</v>
      </c>
      <c r="L270" s="11">
        <v>70661</v>
      </c>
      <c r="M270" s="11">
        <v>33528</v>
      </c>
    </row>
    <row r="271" spans="1:13" x14ac:dyDescent="0.3">
      <c r="A271" s="10">
        <v>6712</v>
      </c>
      <c r="B271" s="10">
        <v>19</v>
      </c>
      <c r="C271" s="10" t="s">
        <v>608</v>
      </c>
      <c r="D271" s="10">
        <v>1903</v>
      </c>
      <c r="E271" s="10" t="s">
        <v>611</v>
      </c>
      <c r="F271" s="10">
        <v>0</v>
      </c>
      <c r="G271" s="10" t="s">
        <v>343</v>
      </c>
      <c r="H271" s="10">
        <v>0</v>
      </c>
      <c r="I271" s="10" t="s">
        <v>343</v>
      </c>
      <c r="J271" s="11">
        <v>33161</v>
      </c>
      <c r="K271" s="11">
        <v>35329</v>
      </c>
      <c r="L271" s="11">
        <v>68490</v>
      </c>
      <c r="M271" s="11">
        <v>36588</v>
      </c>
    </row>
    <row r="272" spans="1:13" x14ac:dyDescent="0.3">
      <c r="A272" s="10">
        <v>6712</v>
      </c>
      <c r="B272" s="10">
        <v>19</v>
      </c>
      <c r="C272" s="10" t="s">
        <v>608</v>
      </c>
      <c r="D272" s="10">
        <v>1904</v>
      </c>
      <c r="E272" s="10" t="s">
        <v>612</v>
      </c>
      <c r="F272" s="10">
        <v>0</v>
      </c>
      <c r="G272" s="10" t="s">
        <v>343</v>
      </c>
      <c r="H272" s="10">
        <v>0</v>
      </c>
      <c r="I272" s="10" t="s">
        <v>343</v>
      </c>
      <c r="J272" s="11">
        <v>16252</v>
      </c>
      <c r="K272" s="11">
        <v>17001</v>
      </c>
      <c r="L272" s="11">
        <v>33253</v>
      </c>
      <c r="M272" s="11">
        <v>12991</v>
      </c>
    </row>
    <row r="273" spans="1:13" x14ac:dyDescent="0.3">
      <c r="A273" s="10">
        <v>6712</v>
      </c>
      <c r="B273" s="10">
        <v>19</v>
      </c>
      <c r="C273" s="10" t="s">
        <v>608</v>
      </c>
      <c r="D273" s="10">
        <v>1905</v>
      </c>
      <c r="E273" s="10" t="s">
        <v>613</v>
      </c>
      <c r="F273" s="10">
        <v>0</v>
      </c>
      <c r="G273" s="10" t="s">
        <v>343</v>
      </c>
      <c r="H273" s="10">
        <v>0</v>
      </c>
      <c r="I273" s="10" t="s">
        <v>343</v>
      </c>
      <c r="J273" s="11">
        <v>6158</v>
      </c>
      <c r="K273" s="11">
        <v>6875</v>
      </c>
      <c r="L273" s="11">
        <v>13033</v>
      </c>
      <c r="M273" s="11">
        <v>4803</v>
      </c>
    </row>
    <row r="274" spans="1:13" x14ac:dyDescent="0.3">
      <c r="A274" s="10">
        <v>6712</v>
      </c>
      <c r="B274" s="10">
        <v>19</v>
      </c>
      <c r="C274" s="10" t="s">
        <v>608</v>
      </c>
      <c r="D274" s="10">
        <v>1906</v>
      </c>
      <c r="E274" s="10" t="s">
        <v>614</v>
      </c>
      <c r="F274" s="10">
        <v>0</v>
      </c>
      <c r="G274" s="10" t="s">
        <v>343</v>
      </c>
      <c r="H274" s="10">
        <v>0</v>
      </c>
      <c r="I274" s="10" t="s">
        <v>343</v>
      </c>
      <c r="J274" s="11">
        <v>15150</v>
      </c>
      <c r="K274" s="11">
        <v>16198</v>
      </c>
      <c r="L274" s="11">
        <v>31348</v>
      </c>
      <c r="M274" s="11">
        <v>13085</v>
      </c>
    </row>
    <row r="275" spans="1:13" x14ac:dyDescent="0.3">
      <c r="A275" s="10">
        <v>6712</v>
      </c>
      <c r="B275" s="10">
        <v>19</v>
      </c>
      <c r="C275" s="10" t="s">
        <v>608</v>
      </c>
      <c r="D275" s="10">
        <v>1907</v>
      </c>
      <c r="E275" s="10" t="s">
        <v>615</v>
      </c>
      <c r="F275" s="10">
        <v>0</v>
      </c>
      <c r="G275" s="10" t="s">
        <v>343</v>
      </c>
      <c r="H275" s="10">
        <v>0</v>
      </c>
      <c r="I275" s="10" t="s">
        <v>343</v>
      </c>
      <c r="J275" s="10">
        <v>977</v>
      </c>
      <c r="K275" s="11">
        <v>1072</v>
      </c>
      <c r="L275" s="11">
        <v>2049</v>
      </c>
      <c r="M275" s="10">
        <v>685</v>
      </c>
    </row>
    <row r="276" spans="1:13" x14ac:dyDescent="0.3">
      <c r="A276" s="10">
        <v>6712</v>
      </c>
      <c r="B276" s="10">
        <v>19</v>
      </c>
      <c r="C276" s="10" t="s">
        <v>608</v>
      </c>
      <c r="D276" s="10">
        <v>1908</v>
      </c>
      <c r="E276" s="10" t="s">
        <v>616</v>
      </c>
      <c r="F276" s="10">
        <v>0</v>
      </c>
      <c r="G276" s="10" t="s">
        <v>343</v>
      </c>
      <c r="H276" s="10">
        <v>0</v>
      </c>
      <c r="I276" s="10" t="s">
        <v>343</v>
      </c>
      <c r="J276" s="11">
        <v>5497</v>
      </c>
      <c r="K276" s="11">
        <v>5825</v>
      </c>
      <c r="L276" s="11">
        <v>11322</v>
      </c>
      <c r="M276" s="11">
        <v>4811</v>
      </c>
    </row>
    <row r="277" spans="1:13" x14ac:dyDescent="0.3">
      <c r="A277" s="10">
        <v>6712</v>
      </c>
      <c r="B277" s="10">
        <v>19</v>
      </c>
      <c r="C277" s="10" t="s">
        <v>608</v>
      </c>
      <c r="D277" s="10">
        <v>1909</v>
      </c>
      <c r="E277" s="10" t="s">
        <v>617</v>
      </c>
      <c r="F277" s="10">
        <v>0</v>
      </c>
      <c r="G277" s="10" t="s">
        <v>343</v>
      </c>
      <c r="H277" s="10">
        <v>0</v>
      </c>
      <c r="I277" s="10" t="s">
        <v>343</v>
      </c>
      <c r="J277" s="11">
        <v>12169</v>
      </c>
      <c r="K277" s="11">
        <v>12970</v>
      </c>
      <c r="L277" s="11">
        <v>25139</v>
      </c>
      <c r="M277" s="11">
        <v>10928</v>
      </c>
    </row>
    <row r="278" spans="1:13" x14ac:dyDescent="0.3">
      <c r="A278" s="10">
        <v>6712</v>
      </c>
      <c r="B278" s="10">
        <v>19</v>
      </c>
      <c r="C278" s="10" t="s">
        <v>608</v>
      </c>
      <c r="D278" s="10">
        <v>1910</v>
      </c>
      <c r="E278" s="10" t="s">
        <v>618</v>
      </c>
      <c r="F278" s="10">
        <v>0</v>
      </c>
      <c r="G278" s="10" t="s">
        <v>343</v>
      </c>
      <c r="H278" s="10">
        <v>0</v>
      </c>
      <c r="I278" s="10" t="s">
        <v>343</v>
      </c>
      <c r="J278" s="11">
        <v>10617</v>
      </c>
      <c r="K278" s="11">
        <v>11643</v>
      </c>
      <c r="L278" s="11">
        <v>22260</v>
      </c>
      <c r="M278" s="11">
        <v>9050</v>
      </c>
    </row>
    <row r="279" spans="1:13" x14ac:dyDescent="0.3">
      <c r="A279" s="10">
        <v>6712</v>
      </c>
      <c r="B279" s="10">
        <v>19</v>
      </c>
      <c r="C279" s="10" t="s">
        <v>608</v>
      </c>
      <c r="D279" s="10">
        <v>1911</v>
      </c>
      <c r="E279" s="10" t="s">
        <v>619</v>
      </c>
      <c r="F279" s="10">
        <v>0</v>
      </c>
      <c r="G279" s="10" t="s">
        <v>343</v>
      </c>
      <c r="H279" s="10">
        <v>0</v>
      </c>
      <c r="I279" s="10" t="s">
        <v>343</v>
      </c>
      <c r="J279" s="11">
        <v>24982</v>
      </c>
      <c r="K279" s="11">
        <v>24992</v>
      </c>
      <c r="L279" s="11">
        <v>49974</v>
      </c>
      <c r="M279" s="11">
        <v>23406</v>
      </c>
    </row>
    <row r="280" spans="1:13" x14ac:dyDescent="0.3">
      <c r="A280" s="10">
        <v>6712</v>
      </c>
      <c r="B280" s="10">
        <v>19</v>
      </c>
      <c r="C280" s="10" t="s">
        <v>608</v>
      </c>
      <c r="D280" s="10">
        <v>1912</v>
      </c>
      <c r="E280" s="10" t="s">
        <v>620</v>
      </c>
      <c r="F280" s="10">
        <v>0</v>
      </c>
      <c r="G280" s="10" t="s">
        <v>343</v>
      </c>
      <c r="H280" s="10">
        <v>0</v>
      </c>
      <c r="I280" s="10" t="s">
        <v>343</v>
      </c>
      <c r="J280" s="11">
        <v>5638</v>
      </c>
      <c r="K280" s="11">
        <v>5929</v>
      </c>
      <c r="L280" s="11">
        <v>11567</v>
      </c>
      <c r="M280" s="11">
        <v>4845</v>
      </c>
    </row>
    <row r="281" spans="1:13" x14ac:dyDescent="0.3">
      <c r="A281" s="10">
        <v>6712</v>
      </c>
      <c r="B281" s="10">
        <v>19</v>
      </c>
      <c r="C281" s="10" t="s">
        <v>608</v>
      </c>
      <c r="D281" s="10">
        <v>1913</v>
      </c>
      <c r="E281" s="10" t="s">
        <v>621</v>
      </c>
      <c r="F281" s="10">
        <v>0</v>
      </c>
      <c r="G281" s="10" t="s">
        <v>343</v>
      </c>
      <c r="H281" s="10">
        <v>0</v>
      </c>
      <c r="I281" s="10" t="s">
        <v>343</v>
      </c>
      <c r="J281" s="11">
        <v>14832</v>
      </c>
      <c r="K281" s="11">
        <v>15760</v>
      </c>
      <c r="L281" s="11">
        <v>30592</v>
      </c>
      <c r="M281" s="11">
        <v>13862</v>
      </c>
    </row>
    <row r="282" spans="1:13" x14ac:dyDescent="0.3">
      <c r="A282" s="10">
        <v>6712</v>
      </c>
      <c r="B282" s="10">
        <v>19</v>
      </c>
      <c r="C282" s="10" t="s">
        <v>608</v>
      </c>
      <c r="D282" s="10">
        <v>1974</v>
      </c>
      <c r="E282" s="10" t="s">
        <v>622</v>
      </c>
      <c r="F282" s="10">
        <v>0</v>
      </c>
      <c r="G282" s="10" t="s">
        <v>343</v>
      </c>
      <c r="H282" s="10">
        <v>0</v>
      </c>
      <c r="I282" s="10" t="s">
        <v>343</v>
      </c>
      <c r="J282" s="11">
        <v>3295</v>
      </c>
      <c r="K282" s="11">
        <v>3502</v>
      </c>
      <c r="L282" s="11">
        <v>6797</v>
      </c>
      <c r="M282" s="11">
        <v>2581</v>
      </c>
    </row>
    <row r="283" spans="1:13" x14ac:dyDescent="0.3">
      <c r="A283" s="10">
        <v>6712</v>
      </c>
      <c r="B283" s="10">
        <v>19</v>
      </c>
      <c r="C283" s="10" t="s">
        <v>608</v>
      </c>
      <c r="D283" s="10">
        <v>1975</v>
      </c>
      <c r="E283" s="10" t="s">
        <v>623</v>
      </c>
      <c r="F283" s="10">
        <v>0</v>
      </c>
      <c r="G283" s="10" t="s">
        <v>343</v>
      </c>
      <c r="H283" s="10">
        <v>0</v>
      </c>
      <c r="I283" s="10" t="s">
        <v>343</v>
      </c>
      <c r="J283" s="11">
        <v>2099</v>
      </c>
      <c r="K283" s="11">
        <v>2182</v>
      </c>
      <c r="L283" s="11">
        <v>4281</v>
      </c>
      <c r="M283" s="11">
        <v>2230</v>
      </c>
    </row>
    <row r="284" spans="1:13" x14ac:dyDescent="0.3">
      <c r="A284" s="10">
        <v>6712</v>
      </c>
      <c r="B284" s="10">
        <v>19</v>
      </c>
      <c r="C284" s="10" t="s">
        <v>608</v>
      </c>
      <c r="D284" s="10">
        <v>1976</v>
      </c>
      <c r="E284" s="10" t="s">
        <v>624</v>
      </c>
      <c r="F284" s="10">
        <v>0</v>
      </c>
      <c r="G284" s="10" t="s">
        <v>343</v>
      </c>
      <c r="H284" s="10">
        <v>0</v>
      </c>
      <c r="I284" s="10" t="s">
        <v>343</v>
      </c>
      <c r="J284" s="11">
        <v>2084</v>
      </c>
      <c r="K284" s="11">
        <v>2129</v>
      </c>
      <c r="L284" s="11">
        <v>4213</v>
      </c>
      <c r="M284" s="11">
        <v>2425</v>
      </c>
    </row>
    <row r="285" spans="1:13" x14ac:dyDescent="0.3">
      <c r="A285" s="10">
        <v>6712</v>
      </c>
      <c r="B285" s="10">
        <v>19</v>
      </c>
      <c r="C285" s="10" t="s">
        <v>608</v>
      </c>
      <c r="D285" s="10">
        <v>1977</v>
      </c>
      <c r="E285" s="10" t="s">
        <v>625</v>
      </c>
      <c r="F285" s="10">
        <v>0</v>
      </c>
      <c r="G285" s="10" t="s">
        <v>343</v>
      </c>
      <c r="H285" s="10">
        <v>0</v>
      </c>
      <c r="I285" s="10" t="s">
        <v>343</v>
      </c>
      <c r="J285" s="11">
        <v>2375</v>
      </c>
      <c r="K285" s="11">
        <v>2527</v>
      </c>
      <c r="L285" s="11">
        <v>4902</v>
      </c>
      <c r="M285" s="11">
        <v>2445</v>
      </c>
    </row>
    <row r="286" spans="1:13" x14ac:dyDescent="0.3">
      <c r="A286" s="10">
        <v>6712</v>
      </c>
      <c r="B286" s="10">
        <v>19</v>
      </c>
      <c r="C286" s="10" t="s">
        <v>608</v>
      </c>
      <c r="D286" s="10">
        <v>1978</v>
      </c>
      <c r="E286" s="10" t="s">
        <v>626</v>
      </c>
      <c r="F286" s="10">
        <v>0</v>
      </c>
      <c r="G286" s="10" t="s">
        <v>343</v>
      </c>
      <c r="H286" s="10">
        <v>0</v>
      </c>
      <c r="I286" s="10" t="s">
        <v>343</v>
      </c>
      <c r="J286" s="11">
        <v>3053</v>
      </c>
      <c r="K286" s="11">
        <v>3251</v>
      </c>
      <c r="L286" s="11">
        <v>6304</v>
      </c>
      <c r="M286" s="11">
        <v>2863</v>
      </c>
    </row>
    <row r="287" spans="1:13" x14ac:dyDescent="0.3">
      <c r="A287" s="10">
        <v>6712</v>
      </c>
      <c r="B287" s="10">
        <v>19</v>
      </c>
      <c r="C287" s="10" t="s">
        <v>608</v>
      </c>
      <c r="D287" s="10">
        <v>1979</v>
      </c>
      <c r="E287" s="10" t="s">
        <v>627</v>
      </c>
      <c r="F287" s="10">
        <v>0</v>
      </c>
      <c r="G287" s="10" t="s">
        <v>343</v>
      </c>
      <c r="H287" s="10">
        <v>0</v>
      </c>
      <c r="I287" s="10" t="s">
        <v>343</v>
      </c>
      <c r="J287" s="11">
        <v>3717</v>
      </c>
      <c r="K287" s="11">
        <v>3730</v>
      </c>
      <c r="L287" s="11">
        <v>7447</v>
      </c>
      <c r="M287" s="11">
        <v>3414</v>
      </c>
    </row>
    <row r="288" spans="1:13" x14ac:dyDescent="0.3">
      <c r="A288" s="10">
        <v>6712</v>
      </c>
      <c r="B288" s="10">
        <v>19</v>
      </c>
      <c r="C288" s="10" t="s">
        <v>608</v>
      </c>
      <c r="D288" s="10">
        <v>1980</v>
      </c>
      <c r="E288" s="10" t="s">
        <v>628</v>
      </c>
      <c r="F288" s="10">
        <v>0</v>
      </c>
      <c r="G288" s="10" t="s">
        <v>343</v>
      </c>
      <c r="H288" s="10">
        <v>0</v>
      </c>
      <c r="I288" s="10" t="s">
        <v>343</v>
      </c>
      <c r="J288" s="11">
        <v>2095</v>
      </c>
      <c r="K288" s="11">
        <v>2215</v>
      </c>
      <c r="L288" s="11">
        <v>4310</v>
      </c>
      <c r="M288" s="11">
        <v>2723</v>
      </c>
    </row>
    <row r="289" spans="1:13" x14ac:dyDescent="0.3">
      <c r="A289" s="10">
        <v>6712</v>
      </c>
      <c r="B289" s="10">
        <v>19</v>
      </c>
      <c r="C289" s="10" t="s">
        <v>608</v>
      </c>
      <c r="D289" s="10">
        <v>1981</v>
      </c>
      <c r="E289" s="10" t="s">
        <v>629</v>
      </c>
      <c r="F289" s="10">
        <v>0</v>
      </c>
      <c r="G289" s="10" t="s">
        <v>343</v>
      </c>
      <c r="H289" s="10">
        <v>0</v>
      </c>
      <c r="I289" s="10" t="s">
        <v>343</v>
      </c>
      <c r="J289" s="11">
        <v>3179</v>
      </c>
      <c r="K289" s="11">
        <v>3410</v>
      </c>
      <c r="L289" s="11">
        <v>6589</v>
      </c>
      <c r="M289" s="11">
        <v>4531</v>
      </c>
    </row>
    <row r="290" spans="1:13" x14ac:dyDescent="0.3">
      <c r="A290" s="10">
        <v>6712</v>
      </c>
      <c r="B290" s="10">
        <v>19</v>
      </c>
      <c r="C290" s="10" t="s">
        <v>608</v>
      </c>
      <c r="D290" s="10">
        <v>1982</v>
      </c>
      <c r="E290" s="10" t="s">
        <v>630</v>
      </c>
      <c r="F290" s="10">
        <v>0</v>
      </c>
      <c r="G290" s="10" t="s">
        <v>343</v>
      </c>
      <c r="H290" s="10">
        <v>0</v>
      </c>
      <c r="I290" s="10" t="s">
        <v>343</v>
      </c>
      <c r="J290" s="11">
        <v>1441</v>
      </c>
      <c r="K290" s="11">
        <v>1583</v>
      </c>
      <c r="L290" s="11">
        <v>3024</v>
      </c>
      <c r="M290" s="11">
        <v>1581</v>
      </c>
    </row>
    <row r="291" spans="1:13" x14ac:dyDescent="0.3">
      <c r="A291" s="10">
        <v>6712</v>
      </c>
      <c r="B291" s="10">
        <v>19</v>
      </c>
      <c r="C291" s="10" t="s">
        <v>608</v>
      </c>
      <c r="D291" s="10">
        <v>1983</v>
      </c>
      <c r="E291" s="10" t="s">
        <v>631</v>
      </c>
      <c r="F291" s="10">
        <v>0</v>
      </c>
      <c r="G291" s="10" t="s">
        <v>343</v>
      </c>
      <c r="H291" s="10">
        <v>0</v>
      </c>
      <c r="I291" s="10" t="s">
        <v>343</v>
      </c>
      <c r="J291" s="11">
        <v>3748</v>
      </c>
      <c r="K291" s="11">
        <v>4176</v>
      </c>
      <c r="L291" s="11">
        <v>7924</v>
      </c>
      <c r="M291" s="11">
        <v>4461</v>
      </c>
    </row>
    <row r="292" spans="1:13" x14ac:dyDescent="0.3">
      <c r="A292" s="10">
        <v>6712</v>
      </c>
      <c r="B292" s="10">
        <v>19</v>
      </c>
      <c r="C292" s="10" t="s">
        <v>608</v>
      </c>
      <c r="D292" s="10">
        <v>1984</v>
      </c>
      <c r="E292" s="10" t="s">
        <v>632</v>
      </c>
      <c r="F292" s="10">
        <v>0</v>
      </c>
      <c r="G292" s="10" t="s">
        <v>343</v>
      </c>
      <c r="H292" s="10">
        <v>0</v>
      </c>
      <c r="I292" s="10" t="s">
        <v>343</v>
      </c>
      <c r="J292" s="10">
        <v>721</v>
      </c>
      <c r="K292" s="10">
        <v>766</v>
      </c>
      <c r="L292" s="11">
        <v>1487</v>
      </c>
      <c r="M292" s="10">
        <v>419</v>
      </c>
    </row>
    <row r="293" spans="1:13" x14ac:dyDescent="0.3">
      <c r="A293" s="10">
        <v>6712</v>
      </c>
      <c r="B293" s="10">
        <v>19</v>
      </c>
      <c r="C293" s="10" t="s">
        <v>608</v>
      </c>
      <c r="D293" s="10">
        <v>1985</v>
      </c>
      <c r="E293" s="10" t="s">
        <v>633</v>
      </c>
      <c r="F293" s="10">
        <v>0</v>
      </c>
      <c r="G293" s="10" t="s">
        <v>343</v>
      </c>
      <c r="H293" s="10">
        <v>0</v>
      </c>
      <c r="I293" s="10" t="s">
        <v>343</v>
      </c>
      <c r="J293" s="11">
        <v>1104</v>
      </c>
      <c r="K293" s="11">
        <v>1227</v>
      </c>
      <c r="L293" s="11">
        <v>2331</v>
      </c>
      <c r="M293" s="11">
        <v>1063</v>
      </c>
    </row>
    <row r="294" spans="1:13" x14ac:dyDescent="0.3">
      <c r="A294" s="10">
        <v>6712</v>
      </c>
      <c r="B294" s="10">
        <v>19</v>
      </c>
      <c r="C294" s="10" t="s">
        <v>608</v>
      </c>
      <c r="D294" s="10">
        <v>1986</v>
      </c>
      <c r="E294" s="10" t="s">
        <v>634</v>
      </c>
      <c r="F294" s="10">
        <v>0</v>
      </c>
      <c r="G294" s="10" t="s">
        <v>343</v>
      </c>
      <c r="H294" s="10">
        <v>0</v>
      </c>
      <c r="I294" s="10" t="s">
        <v>343</v>
      </c>
      <c r="J294" s="11">
        <v>2260</v>
      </c>
      <c r="K294" s="11">
        <v>2312</v>
      </c>
      <c r="L294" s="11">
        <v>4572</v>
      </c>
      <c r="M294" s="11">
        <v>1918</v>
      </c>
    </row>
    <row r="295" spans="1:13" x14ac:dyDescent="0.3">
      <c r="A295" s="10">
        <v>6712</v>
      </c>
      <c r="B295" s="10">
        <v>19</v>
      </c>
      <c r="C295" s="10" t="s">
        <v>608</v>
      </c>
      <c r="D295" s="10">
        <v>1987</v>
      </c>
      <c r="E295" s="10" t="s">
        <v>635</v>
      </c>
      <c r="F295" s="10">
        <v>0</v>
      </c>
      <c r="G295" s="10" t="s">
        <v>343</v>
      </c>
      <c r="H295" s="10">
        <v>0</v>
      </c>
      <c r="I295" s="10" t="s">
        <v>343</v>
      </c>
      <c r="J295" s="11">
        <v>1177</v>
      </c>
      <c r="K295" s="11">
        <v>1282</v>
      </c>
      <c r="L295" s="11">
        <v>2459</v>
      </c>
      <c r="M295" s="11">
        <v>1352</v>
      </c>
    </row>
    <row r="296" spans="1:13" x14ac:dyDescent="0.3">
      <c r="A296" s="10">
        <v>6712</v>
      </c>
      <c r="B296" s="10">
        <v>19</v>
      </c>
      <c r="C296" s="10" t="s">
        <v>608</v>
      </c>
      <c r="D296" s="10">
        <v>1988</v>
      </c>
      <c r="E296" s="10" t="s">
        <v>636</v>
      </c>
      <c r="F296" s="10">
        <v>0</v>
      </c>
      <c r="G296" s="10" t="s">
        <v>343</v>
      </c>
      <c r="H296" s="10">
        <v>0</v>
      </c>
      <c r="I296" s="10" t="s">
        <v>343</v>
      </c>
      <c r="J296" s="11">
        <v>3573</v>
      </c>
      <c r="K296" s="11">
        <v>3832</v>
      </c>
      <c r="L296" s="11">
        <v>7405</v>
      </c>
      <c r="M296" s="11">
        <v>4072</v>
      </c>
    </row>
    <row r="297" spans="1:13" x14ac:dyDescent="0.3">
      <c r="A297" s="10">
        <v>6712</v>
      </c>
      <c r="B297" s="10">
        <v>19</v>
      </c>
      <c r="C297" s="10" t="s">
        <v>608</v>
      </c>
      <c r="D297" s="10">
        <v>1989</v>
      </c>
      <c r="E297" s="10" t="s">
        <v>596</v>
      </c>
      <c r="F297" s="10">
        <v>0</v>
      </c>
      <c r="G297" s="10" t="s">
        <v>343</v>
      </c>
      <c r="H297" s="10">
        <v>0</v>
      </c>
      <c r="I297" s="10" t="s">
        <v>343</v>
      </c>
      <c r="J297" s="11">
        <v>1342</v>
      </c>
      <c r="K297" s="11">
        <v>1464</v>
      </c>
      <c r="L297" s="11">
        <v>2806</v>
      </c>
      <c r="M297" s="11">
        <v>1067</v>
      </c>
    </row>
    <row r="298" spans="1:13" x14ac:dyDescent="0.3">
      <c r="A298" s="10">
        <v>6712</v>
      </c>
      <c r="B298" s="10">
        <v>19</v>
      </c>
      <c r="C298" s="10" t="s">
        <v>608</v>
      </c>
      <c r="D298" s="10">
        <v>1990</v>
      </c>
      <c r="E298" s="10" t="s">
        <v>637</v>
      </c>
      <c r="F298" s="10">
        <v>0</v>
      </c>
      <c r="G298" s="10" t="s">
        <v>343</v>
      </c>
      <c r="H298" s="10">
        <v>0</v>
      </c>
      <c r="I298" s="10" t="s">
        <v>343</v>
      </c>
      <c r="J298" s="10">
        <v>812</v>
      </c>
      <c r="K298" s="10">
        <v>858</v>
      </c>
      <c r="L298" s="11">
        <v>1670</v>
      </c>
      <c r="M298" s="10">
        <v>511</v>
      </c>
    </row>
    <row r="299" spans="1:13" x14ac:dyDescent="0.3">
      <c r="A299" s="10">
        <v>6712</v>
      </c>
      <c r="B299" s="10">
        <v>19</v>
      </c>
      <c r="C299" s="10" t="s">
        <v>608</v>
      </c>
      <c r="D299" s="10">
        <v>1991</v>
      </c>
      <c r="E299" s="10" t="s">
        <v>638</v>
      </c>
      <c r="F299" s="10">
        <v>0</v>
      </c>
      <c r="G299" s="10" t="s">
        <v>343</v>
      </c>
      <c r="H299" s="10">
        <v>0</v>
      </c>
      <c r="I299" s="10" t="s">
        <v>343</v>
      </c>
      <c r="J299" s="11">
        <v>1814</v>
      </c>
      <c r="K299" s="11">
        <v>1999</v>
      </c>
      <c r="L299" s="11">
        <v>3813</v>
      </c>
      <c r="M299" s="11">
        <v>2016</v>
      </c>
    </row>
    <row r="300" spans="1:13" x14ac:dyDescent="0.3">
      <c r="A300" s="10">
        <v>6712</v>
      </c>
      <c r="B300" s="10">
        <v>19</v>
      </c>
      <c r="C300" s="10" t="s">
        <v>608</v>
      </c>
      <c r="D300" s="10">
        <v>1992</v>
      </c>
      <c r="E300" s="10" t="s">
        <v>639</v>
      </c>
      <c r="F300" s="10">
        <v>0</v>
      </c>
      <c r="G300" s="10" t="s">
        <v>343</v>
      </c>
      <c r="H300" s="10">
        <v>0</v>
      </c>
      <c r="I300" s="10" t="s">
        <v>343</v>
      </c>
      <c r="J300" s="11">
        <v>4415</v>
      </c>
      <c r="K300" s="11">
        <v>4893</v>
      </c>
      <c r="L300" s="11">
        <v>9308</v>
      </c>
      <c r="M300" s="11">
        <v>5847</v>
      </c>
    </row>
    <row r="301" spans="1:13" x14ac:dyDescent="0.3">
      <c r="A301" s="10">
        <v>6712</v>
      </c>
      <c r="B301" s="10">
        <v>19</v>
      </c>
      <c r="C301" s="10" t="s">
        <v>608</v>
      </c>
      <c r="D301" s="10">
        <v>1993</v>
      </c>
      <c r="E301" s="10" t="s">
        <v>640</v>
      </c>
      <c r="F301" s="10">
        <v>0</v>
      </c>
      <c r="G301" s="10" t="s">
        <v>343</v>
      </c>
      <c r="H301" s="10">
        <v>0</v>
      </c>
      <c r="I301" s="10" t="s">
        <v>343</v>
      </c>
      <c r="J301" s="10">
        <v>626</v>
      </c>
      <c r="K301" s="10">
        <v>697</v>
      </c>
      <c r="L301" s="11">
        <v>1323</v>
      </c>
      <c r="M301" s="10">
        <v>694</v>
      </c>
    </row>
    <row r="302" spans="1:13" x14ac:dyDescent="0.3">
      <c r="A302" s="10">
        <v>6712</v>
      </c>
      <c r="B302" s="10">
        <v>19</v>
      </c>
      <c r="C302" s="10" t="s">
        <v>608</v>
      </c>
      <c r="D302" s="10">
        <v>1994</v>
      </c>
      <c r="E302" s="10" t="s">
        <v>641</v>
      </c>
      <c r="F302" s="10">
        <v>0</v>
      </c>
      <c r="G302" s="10" t="s">
        <v>343</v>
      </c>
      <c r="H302" s="10">
        <v>0</v>
      </c>
      <c r="I302" s="10" t="s">
        <v>343</v>
      </c>
      <c r="J302" s="11">
        <v>10275</v>
      </c>
      <c r="K302" s="11">
        <v>10274</v>
      </c>
      <c r="L302" s="11">
        <v>20549</v>
      </c>
      <c r="M302" s="11">
        <v>10521</v>
      </c>
    </row>
    <row r="303" spans="1:13" x14ac:dyDescent="0.3">
      <c r="A303" s="10">
        <v>6712</v>
      </c>
      <c r="B303" s="10">
        <v>19</v>
      </c>
      <c r="C303" s="10" t="s">
        <v>608</v>
      </c>
      <c r="D303" s="10">
        <v>1995</v>
      </c>
      <c r="E303" s="10" t="s">
        <v>642</v>
      </c>
      <c r="F303" s="10">
        <v>0</v>
      </c>
      <c r="G303" s="10" t="s">
        <v>343</v>
      </c>
      <c r="H303" s="10">
        <v>0</v>
      </c>
      <c r="I303" s="10" t="s">
        <v>343</v>
      </c>
      <c r="J303" s="10">
        <v>356</v>
      </c>
      <c r="K303" s="10">
        <v>400</v>
      </c>
      <c r="L303" s="10">
        <v>756</v>
      </c>
      <c r="M303" s="10">
        <v>450</v>
      </c>
    </row>
    <row r="304" spans="1:13" x14ac:dyDescent="0.3">
      <c r="A304" s="10">
        <v>6712</v>
      </c>
      <c r="B304" s="10">
        <v>19</v>
      </c>
      <c r="C304" s="10" t="s">
        <v>608</v>
      </c>
      <c r="D304" s="10">
        <v>1996</v>
      </c>
      <c r="E304" s="10" t="s">
        <v>643</v>
      </c>
      <c r="F304" s="10">
        <v>0</v>
      </c>
      <c r="G304" s="10" t="s">
        <v>343</v>
      </c>
      <c r="H304" s="10">
        <v>0</v>
      </c>
      <c r="I304" s="10" t="s">
        <v>343</v>
      </c>
      <c r="J304" s="11">
        <v>12826</v>
      </c>
      <c r="K304" s="11">
        <v>14861</v>
      </c>
      <c r="L304" s="11">
        <v>27687</v>
      </c>
      <c r="M304" s="11">
        <v>13868</v>
      </c>
    </row>
    <row r="305" spans="1:13" x14ac:dyDescent="0.3">
      <c r="A305" s="10">
        <v>6712</v>
      </c>
      <c r="B305" s="10">
        <v>19</v>
      </c>
      <c r="C305" s="10" t="s">
        <v>608</v>
      </c>
      <c r="D305" s="10">
        <v>1997</v>
      </c>
      <c r="E305" s="10" t="s">
        <v>644</v>
      </c>
      <c r="F305" s="10">
        <v>0</v>
      </c>
      <c r="G305" s="10" t="s">
        <v>343</v>
      </c>
      <c r="H305" s="10">
        <v>0</v>
      </c>
      <c r="I305" s="10" t="s">
        <v>343</v>
      </c>
      <c r="J305" s="11">
        <v>5841</v>
      </c>
      <c r="K305" s="11">
        <v>6182</v>
      </c>
      <c r="L305" s="11">
        <v>12023</v>
      </c>
      <c r="M305" s="11">
        <v>6594</v>
      </c>
    </row>
    <row r="306" spans="1:13" x14ac:dyDescent="0.3">
      <c r="A306" s="10">
        <v>6712</v>
      </c>
      <c r="B306" s="10">
        <v>19</v>
      </c>
      <c r="C306" s="10" t="s">
        <v>608</v>
      </c>
      <c r="D306" s="10">
        <v>1998</v>
      </c>
      <c r="E306" s="10" t="s">
        <v>645</v>
      </c>
      <c r="F306" s="10">
        <v>0</v>
      </c>
      <c r="G306" s="10" t="s">
        <v>343</v>
      </c>
      <c r="H306" s="10">
        <v>0</v>
      </c>
      <c r="I306" s="10" t="s">
        <v>343</v>
      </c>
      <c r="J306" s="11">
        <v>4972</v>
      </c>
      <c r="K306" s="11">
        <v>5406</v>
      </c>
      <c r="L306" s="11">
        <v>10378</v>
      </c>
      <c r="M306" s="11">
        <v>6305</v>
      </c>
    </row>
    <row r="307" spans="1:13" x14ac:dyDescent="0.3">
      <c r="A307" s="10">
        <v>6712</v>
      </c>
      <c r="B307" s="10">
        <v>19</v>
      </c>
      <c r="C307" s="10" t="s">
        <v>608</v>
      </c>
      <c r="D307" s="10">
        <v>1999</v>
      </c>
      <c r="E307" s="10" t="s">
        <v>646</v>
      </c>
      <c r="F307" s="10">
        <v>0</v>
      </c>
      <c r="G307" s="10" t="s">
        <v>343</v>
      </c>
      <c r="H307" s="10">
        <v>0</v>
      </c>
      <c r="I307" s="10" t="s">
        <v>343</v>
      </c>
      <c r="J307" s="11">
        <v>27760</v>
      </c>
      <c r="K307" s="11">
        <v>28716</v>
      </c>
      <c r="L307" s="11">
        <v>56476</v>
      </c>
      <c r="M307" s="11">
        <v>29276</v>
      </c>
    </row>
    <row r="308" spans="1:13" x14ac:dyDescent="0.3">
      <c r="A308" s="10">
        <v>6712</v>
      </c>
      <c r="B308" s="10">
        <v>20</v>
      </c>
      <c r="C308" s="10" t="s">
        <v>647</v>
      </c>
      <c r="D308" s="10">
        <v>0</v>
      </c>
      <c r="E308" s="10" t="s">
        <v>343</v>
      </c>
      <c r="F308" s="10">
        <v>0</v>
      </c>
      <c r="G308" s="10" t="s">
        <v>343</v>
      </c>
      <c r="H308" s="10">
        <v>0</v>
      </c>
      <c r="I308" s="10" t="s">
        <v>343</v>
      </c>
      <c r="J308" s="11">
        <v>794783</v>
      </c>
      <c r="K308" s="11">
        <v>840742</v>
      </c>
      <c r="L308" s="11">
        <v>1635525</v>
      </c>
      <c r="M308" s="11">
        <v>1172425</v>
      </c>
    </row>
    <row r="309" spans="1:13" x14ac:dyDescent="0.3">
      <c r="A309" s="10">
        <v>6712</v>
      </c>
      <c r="B309" s="10">
        <v>20</v>
      </c>
      <c r="C309" s="10" t="s">
        <v>647</v>
      </c>
      <c r="D309" s="10">
        <v>2001</v>
      </c>
      <c r="E309" s="10" t="s">
        <v>648</v>
      </c>
      <c r="F309" s="10">
        <v>0</v>
      </c>
      <c r="G309" s="10" t="s">
        <v>343</v>
      </c>
      <c r="H309" s="10">
        <v>0</v>
      </c>
      <c r="I309" s="10" t="s">
        <v>343</v>
      </c>
      <c r="J309" s="11">
        <v>22493</v>
      </c>
      <c r="K309" s="11">
        <v>24077</v>
      </c>
      <c r="L309" s="11">
        <v>46570</v>
      </c>
      <c r="M309" s="11">
        <v>29911</v>
      </c>
    </row>
    <row r="310" spans="1:13" x14ac:dyDescent="0.3">
      <c r="A310" s="10">
        <v>6712</v>
      </c>
      <c r="B310" s="10">
        <v>20</v>
      </c>
      <c r="C310" s="10" t="s">
        <v>647</v>
      </c>
      <c r="D310" s="10">
        <v>2002</v>
      </c>
      <c r="E310" s="10" t="s">
        <v>649</v>
      </c>
      <c r="F310" s="10">
        <v>0</v>
      </c>
      <c r="G310" s="10" t="s">
        <v>343</v>
      </c>
      <c r="H310" s="10">
        <v>0</v>
      </c>
      <c r="I310" s="10" t="s">
        <v>343</v>
      </c>
      <c r="J310" s="11">
        <v>42638</v>
      </c>
      <c r="K310" s="11">
        <v>44181</v>
      </c>
      <c r="L310" s="11">
        <v>86819</v>
      </c>
      <c r="M310" s="11">
        <v>51018</v>
      </c>
    </row>
    <row r="311" spans="1:13" x14ac:dyDescent="0.3">
      <c r="A311" s="10">
        <v>6712</v>
      </c>
      <c r="B311" s="10">
        <v>20</v>
      </c>
      <c r="C311" s="10" t="s">
        <v>647</v>
      </c>
      <c r="D311" s="10">
        <v>2003</v>
      </c>
      <c r="E311" s="10" t="s">
        <v>650</v>
      </c>
      <c r="F311" s="10">
        <v>0</v>
      </c>
      <c r="G311" s="10" t="s">
        <v>343</v>
      </c>
      <c r="H311" s="10">
        <v>0</v>
      </c>
      <c r="I311" s="10" t="s">
        <v>343</v>
      </c>
      <c r="J311" s="11">
        <v>7656</v>
      </c>
      <c r="K311" s="11">
        <v>7659</v>
      </c>
      <c r="L311" s="11">
        <v>15315</v>
      </c>
      <c r="M311" s="11">
        <v>7378</v>
      </c>
    </row>
    <row r="312" spans="1:13" x14ac:dyDescent="0.3">
      <c r="A312" s="10">
        <v>6712</v>
      </c>
      <c r="B312" s="10">
        <v>20</v>
      </c>
      <c r="C312" s="10" t="s">
        <v>647</v>
      </c>
      <c r="D312" s="10">
        <v>2004</v>
      </c>
      <c r="E312" s="10" t="s">
        <v>651</v>
      </c>
      <c r="F312" s="10">
        <v>0</v>
      </c>
      <c r="G312" s="10" t="s">
        <v>343</v>
      </c>
      <c r="H312" s="10">
        <v>0</v>
      </c>
      <c r="I312" s="10" t="s">
        <v>343</v>
      </c>
      <c r="J312" s="11">
        <v>15347</v>
      </c>
      <c r="K312" s="11">
        <v>17433</v>
      </c>
      <c r="L312" s="11">
        <v>32780</v>
      </c>
      <c r="M312" s="11">
        <v>20786</v>
      </c>
    </row>
    <row r="313" spans="1:13" x14ac:dyDescent="0.3">
      <c r="A313" s="10">
        <v>6712</v>
      </c>
      <c r="B313" s="10">
        <v>20</v>
      </c>
      <c r="C313" s="10" t="s">
        <v>647</v>
      </c>
      <c r="D313" s="10">
        <v>2005</v>
      </c>
      <c r="E313" s="10" t="s">
        <v>652</v>
      </c>
      <c r="F313" s="10">
        <v>0</v>
      </c>
      <c r="G313" s="10" t="s">
        <v>343</v>
      </c>
      <c r="H313" s="10">
        <v>0</v>
      </c>
      <c r="I313" s="10" t="s">
        <v>343</v>
      </c>
      <c r="J313" s="11">
        <v>25755</v>
      </c>
      <c r="K313" s="11">
        <v>26832</v>
      </c>
      <c r="L313" s="11">
        <v>52587</v>
      </c>
      <c r="M313" s="11">
        <v>46495</v>
      </c>
    </row>
    <row r="314" spans="1:13" x14ac:dyDescent="0.3">
      <c r="A314" s="10">
        <v>6712</v>
      </c>
      <c r="B314" s="10">
        <v>20</v>
      </c>
      <c r="C314" s="10" t="s">
        <v>647</v>
      </c>
      <c r="D314" s="10">
        <v>2006</v>
      </c>
      <c r="E314" s="10" t="s">
        <v>653</v>
      </c>
      <c r="F314" s="10">
        <v>0</v>
      </c>
      <c r="G314" s="10" t="s">
        <v>343</v>
      </c>
      <c r="H314" s="10">
        <v>0</v>
      </c>
      <c r="I314" s="10" t="s">
        <v>343</v>
      </c>
      <c r="J314" s="11">
        <v>49977</v>
      </c>
      <c r="K314" s="11">
        <v>53110</v>
      </c>
      <c r="L314" s="11">
        <v>103087</v>
      </c>
      <c r="M314" s="11">
        <v>41090</v>
      </c>
    </row>
    <row r="315" spans="1:13" x14ac:dyDescent="0.3">
      <c r="A315" s="10">
        <v>6712</v>
      </c>
      <c r="B315" s="10">
        <v>20</v>
      </c>
      <c r="C315" s="10" t="s">
        <v>647</v>
      </c>
      <c r="D315" s="10">
        <v>2007</v>
      </c>
      <c r="E315" s="10" t="s">
        <v>654</v>
      </c>
      <c r="F315" s="10">
        <v>0</v>
      </c>
      <c r="G315" s="10" t="s">
        <v>343</v>
      </c>
      <c r="H315" s="10">
        <v>0</v>
      </c>
      <c r="I315" s="10" t="s">
        <v>343</v>
      </c>
      <c r="J315" s="11">
        <v>29401</v>
      </c>
      <c r="K315" s="11">
        <v>29925</v>
      </c>
      <c r="L315" s="11">
        <v>59326</v>
      </c>
      <c r="M315" s="11">
        <v>52114</v>
      </c>
    </row>
    <row r="316" spans="1:13" x14ac:dyDescent="0.3">
      <c r="A316" s="10">
        <v>6712</v>
      </c>
      <c r="B316" s="10">
        <v>20</v>
      </c>
      <c r="C316" s="10" t="s">
        <v>647</v>
      </c>
      <c r="D316" s="10">
        <v>2009</v>
      </c>
      <c r="E316" s="10" t="s">
        <v>655</v>
      </c>
      <c r="F316" s="10">
        <v>0</v>
      </c>
      <c r="G316" s="10" t="s">
        <v>343</v>
      </c>
      <c r="H316" s="10">
        <v>0</v>
      </c>
      <c r="I316" s="10" t="s">
        <v>343</v>
      </c>
      <c r="J316" s="11">
        <v>27158</v>
      </c>
      <c r="K316" s="11">
        <v>26846</v>
      </c>
      <c r="L316" s="11">
        <v>54004</v>
      </c>
      <c r="M316" s="11">
        <v>31247</v>
      </c>
    </row>
    <row r="317" spans="1:13" x14ac:dyDescent="0.3">
      <c r="A317" s="10">
        <v>6712</v>
      </c>
      <c r="B317" s="10">
        <v>20</v>
      </c>
      <c r="C317" s="10" t="s">
        <v>647</v>
      </c>
      <c r="D317" s="10">
        <v>2010</v>
      </c>
      <c r="E317" s="10" t="s">
        <v>656</v>
      </c>
      <c r="F317" s="10">
        <v>0</v>
      </c>
      <c r="G317" s="10" t="s">
        <v>343</v>
      </c>
      <c r="H317" s="10">
        <v>0</v>
      </c>
      <c r="I317" s="10" t="s">
        <v>343</v>
      </c>
      <c r="J317" s="11">
        <v>19056</v>
      </c>
      <c r="K317" s="11">
        <v>18862</v>
      </c>
      <c r="L317" s="11">
        <v>37918</v>
      </c>
      <c r="M317" s="11">
        <v>14367</v>
      </c>
    </row>
    <row r="318" spans="1:13" x14ac:dyDescent="0.3">
      <c r="A318" s="10">
        <v>6712</v>
      </c>
      <c r="B318" s="10">
        <v>20</v>
      </c>
      <c r="C318" s="10" t="s">
        <v>647</v>
      </c>
      <c r="D318" s="10">
        <v>2011</v>
      </c>
      <c r="E318" s="10" t="s">
        <v>657</v>
      </c>
      <c r="F318" s="10">
        <v>0</v>
      </c>
      <c r="G318" s="10" t="s">
        <v>343</v>
      </c>
      <c r="H318" s="10">
        <v>0</v>
      </c>
      <c r="I318" s="10" t="s">
        <v>343</v>
      </c>
      <c r="J318" s="11">
        <v>14153</v>
      </c>
      <c r="K318" s="11">
        <v>13166</v>
      </c>
      <c r="L318" s="11">
        <v>27319</v>
      </c>
      <c r="M318" s="11">
        <v>9435</v>
      </c>
    </row>
    <row r="319" spans="1:13" x14ac:dyDescent="0.3">
      <c r="A319" s="10">
        <v>6712</v>
      </c>
      <c r="B319" s="10">
        <v>20</v>
      </c>
      <c r="C319" s="10" t="s">
        <v>647</v>
      </c>
      <c r="D319" s="10">
        <v>2060</v>
      </c>
      <c r="E319" s="10" t="s">
        <v>658</v>
      </c>
      <c r="F319" s="10">
        <v>0</v>
      </c>
      <c r="G319" s="10" t="s">
        <v>343</v>
      </c>
      <c r="H319" s="10">
        <v>0</v>
      </c>
      <c r="I319" s="10" t="s">
        <v>343</v>
      </c>
      <c r="J319" s="11">
        <v>7165</v>
      </c>
      <c r="K319" s="11">
        <v>5894</v>
      </c>
      <c r="L319" s="11">
        <v>13059</v>
      </c>
      <c r="M319" s="11">
        <v>6917</v>
      </c>
    </row>
    <row r="320" spans="1:13" x14ac:dyDescent="0.3">
      <c r="A320" s="10">
        <v>6712</v>
      </c>
      <c r="B320" s="10">
        <v>20</v>
      </c>
      <c r="C320" s="10" t="s">
        <v>647</v>
      </c>
      <c r="D320" s="10">
        <v>2061</v>
      </c>
      <c r="E320" s="10" t="s">
        <v>659</v>
      </c>
      <c r="F320" s="10">
        <v>0</v>
      </c>
      <c r="G320" s="10" t="s">
        <v>343</v>
      </c>
      <c r="H320" s="10">
        <v>0</v>
      </c>
      <c r="I320" s="10" t="s">
        <v>343</v>
      </c>
      <c r="J320" s="11">
        <v>33905</v>
      </c>
      <c r="K320" s="11">
        <v>22232</v>
      </c>
      <c r="L320" s="11">
        <v>56137</v>
      </c>
      <c r="M320" s="11">
        <v>28758</v>
      </c>
    </row>
    <row r="321" spans="1:13" x14ac:dyDescent="0.3">
      <c r="A321" s="10">
        <v>6712</v>
      </c>
      <c r="B321" s="10">
        <v>20</v>
      </c>
      <c r="C321" s="10" t="s">
        <v>647</v>
      </c>
      <c r="D321" s="10">
        <v>2063</v>
      </c>
      <c r="E321" s="10" t="s">
        <v>660</v>
      </c>
      <c r="F321" s="10">
        <v>0</v>
      </c>
      <c r="G321" s="10" t="s">
        <v>343</v>
      </c>
      <c r="H321" s="10">
        <v>0</v>
      </c>
      <c r="I321" s="10" t="s">
        <v>343</v>
      </c>
      <c r="J321" s="11">
        <v>6514</v>
      </c>
      <c r="K321" s="11">
        <v>6976</v>
      </c>
      <c r="L321" s="11">
        <v>13490</v>
      </c>
      <c r="M321" s="11">
        <v>4920</v>
      </c>
    </row>
    <row r="322" spans="1:13" x14ac:dyDescent="0.3">
      <c r="A322" s="10">
        <v>6712</v>
      </c>
      <c r="B322" s="10">
        <v>20</v>
      </c>
      <c r="C322" s="10" t="s">
        <v>647</v>
      </c>
      <c r="D322" s="10">
        <v>2064</v>
      </c>
      <c r="E322" s="10" t="s">
        <v>661</v>
      </c>
      <c r="F322" s="10">
        <v>0</v>
      </c>
      <c r="G322" s="10" t="s">
        <v>343</v>
      </c>
      <c r="H322" s="10">
        <v>0</v>
      </c>
      <c r="I322" s="10" t="s">
        <v>343</v>
      </c>
      <c r="J322" s="11">
        <v>13459</v>
      </c>
      <c r="K322" s="11">
        <v>14689</v>
      </c>
      <c r="L322" s="11">
        <v>28148</v>
      </c>
      <c r="M322" s="11">
        <v>14857</v>
      </c>
    </row>
    <row r="323" spans="1:13" x14ac:dyDescent="0.3">
      <c r="A323" s="10">
        <v>6712</v>
      </c>
      <c r="B323" s="10">
        <v>20</v>
      </c>
      <c r="C323" s="10" t="s">
        <v>647</v>
      </c>
      <c r="D323" s="10">
        <v>2065</v>
      </c>
      <c r="E323" s="10" t="s">
        <v>662</v>
      </c>
      <c r="F323" s="10">
        <v>0</v>
      </c>
      <c r="G323" s="10" t="s">
        <v>343</v>
      </c>
      <c r="H323" s="10">
        <v>0</v>
      </c>
      <c r="I323" s="10" t="s">
        <v>343</v>
      </c>
      <c r="J323" s="11">
        <v>10486</v>
      </c>
      <c r="K323" s="11">
        <v>12746</v>
      </c>
      <c r="L323" s="11">
        <v>23232</v>
      </c>
      <c r="M323" s="11">
        <v>17967</v>
      </c>
    </row>
    <row r="324" spans="1:13" x14ac:dyDescent="0.3">
      <c r="A324" s="10">
        <v>6712</v>
      </c>
      <c r="B324" s="10">
        <v>20</v>
      </c>
      <c r="C324" s="10" t="s">
        <v>647</v>
      </c>
      <c r="D324" s="10">
        <v>2066</v>
      </c>
      <c r="E324" s="10" t="s">
        <v>663</v>
      </c>
      <c r="F324" s="10">
        <v>0</v>
      </c>
      <c r="G324" s="10" t="s">
        <v>343</v>
      </c>
      <c r="H324" s="10">
        <v>0</v>
      </c>
      <c r="I324" s="10" t="s">
        <v>343</v>
      </c>
      <c r="J324" s="11">
        <v>7086</v>
      </c>
      <c r="K324" s="11">
        <v>7331</v>
      </c>
      <c r="L324" s="11">
        <v>14417</v>
      </c>
      <c r="M324" s="11">
        <v>17176</v>
      </c>
    </row>
    <row r="325" spans="1:13" x14ac:dyDescent="0.3">
      <c r="A325" s="10">
        <v>6712</v>
      </c>
      <c r="B325" s="10">
        <v>20</v>
      </c>
      <c r="C325" s="10" t="s">
        <v>647</v>
      </c>
      <c r="D325" s="10">
        <v>2067</v>
      </c>
      <c r="E325" s="10" t="s">
        <v>664</v>
      </c>
      <c r="F325" s="10">
        <v>0</v>
      </c>
      <c r="G325" s="10" t="s">
        <v>343</v>
      </c>
      <c r="H325" s="10">
        <v>0</v>
      </c>
      <c r="I325" s="10" t="s">
        <v>343</v>
      </c>
      <c r="J325" s="11">
        <v>8328</v>
      </c>
      <c r="K325" s="11">
        <v>9558</v>
      </c>
      <c r="L325" s="11">
        <v>17886</v>
      </c>
      <c r="M325" s="11">
        <v>12341</v>
      </c>
    </row>
    <row r="326" spans="1:13" x14ac:dyDescent="0.3">
      <c r="A326" s="10">
        <v>6712</v>
      </c>
      <c r="B326" s="10">
        <v>20</v>
      </c>
      <c r="C326" s="10" t="s">
        <v>647</v>
      </c>
      <c r="D326" s="10">
        <v>2068</v>
      </c>
      <c r="E326" s="10" t="s">
        <v>665</v>
      </c>
      <c r="F326" s="10">
        <v>0</v>
      </c>
      <c r="G326" s="10" t="s">
        <v>343</v>
      </c>
      <c r="H326" s="10">
        <v>0</v>
      </c>
      <c r="I326" s="10" t="s">
        <v>343</v>
      </c>
      <c r="J326" s="11">
        <v>21229</v>
      </c>
      <c r="K326" s="11">
        <v>22455</v>
      </c>
      <c r="L326" s="11">
        <v>43684</v>
      </c>
      <c r="M326" s="11">
        <v>28247</v>
      </c>
    </row>
    <row r="327" spans="1:13" x14ac:dyDescent="0.3">
      <c r="A327" s="10">
        <v>6712</v>
      </c>
      <c r="B327" s="10">
        <v>20</v>
      </c>
      <c r="C327" s="10" t="s">
        <v>647</v>
      </c>
      <c r="D327" s="10">
        <v>2069</v>
      </c>
      <c r="E327" s="10" t="s">
        <v>666</v>
      </c>
      <c r="F327" s="10">
        <v>0</v>
      </c>
      <c r="G327" s="10" t="s">
        <v>343</v>
      </c>
      <c r="H327" s="10">
        <v>0</v>
      </c>
      <c r="I327" s="10" t="s">
        <v>343</v>
      </c>
      <c r="J327" s="11">
        <v>6943</v>
      </c>
      <c r="K327" s="11">
        <v>6581</v>
      </c>
      <c r="L327" s="11">
        <v>13524</v>
      </c>
      <c r="M327" s="11">
        <v>11613</v>
      </c>
    </row>
    <row r="328" spans="1:13" x14ac:dyDescent="0.3">
      <c r="A328" s="10">
        <v>6712</v>
      </c>
      <c r="B328" s="10">
        <v>20</v>
      </c>
      <c r="C328" s="10" t="s">
        <v>647</v>
      </c>
      <c r="D328" s="10">
        <v>2070</v>
      </c>
      <c r="E328" s="10" t="s">
        <v>667</v>
      </c>
      <c r="F328" s="10">
        <v>0</v>
      </c>
      <c r="G328" s="10" t="s">
        <v>343</v>
      </c>
      <c r="H328" s="10">
        <v>0</v>
      </c>
      <c r="I328" s="10" t="s">
        <v>343</v>
      </c>
      <c r="J328" s="11">
        <v>3840</v>
      </c>
      <c r="K328" s="11">
        <v>3979</v>
      </c>
      <c r="L328" s="11">
        <v>7819</v>
      </c>
      <c r="M328" s="11">
        <v>2908</v>
      </c>
    </row>
    <row r="329" spans="1:13" x14ac:dyDescent="0.3">
      <c r="A329" s="10">
        <v>6712</v>
      </c>
      <c r="B329" s="10">
        <v>20</v>
      </c>
      <c r="C329" s="10" t="s">
        <v>647</v>
      </c>
      <c r="D329" s="10">
        <v>2071</v>
      </c>
      <c r="E329" s="10" t="s">
        <v>668</v>
      </c>
      <c r="F329" s="10">
        <v>0</v>
      </c>
      <c r="G329" s="10" t="s">
        <v>343</v>
      </c>
      <c r="H329" s="10">
        <v>0</v>
      </c>
      <c r="I329" s="10" t="s">
        <v>343</v>
      </c>
      <c r="J329" s="11">
        <v>5858</v>
      </c>
      <c r="K329" s="11">
        <v>6435</v>
      </c>
      <c r="L329" s="11">
        <v>12293</v>
      </c>
      <c r="M329" s="11">
        <v>7634</v>
      </c>
    </row>
    <row r="330" spans="1:13" x14ac:dyDescent="0.3">
      <c r="A330" s="10">
        <v>6712</v>
      </c>
      <c r="B330" s="10">
        <v>20</v>
      </c>
      <c r="C330" s="10" t="s">
        <v>647</v>
      </c>
      <c r="D330" s="10">
        <v>2072</v>
      </c>
      <c r="E330" s="10" t="s">
        <v>669</v>
      </c>
      <c r="F330" s="10">
        <v>0</v>
      </c>
      <c r="G330" s="10" t="s">
        <v>343</v>
      </c>
      <c r="H330" s="10">
        <v>0</v>
      </c>
      <c r="I330" s="10" t="s">
        <v>343</v>
      </c>
      <c r="J330" s="11">
        <v>42168</v>
      </c>
      <c r="K330" s="11">
        <v>51957</v>
      </c>
      <c r="L330" s="11">
        <v>94125</v>
      </c>
      <c r="M330" s="11">
        <v>53868</v>
      </c>
    </row>
    <row r="331" spans="1:13" x14ac:dyDescent="0.3">
      <c r="A331" s="10">
        <v>6712</v>
      </c>
      <c r="B331" s="10">
        <v>20</v>
      </c>
      <c r="C331" s="10" t="s">
        <v>647</v>
      </c>
      <c r="D331" s="10">
        <v>2073</v>
      </c>
      <c r="E331" s="10" t="s">
        <v>670</v>
      </c>
      <c r="F331" s="10">
        <v>0</v>
      </c>
      <c r="G331" s="10" t="s">
        <v>343</v>
      </c>
      <c r="H331" s="10">
        <v>0</v>
      </c>
      <c r="I331" s="10" t="s">
        <v>343</v>
      </c>
      <c r="J331" s="11">
        <v>3203</v>
      </c>
      <c r="K331" s="11">
        <v>3417</v>
      </c>
      <c r="L331" s="11">
        <v>6620</v>
      </c>
      <c r="M331" s="11">
        <v>4290</v>
      </c>
    </row>
    <row r="332" spans="1:13" x14ac:dyDescent="0.3">
      <c r="A332" s="10">
        <v>6712</v>
      </c>
      <c r="B332" s="10">
        <v>20</v>
      </c>
      <c r="C332" s="10" t="s">
        <v>647</v>
      </c>
      <c r="D332" s="10">
        <v>2074</v>
      </c>
      <c r="E332" s="10" t="s">
        <v>671</v>
      </c>
      <c r="F332" s="10">
        <v>0</v>
      </c>
      <c r="G332" s="10" t="s">
        <v>343</v>
      </c>
      <c r="H332" s="10">
        <v>0</v>
      </c>
      <c r="I332" s="10" t="s">
        <v>343</v>
      </c>
      <c r="J332" s="11">
        <v>4307</v>
      </c>
      <c r="K332" s="11">
        <v>1834</v>
      </c>
      <c r="L332" s="11">
        <v>6141</v>
      </c>
      <c r="M332" s="11">
        <v>2211</v>
      </c>
    </row>
    <row r="333" spans="1:13" x14ac:dyDescent="0.3">
      <c r="A333" s="10">
        <v>6712</v>
      </c>
      <c r="B333" s="10">
        <v>20</v>
      </c>
      <c r="C333" s="10" t="s">
        <v>647</v>
      </c>
      <c r="D333" s="10">
        <v>2075</v>
      </c>
      <c r="E333" s="10" t="s">
        <v>672</v>
      </c>
      <c r="F333" s="10">
        <v>0</v>
      </c>
      <c r="G333" s="10" t="s">
        <v>343</v>
      </c>
      <c r="H333" s="10">
        <v>0</v>
      </c>
      <c r="I333" s="10" t="s">
        <v>343</v>
      </c>
      <c r="J333" s="11">
        <v>1956</v>
      </c>
      <c r="K333" s="11">
        <v>2046</v>
      </c>
      <c r="L333" s="11">
        <v>4002</v>
      </c>
      <c r="M333" s="11">
        <v>2230</v>
      </c>
    </row>
    <row r="334" spans="1:13" x14ac:dyDescent="0.3">
      <c r="A334" s="10">
        <v>6712</v>
      </c>
      <c r="B334" s="10">
        <v>20</v>
      </c>
      <c r="C334" s="10" t="s">
        <v>647</v>
      </c>
      <c r="D334" s="10">
        <v>2076</v>
      </c>
      <c r="E334" s="10" t="s">
        <v>673</v>
      </c>
      <c r="F334" s="10">
        <v>0</v>
      </c>
      <c r="G334" s="10" t="s">
        <v>343</v>
      </c>
      <c r="H334" s="10">
        <v>0</v>
      </c>
      <c r="I334" s="10" t="s">
        <v>343</v>
      </c>
      <c r="J334" s="11">
        <v>9895</v>
      </c>
      <c r="K334" s="11">
        <v>11161</v>
      </c>
      <c r="L334" s="11">
        <v>21056</v>
      </c>
      <c r="M334" s="11">
        <v>12297</v>
      </c>
    </row>
    <row r="335" spans="1:13" x14ac:dyDescent="0.3">
      <c r="A335" s="10">
        <v>6712</v>
      </c>
      <c r="B335" s="10">
        <v>20</v>
      </c>
      <c r="C335" s="10" t="s">
        <v>647</v>
      </c>
      <c r="D335" s="10">
        <v>2077</v>
      </c>
      <c r="E335" s="10" t="s">
        <v>674</v>
      </c>
      <c r="F335" s="10">
        <v>0</v>
      </c>
      <c r="G335" s="10" t="s">
        <v>343</v>
      </c>
      <c r="H335" s="10">
        <v>0</v>
      </c>
      <c r="I335" s="10" t="s">
        <v>343</v>
      </c>
      <c r="J335" s="11">
        <v>5383</v>
      </c>
      <c r="K335" s="11">
        <v>6415</v>
      </c>
      <c r="L335" s="11">
        <v>11798</v>
      </c>
      <c r="M335" s="11">
        <v>9793</v>
      </c>
    </row>
    <row r="336" spans="1:13" x14ac:dyDescent="0.3">
      <c r="A336" s="10">
        <v>6712</v>
      </c>
      <c r="B336" s="10">
        <v>20</v>
      </c>
      <c r="C336" s="10" t="s">
        <v>647</v>
      </c>
      <c r="D336" s="10">
        <v>2078</v>
      </c>
      <c r="E336" s="10" t="s">
        <v>675</v>
      </c>
      <c r="F336" s="10">
        <v>0</v>
      </c>
      <c r="G336" s="10" t="s">
        <v>343</v>
      </c>
      <c r="H336" s="10">
        <v>0</v>
      </c>
      <c r="I336" s="10" t="s">
        <v>343</v>
      </c>
      <c r="J336" s="11">
        <v>3735</v>
      </c>
      <c r="K336" s="11">
        <v>4112</v>
      </c>
      <c r="L336" s="11">
        <v>7847</v>
      </c>
      <c r="M336" s="11">
        <v>17025</v>
      </c>
    </row>
    <row r="337" spans="1:13" x14ac:dyDescent="0.3">
      <c r="A337" s="10">
        <v>6712</v>
      </c>
      <c r="B337" s="10">
        <v>20</v>
      </c>
      <c r="C337" s="10" t="s">
        <v>647</v>
      </c>
      <c r="D337" s="10">
        <v>2079</v>
      </c>
      <c r="E337" s="10" t="s">
        <v>676</v>
      </c>
      <c r="F337" s="10">
        <v>0</v>
      </c>
      <c r="G337" s="10" t="s">
        <v>343</v>
      </c>
      <c r="H337" s="10">
        <v>0</v>
      </c>
      <c r="I337" s="10" t="s">
        <v>343</v>
      </c>
      <c r="J337" s="11">
        <v>2298</v>
      </c>
      <c r="K337" s="11">
        <v>2380</v>
      </c>
      <c r="L337" s="11">
        <v>4678</v>
      </c>
      <c r="M337" s="11">
        <v>2317</v>
      </c>
    </row>
    <row r="338" spans="1:13" x14ac:dyDescent="0.3">
      <c r="A338" s="10">
        <v>6712</v>
      </c>
      <c r="B338" s="10">
        <v>20</v>
      </c>
      <c r="C338" s="10" t="s">
        <v>647</v>
      </c>
      <c r="D338" s="10">
        <v>2080</v>
      </c>
      <c r="E338" s="10" t="s">
        <v>677</v>
      </c>
      <c r="F338" s="10">
        <v>0</v>
      </c>
      <c r="G338" s="10" t="s">
        <v>343</v>
      </c>
      <c r="H338" s="10">
        <v>0</v>
      </c>
      <c r="I338" s="10" t="s">
        <v>343</v>
      </c>
      <c r="J338" s="11">
        <v>77981</v>
      </c>
      <c r="K338" s="11">
        <v>82601</v>
      </c>
      <c r="L338" s="11">
        <v>160582</v>
      </c>
      <c r="M338" s="11">
        <v>113075</v>
      </c>
    </row>
    <row r="339" spans="1:13" x14ac:dyDescent="0.3">
      <c r="A339" s="10">
        <v>6712</v>
      </c>
      <c r="B339" s="10">
        <v>20</v>
      </c>
      <c r="C339" s="10" t="s">
        <v>647</v>
      </c>
      <c r="D339" s="10">
        <v>2081</v>
      </c>
      <c r="E339" s="10" t="s">
        <v>678</v>
      </c>
      <c r="F339" s="10">
        <v>0</v>
      </c>
      <c r="G339" s="10" t="s">
        <v>343</v>
      </c>
      <c r="H339" s="10">
        <v>0</v>
      </c>
      <c r="I339" s="10" t="s">
        <v>343</v>
      </c>
      <c r="J339" s="11">
        <v>6432</v>
      </c>
      <c r="K339" s="11">
        <v>7125</v>
      </c>
      <c r="L339" s="11">
        <v>13557</v>
      </c>
      <c r="M339" s="11">
        <v>8355</v>
      </c>
    </row>
    <row r="340" spans="1:13" x14ac:dyDescent="0.3">
      <c r="A340" s="10">
        <v>6712</v>
      </c>
      <c r="B340" s="10">
        <v>20</v>
      </c>
      <c r="C340" s="10" t="s">
        <v>647</v>
      </c>
      <c r="D340" s="10">
        <v>2082</v>
      </c>
      <c r="E340" s="10" t="s">
        <v>679</v>
      </c>
      <c r="F340" s="10">
        <v>0</v>
      </c>
      <c r="G340" s="10" t="s">
        <v>343</v>
      </c>
      <c r="H340" s="10">
        <v>0</v>
      </c>
      <c r="I340" s="10" t="s">
        <v>343</v>
      </c>
      <c r="J340" s="11">
        <v>11668</v>
      </c>
      <c r="K340" s="11">
        <v>12072</v>
      </c>
      <c r="L340" s="11">
        <v>23740</v>
      </c>
      <c r="M340" s="11">
        <v>18588</v>
      </c>
    </row>
    <row r="341" spans="1:13" x14ac:dyDescent="0.3">
      <c r="A341" s="10">
        <v>6712</v>
      </c>
      <c r="B341" s="10">
        <v>20</v>
      </c>
      <c r="C341" s="10" t="s">
        <v>647</v>
      </c>
      <c r="D341" s="10">
        <v>2083</v>
      </c>
      <c r="E341" s="10" t="s">
        <v>680</v>
      </c>
      <c r="F341" s="10">
        <v>0</v>
      </c>
      <c r="G341" s="10" t="s">
        <v>343</v>
      </c>
      <c r="H341" s="10">
        <v>0</v>
      </c>
      <c r="I341" s="10" t="s">
        <v>343</v>
      </c>
      <c r="J341" s="11">
        <v>3170</v>
      </c>
      <c r="K341" s="11">
        <v>3387</v>
      </c>
      <c r="L341" s="11">
        <v>6557</v>
      </c>
      <c r="M341" s="11">
        <v>3906</v>
      </c>
    </row>
    <row r="342" spans="1:13" x14ac:dyDescent="0.3">
      <c r="A342" s="10">
        <v>6712</v>
      </c>
      <c r="B342" s="10">
        <v>20</v>
      </c>
      <c r="C342" s="10" t="s">
        <v>647</v>
      </c>
      <c r="D342" s="10">
        <v>2084</v>
      </c>
      <c r="E342" s="10" t="s">
        <v>681</v>
      </c>
      <c r="F342" s="10">
        <v>0</v>
      </c>
      <c r="G342" s="10" t="s">
        <v>343</v>
      </c>
      <c r="H342" s="10">
        <v>0</v>
      </c>
      <c r="I342" s="10" t="s">
        <v>343</v>
      </c>
      <c r="J342" s="11">
        <v>15127</v>
      </c>
      <c r="K342" s="11">
        <v>17155</v>
      </c>
      <c r="L342" s="11">
        <v>32282</v>
      </c>
      <c r="M342" s="11">
        <v>20033</v>
      </c>
    </row>
    <row r="343" spans="1:13" x14ac:dyDescent="0.3">
      <c r="A343" s="10">
        <v>6712</v>
      </c>
      <c r="B343" s="10">
        <v>20</v>
      </c>
      <c r="C343" s="10" t="s">
        <v>647</v>
      </c>
      <c r="D343" s="10">
        <v>2085</v>
      </c>
      <c r="E343" s="10" t="s">
        <v>682</v>
      </c>
      <c r="F343" s="10">
        <v>0</v>
      </c>
      <c r="G343" s="10" t="s">
        <v>343</v>
      </c>
      <c r="H343" s="10">
        <v>0</v>
      </c>
      <c r="I343" s="10" t="s">
        <v>343</v>
      </c>
      <c r="J343" s="11">
        <v>6429</v>
      </c>
      <c r="K343" s="11">
        <v>7139</v>
      </c>
      <c r="L343" s="11">
        <v>13568</v>
      </c>
      <c r="M343" s="11">
        <v>9373</v>
      </c>
    </row>
    <row r="344" spans="1:13" x14ac:dyDescent="0.3">
      <c r="A344" s="10">
        <v>6712</v>
      </c>
      <c r="B344" s="10">
        <v>20</v>
      </c>
      <c r="C344" s="10" t="s">
        <v>647</v>
      </c>
      <c r="D344" s="10">
        <v>2086</v>
      </c>
      <c r="E344" s="10" t="s">
        <v>683</v>
      </c>
      <c r="F344" s="10">
        <v>0</v>
      </c>
      <c r="G344" s="10" t="s">
        <v>343</v>
      </c>
      <c r="H344" s="10">
        <v>0</v>
      </c>
      <c r="I344" s="10" t="s">
        <v>343</v>
      </c>
      <c r="J344" s="11">
        <v>4426</v>
      </c>
      <c r="K344" s="11">
        <v>4245</v>
      </c>
      <c r="L344" s="11">
        <v>8671</v>
      </c>
      <c r="M344" s="11">
        <v>3999</v>
      </c>
    </row>
    <row r="345" spans="1:13" x14ac:dyDescent="0.3">
      <c r="A345" s="10">
        <v>6712</v>
      </c>
      <c r="B345" s="10">
        <v>20</v>
      </c>
      <c r="C345" s="10" t="s">
        <v>647</v>
      </c>
      <c r="D345" s="10">
        <v>2087</v>
      </c>
      <c r="E345" s="10" t="s">
        <v>684</v>
      </c>
      <c r="F345" s="10">
        <v>0</v>
      </c>
      <c r="G345" s="10" t="s">
        <v>343</v>
      </c>
      <c r="H345" s="10">
        <v>0</v>
      </c>
      <c r="I345" s="10" t="s">
        <v>343</v>
      </c>
      <c r="J345" s="11">
        <v>1612</v>
      </c>
      <c r="K345" s="11">
        <v>1820</v>
      </c>
      <c r="L345" s="11">
        <v>3432</v>
      </c>
      <c r="M345" s="11">
        <v>2221</v>
      </c>
    </row>
    <row r="346" spans="1:13" x14ac:dyDescent="0.3">
      <c r="A346" s="10">
        <v>6712</v>
      </c>
      <c r="B346" s="10">
        <v>20</v>
      </c>
      <c r="C346" s="10" t="s">
        <v>647</v>
      </c>
      <c r="D346" s="10">
        <v>2088</v>
      </c>
      <c r="E346" s="10" t="s">
        <v>685</v>
      </c>
      <c r="F346" s="10">
        <v>0</v>
      </c>
      <c r="G346" s="10" t="s">
        <v>343</v>
      </c>
      <c r="H346" s="10">
        <v>0</v>
      </c>
      <c r="I346" s="10" t="s">
        <v>343</v>
      </c>
      <c r="J346" s="11">
        <v>1089</v>
      </c>
      <c r="K346" s="11">
        <v>1168</v>
      </c>
      <c r="L346" s="11">
        <v>2257</v>
      </c>
      <c r="M346" s="11">
        <v>1662</v>
      </c>
    </row>
    <row r="347" spans="1:13" x14ac:dyDescent="0.3">
      <c r="A347" s="10">
        <v>6712</v>
      </c>
      <c r="B347" s="10">
        <v>20</v>
      </c>
      <c r="C347" s="10" t="s">
        <v>647</v>
      </c>
      <c r="D347" s="10">
        <v>2089</v>
      </c>
      <c r="E347" s="10" t="s">
        <v>686</v>
      </c>
      <c r="F347" s="10">
        <v>0</v>
      </c>
      <c r="G347" s="10" t="s">
        <v>343</v>
      </c>
      <c r="H347" s="10">
        <v>0</v>
      </c>
      <c r="I347" s="10" t="s">
        <v>343</v>
      </c>
      <c r="J347" s="11">
        <v>17287</v>
      </c>
      <c r="K347" s="11">
        <v>20307</v>
      </c>
      <c r="L347" s="11">
        <v>37594</v>
      </c>
      <c r="M347" s="11">
        <v>23259</v>
      </c>
    </row>
    <row r="348" spans="1:13" x14ac:dyDescent="0.3">
      <c r="A348" s="10">
        <v>6712</v>
      </c>
      <c r="B348" s="10">
        <v>20</v>
      </c>
      <c r="C348" s="10" t="s">
        <v>647</v>
      </c>
      <c r="D348" s="10">
        <v>2090</v>
      </c>
      <c r="E348" s="10" t="s">
        <v>687</v>
      </c>
      <c r="F348" s="10">
        <v>0</v>
      </c>
      <c r="G348" s="10" t="s">
        <v>343</v>
      </c>
      <c r="H348" s="10">
        <v>0</v>
      </c>
      <c r="I348" s="10" t="s">
        <v>343</v>
      </c>
      <c r="J348" s="11">
        <v>34340</v>
      </c>
      <c r="K348" s="11">
        <v>34817</v>
      </c>
      <c r="L348" s="11">
        <v>69157</v>
      </c>
      <c r="M348" s="11">
        <v>46736</v>
      </c>
    </row>
    <row r="349" spans="1:13" x14ac:dyDescent="0.3">
      <c r="A349" s="10">
        <v>6712</v>
      </c>
      <c r="B349" s="10">
        <v>20</v>
      </c>
      <c r="C349" s="10" t="s">
        <v>647</v>
      </c>
      <c r="D349" s="10">
        <v>2091</v>
      </c>
      <c r="E349" s="10" t="s">
        <v>688</v>
      </c>
      <c r="F349" s="10">
        <v>0</v>
      </c>
      <c r="G349" s="10" t="s">
        <v>343</v>
      </c>
      <c r="H349" s="10">
        <v>0</v>
      </c>
      <c r="I349" s="10" t="s">
        <v>343</v>
      </c>
      <c r="J349" s="11">
        <v>6043</v>
      </c>
      <c r="K349" s="11">
        <v>4893</v>
      </c>
      <c r="L349" s="11">
        <v>10936</v>
      </c>
      <c r="M349" s="11">
        <v>7492</v>
      </c>
    </row>
    <row r="350" spans="1:13" x14ac:dyDescent="0.3">
      <c r="A350" s="10">
        <v>6712</v>
      </c>
      <c r="B350" s="10">
        <v>20</v>
      </c>
      <c r="C350" s="10" t="s">
        <v>647</v>
      </c>
      <c r="D350" s="10">
        <v>2092</v>
      </c>
      <c r="E350" s="10" t="s">
        <v>689</v>
      </c>
      <c r="F350" s="10">
        <v>0</v>
      </c>
      <c r="G350" s="10" t="s">
        <v>343</v>
      </c>
      <c r="H350" s="10">
        <v>0</v>
      </c>
      <c r="I350" s="10" t="s">
        <v>343</v>
      </c>
      <c r="J350" s="11">
        <v>2200</v>
      </c>
      <c r="K350" s="11">
        <v>2480</v>
      </c>
      <c r="L350" s="11">
        <v>4680</v>
      </c>
      <c r="M350" s="11">
        <v>7403</v>
      </c>
    </row>
    <row r="351" spans="1:13" x14ac:dyDescent="0.3">
      <c r="A351" s="10">
        <v>6712</v>
      </c>
      <c r="B351" s="10">
        <v>20</v>
      </c>
      <c r="C351" s="10" t="s">
        <v>647</v>
      </c>
      <c r="D351" s="10">
        <v>2093</v>
      </c>
      <c r="E351" s="10" t="s">
        <v>690</v>
      </c>
      <c r="F351" s="10">
        <v>0</v>
      </c>
      <c r="G351" s="10" t="s">
        <v>343</v>
      </c>
      <c r="H351" s="10">
        <v>0</v>
      </c>
      <c r="I351" s="10" t="s">
        <v>343</v>
      </c>
      <c r="J351" s="11">
        <v>45951</v>
      </c>
      <c r="K351" s="11">
        <v>47715</v>
      </c>
      <c r="L351" s="11">
        <v>93666</v>
      </c>
      <c r="M351" s="11">
        <v>86790</v>
      </c>
    </row>
    <row r="352" spans="1:13" x14ac:dyDescent="0.3">
      <c r="A352" s="10">
        <v>6712</v>
      </c>
      <c r="B352" s="10">
        <v>20</v>
      </c>
      <c r="C352" s="10" t="s">
        <v>647</v>
      </c>
      <c r="D352" s="10">
        <v>2094</v>
      </c>
      <c r="E352" s="10" t="s">
        <v>691</v>
      </c>
      <c r="F352" s="10">
        <v>0</v>
      </c>
      <c r="G352" s="10" t="s">
        <v>343</v>
      </c>
      <c r="H352" s="10">
        <v>0</v>
      </c>
      <c r="I352" s="10" t="s">
        <v>343</v>
      </c>
      <c r="J352" s="11">
        <v>21544</v>
      </c>
      <c r="K352" s="11">
        <v>24848</v>
      </c>
      <c r="L352" s="11">
        <v>46392</v>
      </c>
      <c r="M352" s="11">
        <v>41230</v>
      </c>
    </row>
    <row r="353" spans="1:13" x14ac:dyDescent="0.3">
      <c r="A353" s="10">
        <v>6712</v>
      </c>
      <c r="B353" s="10">
        <v>20</v>
      </c>
      <c r="C353" s="10" t="s">
        <v>647</v>
      </c>
      <c r="D353" s="10">
        <v>2095</v>
      </c>
      <c r="E353" s="10" t="s">
        <v>692</v>
      </c>
      <c r="F353" s="10">
        <v>0</v>
      </c>
      <c r="G353" s="10" t="s">
        <v>343</v>
      </c>
      <c r="H353" s="10">
        <v>0</v>
      </c>
      <c r="I353" s="10" t="s">
        <v>343</v>
      </c>
      <c r="J353" s="11">
        <v>9017</v>
      </c>
      <c r="K353" s="11">
        <v>10324</v>
      </c>
      <c r="L353" s="11">
        <v>19341</v>
      </c>
      <c r="M353" s="11">
        <v>10935</v>
      </c>
    </row>
    <row r="354" spans="1:13" x14ac:dyDescent="0.3">
      <c r="A354" s="10">
        <v>6712</v>
      </c>
      <c r="B354" s="10">
        <v>20</v>
      </c>
      <c r="C354" s="10" t="s">
        <v>647</v>
      </c>
      <c r="D354" s="10">
        <v>2096</v>
      </c>
      <c r="E354" s="10" t="s">
        <v>693</v>
      </c>
      <c r="F354" s="10">
        <v>0</v>
      </c>
      <c r="G354" s="10" t="s">
        <v>343</v>
      </c>
      <c r="H354" s="10">
        <v>0</v>
      </c>
      <c r="I354" s="10" t="s">
        <v>343</v>
      </c>
      <c r="J354" s="11">
        <v>53005</v>
      </c>
      <c r="K354" s="11">
        <v>63499</v>
      </c>
      <c r="L354" s="11">
        <v>116504</v>
      </c>
      <c r="M354" s="11">
        <v>179568</v>
      </c>
    </row>
    <row r="355" spans="1:13" x14ac:dyDescent="0.3">
      <c r="A355" s="10">
        <v>6712</v>
      </c>
      <c r="B355" s="10">
        <v>20</v>
      </c>
      <c r="C355" s="10" t="s">
        <v>647</v>
      </c>
      <c r="D355" s="10">
        <v>2097</v>
      </c>
      <c r="E355" s="10" t="s">
        <v>694</v>
      </c>
      <c r="F355" s="10">
        <v>0</v>
      </c>
      <c r="G355" s="10" t="s">
        <v>343</v>
      </c>
      <c r="H355" s="10">
        <v>0</v>
      </c>
      <c r="I355" s="10" t="s">
        <v>343</v>
      </c>
      <c r="J355" s="11">
        <v>10949</v>
      </c>
      <c r="K355" s="11">
        <v>13692</v>
      </c>
      <c r="L355" s="11">
        <v>24641</v>
      </c>
      <c r="M355" s="11">
        <v>8991</v>
      </c>
    </row>
    <row r="356" spans="1:13" x14ac:dyDescent="0.3">
      <c r="A356" s="10">
        <v>6712</v>
      </c>
      <c r="B356" s="10">
        <v>20</v>
      </c>
      <c r="C356" s="10" t="s">
        <v>647</v>
      </c>
      <c r="D356" s="10">
        <v>2098</v>
      </c>
      <c r="E356" s="10" t="s">
        <v>695</v>
      </c>
      <c r="F356" s="10">
        <v>0</v>
      </c>
      <c r="G356" s="10" t="s">
        <v>343</v>
      </c>
      <c r="H356" s="10">
        <v>0</v>
      </c>
      <c r="I356" s="10" t="s">
        <v>343</v>
      </c>
      <c r="J356" s="11">
        <v>4453</v>
      </c>
      <c r="K356" s="11">
        <v>5271</v>
      </c>
      <c r="L356" s="11">
        <v>9724</v>
      </c>
      <c r="M356" s="11">
        <v>5093</v>
      </c>
    </row>
    <row r="357" spans="1:13" x14ac:dyDescent="0.3">
      <c r="A357" s="10">
        <v>6712</v>
      </c>
      <c r="B357" s="10">
        <v>20</v>
      </c>
      <c r="C357" s="10" t="s">
        <v>647</v>
      </c>
      <c r="D357" s="10">
        <v>2099</v>
      </c>
      <c r="E357" s="10" t="s">
        <v>696</v>
      </c>
      <c r="F357" s="10">
        <v>0</v>
      </c>
      <c r="G357" s="10" t="s">
        <v>343</v>
      </c>
      <c r="H357" s="10">
        <v>0</v>
      </c>
      <c r="I357" s="10" t="s">
        <v>343</v>
      </c>
      <c r="J357" s="11">
        <v>10668</v>
      </c>
      <c r="K357" s="11">
        <v>11895</v>
      </c>
      <c r="L357" s="11">
        <v>22563</v>
      </c>
      <c r="M357" s="11">
        <v>12506</v>
      </c>
    </row>
    <row r="358" spans="1:13" x14ac:dyDescent="0.3">
      <c r="A358" s="10">
        <v>6712</v>
      </c>
      <c r="B358" s="10">
        <v>21</v>
      </c>
      <c r="C358" s="10" t="s">
        <v>697</v>
      </c>
      <c r="D358" s="10">
        <v>0</v>
      </c>
      <c r="E358" s="10" t="s">
        <v>343</v>
      </c>
      <c r="F358" s="10">
        <v>0</v>
      </c>
      <c r="G358" s="10" t="s">
        <v>343</v>
      </c>
      <c r="H358" s="10">
        <v>0</v>
      </c>
      <c r="I358" s="10" t="s">
        <v>343</v>
      </c>
      <c r="J358" s="11">
        <v>382979</v>
      </c>
      <c r="K358" s="11">
        <v>399192</v>
      </c>
      <c r="L358" s="11">
        <v>782171</v>
      </c>
      <c r="M358" s="11">
        <v>578414</v>
      </c>
    </row>
    <row r="359" spans="1:13" x14ac:dyDescent="0.3">
      <c r="A359" s="10">
        <v>6712</v>
      </c>
      <c r="B359" s="10">
        <v>21</v>
      </c>
      <c r="C359" s="10" t="s">
        <v>697</v>
      </c>
      <c r="D359" s="10">
        <v>2101</v>
      </c>
      <c r="E359" s="10" t="s">
        <v>698</v>
      </c>
      <c r="F359" s="10">
        <v>0</v>
      </c>
      <c r="G359" s="10" t="s">
        <v>343</v>
      </c>
      <c r="H359" s="10">
        <v>0</v>
      </c>
      <c r="I359" s="10" t="s">
        <v>343</v>
      </c>
      <c r="J359" s="11">
        <v>51178</v>
      </c>
      <c r="K359" s="11">
        <v>53322</v>
      </c>
      <c r="L359" s="11">
        <v>104500</v>
      </c>
      <c r="M359" s="11">
        <v>70408</v>
      </c>
    </row>
    <row r="360" spans="1:13" x14ac:dyDescent="0.3">
      <c r="A360" s="10">
        <v>6712</v>
      </c>
      <c r="B360" s="10">
        <v>21</v>
      </c>
      <c r="C360" s="10" t="s">
        <v>697</v>
      </c>
      <c r="D360" s="10">
        <v>2102</v>
      </c>
      <c r="E360" s="10" t="s">
        <v>699</v>
      </c>
      <c r="F360" s="10">
        <v>0</v>
      </c>
      <c r="G360" s="10" t="s">
        <v>343</v>
      </c>
      <c r="H360" s="10">
        <v>0</v>
      </c>
      <c r="I360" s="10" t="s">
        <v>343</v>
      </c>
      <c r="J360" s="11">
        <v>5662</v>
      </c>
      <c r="K360" s="11">
        <v>5371</v>
      </c>
      <c r="L360" s="11">
        <v>11033</v>
      </c>
      <c r="M360" s="11">
        <v>5459</v>
      </c>
    </row>
    <row r="361" spans="1:13" x14ac:dyDescent="0.3">
      <c r="A361" s="10">
        <v>6712</v>
      </c>
      <c r="B361" s="10">
        <v>21</v>
      </c>
      <c r="C361" s="10" t="s">
        <v>697</v>
      </c>
      <c r="D361" s="10">
        <v>2103</v>
      </c>
      <c r="E361" s="10" t="s">
        <v>700</v>
      </c>
      <c r="F361" s="10">
        <v>0</v>
      </c>
      <c r="G361" s="10" t="s">
        <v>343</v>
      </c>
      <c r="H361" s="10">
        <v>0</v>
      </c>
      <c r="I361" s="10" t="s">
        <v>343</v>
      </c>
      <c r="J361" s="11">
        <v>32450</v>
      </c>
      <c r="K361" s="11">
        <v>35036</v>
      </c>
      <c r="L361" s="11">
        <v>67486</v>
      </c>
      <c r="M361" s="11">
        <v>33340</v>
      </c>
    </row>
    <row r="362" spans="1:13" x14ac:dyDescent="0.3">
      <c r="A362" s="10">
        <v>6712</v>
      </c>
      <c r="B362" s="10">
        <v>21</v>
      </c>
      <c r="C362" s="10" t="s">
        <v>697</v>
      </c>
      <c r="D362" s="10">
        <v>2104</v>
      </c>
      <c r="E362" s="10" t="s">
        <v>701</v>
      </c>
      <c r="F362" s="10">
        <v>0</v>
      </c>
      <c r="G362" s="10" t="s">
        <v>343</v>
      </c>
      <c r="H362" s="10">
        <v>0</v>
      </c>
      <c r="I362" s="10" t="s">
        <v>343</v>
      </c>
      <c r="J362" s="11">
        <v>11121</v>
      </c>
      <c r="K362" s="11">
        <v>11172</v>
      </c>
      <c r="L362" s="11">
        <v>22293</v>
      </c>
      <c r="M362" s="11">
        <v>11834</v>
      </c>
    </row>
    <row r="363" spans="1:13" x14ac:dyDescent="0.3">
      <c r="A363" s="10">
        <v>6712</v>
      </c>
      <c r="B363" s="10">
        <v>21</v>
      </c>
      <c r="C363" s="10" t="s">
        <v>697</v>
      </c>
      <c r="D363" s="10">
        <v>2105</v>
      </c>
      <c r="E363" s="10" t="s">
        <v>702</v>
      </c>
      <c r="F363" s="10">
        <v>0</v>
      </c>
      <c r="G363" s="10" t="s">
        <v>343</v>
      </c>
      <c r="H363" s="10">
        <v>0</v>
      </c>
      <c r="I363" s="10" t="s">
        <v>343</v>
      </c>
      <c r="J363" s="11">
        <v>34112</v>
      </c>
      <c r="K363" s="11">
        <v>35903</v>
      </c>
      <c r="L363" s="11">
        <v>70015</v>
      </c>
      <c r="M363" s="11">
        <v>39451</v>
      </c>
    </row>
    <row r="364" spans="1:13" x14ac:dyDescent="0.3">
      <c r="A364" s="10">
        <v>6712</v>
      </c>
      <c r="B364" s="10">
        <v>21</v>
      </c>
      <c r="C364" s="10" t="s">
        <v>697</v>
      </c>
      <c r="D364" s="10">
        <v>2106</v>
      </c>
      <c r="E364" s="10" t="s">
        <v>703</v>
      </c>
      <c r="F364" s="10">
        <v>0</v>
      </c>
      <c r="G364" s="10" t="s">
        <v>343</v>
      </c>
      <c r="H364" s="10">
        <v>0</v>
      </c>
      <c r="I364" s="10" t="s">
        <v>343</v>
      </c>
      <c r="J364" s="11">
        <v>42285</v>
      </c>
      <c r="K364" s="11">
        <v>41383</v>
      </c>
      <c r="L364" s="11">
        <v>83668</v>
      </c>
      <c r="M364" s="11">
        <v>116865</v>
      </c>
    </row>
    <row r="365" spans="1:13" x14ac:dyDescent="0.3">
      <c r="A365" s="10">
        <v>6712</v>
      </c>
      <c r="B365" s="10">
        <v>21</v>
      </c>
      <c r="C365" s="10" t="s">
        <v>697</v>
      </c>
      <c r="D365" s="10">
        <v>2107</v>
      </c>
      <c r="E365" s="10" t="s">
        <v>704</v>
      </c>
      <c r="F365" s="10">
        <v>0</v>
      </c>
      <c r="G365" s="10" t="s">
        <v>343</v>
      </c>
      <c r="H365" s="10">
        <v>0</v>
      </c>
      <c r="I365" s="10" t="s">
        <v>343</v>
      </c>
      <c r="J365" s="11">
        <v>11672</v>
      </c>
      <c r="K365" s="11">
        <v>11906</v>
      </c>
      <c r="L365" s="11">
        <v>23578</v>
      </c>
      <c r="M365" s="11">
        <v>11651</v>
      </c>
    </row>
    <row r="366" spans="1:13" x14ac:dyDescent="0.3">
      <c r="A366" s="10">
        <v>6712</v>
      </c>
      <c r="B366" s="10">
        <v>21</v>
      </c>
      <c r="C366" s="10" t="s">
        <v>697</v>
      </c>
      <c r="D366" s="10">
        <v>2108</v>
      </c>
      <c r="E366" s="10" t="s">
        <v>705</v>
      </c>
      <c r="F366" s="10">
        <v>0</v>
      </c>
      <c r="G366" s="10" t="s">
        <v>343</v>
      </c>
      <c r="H366" s="10">
        <v>0</v>
      </c>
      <c r="I366" s="10" t="s">
        <v>343</v>
      </c>
      <c r="J366" s="11">
        <v>13056</v>
      </c>
      <c r="K366" s="11">
        <v>13119</v>
      </c>
      <c r="L366" s="11">
        <v>26175</v>
      </c>
      <c r="M366" s="11">
        <v>23199</v>
      </c>
    </row>
    <row r="367" spans="1:13" x14ac:dyDescent="0.3">
      <c r="A367" s="10">
        <v>6712</v>
      </c>
      <c r="B367" s="10">
        <v>21</v>
      </c>
      <c r="C367" s="10" t="s">
        <v>697</v>
      </c>
      <c r="D367" s="10">
        <v>2177</v>
      </c>
      <c r="E367" s="10" t="s">
        <v>706</v>
      </c>
      <c r="F367" s="10">
        <v>0</v>
      </c>
      <c r="G367" s="10" t="s">
        <v>343</v>
      </c>
      <c r="H367" s="10">
        <v>0</v>
      </c>
      <c r="I367" s="10" t="s">
        <v>343</v>
      </c>
      <c r="J367" s="11">
        <v>4372</v>
      </c>
      <c r="K367" s="11">
        <v>4360</v>
      </c>
      <c r="L367" s="11">
        <v>8732</v>
      </c>
      <c r="M367" s="11">
        <v>5900</v>
      </c>
    </row>
    <row r="368" spans="1:13" x14ac:dyDescent="0.3">
      <c r="A368" s="10">
        <v>6712</v>
      </c>
      <c r="B368" s="10">
        <v>21</v>
      </c>
      <c r="C368" s="10" t="s">
        <v>697</v>
      </c>
      <c r="D368" s="10">
        <v>2178</v>
      </c>
      <c r="E368" s="10" t="s">
        <v>707</v>
      </c>
      <c r="F368" s="10">
        <v>0</v>
      </c>
      <c r="G368" s="10" t="s">
        <v>343</v>
      </c>
      <c r="H368" s="10">
        <v>0</v>
      </c>
      <c r="I368" s="10" t="s">
        <v>343</v>
      </c>
      <c r="J368" s="11">
        <v>2216</v>
      </c>
      <c r="K368" s="11">
        <v>2345</v>
      </c>
      <c r="L368" s="11">
        <v>4561</v>
      </c>
      <c r="M368" s="11">
        <v>2084</v>
      </c>
    </row>
    <row r="369" spans="1:13" x14ac:dyDescent="0.3">
      <c r="A369" s="10">
        <v>6712</v>
      </c>
      <c r="B369" s="10">
        <v>21</v>
      </c>
      <c r="C369" s="10" t="s">
        <v>697</v>
      </c>
      <c r="D369" s="10">
        <v>2179</v>
      </c>
      <c r="E369" s="10" t="s">
        <v>708</v>
      </c>
      <c r="F369" s="10">
        <v>0</v>
      </c>
      <c r="G369" s="10" t="s">
        <v>343</v>
      </c>
      <c r="H369" s="10">
        <v>0</v>
      </c>
      <c r="I369" s="10" t="s">
        <v>343</v>
      </c>
      <c r="J369" s="11">
        <v>12917</v>
      </c>
      <c r="K369" s="11">
        <v>13219</v>
      </c>
      <c r="L369" s="11">
        <v>26136</v>
      </c>
      <c r="M369" s="11">
        <v>18648</v>
      </c>
    </row>
    <row r="370" spans="1:13" x14ac:dyDescent="0.3">
      <c r="A370" s="10">
        <v>6712</v>
      </c>
      <c r="B370" s="10">
        <v>21</v>
      </c>
      <c r="C370" s="10" t="s">
        <v>697</v>
      </c>
      <c r="D370" s="10">
        <v>2180</v>
      </c>
      <c r="E370" s="10" t="s">
        <v>709</v>
      </c>
      <c r="F370" s="10">
        <v>0</v>
      </c>
      <c r="G370" s="10" t="s">
        <v>343</v>
      </c>
      <c r="H370" s="10">
        <v>0</v>
      </c>
      <c r="I370" s="10" t="s">
        <v>343</v>
      </c>
      <c r="J370" s="11">
        <v>4213</v>
      </c>
      <c r="K370" s="11">
        <v>4435</v>
      </c>
      <c r="L370" s="11">
        <v>8648</v>
      </c>
      <c r="M370" s="11">
        <v>3640</v>
      </c>
    </row>
    <row r="371" spans="1:13" x14ac:dyDescent="0.3">
      <c r="A371" s="10">
        <v>6712</v>
      </c>
      <c r="B371" s="10">
        <v>21</v>
      </c>
      <c r="C371" s="10" t="s">
        <v>697</v>
      </c>
      <c r="D371" s="10">
        <v>2181</v>
      </c>
      <c r="E371" s="10" t="s">
        <v>710</v>
      </c>
      <c r="F371" s="10">
        <v>0</v>
      </c>
      <c r="G371" s="10" t="s">
        <v>343</v>
      </c>
      <c r="H371" s="10">
        <v>0</v>
      </c>
      <c r="I371" s="10" t="s">
        <v>343</v>
      </c>
      <c r="J371" s="11">
        <v>6037</v>
      </c>
      <c r="K371" s="11">
        <v>6055</v>
      </c>
      <c r="L371" s="11">
        <v>12092</v>
      </c>
      <c r="M371" s="11">
        <v>8827</v>
      </c>
    </row>
    <row r="372" spans="1:13" x14ac:dyDescent="0.3">
      <c r="A372" s="10">
        <v>6712</v>
      </c>
      <c r="B372" s="10">
        <v>21</v>
      </c>
      <c r="C372" s="10" t="s">
        <v>697</v>
      </c>
      <c r="D372" s="10">
        <v>2182</v>
      </c>
      <c r="E372" s="10" t="s">
        <v>711</v>
      </c>
      <c r="F372" s="10">
        <v>0</v>
      </c>
      <c r="G372" s="10" t="s">
        <v>343</v>
      </c>
      <c r="H372" s="10">
        <v>0</v>
      </c>
      <c r="I372" s="10" t="s">
        <v>343</v>
      </c>
      <c r="J372" s="11">
        <v>8261</v>
      </c>
      <c r="K372" s="11">
        <v>8675</v>
      </c>
      <c r="L372" s="11">
        <v>16936</v>
      </c>
      <c r="M372" s="11">
        <v>10242</v>
      </c>
    </row>
    <row r="373" spans="1:13" x14ac:dyDescent="0.3">
      <c r="A373" s="10">
        <v>6712</v>
      </c>
      <c r="B373" s="10">
        <v>21</v>
      </c>
      <c r="C373" s="10" t="s">
        <v>697</v>
      </c>
      <c r="D373" s="10">
        <v>2183</v>
      </c>
      <c r="E373" s="10" t="s">
        <v>712</v>
      </c>
      <c r="F373" s="10">
        <v>0</v>
      </c>
      <c r="G373" s="10" t="s">
        <v>343</v>
      </c>
      <c r="H373" s="10">
        <v>0</v>
      </c>
      <c r="I373" s="10" t="s">
        <v>343</v>
      </c>
      <c r="J373" s="11">
        <v>7660</v>
      </c>
      <c r="K373" s="11">
        <v>7729</v>
      </c>
      <c r="L373" s="11">
        <v>15389</v>
      </c>
      <c r="M373" s="11">
        <v>14410</v>
      </c>
    </row>
    <row r="374" spans="1:13" x14ac:dyDescent="0.3">
      <c r="A374" s="10">
        <v>6712</v>
      </c>
      <c r="B374" s="10">
        <v>21</v>
      </c>
      <c r="C374" s="10" t="s">
        <v>697</v>
      </c>
      <c r="D374" s="10">
        <v>2184</v>
      </c>
      <c r="E374" s="10" t="s">
        <v>713</v>
      </c>
      <c r="F374" s="10">
        <v>0</v>
      </c>
      <c r="G374" s="10" t="s">
        <v>343</v>
      </c>
      <c r="H374" s="10">
        <v>0</v>
      </c>
      <c r="I374" s="10" t="s">
        <v>343</v>
      </c>
      <c r="J374" s="11">
        <v>5742</v>
      </c>
      <c r="K374" s="11">
        <v>5698</v>
      </c>
      <c r="L374" s="11">
        <v>11440</v>
      </c>
      <c r="M374" s="11">
        <v>9067</v>
      </c>
    </row>
    <row r="375" spans="1:13" x14ac:dyDescent="0.3">
      <c r="A375" s="10">
        <v>6712</v>
      </c>
      <c r="B375" s="10">
        <v>21</v>
      </c>
      <c r="C375" s="10" t="s">
        <v>697</v>
      </c>
      <c r="D375" s="10">
        <v>2185</v>
      </c>
      <c r="E375" s="10" t="s">
        <v>714</v>
      </c>
      <c r="F375" s="10">
        <v>0</v>
      </c>
      <c r="G375" s="10" t="s">
        <v>343</v>
      </c>
      <c r="H375" s="10">
        <v>0</v>
      </c>
      <c r="I375" s="10" t="s">
        <v>343</v>
      </c>
      <c r="J375" s="11">
        <v>2601</v>
      </c>
      <c r="K375" s="11">
        <v>2969</v>
      </c>
      <c r="L375" s="11">
        <v>5570</v>
      </c>
      <c r="M375" s="11">
        <v>4609</v>
      </c>
    </row>
    <row r="376" spans="1:13" x14ac:dyDescent="0.3">
      <c r="A376" s="10">
        <v>6712</v>
      </c>
      <c r="B376" s="10">
        <v>21</v>
      </c>
      <c r="C376" s="10" t="s">
        <v>697</v>
      </c>
      <c r="D376" s="10">
        <v>2186</v>
      </c>
      <c r="E376" s="10" t="s">
        <v>715</v>
      </c>
      <c r="F376" s="10">
        <v>0</v>
      </c>
      <c r="G376" s="10" t="s">
        <v>343</v>
      </c>
      <c r="H376" s="10">
        <v>0</v>
      </c>
      <c r="I376" s="10" t="s">
        <v>343</v>
      </c>
      <c r="J376" s="10">
        <v>204</v>
      </c>
      <c r="K376" s="10">
        <v>189</v>
      </c>
      <c r="L376" s="10">
        <v>393</v>
      </c>
      <c r="M376" s="10">
        <v>620</v>
      </c>
    </row>
    <row r="377" spans="1:13" x14ac:dyDescent="0.3">
      <c r="A377" s="10">
        <v>6712</v>
      </c>
      <c r="B377" s="10">
        <v>21</v>
      </c>
      <c r="C377" s="10" t="s">
        <v>697</v>
      </c>
      <c r="D377" s="10">
        <v>2187</v>
      </c>
      <c r="E377" s="10" t="s">
        <v>716</v>
      </c>
      <c r="F377" s="10">
        <v>0</v>
      </c>
      <c r="G377" s="10" t="s">
        <v>343</v>
      </c>
      <c r="H377" s="10">
        <v>0</v>
      </c>
      <c r="I377" s="10" t="s">
        <v>343</v>
      </c>
      <c r="J377" s="11">
        <v>1621</v>
      </c>
      <c r="K377" s="11">
        <v>1768</v>
      </c>
      <c r="L377" s="11">
        <v>3389</v>
      </c>
      <c r="M377" s="11">
        <v>2183</v>
      </c>
    </row>
    <row r="378" spans="1:13" x14ac:dyDescent="0.3">
      <c r="A378" s="10">
        <v>6712</v>
      </c>
      <c r="B378" s="10">
        <v>21</v>
      </c>
      <c r="C378" s="10" t="s">
        <v>697</v>
      </c>
      <c r="D378" s="10">
        <v>2188</v>
      </c>
      <c r="E378" s="10" t="s">
        <v>717</v>
      </c>
      <c r="F378" s="10">
        <v>0</v>
      </c>
      <c r="G378" s="10" t="s">
        <v>343</v>
      </c>
      <c r="H378" s="10">
        <v>0</v>
      </c>
      <c r="I378" s="10" t="s">
        <v>343</v>
      </c>
      <c r="J378" s="11">
        <v>1820</v>
      </c>
      <c r="K378" s="11">
        <v>1896</v>
      </c>
      <c r="L378" s="11">
        <v>3716</v>
      </c>
      <c r="M378" s="11">
        <v>2499</v>
      </c>
    </row>
    <row r="379" spans="1:13" x14ac:dyDescent="0.3">
      <c r="A379" s="10">
        <v>6712</v>
      </c>
      <c r="B379" s="10">
        <v>21</v>
      </c>
      <c r="C379" s="10" t="s">
        <v>697</v>
      </c>
      <c r="D379" s="10">
        <v>2189</v>
      </c>
      <c r="E379" s="10" t="s">
        <v>718</v>
      </c>
      <c r="F379" s="10">
        <v>0</v>
      </c>
      <c r="G379" s="10" t="s">
        <v>343</v>
      </c>
      <c r="H379" s="10">
        <v>0</v>
      </c>
      <c r="I379" s="10" t="s">
        <v>343</v>
      </c>
      <c r="J379" s="11">
        <v>7189</v>
      </c>
      <c r="K379" s="11">
        <v>7983</v>
      </c>
      <c r="L379" s="11">
        <v>15172</v>
      </c>
      <c r="M379" s="11">
        <v>10601</v>
      </c>
    </row>
    <row r="380" spans="1:13" x14ac:dyDescent="0.3">
      <c r="A380" s="10">
        <v>6712</v>
      </c>
      <c r="B380" s="10">
        <v>21</v>
      </c>
      <c r="C380" s="10" t="s">
        <v>697</v>
      </c>
      <c r="D380" s="10">
        <v>2190</v>
      </c>
      <c r="E380" s="10" t="s">
        <v>719</v>
      </c>
      <c r="F380" s="10">
        <v>0</v>
      </c>
      <c r="G380" s="10" t="s">
        <v>343</v>
      </c>
      <c r="H380" s="10">
        <v>0</v>
      </c>
      <c r="I380" s="10" t="s">
        <v>343</v>
      </c>
      <c r="J380" s="11">
        <v>2242</v>
      </c>
      <c r="K380" s="11">
        <v>2378</v>
      </c>
      <c r="L380" s="11">
        <v>4620</v>
      </c>
      <c r="M380" s="11">
        <v>2113</v>
      </c>
    </row>
    <row r="381" spans="1:13" x14ac:dyDescent="0.3">
      <c r="A381" s="10">
        <v>6712</v>
      </c>
      <c r="B381" s="10">
        <v>21</v>
      </c>
      <c r="C381" s="10" t="s">
        <v>697</v>
      </c>
      <c r="D381" s="10">
        <v>2191</v>
      </c>
      <c r="E381" s="10" t="s">
        <v>720</v>
      </c>
      <c r="F381" s="10">
        <v>0</v>
      </c>
      <c r="G381" s="10" t="s">
        <v>343</v>
      </c>
      <c r="H381" s="10">
        <v>0</v>
      </c>
      <c r="I381" s="10" t="s">
        <v>343</v>
      </c>
      <c r="J381" s="11">
        <v>3075</v>
      </c>
      <c r="K381" s="11">
        <v>3418</v>
      </c>
      <c r="L381" s="11">
        <v>6493</v>
      </c>
      <c r="M381" s="11">
        <v>4223</v>
      </c>
    </row>
    <row r="382" spans="1:13" x14ac:dyDescent="0.3">
      <c r="A382" s="10">
        <v>6712</v>
      </c>
      <c r="B382" s="10">
        <v>21</v>
      </c>
      <c r="C382" s="10" t="s">
        <v>697</v>
      </c>
      <c r="D382" s="10">
        <v>2192</v>
      </c>
      <c r="E382" s="10" t="s">
        <v>721</v>
      </c>
      <c r="F382" s="10">
        <v>0</v>
      </c>
      <c r="G382" s="10" t="s">
        <v>343</v>
      </c>
      <c r="H382" s="10">
        <v>0</v>
      </c>
      <c r="I382" s="10" t="s">
        <v>343</v>
      </c>
      <c r="J382" s="11">
        <v>2322</v>
      </c>
      <c r="K382" s="11">
        <v>2368</v>
      </c>
      <c r="L382" s="11">
        <v>4690</v>
      </c>
      <c r="M382" s="11">
        <v>1919</v>
      </c>
    </row>
    <row r="383" spans="1:13" x14ac:dyDescent="0.3">
      <c r="A383" s="10">
        <v>6712</v>
      </c>
      <c r="B383" s="10">
        <v>21</v>
      </c>
      <c r="C383" s="10" t="s">
        <v>697</v>
      </c>
      <c r="D383" s="10">
        <v>2193</v>
      </c>
      <c r="E383" s="10" t="s">
        <v>722</v>
      </c>
      <c r="F383" s="10">
        <v>0</v>
      </c>
      <c r="G383" s="10" t="s">
        <v>343</v>
      </c>
      <c r="H383" s="10">
        <v>0</v>
      </c>
      <c r="I383" s="10" t="s">
        <v>343</v>
      </c>
      <c r="J383" s="11">
        <v>5589</v>
      </c>
      <c r="K383" s="11">
        <v>5791</v>
      </c>
      <c r="L383" s="11">
        <v>11380</v>
      </c>
      <c r="M383" s="11">
        <v>6402</v>
      </c>
    </row>
    <row r="384" spans="1:13" x14ac:dyDescent="0.3">
      <c r="A384" s="10">
        <v>6712</v>
      </c>
      <c r="B384" s="10">
        <v>21</v>
      </c>
      <c r="C384" s="10" t="s">
        <v>697</v>
      </c>
      <c r="D384" s="10">
        <v>2194</v>
      </c>
      <c r="E384" s="10" t="s">
        <v>723</v>
      </c>
      <c r="F384" s="10">
        <v>0</v>
      </c>
      <c r="G384" s="10" t="s">
        <v>343</v>
      </c>
      <c r="H384" s="10">
        <v>0</v>
      </c>
      <c r="I384" s="10" t="s">
        <v>343</v>
      </c>
      <c r="J384" s="11">
        <v>15485</v>
      </c>
      <c r="K384" s="11">
        <v>16505</v>
      </c>
      <c r="L384" s="11">
        <v>31990</v>
      </c>
      <c r="M384" s="11">
        <v>22168</v>
      </c>
    </row>
    <row r="385" spans="1:13" x14ac:dyDescent="0.3">
      <c r="A385" s="10">
        <v>6712</v>
      </c>
      <c r="B385" s="10">
        <v>21</v>
      </c>
      <c r="C385" s="10" t="s">
        <v>697</v>
      </c>
      <c r="D385" s="10">
        <v>2195</v>
      </c>
      <c r="E385" s="10" t="s">
        <v>724</v>
      </c>
      <c r="F385" s="10">
        <v>0</v>
      </c>
      <c r="G385" s="10" t="s">
        <v>343</v>
      </c>
      <c r="H385" s="10">
        <v>0</v>
      </c>
      <c r="I385" s="10" t="s">
        <v>343</v>
      </c>
      <c r="J385" s="11">
        <v>8625</v>
      </c>
      <c r="K385" s="11">
        <v>9571</v>
      </c>
      <c r="L385" s="11">
        <v>18196</v>
      </c>
      <c r="M385" s="11">
        <v>12698</v>
      </c>
    </row>
    <row r="386" spans="1:13" x14ac:dyDescent="0.3">
      <c r="A386" s="10">
        <v>6712</v>
      </c>
      <c r="B386" s="10">
        <v>21</v>
      </c>
      <c r="C386" s="10" t="s">
        <v>697</v>
      </c>
      <c r="D386" s="10">
        <v>2196</v>
      </c>
      <c r="E386" s="10" t="s">
        <v>725</v>
      </c>
      <c r="F386" s="10">
        <v>0</v>
      </c>
      <c r="G386" s="10" t="s">
        <v>343</v>
      </c>
      <c r="H386" s="10">
        <v>0</v>
      </c>
      <c r="I386" s="10" t="s">
        <v>343</v>
      </c>
      <c r="J386" s="11">
        <v>3427</v>
      </c>
      <c r="K386" s="11">
        <v>3724</v>
      </c>
      <c r="L386" s="11">
        <v>7151</v>
      </c>
      <c r="M386" s="11">
        <v>3567</v>
      </c>
    </row>
    <row r="387" spans="1:13" x14ac:dyDescent="0.3">
      <c r="A387" s="10">
        <v>6712</v>
      </c>
      <c r="B387" s="10">
        <v>21</v>
      </c>
      <c r="C387" s="10" t="s">
        <v>697</v>
      </c>
      <c r="D387" s="10">
        <v>2197</v>
      </c>
      <c r="E387" s="10" t="s">
        <v>726</v>
      </c>
      <c r="F387" s="10">
        <v>0</v>
      </c>
      <c r="G387" s="10" t="s">
        <v>343</v>
      </c>
      <c r="H387" s="10">
        <v>0</v>
      </c>
      <c r="I387" s="10" t="s">
        <v>343</v>
      </c>
      <c r="J387" s="11">
        <v>39769</v>
      </c>
      <c r="K387" s="11">
        <v>40004</v>
      </c>
      <c r="L387" s="11">
        <v>79773</v>
      </c>
      <c r="M387" s="11">
        <v>69179</v>
      </c>
    </row>
    <row r="388" spans="1:13" x14ac:dyDescent="0.3">
      <c r="A388" s="10">
        <v>6712</v>
      </c>
      <c r="B388" s="10">
        <v>21</v>
      </c>
      <c r="C388" s="10" t="s">
        <v>697</v>
      </c>
      <c r="D388" s="10">
        <v>2198</v>
      </c>
      <c r="E388" s="10" t="s">
        <v>727</v>
      </c>
      <c r="F388" s="10">
        <v>0</v>
      </c>
      <c r="G388" s="10" t="s">
        <v>343</v>
      </c>
      <c r="H388" s="10">
        <v>0</v>
      </c>
      <c r="I388" s="10" t="s">
        <v>343</v>
      </c>
      <c r="J388" s="11">
        <v>8647</v>
      </c>
      <c r="K388" s="11">
        <v>9695</v>
      </c>
      <c r="L388" s="11">
        <v>18342</v>
      </c>
      <c r="M388" s="11">
        <v>12071</v>
      </c>
    </row>
    <row r="389" spans="1:13" x14ac:dyDescent="0.3">
      <c r="A389" s="10">
        <v>6712</v>
      </c>
      <c r="B389" s="10">
        <v>21</v>
      </c>
      <c r="C389" s="10" t="s">
        <v>697</v>
      </c>
      <c r="D389" s="10">
        <v>2199</v>
      </c>
      <c r="E389" s="10" t="s">
        <v>728</v>
      </c>
      <c r="F389" s="10">
        <v>0</v>
      </c>
      <c r="G389" s="10" t="s">
        <v>343</v>
      </c>
      <c r="H389" s="10">
        <v>0</v>
      </c>
      <c r="I389" s="10" t="s">
        <v>343</v>
      </c>
      <c r="J389" s="11">
        <v>27409</v>
      </c>
      <c r="K389" s="11">
        <v>31205</v>
      </c>
      <c r="L389" s="11">
        <v>58614</v>
      </c>
      <c r="M389" s="11">
        <v>38537</v>
      </c>
    </row>
    <row r="390" spans="1:13" x14ac:dyDescent="0.3">
      <c r="A390" s="10">
        <v>6712</v>
      </c>
      <c r="B390" s="10">
        <v>22</v>
      </c>
      <c r="C390" s="10" t="s">
        <v>729</v>
      </c>
      <c r="D390" s="10">
        <v>0</v>
      </c>
      <c r="E390" s="10" t="s">
        <v>343</v>
      </c>
      <c r="F390" s="10">
        <v>0</v>
      </c>
      <c r="G390" s="10" t="s">
        <v>343</v>
      </c>
      <c r="H390" s="10">
        <v>0</v>
      </c>
      <c r="I390" s="10" t="s">
        <v>343</v>
      </c>
      <c r="J390" s="11">
        <v>261555</v>
      </c>
      <c r="K390" s="11">
        <v>274833</v>
      </c>
      <c r="L390" s="11">
        <v>536388</v>
      </c>
      <c r="M390" s="11">
        <v>261649</v>
      </c>
    </row>
    <row r="391" spans="1:13" x14ac:dyDescent="0.3">
      <c r="A391" s="10">
        <v>6712</v>
      </c>
      <c r="B391" s="10">
        <v>22</v>
      </c>
      <c r="C391" s="10" t="s">
        <v>729</v>
      </c>
      <c r="D391" s="10">
        <v>2201</v>
      </c>
      <c r="E391" s="10" t="s">
        <v>730</v>
      </c>
      <c r="F391" s="10">
        <v>0</v>
      </c>
      <c r="G391" s="10" t="s">
        <v>343</v>
      </c>
      <c r="H391" s="10">
        <v>0</v>
      </c>
      <c r="I391" s="10" t="s">
        <v>343</v>
      </c>
      <c r="J391" s="11">
        <v>23026</v>
      </c>
      <c r="K391" s="11">
        <v>25609</v>
      </c>
      <c r="L391" s="11">
        <v>48635</v>
      </c>
      <c r="M391" s="11">
        <v>24450</v>
      </c>
    </row>
    <row r="392" spans="1:13" x14ac:dyDescent="0.3">
      <c r="A392" s="10">
        <v>6712</v>
      </c>
      <c r="B392" s="10">
        <v>22</v>
      </c>
      <c r="C392" s="10" t="s">
        <v>729</v>
      </c>
      <c r="D392" s="10">
        <v>2202</v>
      </c>
      <c r="E392" s="10" t="s">
        <v>731</v>
      </c>
      <c r="F392" s="10">
        <v>0</v>
      </c>
      <c r="G392" s="10" t="s">
        <v>343</v>
      </c>
      <c r="H392" s="10">
        <v>0</v>
      </c>
      <c r="I392" s="10" t="s">
        <v>343</v>
      </c>
      <c r="J392" s="11">
        <v>12459</v>
      </c>
      <c r="K392" s="11">
        <v>13001</v>
      </c>
      <c r="L392" s="11">
        <v>25460</v>
      </c>
      <c r="M392" s="11">
        <v>10815</v>
      </c>
    </row>
    <row r="393" spans="1:13" x14ac:dyDescent="0.3">
      <c r="A393" s="10">
        <v>6712</v>
      </c>
      <c r="B393" s="10">
        <v>22</v>
      </c>
      <c r="C393" s="10" t="s">
        <v>729</v>
      </c>
      <c r="D393" s="10">
        <v>2203</v>
      </c>
      <c r="E393" s="10" t="s">
        <v>732</v>
      </c>
      <c r="F393" s="10">
        <v>0</v>
      </c>
      <c r="G393" s="10" t="s">
        <v>343</v>
      </c>
      <c r="H393" s="10">
        <v>0</v>
      </c>
      <c r="I393" s="10" t="s">
        <v>343</v>
      </c>
      <c r="J393" s="11">
        <v>23241</v>
      </c>
      <c r="K393" s="11">
        <v>24302</v>
      </c>
      <c r="L393" s="11">
        <v>47543</v>
      </c>
      <c r="M393" s="11">
        <v>19239</v>
      </c>
    </row>
    <row r="394" spans="1:13" x14ac:dyDescent="0.3">
      <c r="A394" s="10">
        <v>6712</v>
      </c>
      <c r="B394" s="10">
        <v>22</v>
      </c>
      <c r="C394" s="10" t="s">
        <v>729</v>
      </c>
      <c r="D394" s="10">
        <v>2204</v>
      </c>
      <c r="E394" s="10" t="s">
        <v>733</v>
      </c>
      <c r="F394" s="10">
        <v>0</v>
      </c>
      <c r="G394" s="10" t="s">
        <v>343</v>
      </c>
      <c r="H394" s="10">
        <v>0</v>
      </c>
      <c r="I394" s="10" t="s">
        <v>343</v>
      </c>
      <c r="J394" s="11">
        <v>11005</v>
      </c>
      <c r="K394" s="11">
        <v>10527</v>
      </c>
      <c r="L394" s="11">
        <v>21532</v>
      </c>
      <c r="M394" s="11">
        <v>9196</v>
      </c>
    </row>
    <row r="395" spans="1:13" x14ac:dyDescent="0.3">
      <c r="A395" s="10">
        <v>6712</v>
      </c>
      <c r="B395" s="10">
        <v>22</v>
      </c>
      <c r="C395" s="10" t="s">
        <v>729</v>
      </c>
      <c r="D395" s="10">
        <v>2205</v>
      </c>
      <c r="E395" s="10" t="s">
        <v>734</v>
      </c>
      <c r="F395" s="10">
        <v>0</v>
      </c>
      <c r="G395" s="10" t="s">
        <v>343</v>
      </c>
      <c r="H395" s="10">
        <v>0</v>
      </c>
      <c r="I395" s="10" t="s">
        <v>343</v>
      </c>
      <c r="J395" s="11">
        <v>15269</v>
      </c>
      <c r="K395" s="11">
        <v>15915</v>
      </c>
      <c r="L395" s="11">
        <v>31184</v>
      </c>
      <c r="M395" s="11">
        <v>14383</v>
      </c>
    </row>
    <row r="396" spans="1:13" x14ac:dyDescent="0.3">
      <c r="A396" s="10">
        <v>6712</v>
      </c>
      <c r="B396" s="10">
        <v>22</v>
      </c>
      <c r="C396" s="10" t="s">
        <v>729</v>
      </c>
      <c r="D396" s="10">
        <v>2206</v>
      </c>
      <c r="E396" s="10" t="s">
        <v>735</v>
      </c>
      <c r="F396" s="10">
        <v>0</v>
      </c>
      <c r="G396" s="10" t="s">
        <v>343</v>
      </c>
      <c r="H396" s="10">
        <v>0</v>
      </c>
      <c r="I396" s="10" t="s">
        <v>343</v>
      </c>
      <c r="J396" s="11">
        <v>6763</v>
      </c>
      <c r="K396" s="11">
        <v>7084</v>
      </c>
      <c r="L396" s="11">
        <v>13847</v>
      </c>
      <c r="M396" s="11">
        <v>5522</v>
      </c>
    </row>
    <row r="397" spans="1:13" x14ac:dyDescent="0.3">
      <c r="A397" s="10">
        <v>6712</v>
      </c>
      <c r="B397" s="10">
        <v>22</v>
      </c>
      <c r="C397" s="10" t="s">
        <v>729</v>
      </c>
      <c r="D397" s="10">
        <v>2207</v>
      </c>
      <c r="E397" s="10" t="s">
        <v>736</v>
      </c>
      <c r="F397" s="10">
        <v>0</v>
      </c>
      <c r="G397" s="10" t="s">
        <v>343</v>
      </c>
      <c r="H397" s="10">
        <v>0</v>
      </c>
      <c r="I397" s="10" t="s">
        <v>343</v>
      </c>
      <c r="J397" s="11">
        <v>18607</v>
      </c>
      <c r="K397" s="11">
        <v>18346</v>
      </c>
      <c r="L397" s="11">
        <v>36953</v>
      </c>
      <c r="M397" s="11">
        <v>15547</v>
      </c>
    </row>
    <row r="398" spans="1:13" x14ac:dyDescent="0.3">
      <c r="A398" s="10">
        <v>6712</v>
      </c>
      <c r="B398" s="10">
        <v>22</v>
      </c>
      <c r="C398" s="10" t="s">
        <v>729</v>
      </c>
      <c r="D398" s="10">
        <v>2208</v>
      </c>
      <c r="E398" s="10" t="s">
        <v>737</v>
      </c>
      <c r="F398" s="10">
        <v>0</v>
      </c>
      <c r="G398" s="10" t="s">
        <v>343</v>
      </c>
      <c r="H398" s="10">
        <v>0</v>
      </c>
      <c r="I398" s="10" t="s">
        <v>343</v>
      </c>
      <c r="J398" s="11">
        <v>21455</v>
      </c>
      <c r="K398" s="11">
        <v>21366</v>
      </c>
      <c r="L398" s="11">
        <v>42821</v>
      </c>
      <c r="M398" s="11">
        <v>22728</v>
      </c>
    </row>
    <row r="399" spans="1:13" x14ac:dyDescent="0.3">
      <c r="A399" s="10">
        <v>6712</v>
      </c>
      <c r="B399" s="10">
        <v>22</v>
      </c>
      <c r="C399" s="10" t="s">
        <v>729</v>
      </c>
      <c r="D399" s="10">
        <v>2209</v>
      </c>
      <c r="E399" s="10" t="s">
        <v>738</v>
      </c>
      <c r="F399" s="10">
        <v>0</v>
      </c>
      <c r="G399" s="10" t="s">
        <v>343</v>
      </c>
      <c r="H399" s="10">
        <v>0</v>
      </c>
      <c r="I399" s="10" t="s">
        <v>343</v>
      </c>
      <c r="J399" s="11">
        <v>14890</v>
      </c>
      <c r="K399" s="11">
        <v>15938</v>
      </c>
      <c r="L399" s="11">
        <v>30828</v>
      </c>
      <c r="M399" s="11">
        <v>12712</v>
      </c>
    </row>
    <row r="400" spans="1:13" x14ac:dyDescent="0.3">
      <c r="A400" s="10">
        <v>6712</v>
      </c>
      <c r="B400" s="10">
        <v>22</v>
      </c>
      <c r="C400" s="10" t="s">
        <v>729</v>
      </c>
      <c r="D400" s="10">
        <v>2210</v>
      </c>
      <c r="E400" s="10" t="s">
        <v>739</v>
      </c>
      <c r="F400" s="10">
        <v>0</v>
      </c>
      <c r="G400" s="10" t="s">
        <v>343</v>
      </c>
      <c r="H400" s="10">
        <v>0</v>
      </c>
      <c r="I400" s="10" t="s">
        <v>343</v>
      </c>
      <c r="J400" s="11">
        <v>6325</v>
      </c>
      <c r="K400" s="11">
        <v>6530</v>
      </c>
      <c r="L400" s="11">
        <v>12855</v>
      </c>
      <c r="M400" s="11">
        <v>5863</v>
      </c>
    </row>
    <row r="401" spans="1:13" x14ac:dyDescent="0.3">
      <c r="A401" s="10">
        <v>6712</v>
      </c>
      <c r="B401" s="10">
        <v>22</v>
      </c>
      <c r="C401" s="10" t="s">
        <v>729</v>
      </c>
      <c r="D401" s="10">
        <v>2272</v>
      </c>
      <c r="E401" s="10" t="s">
        <v>740</v>
      </c>
      <c r="F401" s="10">
        <v>0</v>
      </c>
      <c r="G401" s="10" t="s">
        <v>343</v>
      </c>
      <c r="H401" s="10">
        <v>0</v>
      </c>
      <c r="I401" s="10" t="s">
        <v>343</v>
      </c>
      <c r="J401" s="11">
        <v>3061</v>
      </c>
      <c r="K401" s="11">
        <v>3218</v>
      </c>
      <c r="L401" s="11">
        <v>6279</v>
      </c>
      <c r="M401" s="11">
        <v>2658</v>
      </c>
    </row>
    <row r="402" spans="1:13" x14ac:dyDescent="0.3">
      <c r="A402" s="10">
        <v>6712</v>
      </c>
      <c r="B402" s="10">
        <v>22</v>
      </c>
      <c r="C402" s="10" t="s">
        <v>729</v>
      </c>
      <c r="D402" s="10">
        <v>2273</v>
      </c>
      <c r="E402" s="10" t="s">
        <v>741</v>
      </c>
      <c r="F402" s="10">
        <v>0</v>
      </c>
      <c r="G402" s="10" t="s">
        <v>343</v>
      </c>
      <c r="H402" s="10">
        <v>0</v>
      </c>
      <c r="I402" s="10" t="s">
        <v>343</v>
      </c>
      <c r="J402" s="11">
        <v>2698</v>
      </c>
      <c r="K402" s="11">
        <v>2710</v>
      </c>
      <c r="L402" s="11">
        <v>5408</v>
      </c>
      <c r="M402" s="11">
        <v>2192</v>
      </c>
    </row>
    <row r="403" spans="1:13" x14ac:dyDescent="0.3">
      <c r="A403" s="10">
        <v>6712</v>
      </c>
      <c r="B403" s="10">
        <v>22</v>
      </c>
      <c r="C403" s="10" t="s">
        <v>729</v>
      </c>
      <c r="D403" s="10">
        <v>2274</v>
      </c>
      <c r="E403" s="10" t="s">
        <v>742</v>
      </c>
      <c r="F403" s="10">
        <v>0</v>
      </c>
      <c r="G403" s="10" t="s">
        <v>343</v>
      </c>
      <c r="H403" s="10">
        <v>0</v>
      </c>
      <c r="I403" s="10" t="s">
        <v>343</v>
      </c>
      <c r="J403" s="11">
        <v>5206</v>
      </c>
      <c r="K403" s="11">
        <v>4960</v>
      </c>
      <c r="L403" s="11">
        <v>10166</v>
      </c>
      <c r="M403" s="11">
        <v>4188</v>
      </c>
    </row>
    <row r="404" spans="1:13" x14ac:dyDescent="0.3">
      <c r="A404" s="10">
        <v>6712</v>
      </c>
      <c r="B404" s="10">
        <v>22</v>
      </c>
      <c r="C404" s="10" t="s">
        <v>729</v>
      </c>
      <c r="D404" s="10">
        <v>2275</v>
      </c>
      <c r="E404" s="10" t="s">
        <v>743</v>
      </c>
      <c r="F404" s="10">
        <v>0</v>
      </c>
      <c r="G404" s="10" t="s">
        <v>343</v>
      </c>
      <c r="H404" s="10">
        <v>0</v>
      </c>
      <c r="I404" s="10" t="s">
        <v>343</v>
      </c>
      <c r="J404" s="11">
        <v>1980</v>
      </c>
      <c r="K404" s="11">
        <v>2143</v>
      </c>
      <c r="L404" s="11">
        <v>4123</v>
      </c>
      <c r="M404" s="11">
        <v>1710</v>
      </c>
    </row>
    <row r="405" spans="1:13" x14ac:dyDescent="0.3">
      <c r="A405" s="10">
        <v>6712</v>
      </c>
      <c r="B405" s="10">
        <v>22</v>
      </c>
      <c r="C405" s="10" t="s">
        <v>729</v>
      </c>
      <c r="D405" s="10">
        <v>2276</v>
      </c>
      <c r="E405" s="10" t="s">
        <v>744</v>
      </c>
      <c r="F405" s="10">
        <v>0</v>
      </c>
      <c r="G405" s="10" t="s">
        <v>343</v>
      </c>
      <c r="H405" s="10">
        <v>0</v>
      </c>
      <c r="I405" s="10" t="s">
        <v>343</v>
      </c>
      <c r="J405" s="11">
        <v>2152</v>
      </c>
      <c r="K405" s="11">
        <v>2503</v>
      </c>
      <c r="L405" s="11">
        <v>4655</v>
      </c>
      <c r="M405" s="11">
        <v>2384</v>
      </c>
    </row>
    <row r="406" spans="1:13" x14ac:dyDescent="0.3">
      <c r="A406" s="10">
        <v>6712</v>
      </c>
      <c r="B406" s="10">
        <v>22</v>
      </c>
      <c r="C406" s="10" t="s">
        <v>729</v>
      </c>
      <c r="D406" s="10">
        <v>2277</v>
      </c>
      <c r="E406" s="10" t="s">
        <v>745</v>
      </c>
      <c r="F406" s="10">
        <v>0</v>
      </c>
      <c r="G406" s="10" t="s">
        <v>343</v>
      </c>
      <c r="H406" s="10">
        <v>0</v>
      </c>
      <c r="I406" s="10" t="s">
        <v>343</v>
      </c>
      <c r="J406" s="11">
        <v>3443</v>
      </c>
      <c r="K406" s="11">
        <v>3621</v>
      </c>
      <c r="L406" s="11">
        <v>7064</v>
      </c>
      <c r="M406" s="11">
        <v>2912</v>
      </c>
    </row>
    <row r="407" spans="1:13" x14ac:dyDescent="0.3">
      <c r="A407" s="10">
        <v>6712</v>
      </c>
      <c r="B407" s="10">
        <v>22</v>
      </c>
      <c r="C407" s="10" t="s">
        <v>729</v>
      </c>
      <c r="D407" s="10">
        <v>2278</v>
      </c>
      <c r="E407" s="10" t="s">
        <v>746</v>
      </c>
      <c r="F407" s="10">
        <v>0</v>
      </c>
      <c r="G407" s="10" t="s">
        <v>343</v>
      </c>
      <c r="H407" s="10">
        <v>0</v>
      </c>
      <c r="I407" s="10" t="s">
        <v>343</v>
      </c>
      <c r="J407" s="11">
        <v>2133</v>
      </c>
      <c r="K407" s="11">
        <v>2259</v>
      </c>
      <c r="L407" s="11">
        <v>4392</v>
      </c>
      <c r="M407" s="11">
        <v>1974</v>
      </c>
    </row>
    <row r="408" spans="1:13" x14ac:dyDescent="0.3">
      <c r="A408" s="10">
        <v>6712</v>
      </c>
      <c r="B408" s="10">
        <v>22</v>
      </c>
      <c r="C408" s="10" t="s">
        <v>729</v>
      </c>
      <c r="D408" s="10">
        <v>2279</v>
      </c>
      <c r="E408" s="10" t="s">
        <v>747</v>
      </c>
      <c r="F408" s="10">
        <v>0</v>
      </c>
      <c r="G408" s="10" t="s">
        <v>343</v>
      </c>
      <c r="H408" s="10">
        <v>0</v>
      </c>
      <c r="I408" s="10" t="s">
        <v>343</v>
      </c>
      <c r="J408" s="11">
        <v>2388</v>
      </c>
      <c r="K408" s="11">
        <v>2354</v>
      </c>
      <c r="L408" s="11">
        <v>4742</v>
      </c>
      <c r="M408" s="11">
        <v>1931</v>
      </c>
    </row>
    <row r="409" spans="1:13" x14ac:dyDescent="0.3">
      <c r="A409" s="10">
        <v>6712</v>
      </c>
      <c r="B409" s="10">
        <v>22</v>
      </c>
      <c r="C409" s="10" t="s">
        <v>729</v>
      </c>
      <c r="D409" s="10">
        <v>2280</v>
      </c>
      <c r="E409" s="10" t="s">
        <v>748</v>
      </c>
      <c r="F409" s="10">
        <v>0</v>
      </c>
      <c r="G409" s="10" t="s">
        <v>343</v>
      </c>
      <c r="H409" s="10">
        <v>0</v>
      </c>
      <c r="I409" s="10" t="s">
        <v>343</v>
      </c>
      <c r="J409" s="11">
        <v>8557</v>
      </c>
      <c r="K409" s="11">
        <v>9548</v>
      </c>
      <c r="L409" s="11">
        <v>18105</v>
      </c>
      <c r="M409" s="11">
        <v>9022</v>
      </c>
    </row>
    <row r="410" spans="1:13" x14ac:dyDescent="0.3">
      <c r="A410" s="10">
        <v>6712</v>
      </c>
      <c r="B410" s="10">
        <v>22</v>
      </c>
      <c r="C410" s="10" t="s">
        <v>729</v>
      </c>
      <c r="D410" s="10">
        <v>2281</v>
      </c>
      <c r="E410" s="10" t="s">
        <v>749</v>
      </c>
      <c r="F410" s="10">
        <v>0</v>
      </c>
      <c r="G410" s="10" t="s">
        <v>343</v>
      </c>
      <c r="H410" s="10">
        <v>0</v>
      </c>
      <c r="I410" s="10" t="s">
        <v>343</v>
      </c>
      <c r="J410" s="11">
        <v>2269</v>
      </c>
      <c r="K410" s="11">
        <v>2118</v>
      </c>
      <c r="L410" s="11">
        <v>4387</v>
      </c>
      <c r="M410" s="11">
        <v>2720</v>
      </c>
    </row>
    <row r="411" spans="1:13" x14ac:dyDescent="0.3">
      <c r="A411" s="10">
        <v>6712</v>
      </c>
      <c r="B411" s="10">
        <v>22</v>
      </c>
      <c r="C411" s="10" t="s">
        <v>729</v>
      </c>
      <c r="D411" s="10">
        <v>2282</v>
      </c>
      <c r="E411" s="10" t="s">
        <v>750</v>
      </c>
      <c r="F411" s="10">
        <v>0</v>
      </c>
      <c r="G411" s="10" t="s">
        <v>343</v>
      </c>
      <c r="H411" s="10">
        <v>0</v>
      </c>
      <c r="I411" s="10" t="s">
        <v>343</v>
      </c>
      <c r="J411" s="11">
        <v>3576</v>
      </c>
      <c r="K411" s="11">
        <v>3776</v>
      </c>
      <c r="L411" s="11">
        <v>7352</v>
      </c>
      <c r="M411" s="11">
        <v>4364</v>
      </c>
    </row>
    <row r="412" spans="1:13" x14ac:dyDescent="0.3">
      <c r="A412" s="10">
        <v>6712</v>
      </c>
      <c r="B412" s="10">
        <v>22</v>
      </c>
      <c r="C412" s="10" t="s">
        <v>729</v>
      </c>
      <c r="D412" s="10">
        <v>2283</v>
      </c>
      <c r="E412" s="10" t="s">
        <v>751</v>
      </c>
      <c r="F412" s="10">
        <v>0</v>
      </c>
      <c r="G412" s="10" t="s">
        <v>343</v>
      </c>
      <c r="H412" s="10">
        <v>0</v>
      </c>
      <c r="I412" s="10" t="s">
        <v>343</v>
      </c>
      <c r="J412" s="11">
        <v>8098</v>
      </c>
      <c r="K412" s="11">
        <v>8078</v>
      </c>
      <c r="L412" s="11">
        <v>16176</v>
      </c>
      <c r="M412" s="11">
        <v>6331</v>
      </c>
    </row>
    <row r="413" spans="1:13" x14ac:dyDescent="0.3">
      <c r="A413" s="10">
        <v>6712</v>
      </c>
      <c r="B413" s="10">
        <v>22</v>
      </c>
      <c r="C413" s="10" t="s">
        <v>729</v>
      </c>
      <c r="D413" s="10">
        <v>2284</v>
      </c>
      <c r="E413" s="10" t="s">
        <v>752</v>
      </c>
      <c r="F413" s="10">
        <v>0</v>
      </c>
      <c r="G413" s="10" t="s">
        <v>343</v>
      </c>
      <c r="H413" s="10">
        <v>0</v>
      </c>
      <c r="I413" s="10" t="s">
        <v>343</v>
      </c>
      <c r="J413" s="11">
        <v>1605</v>
      </c>
      <c r="K413" s="11">
        <v>1796</v>
      </c>
      <c r="L413" s="11">
        <v>3401</v>
      </c>
      <c r="M413" s="11">
        <v>2034</v>
      </c>
    </row>
    <row r="414" spans="1:13" x14ac:dyDescent="0.3">
      <c r="A414" s="10">
        <v>6712</v>
      </c>
      <c r="B414" s="10">
        <v>22</v>
      </c>
      <c r="C414" s="10" t="s">
        <v>729</v>
      </c>
      <c r="D414" s="10">
        <v>2285</v>
      </c>
      <c r="E414" s="10" t="s">
        <v>753</v>
      </c>
      <c r="F414" s="10">
        <v>0</v>
      </c>
      <c r="G414" s="10" t="s">
        <v>343</v>
      </c>
      <c r="H414" s="10">
        <v>0</v>
      </c>
      <c r="I414" s="10" t="s">
        <v>343</v>
      </c>
      <c r="J414" s="11">
        <v>5505</v>
      </c>
      <c r="K414" s="11">
        <v>5703</v>
      </c>
      <c r="L414" s="11">
        <v>11208</v>
      </c>
      <c r="M414" s="11">
        <v>6611</v>
      </c>
    </row>
    <row r="415" spans="1:13" x14ac:dyDescent="0.3">
      <c r="A415" s="10">
        <v>6712</v>
      </c>
      <c r="B415" s="10">
        <v>22</v>
      </c>
      <c r="C415" s="10" t="s">
        <v>729</v>
      </c>
      <c r="D415" s="10">
        <v>2286</v>
      </c>
      <c r="E415" s="10" t="s">
        <v>754</v>
      </c>
      <c r="F415" s="10">
        <v>0</v>
      </c>
      <c r="G415" s="10" t="s">
        <v>343</v>
      </c>
      <c r="H415" s="10">
        <v>0</v>
      </c>
      <c r="I415" s="10" t="s">
        <v>343</v>
      </c>
      <c r="J415" s="11">
        <v>3198</v>
      </c>
      <c r="K415" s="11">
        <v>3687</v>
      </c>
      <c r="L415" s="11">
        <v>6885</v>
      </c>
      <c r="M415" s="11">
        <v>3243</v>
      </c>
    </row>
    <row r="416" spans="1:13" x14ac:dyDescent="0.3">
      <c r="A416" s="10">
        <v>6712</v>
      </c>
      <c r="B416" s="10">
        <v>22</v>
      </c>
      <c r="C416" s="10" t="s">
        <v>729</v>
      </c>
      <c r="D416" s="10">
        <v>2287</v>
      </c>
      <c r="E416" s="10" t="s">
        <v>755</v>
      </c>
      <c r="F416" s="10">
        <v>0</v>
      </c>
      <c r="G416" s="10" t="s">
        <v>343</v>
      </c>
      <c r="H416" s="10">
        <v>0</v>
      </c>
      <c r="I416" s="10" t="s">
        <v>343</v>
      </c>
      <c r="J416" s="11">
        <v>4108</v>
      </c>
      <c r="K416" s="11">
        <v>4368</v>
      </c>
      <c r="L416" s="11">
        <v>8476</v>
      </c>
      <c r="M416" s="11">
        <v>3543</v>
      </c>
    </row>
    <row r="417" spans="1:13" x14ac:dyDescent="0.3">
      <c r="A417" s="10">
        <v>6712</v>
      </c>
      <c r="B417" s="10">
        <v>22</v>
      </c>
      <c r="C417" s="10" t="s">
        <v>729</v>
      </c>
      <c r="D417" s="10">
        <v>2288</v>
      </c>
      <c r="E417" s="10" t="s">
        <v>756</v>
      </c>
      <c r="F417" s="10">
        <v>0</v>
      </c>
      <c r="G417" s="10" t="s">
        <v>343</v>
      </c>
      <c r="H417" s="10">
        <v>0</v>
      </c>
      <c r="I417" s="10" t="s">
        <v>343</v>
      </c>
      <c r="J417" s="10">
        <v>784</v>
      </c>
      <c r="K417" s="10">
        <v>897</v>
      </c>
      <c r="L417" s="11">
        <v>1681</v>
      </c>
      <c r="M417" s="11">
        <v>1041</v>
      </c>
    </row>
    <row r="418" spans="1:13" x14ac:dyDescent="0.3">
      <c r="A418" s="10">
        <v>6712</v>
      </c>
      <c r="B418" s="10">
        <v>22</v>
      </c>
      <c r="C418" s="10" t="s">
        <v>729</v>
      </c>
      <c r="D418" s="10">
        <v>2289</v>
      </c>
      <c r="E418" s="10" t="s">
        <v>757</v>
      </c>
      <c r="F418" s="10">
        <v>0</v>
      </c>
      <c r="G418" s="10" t="s">
        <v>343</v>
      </c>
      <c r="H418" s="10">
        <v>0</v>
      </c>
      <c r="I418" s="10" t="s">
        <v>343</v>
      </c>
      <c r="J418" s="11">
        <v>5129</v>
      </c>
      <c r="K418" s="11">
        <v>4292</v>
      </c>
      <c r="L418" s="11">
        <v>9421</v>
      </c>
      <c r="M418" s="11">
        <v>4492</v>
      </c>
    </row>
    <row r="419" spans="1:13" x14ac:dyDescent="0.3">
      <c r="A419" s="10">
        <v>6712</v>
      </c>
      <c r="B419" s="10">
        <v>22</v>
      </c>
      <c r="C419" s="10" t="s">
        <v>729</v>
      </c>
      <c r="D419" s="10">
        <v>2290</v>
      </c>
      <c r="E419" s="10" t="s">
        <v>758</v>
      </c>
      <c r="F419" s="10">
        <v>0</v>
      </c>
      <c r="G419" s="10" t="s">
        <v>343</v>
      </c>
      <c r="H419" s="10">
        <v>0</v>
      </c>
      <c r="I419" s="10" t="s">
        <v>343</v>
      </c>
      <c r="J419" s="11">
        <v>1752</v>
      </c>
      <c r="K419" s="11">
        <v>1963</v>
      </c>
      <c r="L419" s="11">
        <v>3715</v>
      </c>
      <c r="M419" s="11">
        <v>2249</v>
      </c>
    </row>
    <row r="420" spans="1:13" x14ac:dyDescent="0.3">
      <c r="A420" s="10">
        <v>6712</v>
      </c>
      <c r="B420" s="10">
        <v>22</v>
      </c>
      <c r="C420" s="10" t="s">
        <v>729</v>
      </c>
      <c r="D420" s="10">
        <v>2291</v>
      </c>
      <c r="E420" s="10" t="s">
        <v>759</v>
      </c>
      <c r="F420" s="10">
        <v>0</v>
      </c>
      <c r="G420" s="10" t="s">
        <v>343</v>
      </c>
      <c r="H420" s="10">
        <v>0</v>
      </c>
      <c r="I420" s="10" t="s">
        <v>343</v>
      </c>
      <c r="J420" s="11">
        <v>1481</v>
      </c>
      <c r="K420" s="11">
        <v>1567</v>
      </c>
      <c r="L420" s="11">
        <v>3048</v>
      </c>
      <c r="M420" s="11">
        <v>1789</v>
      </c>
    </row>
    <row r="421" spans="1:13" x14ac:dyDescent="0.3">
      <c r="A421" s="10">
        <v>6712</v>
      </c>
      <c r="B421" s="10">
        <v>22</v>
      </c>
      <c r="C421" s="10" t="s">
        <v>729</v>
      </c>
      <c r="D421" s="10">
        <v>2292</v>
      </c>
      <c r="E421" s="10" t="s">
        <v>760</v>
      </c>
      <c r="F421" s="10">
        <v>0</v>
      </c>
      <c r="G421" s="10" t="s">
        <v>343</v>
      </c>
      <c r="H421" s="10">
        <v>0</v>
      </c>
      <c r="I421" s="10" t="s">
        <v>343</v>
      </c>
      <c r="J421" s="10">
        <v>998</v>
      </c>
      <c r="K421" s="11">
        <v>1152</v>
      </c>
      <c r="L421" s="11">
        <v>2150</v>
      </c>
      <c r="M421" s="10">
        <v>992</v>
      </c>
    </row>
    <row r="422" spans="1:13" x14ac:dyDescent="0.3">
      <c r="A422" s="10">
        <v>6712</v>
      </c>
      <c r="B422" s="10">
        <v>22</v>
      </c>
      <c r="C422" s="10" t="s">
        <v>729</v>
      </c>
      <c r="D422" s="10">
        <v>2293</v>
      </c>
      <c r="E422" s="10" t="s">
        <v>761</v>
      </c>
      <c r="F422" s="10">
        <v>0</v>
      </c>
      <c r="G422" s="10" t="s">
        <v>343</v>
      </c>
      <c r="H422" s="10">
        <v>0</v>
      </c>
      <c r="I422" s="10" t="s">
        <v>343</v>
      </c>
      <c r="J422" s="11">
        <v>4859</v>
      </c>
      <c r="K422" s="11">
        <v>5430</v>
      </c>
      <c r="L422" s="11">
        <v>10289</v>
      </c>
      <c r="M422" s="11">
        <v>6832</v>
      </c>
    </row>
    <row r="423" spans="1:13" x14ac:dyDescent="0.3">
      <c r="A423" s="10">
        <v>6712</v>
      </c>
      <c r="B423" s="10">
        <v>22</v>
      </c>
      <c r="C423" s="10" t="s">
        <v>729</v>
      </c>
      <c r="D423" s="10">
        <v>2294</v>
      </c>
      <c r="E423" s="10" t="s">
        <v>762</v>
      </c>
      <c r="F423" s="10">
        <v>0</v>
      </c>
      <c r="G423" s="10" t="s">
        <v>343</v>
      </c>
      <c r="H423" s="10">
        <v>0</v>
      </c>
      <c r="I423" s="10" t="s">
        <v>343</v>
      </c>
      <c r="J423" s="11">
        <v>2474</v>
      </c>
      <c r="K423" s="11">
        <v>2669</v>
      </c>
      <c r="L423" s="11">
        <v>5143</v>
      </c>
      <c r="M423" s="11">
        <v>2333</v>
      </c>
    </row>
    <row r="424" spans="1:13" x14ac:dyDescent="0.3">
      <c r="A424" s="10">
        <v>6712</v>
      </c>
      <c r="B424" s="10">
        <v>22</v>
      </c>
      <c r="C424" s="10" t="s">
        <v>729</v>
      </c>
      <c r="D424" s="10">
        <v>2295</v>
      </c>
      <c r="E424" s="10" t="s">
        <v>763</v>
      </c>
      <c r="F424" s="10">
        <v>0</v>
      </c>
      <c r="G424" s="10" t="s">
        <v>343</v>
      </c>
      <c r="H424" s="10">
        <v>0</v>
      </c>
      <c r="I424" s="10" t="s">
        <v>343</v>
      </c>
      <c r="J424" s="11">
        <v>6468</v>
      </c>
      <c r="K424" s="11">
        <v>7637</v>
      </c>
      <c r="L424" s="11">
        <v>14105</v>
      </c>
      <c r="M424" s="11">
        <v>11403</v>
      </c>
    </row>
    <row r="425" spans="1:13" x14ac:dyDescent="0.3">
      <c r="A425" s="10">
        <v>6712</v>
      </c>
      <c r="B425" s="10">
        <v>22</v>
      </c>
      <c r="C425" s="10" t="s">
        <v>729</v>
      </c>
      <c r="D425" s="10">
        <v>2296</v>
      </c>
      <c r="E425" s="10" t="s">
        <v>764</v>
      </c>
      <c r="F425" s="10">
        <v>0</v>
      </c>
      <c r="G425" s="10" t="s">
        <v>343</v>
      </c>
      <c r="H425" s="10">
        <v>0</v>
      </c>
      <c r="I425" s="10" t="s">
        <v>343</v>
      </c>
      <c r="J425" s="11">
        <v>5342</v>
      </c>
      <c r="K425" s="11">
        <v>6103</v>
      </c>
      <c r="L425" s="11">
        <v>11445</v>
      </c>
      <c r="M425" s="11">
        <v>8015</v>
      </c>
    </row>
    <row r="426" spans="1:13" x14ac:dyDescent="0.3">
      <c r="A426" s="10">
        <v>6712</v>
      </c>
      <c r="B426" s="10">
        <v>22</v>
      </c>
      <c r="C426" s="10" t="s">
        <v>729</v>
      </c>
      <c r="D426" s="10">
        <v>2297</v>
      </c>
      <c r="E426" s="10" t="s">
        <v>765</v>
      </c>
      <c r="F426" s="10">
        <v>0</v>
      </c>
      <c r="G426" s="10" t="s">
        <v>343</v>
      </c>
      <c r="H426" s="10">
        <v>0</v>
      </c>
      <c r="I426" s="10" t="s">
        <v>343</v>
      </c>
      <c r="J426" s="11">
        <v>4701</v>
      </c>
      <c r="K426" s="11">
        <v>5359</v>
      </c>
      <c r="L426" s="11">
        <v>10060</v>
      </c>
      <c r="M426" s="11">
        <v>4339</v>
      </c>
    </row>
    <row r="427" spans="1:13" x14ac:dyDescent="0.3">
      <c r="A427" s="10">
        <v>6712</v>
      </c>
      <c r="B427" s="10">
        <v>22</v>
      </c>
      <c r="C427" s="10" t="s">
        <v>729</v>
      </c>
      <c r="D427" s="10">
        <v>2298</v>
      </c>
      <c r="E427" s="10" t="s">
        <v>766</v>
      </c>
      <c r="F427" s="10">
        <v>0</v>
      </c>
      <c r="G427" s="10" t="s">
        <v>343</v>
      </c>
      <c r="H427" s="10">
        <v>0</v>
      </c>
      <c r="I427" s="10" t="s">
        <v>343</v>
      </c>
      <c r="J427" s="11">
        <v>4611</v>
      </c>
      <c r="K427" s="11">
        <v>5299</v>
      </c>
      <c r="L427" s="11">
        <v>9910</v>
      </c>
      <c r="M427" s="11">
        <v>4826</v>
      </c>
    </row>
    <row r="428" spans="1:13" x14ac:dyDescent="0.3">
      <c r="A428" s="10">
        <v>6712</v>
      </c>
      <c r="B428" s="10">
        <v>22</v>
      </c>
      <c r="C428" s="10" t="s">
        <v>729</v>
      </c>
      <c r="D428" s="10">
        <v>2299</v>
      </c>
      <c r="E428" s="10" t="s">
        <v>767</v>
      </c>
      <c r="F428" s="10">
        <v>0</v>
      </c>
      <c r="G428" s="10" t="s">
        <v>343</v>
      </c>
      <c r="H428" s="10">
        <v>0</v>
      </c>
      <c r="I428" s="10" t="s">
        <v>343</v>
      </c>
      <c r="J428" s="11">
        <v>9939</v>
      </c>
      <c r="K428" s="11">
        <v>11005</v>
      </c>
      <c r="L428" s="11">
        <v>20944</v>
      </c>
      <c r="M428" s="11">
        <v>15066</v>
      </c>
    </row>
    <row r="429" spans="1:13" x14ac:dyDescent="0.3">
      <c r="A429" s="10">
        <v>6712</v>
      </c>
      <c r="B429" s="10">
        <v>23</v>
      </c>
      <c r="C429" s="10" t="s">
        <v>768</v>
      </c>
      <c r="D429" s="10">
        <v>0</v>
      </c>
      <c r="E429" s="10" t="s">
        <v>343</v>
      </c>
      <c r="F429" s="10">
        <v>0</v>
      </c>
      <c r="G429" s="10" t="s">
        <v>343</v>
      </c>
      <c r="H429" s="10">
        <v>0</v>
      </c>
      <c r="I429" s="10" t="s">
        <v>343</v>
      </c>
      <c r="J429" s="11">
        <v>111893</v>
      </c>
      <c r="K429" s="11">
        <v>114624</v>
      </c>
      <c r="L429" s="11">
        <v>226517</v>
      </c>
      <c r="M429" s="11">
        <v>114393</v>
      </c>
    </row>
    <row r="430" spans="1:13" x14ac:dyDescent="0.3">
      <c r="A430" s="10">
        <v>6712</v>
      </c>
      <c r="B430" s="10">
        <v>23</v>
      </c>
      <c r="C430" s="10" t="s">
        <v>768</v>
      </c>
      <c r="D430" s="10">
        <v>2301</v>
      </c>
      <c r="E430" s="10" t="s">
        <v>769</v>
      </c>
      <c r="F430" s="10">
        <v>0</v>
      </c>
      <c r="G430" s="10" t="s">
        <v>343</v>
      </c>
      <c r="H430" s="10">
        <v>0</v>
      </c>
      <c r="I430" s="10" t="s">
        <v>343</v>
      </c>
      <c r="J430" s="11">
        <v>36036</v>
      </c>
      <c r="K430" s="11">
        <v>38610</v>
      </c>
      <c r="L430" s="11">
        <v>74646</v>
      </c>
      <c r="M430" s="11">
        <v>37597</v>
      </c>
    </row>
    <row r="431" spans="1:13" x14ac:dyDescent="0.3">
      <c r="A431" s="10">
        <v>6712</v>
      </c>
      <c r="B431" s="10">
        <v>23</v>
      </c>
      <c r="C431" s="10" t="s">
        <v>768</v>
      </c>
      <c r="D431" s="10">
        <v>2302</v>
      </c>
      <c r="E431" s="10" t="s">
        <v>770</v>
      </c>
      <c r="F431" s="10">
        <v>0</v>
      </c>
      <c r="G431" s="10" t="s">
        <v>343</v>
      </c>
      <c r="H431" s="10">
        <v>0</v>
      </c>
      <c r="I431" s="10" t="s">
        <v>343</v>
      </c>
      <c r="J431" s="11">
        <v>7294</v>
      </c>
      <c r="K431" s="11">
        <v>7120</v>
      </c>
      <c r="L431" s="11">
        <v>14414</v>
      </c>
      <c r="M431" s="11">
        <v>5664</v>
      </c>
    </row>
    <row r="432" spans="1:13" x14ac:dyDescent="0.3">
      <c r="A432" s="10">
        <v>6712</v>
      </c>
      <c r="B432" s="10">
        <v>23</v>
      </c>
      <c r="C432" s="10" t="s">
        <v>768</v>
      </c>
      <c r="D432" s="10">
        <v>2303</v>
      </c>
      <c r="E432" s="10" t="s">
        <v>771</v>
      </c>
      <c r="F432" s="10">
        <v>0</v>
      </c>
      <c r="G432" s="10" t="s">
        <v>343</v>
      </c>
      <c r="H432" s="10">
        <v>0</v>
      </c>
      <c r="I432" s="10" t="s">
        <v>343</v>
      </c>
      <c r="J432" s="11">
        <v>19764</v>
      </c>
      <c r="K432" s="11">
        <v>20058</v>
      </c>
      <c r="L432" s="11">
        <v>39822</v>
      </c>
      <c r="M432" s="11">
        <v>18700</v>
      </c>
    </row>
    <row r="433" spans="1:13" x14ac:dyDescent="0.3">
      <c r="A433" s="10">
        <v>6712</v>
      </c>
      <c r="B433" s="10">
        <v>23</v>
      </c>
      <c r="C433" s="10" t="s">
        <v>768</v>
      </c>
      <c r="D433" s="10">
        <v>2304</v>
      </c>
      <c r="E433" s="10" t="s">
        <v>772</v>
      </c>
      <c r="F433" s="10">
        <v>0</v>
      </c>
      <c r="G433" s="10" t="s">
        <v>343</v>
      </c>
      <c r="H433" s="10">
        <v>0</v>
      </c>
      <c r="I433" s="10" t="s">
        <v>343</v>
      </c>
      <c r="J433" s="11">
        <v>9508</v>
      </c>
      <c r="K433" s="11">
        <v>9034</v>
      </c>
      <c r="L433" s="11">
        <v>18542</v>
      </c>
      <c r="M433" s="11">
        <v>7901</v>
      </c>
    </row>
    <row r="434" spans="1:13" x14ac:dyDescent="0.3">
      <c r="A434" s="10">
        <v>6712</v>
      </c>
      <c r="B434" s="10">
        <v>23</v>
      </c>
      <c r="C434" s="10" t="s">
        <v>768</v>
      </c>
      <c r="D434" s="10">
        <v>2305</v>
      </c>
      <c r="E434" s="10" t="s">
        <v>773</v>
      </c>
      <c r="F434" s="10">
        <v>0</v>
      </c>
      <c r="G434" s="10" t="s">
        <v>343</v>
      </c>
      <c r="H434" s="10">
        <v>0</v>
      </c>
      <c r="I434" s="10" t="s">
        <v>343</v>
      </c>
      <c r="J434" s="11">
        <v>7335</v>
      </c>
      <c r="K434" s="11">
        <v>7031</v>
      </c>
      <c r="L434" s="11">
        <v>14366</v>
      </c>
      <c r="M434" s="11">
        <v>6172</v>
      </c>
    </row>
    <row r="435" spans="1:13" x14ac:dyDescent="0.3">
      <c r="A435" s="10">
        <v>6712</v>
      </c>
      <c r="B435" s="10">
        <v>23</v>
      </c>
      <c r="C435" s="10" t="s">
        <v>768</v>
      </c>
      <c r="D435" s="10">
        <v>2306</v>
      </c>
      <c r="E435" s="10" t="s">
        <v>774</v>
      </c>
      <c r="F435" s="10">
        <v>0</v>
      </c>
      <c r="G435" s="10" t="s">
        <v>343</v>
      </c>
      <c r="H435" s="10">
        <v>0</v>
      </c>
      <c r="I435" s="10" t="s">
        <v>343</v>
      </c>
      <c r="J435" s="11">
        <v>1547</v>
      </c>
      <c r="K435" s="11">
        <v>1415</v>
      </c>
      <c r="L435" s="11">
        <v>2962</v>
      </c>
      <c r="M435" s="11">
        <v>2214</v>
      </c>
    </row>
    <row r="436" spans="1:13" x14ac:dyDescent="0.3">
      <c r="A436" s="10">
        <v>6712</v>
      </c>
      <c r="B436" s="10">
        <v>23</v>
      </c>
      <c r="C436" s="10" t="s">
        <v>768</v>
      </c>
      <c r="D436" s="10">
        <v>2307</v>
      </c>
      <c r="E436" s="10" t="s">
        <v>775</v>
      </c>
      <c r="F436" s="10">
        <v>0</v>
      </c>
      <c r="G436" s="10" t="s">
        <v>343</v>
      </c>
      <c r="H436" s="10">
        <v>0</v>
      </c>
      <c r="I436" s="10" t="s">
        <v>343</v>
      </c>
      <c r="J436" s="11">
        <v>4344</v>
      </c>
      <c r="K436" s="11">
        <v>4384</v>
      </c>
      <c r="L436" s="11">
        <v>8728</v>
      </c>
      <c r="M436" s="11">
        <v>6392</v>
      </c>
    </row>
    <row r="437" spans="1:13" x14ac:dyDescent="0.3">
      <c r="A437" s="10">
        <v>6712</v>
      </c>
      <c r="B437" s="10">
        <v>23</v>
      </c>
      <c r="C437" s="10" t="s">
        <v>768</v>
      </c>
      <c r="D437" s="10">
        <v>2389</v>
      </c>
      <c r="E437" s="10" t="s">
        <v>776</v>
      </c>
      <c r="F437" s="10">
        <v>0</v>
      </c>
      <c r="G437" s="10" t="s">
        <v>343</v>
      </c>
      <c r="H437" s="10">
        <v>0</v>
      </c>
      <c r="I437" s="10" t="s">
        <v>343</v>
      </c>
      <c r="J437" s="11">
        <v>1252</v>
      </c>
      <c r="K437" s="11">
        <v>1350</v>
      </c>
      <c r="L437" s="11">
        <v>2602</v>
      </c>
      <c r="M437" s="11">
        <v>1416</v>
      </c>
    </row>
    <row r="438" spans="1:13" x14ac:dyDescent="0.3">
      <c r="A438" s="10">
        <v>6712</v>
      </c>
      <c r="B438" s="10">
        <v>23</v>
      </c>
      <c r="C438" s="10" t="s">
        <v>768</v>
      </c>
      <c r="D438" s="10">
        <v>2390</v>
      </c>
      <c r="E438" s="10" t="s">
        <v>777</v>
      </c>
      <c r="F438" s="10">
        <v>0</v>
      </c>
      <c r="G438" s="10" t="s">
        <v>343</v>
      </c>
      <c r="H438" s="10">
        <v>0</v>
      </c>
      <c r="I438" s="10" t="s">
        <v>343</v>
      </c>
      <c r="J438" s="11">
        <v>3655</v>
      </c>
      <c r="K438" s="11">
        <v>3568</v>
      </c>
      <c r="L438" s="11">
        <v>7223</v>
      </c>
      <c r="M438" s="11">
        <v>4009</v>
      </c>
    </row>
    <row r="439" spans="1:13" x14ac:dyDescent="0.3">
      <c r="A439" s="10">
        <v>6712</v>
      </c>
      <c r="B439" s="10">
        <v>23</v>
      </c>
      <c r="C439" s="10" t="s">
        <v>768</v>
      </c>
      <c r="D439" s="10">
        <v>2391</v>
      </c>
      <c r="E439" s="10" t="s">
        <v>778</v>
      </c>
      <c r="F439" s="10">
        <v>0</v>
      </c>
      <c r="G439" s="10" t="s">
        <v>343</v>
      </c>
      <c r="H439" s="10">
        <v>0</v>
      </c>
      <c r="I439" s="10" t="s">
        <v>343</v>
      </c>
      <c r="J439" s="10">
        <v>833</v>
      </c>
      <c r="K439" s="10">
        <v>850</v>
      </c>
      <c r="L439" s="11">
        <v>1683</v>
      </c>
      <c r="M439" s="10">
        <v>764</v>
      </c>
    </row>
    <row r="440" spans="1:13" x14ac:dyDescent="0.3">
      <c r="A440" s="10">
        <v>6712</v>
      </c>
      <c r="B440" s="10">
        <v>23</v>
      </c>
      <c r="C440" s="10" t="s">
        <v>768</v>
      </c>
      <c r="D440" s="10">
        <v>2392</v>
      </c>
      <c r="E440" s="10" t="s">
        <v>779</v>
      </c>
      <c r="F440" s="10">
        <v>0</v>
      </c>
      <c r="G440" s="10" t="s">
        <v>343</v>
      </c>
      <c r="H440" s="10">
        <v>0</v>
      </c>
      <c r="I440" s="10" t="s">
        <v>343</v>
      </c>
      <c r="J440" s="11">
        <v>1494</v>
      </c>
      <c r="K440" s="11">
        <v>1603</v>
      </c>
      <c r="L440" s="11">
        <v>3097</v>
      </c>
      <c r="M440" s="11">
        <v>1350</v>
      </c>
    </row>
    <row r="441" spans="1:13" x14ac:dyDescent="0.3">
      <c r="A441" s="10">
        <v>6712</v>
      </c>
      <c r="B441" s="10">
        <v>23</v>
      </c>
      <c r="C441" s="10" t="s">
        <v>768</v>
      </c>
      <c r="D441" s="10">
        <v>2393</v>
      </c>
      <c r="E441" s="10" t="s">
        <v>780</v>
      </c>
      <c r="F441" s="10">
        <v>0</v>
      </c>
      <c r="G441" s="10" t="s">
        <v>343</v>
      </c>
      <c r="H441" s="10">
        <v>0</v>
      </c>
      <c r="I441" s="10" t="s">
        <v>343</v>
      </c>
      <c r="J441" s="11">
        <v>4224</v>
      </c>
      <c r="K441" s="11">
        <v>4298</v>
      </c>
      <c r="L441" s="11">
        <v>8522</v>
      </c>
      <c r="M441" s="11">
        <v>5867</v>
      </c>
    </row>
    <row r="442" spans="1:13" x14ac:dyDescent="0.3">
      <c r="A442" s="10">
        <v>6712</v>
      </c>
      <c r="B442" s="10">
        <v>23</v>
      </c>
      <c r="C442" s="10" t="s">
        <v>768</v>
      </c>
      <c r="D442" s="10">
        <v>2394</v>
      </c>
      <c r="E442" s="10" t="s">
        <v>781</v>
      </c>
      <c r="F442" s="10">
        <v>0</v>
      </c>
      <c r="G442" s="10" t="s">
        <v>343</v>
      </c>
      <c r="H442" s="10">
        <v>0</v>
      </c>
      <c r="I442" s="10" t="s">
        <v>343</v>
      </c>
      <c r="J442" s="11">
        <v>1525</v>
      </c>
      <c r="K442" s="11">
        <v>1580</v>
      </c>
      <c r="L442" s="11">
        <v>3105</v>
      </c>
      <c r="M442" s="11">
        <v>2441</v>
      </c>
    </row>
    <row r="443" spans="1:13" x14ac:dyDescent="0.3">
      <c r="A443" s="10">
        <v>6712</v>
      </c>
      <c r="B443" s="10">
        <v>23</v>
      </c>
      <c r="C443" s="10" t="s">
        <v>768</v>
      </c>
      <c r="D443" s="10">
        <v>2395</v>
      </c>
      <c r="E443" s="10" t="s">
        <v>782</v>
      </c>
      <c r="F443" s="10">
        <v>0</v>
      </c>
      <c r="G443" s="10" t="s">
        <v>343</v>
      </c>
      <c r="H443" s="10">
        <v>0</v>
      </c>
      <c r="I443" s="10" t="s">
        <v>343</v>
      </c>
      <c r="J443" s="10">
        <v>769</v>
      </c>
      <c r="K443" s="10">
        <v>748</v>
      </c>
      <c r="L443" s="11">
        <v>1517</v>
      </c>
      <c r="M443" s="10">
        <v>617</v>
      </c>
    </row>
    <row r="444" spans="1:13" x14ac:dyDescent="0.3">
      <c r="A444" s="10">
        <v>6712</v>
      </c>
      <c r="B444" s="10">
        <v>23</v>
      </c>
      <c r="C444" s="10" t="s">
        <v>768</v>
      </c>
      <c r="D444" s="10">
        <v>2396</v>
      </c>
      <c r="E444" s="10" t="s">
        <v>783</v>
      </c>
      <c r="F444" s="10">
        <v>0</v>
      </c>
      <c r="G444" s="10" t="s">
        <v>343</v>
      </c>
      <c r="H444" s="10">
        <v>0</v>
      </c>
      <c r="I444" s="10" t="s">
        <v>343</v>
      </c>
      <c r="J444" s="11">
        <v>2681</v>
      </c>
      <c r="K444" s="11">
        <v>2552</v>
      </c>
      <c r="L444" s="11">
        <v>5233</v>
      </c>
      <c r="M444" s="11">
        <v>2032</v>
      </c>
    </row>
    <row r="445" spans="1:13" x14ac:dyDescent="0.3">
      <c r="A445" s="10">
        <v>6712</v>
      </c>
      <c r="B445" s="10">
        <v>23</v>
      </c>
      <c r="C445" s="10" t="s">
        <v>768</v>
      </c>
      <c r="D445" s="10">
        <v>2397</v>
      </c>
      <c r="E445" s="10" t="s">
        <v>741</v>
      </c>
      <c r="F445" s="10">
        <v>0</v>
      </c>
      <c r="G445" s="10" t="s">
        <v>343</v>
      </c>
      <c r="H445" s="10">
        <v>0</v>
      </c>
      <c r="I445" s="10" t="s">
        <v>343</v>
      </c>
      <c r="J445" s="11">
        <v>2525</v>
      </c>
      <c r="K445" s="11">
        <v>2567</v>
      </c>
      <c r="L445" s="11">
        <v>5092</v>
      </c>
      <c r="M445" s="11">
        <v>2457</v>
      </c>
    </row>
    <row r="446" spans="1:13" x14ac:dyDescent="0.3">
      <c r="A446" s="10">
        <v>6712</v>
      </c>
      <c r="B446" s="10">
        <v>23</v>
      </c>
      <c r="C446" s="10" t="s">
        <v>768</v>
      </c>
      <c r="D446" s="10">
        <v>2398</v>
      </c>
      <c r="E446" s="10" t="s">
        <v>784</v>
      </c>
      <c r="F446" s="10">
        <v>0</v>
      </c>
      <c r="G446" s="10" t="s">
        <v>343</v>
      </c>
      <c r="H446" s="10">
        <v>0</v>
      </c>
      <c r="I446" s="10" t="s">
        <v>343</v>
      </c>
      <c r="J446" s="11">
        <v>3122</v>
      </c>
      <c r="K446" s="11">
        <v>3430</v>
      </c>
      <c r="L446" s="11">
        <v>6552</v>
      </c>
      <c r="M446" s="11">
        <v>3220</v>
      </c>
    </row>
    <row r="447" spans="1:13" x14ac:dyDescent="0.3">
      <c r="A447" s="10">
        <v>6712</v>
      </c>
      <c r="B447" s="10">
        <v>23</v>
      </c>
      <c r="C447" s="10" t="s">
        <v>768</v>
      </c>
      <c r="D447" s="10">
        <v>2399</v>
      </c>
      <c r="E447" s="10" t="s">
        <v>785</v>
      </c>
      <c r="F447" s="10">
        <v>0</v>
      </c>
      <c r="G447" s="10" t="s">
        <v>343</v>
      </c>
      <c r="H447" s="10">
        <v>0</v>
      </c>
      <c r="I447" s="10" t="s">
        <v>343</v>
      </c>
      <c r="J447" s="11">
        <v>3985</v>
      </c>
      <c r="K447" s="11">
        <v>4426</v>
      </c>
      <c r="L447" s="11">
        <v>8411</v>
      </c>
      <c r="M447" s="11">
        <v>5580</v>
      </c>
    </row>
    <row r="448" spans="1:13" x14ac:dyDescent="0.3">
      <c r="A448" s="10">
        <v>6712</v>
      </c>
      <c r="B448" s="10">
        <v>24</v>
      </c>
      <c r="C448" s="10" t="s">
        <v>786</v>
      </c>
      <c r="D448" s="10">
        <v>0</v>
      </c>
      <c r="E448" s="10" t="s">
        <v>343</v>
      </c>
      <c r="F448" s="10">
        <v>0</v>
      </c>
      <c r="G448" s="10" t="s">
        <v>343</v>
      </c>
      <c r="H448" s="10">
        <v>0</v>
      </c>
      <c r="I448" s="10" t="s">
        <v>343</v>
      </c>
      <c r="J448" s="11">
        <v>358556</v>
      </c>
      <c r="K448" s="11">
        <v>374575</v>
      </c>
      <c r="L448" s="11">
        <v>733131</v>
      </c>
      <c r="M448" s="11">
        <v>345381</v>
      </c>
    </row>
    <row r="449" spans="1:13" x14ac:dyDescent="0.3">
      <c r="A449" s="10">
        <v>6712</v>
      </c>
      <c r="B449" s="10">
        <v>24</v>
      </c>
      <c r="C449" s="10" t="s">
        <v>786</v>
      </c>
      <c r="D449" s="10">
        <v>2401</v>
      </c>
      <c r="E449" s="10" t="s">
        <v>787</v>
      </c>
      <c r="F449" s="10">
        <v>0</v>
      </c>
      <c r="G449" s="10" t="s">
        <v>343</v>
      </c>
      <c r="H449" s="10">
        <v>0</v>
      </c>
      <c r="I449" s="10" t="s">
        <v>343</v>
      </c>
      <c r="J449" s="11">
        <v>61490</v>
      </c>
      <c r="K449" s="11">
        <v>65257</v>
      </c>
      <c r="L449" s="11">
        <v>126747</v>
      </c>
      <c r="M449" s="11">
        <v>56559</v>
      </c>
    </row>
    <row r="450" spans="1:13" x14ac:dyDescent="0.3">
      <c r="A450" s="10">
        <v>6712</v>
      </c>
      <c r="B450" s="10">
        <v>24</v>
      </c>
      <c r="C450" s="10" t="s">
        <v>786</v>
      </c>
      <c r="D450" s="10">
        <v>2402</v>
      </c>
      <c r="E450" s="10" t="s">
        <v>788</v>
      </c>
      <c r="F450" s="10">
        <v>0</v>
      </c>
      <c r="G450" s="10" t="s">
        <v>343</v>
      </c>
      <c r="H450" s="10">
        <v>0</v>
      </c>
      <c r="I450" s="10" t="s">
        <v>343</v>
      </c>
      <c r="J450" s="11">
        <v>14658</v>
      </c>
      <c r="K450" s="11">
        <v>15685</v>
      </c>
      <c r="L450" s="11">
        <v>30343</v>
      </c>
      <c r="M450" s="11">
        <v>13395</v>
      </c>
    </row>
    <row r="451" spans="1:13" x14ac:dyDescent="0.3">
      <c r="A451" s="10">
        <v>6712</v>
      </c>
      <c r="B451" s="10">
        <v>24</v>
      </c>
      <c r="C451" s="10" t="s">
        <v>786</v>
      </c>
      <c r="D451" s="10">
        <v>2403</v>
      </c>
      <c r="E451" s="10" t="s">
        <v>789</v>
      </c>
      <c r="F451" s="10">
        <v>0</v>
      </c>
      <c r="G451" s="10" t="s">
        <v>343</v>
      </c>
      <c r="H451" s="10">
        <v>0</v>
      </c>
      <c r="I451" s="10" t="s">
        <v>343</v>
      </c>
      <c r="J451" s="11">
        <v>36580</v>
      </c>
      <c r="K451" s="11">
        <v>37215</v>
      </c>
      <c r="L451" s="11">
        <v>73795</v>
      </c>
      <c r="M451" s="11">
        <v>24009</v>
      </c>
    </row>
    <row r="452" spans="1:13" x14ac:dyDescent="0.3">
      <c r="A452" s="10">
        <v>6712</v>
      </c>
      <c r="B452" s="10">
        <v>24</v>
      </c>
      <c r="C452" s="10" t="s">
        <v>786</v>
      </c>
      <c r="D452" s="10">
        <v>2404</v>
      </c>
      <c r="E452" s="10" t="s">
        <v>790</v>
      </c>
      <c r="F452" s="10">
        <v>0</v>
      </c>
      <c r="G452" s="10" t="s">
        <v>343</v>
      </c>
      <c r="H452" s="10">
        <v>0</v>
      </c>
      <c r="I452" s="10" t="s">
        <v>343</v>
      </c>
      <c r="J452" s="11">
        <v>29250</v>
      </c>
      <c r="K452" s="11">
        <v>30344</v>
      </c>
      <c r="L452" s="11">
        <v>59594</v>
      </c>
      <c r="M452" s="11">
        <v>29826</v>
      </c>
    </row>
    <row r="453" spans="1:13" x14ac:dyDescent="0.3">
      <c r="A453" s="10">
        <v>6712</v>
      </c>
      <c r="B453" s="10">
        <v>24</v>
      </c>
      <c r="C453" s="10" t="s">
        <v>786</v>
      </c>
      <c r="D453" s="10">
        <v>2405</v>
      </c>
      <c r="E453" s="10" t="s">
        <v>791</v>
      </c>
      <c r="F453" s="10">
        <v>0</v>
      </c>
      <c r="G453" s="10" t="s">
        <v>343</v>
      </c>
      <c r="H453" s="10">
        <v>0</v>
      </c>
      <c r="I453" s="10" t="s">
        <v>343</v>
      </c>
      <c r="J453" s="11">
        <v>22616</v>
      </c>
      <c r="K453" s="11">
        <v>24533</v>
      </c>
      <c r="L453" s="11">
        <v>47149</v>
      </c>
      <c r="M453" s="11">
        <v>22943</v>
      </c>
    </row>
    <row r="454" spans="1:13" x14ac:dyDescent="0.3">
      <c r="A454" s="10">
        <v>6712</v>
      </c>
      <c r="B454" s="10">
        <v>24</v>
      </c>
      <c r="C454" s="10" t="s">
        <v>786</v>
      </c>
      <c r="D454" s="10">
        <v>2406</v>
      </c>
      <c r="E454" s="10" t="s">
        <v>792</v>
      </c>
      <c r="F454" s="10">
        <v>0</v>
      </c>
      <c r="G454" s="10" t="s">
        <v>343</v>
      </c>
      <c r="H454" s="10">
        <v>0</v>
      </c>
      <c r="I454" s="10" t="s">
        <v>343</v>
      </c>
      <c r="J454" s="11">
        <v>34991</v>
      </c>
      <c r="K454" s="11">
        <v>37071</v>
      </c>
      <c r="L454" s="11">
        <v>72062</v>
      </c>
      <c r="M454" s="11">
        <v>32344</v>
      </c>
    </row>
    <row r="455" spans="1:13" x14ac:dyDescent="0.3">
      <c r="A455" s="10">
        <v>6712</v>
      </c>
      <c r="B455" s="10">
        <v>24</v>
      </c>
      <c r="C455" s="10" t="s">
        <v>786</v>
      </c>
      <c r="D455" s="10">
        <v>2407</v>
      </c>
      <c r="E455" s="10" t="s">
        <v>793</v>
      </c>
      <c r="F455" s="10">
        <v>0</v>
      </c>
      <c r="G455" s="10" t="s">
        <v>343</v>
      </c>
      <c r="H455" s="10">
        <v>0</v>
      </c>
      <c r="I455" s="10" t="s">
        <v>343</v>
      </c>
      <c r="J455" s="11">
        <v>6130</v>
      </c>
      <c r="K455" s="11">
        <v>6380</v>
      </c>
      <c r="L455" s="11">
        <v>12510</v>
      </c>
      <c r="M455" s="11">
        <v>5117</v>
      </c>
    </row>
    <row r="456" spans="1:13" x14ac:dyDescent="0.3">
      <c r="A456" s="10">
        <v>6712</v>
      </c>
      <c r="B456" s="10">
        <v>24</v>
      </c>
      <c r="C456" s="10" t="s">
        <v>786</v>
      </c>
      <c r="D456" s="10">
        <v>2408</v>
      </c>
      <c r="E456" s="10" t="s">
        <v>794</v>
      </c>
      <c r="F456" s="10">
        <v>0</v>
      </c>
      <c r="G456" s="10" t="s">
        <v>343</v>
      </c>
      <c r="H456" s="10">
        <v>0</v>
      </c>
      <c r="I456" s="10" t="s">
        <v>343</v>
      </c>
      <c r="J456" s="11">
        <v>35587</v>
      </c>
      <c r="K456" s="11">
        <v>35574</v>
      </c>
      <c r="L456" s="11">
        <v>71161</v>
      </c>
      <c r="M456" s="11">
        <v>24441</v>
      </c>
    </row>
    <row r="457" spans="1:13" x14ac:dyDescent="0.3">
      <c r="A457" s="10">
        <v>6712</v>
      </c>
      <c r="B457" s="10">
        <v>24</v>
      </c>
      <c r="C457" s="10" t="s">
        <v>786</v>
      </c>
      <c r="D457" s="10">
        <v>2409</v>
      </c>
      <c r="E457" s="10" t="s">
        <v>795</v>
      </c>
      <c r="F457" s="10">
        <v>0</v>
      </c>
      <c r="G457" s="10" t="s">
        <v>343</v>
      </c>
      <c r="H457" s="10">
        <v>0</v>
      </c>
      <c r="I457" s="10" t="s">
        <v>343</v>
      </c>
      <c r="J457" s="11">
        <v>12020</v>
      </c>
      <c r="K457" s="11">
        <v>11789</v>
      </c>
      <c r="L457" s="11">
        <v>23809</v>
      </c>
      <c r="M457" s="11">
        <v>14024</v>
      </c>
    </row>
    <row r="458" spans="1:13" x14ac:dyDescent="0.3">
      <c r="A458" s="10">
        <v>6712</v>
      </c>
      <c r="B458" s="10">
        <v>24</v>
      </c>
      <c r="C458" s="10" t="s">
        <v>786</v>
      </c>
      <c r="D458" s="10">
        <v>2410</v>
      </c>
      <c r="E458" s="10" t="s">
        <v>796</v>
      </c>
      <c r="F458" s="10">
        <v>0</v>
      </c>
      <c r="G458" s="10" t="s">
        <v>343</v>
      </c>
      <c r="H458" s="10">
        <v>0</v>
      </c>
      <c r="I458" s="10" t="s">
        <v>343</v>
      </c>
      <c r="J458" s="11">
        <v>23547</v>
      </c>
      <c r="K458" s="11">
        <v>23212</v>
      </c>
      <c r="L458" s="11">
        <v>46759</v>
      </c>
      <c r="M458" s="11">
        <v>18165</v>
      </c>
    </row>
    <row r="459" spans="1:13" x14ac:dyDescent="0.3">
      <c r="A459" s="10">
        <v>6712</v>
      </c>
      <c r="B459" s="10">
        <v>24</v>
      </c>
      <c r="C459" s="10" t="s">
        <v>786</v>
      </c>
      <c r="D459" s="10">
        <v>2411</v>
      </c>
      <c r="E459" s="10" t="s">
        <v>797</v>
      </c>
      <c r="F459" s="10">
        <v>0</v>
      </c>
      <c r="G459" s="10" t="s">
        <v>343</v>
      </c>
      <c r="H459" s="10">
        <v>0</v>
      </c>
      <c r="I459" s="10" t="s">
        <v>343</v>
      </c>
      <c r="J459" s="11">
        <v>6064</v>
      </c>
      <c r="K459" s="11">
        <v>6328</v>
      </c>
      <c r="L459" s="11">
        <v>12392</v>
      </c>
      <c r="M459" s="11">
        <v>4788</v>
      </c>
    </row>
    <row r="460" spans="1:13" x14ac:dyDescent="0.3">
      <c r="A460" s="10">
        <v>6712</v>
      </c>
      <c r="B460" s="10">
        <v>24</v>
      </c>
      <c r="C460" s="10" t="s">
        <v>786</v>
      </c>
      <c r="D460" s="10">
        <v>2474</v>
      </c>
      <c r="E460" s="10" t="s">
        <v>798</v>
      </c>
      <c r="F460" s="10">
        <v>0</v>
      </c>
      <c r="G460" s="10" t="s">
        <v>343</v>
      </c>
      <c r="H460" s="10">
        <v>0</v>
      </c>
      <c r="I460" s="10" t="s">
        <v>343</v>
      </c>
      <c r="J460" s="11">
        <v>5515</v>
      </c>
      <c r="K460" s="11">
        <v>6006</v>
      </c>
      <c r="L460" s="11">
        <v>11521</v>
      </c>
      <c r="M460" s="11">
        <v>9761</v>
      </c>
    </row>
    <row r="461" spans="1:13" x14ac:dyDescent="0.3">
      <c r="A461" s="10">
        <v>6712</v>
      </c>
      <c r="B461" s="10">
        <v>24</v>
      </c>
      <c r="C461" s="10" t="s">
        <v>786</v>
      </c>
      <c r="D461" s="10">
        <v>2475</v>
      </c>
      <c r="E461" s="10" t="s">
        <v>799</v>
      </c>
      <c r="F461" s="10">
        <v>0</v>
      </c>
      <c r="G461" s="10" t="s">
        <v>343</v>
      </c>
      <c r="H461" s="10">
        <v>0</v>
      </c>
      <c r="I461" s="10" t="s">
        <v>343</v>
      </c>
      <c r="J461" s="11">
        <v>1823</v>
      </c>
      <c r="K461" s="11">
        <v>1957</v>
      </c>
      <c r="L461" s="11">
        <v>3780</v>
      </c>
      <c r="M461" s="11">
        <v>4397</v>
      </c>
    </row>
    <row r="462" spans="1:13" x14ac:dyDescent="0.3">
      <c r="A462" s="10">
        <v>6712</v>
      </c>
      <c r="B462" s="10">
        <v>24</v>
      </c>
      <c r="C462" s="10" t="s">
        <v>786</v>
      </c>
      <c r="D462" s="10">
        <v>2476</v>
      </c>
      <c r="E462" s="10" t="s">
        <v>800</v>
      </c>
      <c r="F462" s="10">
        <v>0</v>
      </c>
      <c r="G462" s="10" t="s">
        <v>343</v>
      </c>
      <c r="H462" s="10">
        <v>0</v>
      </c>
      <c r="I462" s="10" t="s">
        <v>343</v>
      </c>
      <c r="J462" s="11">
        <v>4902</v>
      </c>
      <c r="K462" s="11">
        <v>4984</v>
      </c>
      <c r="L462" s="11">
        <v>9886</v>
      </c>
      <c r="M462" s="11">
        <v>3837</v>
      </c>
    </row>
    <row r="463" spans="1:13" x14ac:dyDescent="0.3">
      <c r="A463" s="10">
        <v>6712</v>
      </c>
      <c r="B463" s="10">
        <v>24</v>
      </c>
      <c r="C463" s="10" t="s">
        <v>786</v>
      </c>
      <c r="D463" s="10">
        <v>2477</v>
      </c>
      <c r="E463" s="10" t="s">
        <v>801</v>
      </c>
      <c r="F463" s="10">
        <v>0</v>
      </c>
      <c r="G463" s="10" t="s">
        <v>343</v>
      </c>
      <c r="H463" s="10">
        <v>0</v>
      </c>
      <c r="I463" s="10" t="s">
        <v>343</v>
      </c>
      <c r="J463" s="11">
        <v>4368</v>
      </c>
      <c r="K463" s="11">
        <v>4252</v>
      </c>
      <c r="L463" s="11">
        <v>8620</v>
      </c>
      <c r="M463" s="11">
        <v>2524</v>
      </c>
    </row>
    <row r="464" spans="1:13" x14ac:dyDescent="0.3">
      <c r="A464" s="10">
        <v>6712</v>
      </c>
      <c r="B464" s="10">
        <v>24</v>
      </c>
      <c r="C464" s="10" t="s">
        <v>786</v>
      </c>
      <c r="D464" s="10">
        <v>2478</v>
      </c>
      <c r="E464" s="10" t="s">
        <v>802</v>
      </c>
      <c r="F464" s="10">
        <v>0</v>
      </c>
      <c r="G464" s="10" t="s">
        <v>343</v>
      </c>
      <c r="H464" s="10">
        <v>0</v>
      </c>
      <c r="I464" s="10" t="s">
        <v>343</v>
      </c>
      <c r="J464" s="11">
        <v>3377</v>
      </c>
      <c r="K464" s="11">
        <v>3538</v>
      </c>
      <c r="L464" s="11">
        <v>6915</v>
      </c>
      <c r="M464" s="11">
        <v>4250</v>
      </c>
    </row>
    <row r="465" spans="1:13" x14ac:dyDescent="0.3">
      <c r="A465" s="10">
        <v>6712</v>
      </c>
      <c r="B465" s="10">
        <v>24</v>
      </c>
      <c r="C465" s="10" t="s">
        <v>786</v>
      </c>
      <c r="D465" s="10">
        <v>2479</v>
      </c>
      <c r="E465" s="10" t="s">
        <v>803</v>
      </c>
      <c r="F465" s="10">
        <v>0</v>
      </c>
      <c r="G465" s="10" t="s">
        <v>343</v>
      </c>
      <c r="H465" s="10">
        <v>0</v>
      </c>
      <c r="I465" s="10" t="s">
        <v>343</v>
      </c>
      <c r="J465" s="11">
        <v>3062</v>
      </c>
      <c r="K465" s="11">
        <v>3198</v>
      </c>
      <c r="L465" s="11">
        <v>6260</v>
      </c>
      <c r="M465" s="11">
        <v>3832</v>
      </c>
    </row>
    <row r="466" spans="1:13" x14ac:dyDescent="0.3">
      <c r="A466" s="10">
        <v>6712</v>
      </c>
      <c r="B466" s="10">
        <v>24</v>
      </c>
      <c r="C466" s="10" t="s">
        <v>786</v>
      </c>
      <c r="D466" s="10">
        <v>2480</v>
      </c>
      <c r="E466" s="10" t="s">
        <v>804</v>
      </c>
      <c r="F466" s="10">
        <v>0</v>
      </c>
      <c r="G466" s="10" t="s">
        <v>343</v>
      </c>
      <c r="H466" s="10">
        <v>0</v>
      </c>
      <c r="I466" s="10" t="s">
        <v>343</v>
      </c>
      <c r="J466" s="11">
        <v>3064</v>
      </c>
      <c r="K466" s="11">
        <v>2718</v>
      </c>
      <c r="L466" s="11">
        <v>5782</v>
      </c>
      <c r="M466" s="11">
        <v>4773</v>
      </c>
    </row>
    <row r="467" spans="1:13" x14ac:dyDescent="0.3">
      <c r="A467" s="10">
        <v>6712</v>
      </c>
      <c r="B467" s="10">
        <v>24</v>
      </c>
      <c r="C467" s="10" t="s">
        <v>786</v>
      </c>
      <c r="D467" s="10">
        <v>2481</v>
      </c>
      <c r="E467" s="10" t="s">
        <v>805</v>
      </c>
      <c r="F467" s="10">
        <v>0</v>
      </c>
      <c r="G467" s="10" t="s">
        <v>343</v>
      </c>
      <c r="H467" s="10">
        <v>0</v>
      </c>
      <c r="I467" s="10" t="s">
        <v>343</v>
      </c>
      <c r="J467" s="11">
        <v>1998</v>
      </c>
      <c r="K467" s="11">
        <v>2233</v>
      </c>
      <c r="L467" s="11">
        <v>4231</v>
      </c>
      <c r="M467" s="11">
        <v>3064</v>
      </c>
    </row>
    <row r="468" spans="1:13" x14ac:dyDescent="0.3">
      <c r="A468" s="10">
        <v>6712</v>
      </c>
      <c r="B468" s="10">
        <v>24</v>
      </c>
      <c r="C468" s="10" t="s">
        <v>786</v>
      </c>
      <c r="D468" s="10">
        <v>2482</v>
      </c>
      <c r="E468" s="10" t="s">
        <v>806</v>
      </c>
      <c r="F468" s="10">
        <v>0</v>
      </c>
      <c r="G468" s="10" t="s">
        <v>343</v>
      </c>
      <c r="H468" s="10">
        <v>0</v>
      </c>
      <c r="I468" s="10" t="s">
        <v>343</v>
      </c>
      <c r="J468" s="11">
        <v>2806</v>
      </c>
      <c r="K468" s="11">
        <v>3295</v>
      </c>
      <c r="L468" s="11">
        <v>6101</v>
      </c>
      <c r="M468" s="11">
        <v>4310</v>
      </c>
    </row>
    <row r="469" spans="1:13" x14ac:dyDescent="0.3">
      <c r="A469" s="10">
        <v>6712</v>
      </c>
      <c r="B469" s="10">
        <v>24</v>
      </c>
      <c r="C469" s="10" t="s">
        <v>786</v>
      </c>
      <c r="D469" s="10">
        <v>2483</v>
      </c>
      <c r="E469" s="10" t="s">
        <v>807</v>
      </c>
      <c r="F469" s="10">
        <v>0</v>
      </c>
      <c r="G469" s="10" t="s">
        <v>343</v>
      </c>
      <c r="H469" s="10">
        <v>0</v>
      </c>
      <c r="I469" s="10" t="s">
        <v>343</v>
      </c>
      <c r="J469" s="11">
        <v>1683</v>
      </c>
      <c r="K469" s="11">
        <v>1764</v>
      </c>
      <c r="L469" s="11">
        <v>3447</v>
      </c>
      <c r="M469" s="11">
        <v>2743</v>
      </c>
    </row>
    <row r="470" spans="1:13" x14ac:dyDescent="0.3">
      <c r="A470" s="10">
        <v>6712</v>
      </c>
      <c r="B470" s="10">
        <v>24</v>
      </c>
      <c r="C470" s="10" t="s">
        <v>786</v>
      </c>
      <c r="D470" s="10">
        <v>2484</v>
      </c>
      <c r="E470" s="10" t="s">
        <v>808</v>
      </c>
      <c r="F470" s="10">
        <v>0</v>
      </c>
      <c r="G470" s="10" t="s">
        <v>343</v>
      </c>
      <c r="H470" s="10">
        <v>0</v>
      </c>
      <c r="I470" s="10" t="s">
        <v>343</v>
      </c>
      <c r="J470" s="10">
        <v>967</v>
      </c>
      <c r="K470" s="11">
        <v>1101</v>
      </c>
      <c r="L470" s="11">
        <v>2068</v>
      </c>
      <c r="M470" s="11">
        <v>1129</v>
      </c>
    </row>
    <row r="471" spans="1:13" x14ac:dyDescent="0.3">
      <c r="A471" s="10">
        <v>6712</v>
      </c>
      <c r="B471" s="10">
        <v>24</v>
      </c>
      <c r="C471" s="10" t="s">
        <v>786</v>
      </c>
      <c r="D471" s="10">
        <v>2485</v>
      </c>
      <c r="E471" s="10" t="s">
        <v>809</v>
      </c>
      <c r="F471" s="10">
        <v>0</v>
      </c>
      <c r="G471" s="10" t="s">
        <v>343</v>
      </c>
      <c r="H471" s="10">
        <v>0</v>
      </c>
      <c r="I471" s="10" t="s">
        <v>343</v>
      </c>
      <c r="J471" s="11">
        <v>1402</v>
      </c>
      <c r="K471" s="11">
        <v>1479</v>
      </c>
      <c r="L471" s="11">
        <v>2881</v>
      </c>
      <c r="M471" s="11">
        <v>1458</v>
      </c>
    </row>
    <row r="472" spans="1:13" x14ac:dyDescent="0.3">
      <c r="A472" s="10">
        <v>6712</v>
      </c>
      <c r="B472" s="10">
        <v>24</v>
      </c>
      <c r="C472" s="10" t="s">
        <v>786</v>
      </c>
      <c r="D472" s="10">
        <v>2486</v>
      </c>
      <c r="E472" s="10" t="s">
        <v>810</v>
      </c>
      <c r="F472" s="10">
        <v>0</v>
      </c>
      <c r="G472" s="10" t="s">
        <v>343</v>
      </c>
      <c r="H472" s="10">
        <v>0</v>
      </c>
      <c r="I472" s="10" t="s">
        <v>343</v>
      </c>
      <c r="J472" s="11">
        <v>1988</v>
      </c>
      <c r="K472" s="11">
        <v>2117</v>
      </c>
      <c r="L472" s="11">
        <v>4105</v>
      </c>
      <c r="M472" s="11">
        <v>1313</v>
      </c>
    </row>
    <row r="473" spans="1:13" x14ac:dyDescent="0.3">
      <c r="A473" s="10">
        <v>6712</v>
      </c>
      <c r="B473" s="10">
        <v>24</v>
      </c>
      <c r="C473" s="10" t="s">
        <v>786</v>
      </c>
      <c r="D473" s="10">
        <v>2487</v>
      </c>
      <c r="E473" s="10" t="s">
        <v>811</v>
      </c>
      <c r="F473" s="10">
        <v>0</v>
      </c>
      <c r="G473" s="10" t="s">
        <v>343</v>
      </c>
      <c r="H473" s="10">
        <v>0</v>
      </c>
      <c r="I473" s="10" t="s">
        <v>343</v>
      </c>
      <c r="J473" s="11">
        <v>1198</v>
      </c>
      <c r="K473" s="11">
        <v>1347</v>
      </c>
      <c r="L473" s="11">
        <v>2545</v>
      </c>
      <c r="M473" s="11">
        <v>2031</v>
      </c>
    </row>
    <row r="474" spans="1:13" x14ac:dyDescent="0.3">
      <c r="A474" s="10">
        <v>6712</v>
      </c>
      <c r="B474" s="10">
        <v>24</v>
      </c>
      <c r="C474" s="10" t="s">
        <v>786</v>
      </c>
      <c r="D474" s="10">
        <v>2488</v>
      </c>
      <c r="E474" s="10" t="s">
        <v>812</v>
      </c>
      <c r="F474" s="10">
        <v>0</v>
      </c>
      <c r="G474" s="10" t="s">
        <v>343</v>
      </c>
      <c r="H474" s="10">
        <v>0</v>
      </c>
      <c r="I474" s="10" t="s">
        <v>343</v>
      </c>
      <c r="J474" s="11">
        <v>2822</v>
      </c>
      <c r="K474" s="11">
        <v>3071</v>
      </c>
      <c r="L474" s="11">
        <v>5893</v>
      </c>
      <c r="M474" s="11">
        <v>2959</v>
      </c>
    </row>
    <row r="475" spans="1:13" x14ac:dyDescent="0.3">
      <c r="A475" s="10">
        <v>6712</v>
      </c>
      <c r="B475" s="10">
        <v>24</v>
      </c>
      <c r="C475" s="10" t="s">
        <v>786</v>
      </c>
      <c r="D475" s="10">
        <v>2489</v>
      </c>
      <c r="E475" s="10" t="s">
        <v>813</v>
      </c>
      <c r="F475" s="10">
        <v>0</v>
      </c>
      <c r="G475" s="10" t="s">
        <v>343</v>
      </c>
      <c r="H475" s="10">
        <v>0</v>
      </c>
      <c r="I475" s="10" t="s">
        <v>343</v>
      </c>
      <c r="J475" s="10">
        <v>622</v>
      </c>
      <c r="K475" s="10">
        <v>639</v>
      </c>
      <c r="L475" s="11">
        <v>1261</v>
      </c>
      <c r="M475" s="10">
        <v>327</v>
      </c>
    </row>
    <row r="476" spans="1:13" x14ac:dyDescent="0.3">
      <c r="A476" s="10">
        <v>6712</v>
      </c>
      <c r="B476" s="10">
        <v>24</v>
      </c>
      <c r="C476" s="10" t="s">
        <v>786</v>
      </c>
      <c r="D476" s="10">
        <v>2490</v>
      </c>
      <c r="E476" s="10" t="s">
        <v>814</v>
      </c>
      <c r="F476" s="10">
        <v>0</v>
      </c>
      <c r="G476" s="10" t="s">
        <v>343</v>
      </c>
      <c r="H476" s="10">
        <v>0</v>
      </c>
      <c r="I476" s="10" t="s">
        <v>343</v>
      </c>
      <c r="J476" s="11">
        <v>1868</v>
      </c>
      <c r="K476" s="11">
        <v>1988</v>
      </c>
      <c r="L476" s="11">
        <v>3856</v>
      </c>
      <c r="M476" s="11">
        <v>2837</v>
      </c>
    </row>
    <row r="477" spans="1:13" x14ac:dyDescent="0.3">
      <c r="A477" s="10">
        <v>6712</v>
      </c>
      <c r="B477" s="10">
        <v>24</v>
      </c>
      <c r="C477" s="10" t="s">
        <v>786</v>
      </c>
      <c r="D477" s="10">
        <v>2491</v>
      </c>
      <c r="E477" s="10" t="s">
        <v>815</v>
      </c>
      <c r="F477" s="10">
        <v>0</v>
      </c>
      <c r="G477" s="10" t="s">
        <v>343</v>
      </c>
      <c r="H477" s="10">
        <v>0</v>
      </c>
      <c r="I477" s="10" t="s">
        <v>343</v>
      </c>
      <c r="J477" s="11">
        <v>3555</v>
      </c>
      <c r="K477" s="11">
        <v>3815</v>
      </c>
      <c r="L477" s="11">
        <v>7370</v>
      </c>
      <c r="M477" s="11">
        <v>9606</v>
      </c>
    </row>
    <row r="478" spans="1:13" x14ac:dyDescent="0.3">
      <c r="A478" s="10">
        <v>6712</v>
      </c>
      <c r="B478" s="10">
        <v>24</v>
      </c>
      <c r="C478" s="10" t="s">
        <v>786</v>
      </c>
      <c r="D478" s="10">
        <v>2492</v>
      </c>
      <c r="E478" s="10" t="s">
        <v>816</v>
      </c>
      <c r="F478" s="10">
        <v>0</v>
      </c>
      <c r="G478" s="10" t="s">
        <v>343</v>
      </c>
      <c r="H478" s="10">
        <v>0</v>
      </c>
      <c r="I478" s="10" t="s">
        <v>343</v>
      </c>
      <c r="J478" s="10">
        <v>713</v>
      </c>
      <c r="K478" s="10">
        <v>761</v>
      </c>
      <c r="L478" s="11">
        <v>1474</v>
      </c>
      <c r="M478" s="10">
        <v>566</v>
      </c>
    </row>
    <row r="479" spans="1:13" x14ac:dyDescent="0.3">
      <c r="A479" s="10">
        <v>6712</v>
      </c>
      <c r="B479" s="10">
        <v>24</v>
      </c>
      <c r="C479" s="10" t="s">
        <v>786</v>
      </c>
      <c r="D479" s="10">
        <v>2493</v>
      </c>
      <c r="E479" s="10" t="s">
        <v>817</v>
      </c>
      <c r="F479" s="10">
        <v>0</v>
      </c>
      <c r="G479" s="10" t="s">
        <v>343</v>
      </c>
      <c r="H479" s="10">
        <v>0</v>
      </c>
      <c r="I479" s="10" t="s">
        <v>343</v>
      </c>
      <c r="J479" s="11">
        <v>1097</v>
      </c>
      <c r="K479" s="11">
        <v>1161</v>
      </c>
      <c r="L479" s="11">
        <v>2258</v>
      </c>
      <c r="M479" s="11">
        <v>1238</v>
      </c>
    </row>
    <row r="480" spans="1:13" x14ac:dyDescent="0.3">
      <c r="A480" s="10">
        <v>6712</v>
      </c>
      <c r="B480" s="10">
        <v>24</v>
      </c>
      <c r="C480" s="10" t="s">
        <v>786</v>
      </c>
      <c r="D480" s="10">
        <v>2494</v>
      </c>
      <c r="E480" s="10" t="s">
        <v>818</v>
      </c>
      <c r="F480" s="10">
        <v>0</v>
      </c>
      <c r="G480" s="10" t="s">
        <v>343</v>
      </c>
      <c r="H480" s="10">
        <v>0</v>
      </c>
      <c r="I480" s="10" t="s">
        <v>343</v>
      </c>
      <c r="J480" s="11">
        <v>1067</v>
      </c>
      <c r="K480" s="11">
        <v>1027</v>
      </c>
      <c r="L480" s="11">
        <v>2094</v>
      </c>
      <c r="M480" s="10">
        <v>818</v>
      </c>
    </row>
    <row r="481" spans="1:13" x14ac:dyDescent="0.3">
      <c r="A481" s="10">
        <v>6712</v>
      </c>
      <c r="B481" s="10">
        <v>24</v>
      </c>
      <c r="C481" s="10" t="s">
        <v>786</v>
      </c>
      <c r="D481" s="10">
        <v>2495</v>
      </c>
      <c r="E481" s="10" t="s">
        <v>819</v>
      </c>
      <c r="F481" s="10">
        <v>0</v>
      </c>
      <c r="G481" s="10" t="s">
        <v>343</v>
      </c>
      <c r="H481" s="10">
        <v>0</v>
      </c>
      <c r="I481" s="10" t="s">
        <v>343</v>
      </c>
      <c r="J481" s="10">
        <v>756</v>
      </c>
      <c r="K481" s="10">
        <v>764</v>
      </c>
      <c r="L481" s="11">
        <v>1520</v>
      </c>
      <c r="M481" s="10">
        <v>742</v>
      </c>
    </row>
    <row r="482" spans="1:13" x14ac:dyDescent="0.3">
      <c r="A482" s="10">
        <v>6712</v>
      </c>
      <c r="B482" s="10">
        <v>24</v>
      </c>
      <c r="C482" s="10" t="s">
        <v>786</v>
      </c>
      <c r="D482" s="10">
        <v>2496</v>
      </c>
      <c r="E482" s="10" t="s">
        <v>820</v>
      </c>
      <c r="F482" s="10">
        <v>0</v>
      </c>
      <c r="G482" s="10" t="s">
        <v>343</v>
      </c>
      <c r="H482" s="10">
        <v>0</v>
      </c>
      <c r="I482" s="10" t="s">
        <v>343</v>
      </c>
      <c r="J482" s="11">
        <v>2564</v>
      </c>
      <c r="K482" s="11">
        <v>2800</v>
      </c>
      <c r="L482" s="11">
        <v>5364</v>
      </c>
      <c r="M482" s="11">
        <v>2789</v>
      </c>
    </row>
    <row r="483" spans="1:13" x14ac:dyDescent="0.3">
      <c r="A483" s="10">
        <v>6712</v>
      </c>
      <c r="B483" s="10">
        <v>24</v>
      </c>
      <c r="C483" s="10" t="s">
        <v>786</v>
      </c>
      <c r="D483" s="10">
        <v>2497</v>
      </c>
      <c r="E483" s="10" t="s">
        <v>821</v>
      </c>
      <c r="F483" s="10">
        <v>0</v>
      </c>
      <c r="G483" s="10" t="s">
        <v>343</v>
      </c>
      <c r="H483" s="10">
        <v>0</v>
      </c>
      <c r="I483" s="10" t="s">
        <v>343</v>
      </c>
      <c r="J483" s="10">
        <v>621</v>
      </c>
      <c r="K483" s="10">
        <v>726</v>
      </c>
      <c r="L483" s="11">
        <v>1347</v>
      </c>
      <c r="M483" s="10">
        <v>505</v>
      </c>
    </row>
    <row r="484" spans="1:13" x14ac:dyDescent="0.3">
      <c r="A484" s="10">
        <v>6712</v>
      </c>
      <c r="B484" s="10">
        <v>24</v>
      </c>
      <c r="C484" s="10" t="s">
        <v>786</v>
      </c>
      <c r="D484" s="10">
        <v>2498</v>
      </c>
      <c r="E484" s="10" t="s">
        <v>822</v>
      </c>
      <c r="F484" s="10">
        <v>0</v>
      </c>
      <c r="G484" s="10" t="s">
        <v>343</v>
      </c>
      <c r="H484" s="10">
        <v>0</v>
      </c>
      <c r="I484" s="10" t="s">
        <v>343</v>
      </c>
      <c r="J484" s="11">
        <v>4579</v>
      </c>
      <c r="K484" s="11">
        <v>5334</v>
      </c>
      <c r="L484" s="11">
        <v>9913</v>
      </c>
      <c r="M484" s="11">
        <v>5047</v>
      </c>
    </row>
    <row r="485" spans="1:13" x14ac:dyDescent="0.3">
      <c r="A485" s="10">
        <v>6712</v>
      </c>
      <c r="B485" s="10">
        <v>24</v>
      </c>
      <c r="C485" s="10" t="s">
        <v>786</v>
      </c>
      <c r="D485" s="10">
        <v>2499</v>
      </c>
      <c r="E485" s="10" t="s">
        <v>823</v>
      </c>
      <c r="F485" s="10">
        <v>0</v>
      </c>
      <c r="G485" s="10" t="s">
        <v>343</v>
      </c>
      <c r="H485" s="10">
        <v>0</v>
      </c>
      <c r="I485" s="10" t="s">
        <v>343</v>
      </c>
      <c r="J485" s="11">
        <v>17206</v>
      </c>
      <c r="K485" s="11">
        <v>19112</v>
      </c>
      <c r="L485" s="11">
        <v>36318</v>
      </c>
      <c r="M485" s="11">
        <v>22914</v>
      </c>
    </row>
    <row r="486" spans="1:13" x14ac:dyDescent="0.3">
      <c r="A486" s="10">
        <v>6712</v>
      </c>
      <c r="B486" s="10">
        <v>25</v>
      </c>
      <c r="C486" s="10" t="s">
        <v>824</v>
      </c>
      <c r="D486" s="10">
        <v>0</v>
      </c>
      <c r="E486" s="10" t="s">
        <v>343</v>
      </c>
      <c r="F486" s="10">
        <v>0</v>
      </c>
      <c r="G486" s="10" t="s">
        <v>343</v>
      </c>
      <c r="H486" s="10">
        <v>0</v>
      </c>
      <c r="I486" s="10" t="s">
        <v>343</v>
      </c>
      <c r="J486" s="11">
        <v>246835</v>
      </c>
      <c r="K486" s="11">
        <v>253772</v>
      </c>
      <c r="L486" s="11">
        <v>500607</v>
      </c>
      <c r="M486" s="11">
        <v>242594</v>
      </c>
    </row>
    <row r="487" spans="1:13" x14ac:dyDescent="0.3">
      <c r="A487" s="10">
        <v>6712</v>
      </c>
      <c r="B487" s="10">
        <v>25</v>
      </c>
      <c r="C487" s="10" t="s">
        <v>824</v>
      </c>
      <c r="D487" s="10">
        <v>2501</v>
      </c>
      <c r="E487" s="10" t="s">
        <v>825</v>
      </c>
      <c r="F487" s="10">
        <v>0</v>
      </c>
      <c r="G487" s="10" t="s">
        <v>343</v>
      </c>
      <c r="H487" s="10">
        <v>0</v>
      </c>
      <c r="I487" s="10" t="s">
        <v>343</v>
      </c>
      <c r="J487" s="11">
        <v>45275</v>
      </c>
      <c r="K487" s="11">
        <v>42736</v>
      </c>
      <c r="L487" s="11">
        <v>88011</v>
      </c>
      <c r="M487" s="11">
        <v>37954</v>
      </c>
    </row>
    <row r="488" spans="1:13" x14ac:dyDescent="0.3">
      <c r="A488" s="10">
        <v>6712</v>
      </c>
      <c r="B488" s="10">
        <v>25</v>
      </c>
      <c r="C488" s="10" t="s">
        <v>824</v>
      </c>
      <c r="D488" s="10">
        <v>2502</v>
      </c>
      <c r="E488" s="10" t="s">
        <v>826</v>
      </c>
      <c r="F488" s="10">
        <v>0</v>
      </c>
      <c r="G488" s="10" t="s">
        <v>343</v>
      </c>
      <c r="H488" s="10">
        <v>0</v>
      </c>
      <c r="I488" s="10" t="s">
        <v>343</v>
      </c>
      <c r="J488" s="11">
        <v>67379</v>
      </c>
      <c r="K488" s="11">
        <v>69718</v>
      </c>
      <c r="L488" s="11">
        <v>137097</v>
      </c>
      <c r="M488" s="11">
        <v>57049</v>
      </c>
    </row>
    <row r="489" spans="1:13" x14ac:dyDescent="0.3">
      <c r="A489" s="10">
        <v>6712</v>
      </c>
      <c r="B489" s="10">
        <v>25</v>
      </c>
      <c r="C489" s="10" t="s">
        <v>824</v>
      </c>
      <c r="D489" s="10">
        <v>2503</v>
      </c>
      <c r="E489" s="10" t="s">
        <v>827</v>
      </c>
      <c r="F489" s="10">
        <v>0</v>
      </c>
      <c r="G489" s="10" t="s">
        <v>343</v>
      </c>
      <c r="H489" s="10">
        <v>0</v>
      </c>
      <c r="I489" s="10" t="s">
        <v>343</v>
      </c>
      <c r="J489" s="11">
        <v>21992</v>
      </c>
      <c r="K489" s="11">
        <v>22299</v>
      </c>
      <c r="L489" s="11">
        <v>44291</v>
      </c>
      <c r="M489" s="11">
        <v>19209</v>
      </c>
    </row>
    <row r="490" spans="1:13" x14ac:dyDescent="0.3">
      <c r="A490" s="10">
        <v>6712</v>
      </c>
      <c r="B490" s="10">
        <v>25</v>
      </c>
      <c r="C490" s="10" t="s">
        <v>824</v>
      </c>
      <c r="D490" s="10">
        <v>2506</v>
      </c>
      <c r="E490" s="10" t="s">
        <v>828</v>
      </c>
      <c r="F490" s="10">
        <v>0</v>
      </c>
      <c r="G490" s="10" t="s">
        <v>343</v>
      </c>
      <c r="H490" s="10">
        <v>0</v>
      </c>
      <c r="I490" s="10" t="s">
        <v>343</v>
      </c>
      <c r="J490" s="11">
        <v>13291</v>
      </c>
      <c r="K490" s="11">
        <v>13871</v>
      </c>
      <c r="L490" s="11">
        <v>27162</v>
      </c>
      <c r="M490" s="11">
        <v>9865</v>
      </c>
    </row>
    <row r="491" spans="1:13" x14ac:dyDescent="0.3">
      <c r="A491" s="10">
        <v>6712</v>
      </c>
      <c r="B491" s="10">
        <v>25</v>
      </c>
      <c r="C491" s="10" t="s">
        <v>824</v>
      </c>
      <c r="D491" s="10">
        <v>2507</v>
      </c>
      <c r="E491" s="10" t="s">
        <v>829</v>
      </c>
      <c r="F491" s="10">
        <v>0</v>
      </c>
      <c r="G491" s="10" t="s">
        <v>343</v>
      </c>
      <c r="H491" s="10">
        <v>0</v>
      </c>
      <c r="I491" s="10" t="s">
        <v>343</v>
      </c>
      <c r="J491" s="11">
        <v>24206</v>
      </c>
      <c r="K491" s="11">
        <v>25474</v>
      </c>
      <c r="L491" s="11">
        <v>49680</v>
      </c>
      <c r="M491" s="11">
        <v>18499</v>
      </c>
    </row>
    <row r="492" spans="1:13" x14ac:dyDescent="0.3">
      <c r="A492" s="10">
        <v>6712</v>
      </c>
      <c r="B492" s="10">
        <v>25</v>
      </c>
      <c r="C492" s="10" t="s">
        <v>824</v>
      </c>
      <c r="D492" s="10">
        <v>2508</v>
      </c>
      <c r="E492" s="10" t="s">
        <v>830</v>
      </c>
      <c r="F492" s="10">
        <v>0</v>
      </c>
      <c r="G492" s="10" t="s">
        <v>343</v>
      </c>
      <c r="H492" s="10">
        <v>0</v>
      </c>
      <c r="I492" s="10" t="s">
        <v>343</v>
      </c>
      <c r="J492" s="11">
        <v>39177</v>
      </c>
      <c r="K492" s="11">
        <v>41327</v>
      </c>
      <c r="L492" s="11">
        <v>80504</v>
      </c>
      <c r="M492" s="11">
        <v>60592</v>
      </c>
    </row>
    <row r="493" spans="1:13" x14ac:dyDescent="0.3">
      <c r="A493" s="10">
        <v>6712</v>
      </c>
      <c r="B493" s="10">
        <v>25</v>
      </c>
      <c r="C493" s="10" t="s">
        <v>824</v>
      </c>
      <c r="D493" s="10">
        <v>2509</v>
      </c>
      <c r="E493" s="10" t="s">
        <v>831</v>
      </c>
      <c r="F493" s="10">
        <v>0</v>
      </c>
      <c r="G493" s="10" t="s">
        <v>343</v>
      </c>
      <c r="H493" s="10">
        <v>0</v>
      </c>
      <c r="I493" s="10" t="s">
        <v>343</v>
      </c>
      <c r="J493" s="11">
        <v>6643</v>
      </c>
      <c r="K493" s="11">
        <v>6869</v>
      </c>
      <c r="L493" s="11">
        <v>13512</v>
      </c>
      <c r="M493" s="11">
        <v>7003</v>
      </c>
    </row>
    <row r="494" spans="1:13" x14ac:dyDescent="0.3">
      <c r="A494" s="10">
        <v>6712</v>
      </c>
      <c r="B494" s="10">
        <v>25</v>
      </c>
      <c r="C494" s="10" t="s">
        <v>824</v>
      </c>
      <c r="D494" s="10">
        <v>2587</v>
      </c>
      <c r="E494" s="10" t="s">
        <v>832</v>
      </c>
      <c r="F494" s="10">
        <v>0</v>
      </c>
      <c r="G494" s="10" t="s">
        <v>343</v>
      </c>
      <c r="H494" s="10">
        <v>0</v>
      </c>
      <c r="I494" s="10" t="s">
        <v>343</v>
      </c>
      <c r="J494" s="11">
        <v>1057</v>
      </c>
      <c r="K494" s="11">
        <v>1174</v>
      </c>
      <c r="L494" s="11">
        <v>2231</v>
      </c>
      <c r="M494" s="10">
        <v>880</v>
      </c>
    </row>
    <row r="495" spans="1:13" x14ac:dyDescent="0.3">
      <c r="A495" s="10">
        <v>6712</v>
      </c>
      <c r="B495" s="10">
        <v>25</v>
      </c>
      <c r="C495" s="10" t="s">
        <v>824</v>
      </c>
      <c r="D495" s="10">
        <v>2588</v>
      </c>
      <c r="E495" s="10" t="s">
        <v>833</v>
      </c>
      <c r="F495" s="10">
        <v>0</v>
      </c>
      <c r="G495" s="10" t="s">
        <v>343</v>
      </c>
      <c r="H495" s="10">
        <v>0</v>
      </c>
      <c r="I495" s="10" t="s">
        <v>343</v>
      </c>
      <c r="J495" s="11">
        <v>2698</v>
      </c>
      <c r="K495" s="11">
        <v>2937</v>
      </c>
      <c r="L495" s="11">
        <v>5635</v>
      </c>
      <c r="M495" s="11">
        <v>2414</v>
      </c>
    </row>
    <row r="496" spans="1:13" x14ac:dyDescent="0.3">
      <c r="A496" s="10">
        <v>6712</v>
      </c>
      <c r="B496" s="10">
        <v>25</v>
      </c>
      <c r="C496" s="10" t="s">
        <v>824</v>
      </c>
      <c r="D496" s="10">
        <v>2589</v>
      </c>
      <c r="E496" s="10" t="s">
        <v>834</v>
      </c>
      <c r="F496" s="10">
        <v>0</v>
      </c>
      <c r="G496" s="10" t="s">
        <v>343</v>
      </c>
      <c r="H496" s="10">
        <v>0</v>
      </c>
      <c r="I496" s="10" t="s">
        <v>343</v>
      </c>
      <c r="J496" s="11">
        <v>1724</v>
      </c>
      <c r="K496" s="11">
        <v>1845</v>
      </c>
      <c r="L496" s="11">
        <v>3569</v>
      </c>
      <c r="M496" s="11">
        <v>2595</v>
      </c>
    </row>
    <row r="497" spans="1:13" x14ac:dyDescent="0.3">
      <c r="A497" s="10">
        <v>6712</v>
      </c>
      <c r="B497" s="10">
        <v>25</v>
      </c>
      <c r="C497" s="10" t="s">
        <v>824</v>
      </c>
      <c r="D497" s="10">
        <v>2590</v>
      </c>
      <c r="E497" s="10" t="s">
        <v>835</v>
      </c>
      <c r="F497" s="10">
        <v>0</v>
      </c>
      <c r="G497" s="10" t="s">
        <v>343</v>
      </c>
      <c r="H497" s="10">
        <v>0</v>
      </c>
      <c r="I497" s="10" t="s">
        <v>343</v>
      </c>
      <c r="J497" s="11">
        <v>1764</v>
      </c>
      <c r="K497" s="11">
        <v>1828</v>
      </c>
      <c r="L497" s="11">
        <v>3592</v>
      </c>
      <c r="M497" s="11">
        <v>1344</v>
      </c>
    </row>
    <row r="498" spans="1:13" x14ac:dyDescent="0.3">
      <c r="A498" s="10">
        <v>6712</v>
      </c>
      <c r="B498" s="10">
        <v>25</v>
      </c>
      <c r="C498" s="10" t="s">
        <v>824</v>
      </c>
      <c r="D498" s="10">
        <v>2591</v>
      </c>
      <c r="E498" s="10" t="s">
        <v>836</v>
      </c>
      <c r="F498" s="10">
        <v>0</v>
      </c>
      <c r="G498" s="10" t="s">
        <v>343</v>
      </c>
      <c r="H498" s="10">
        <v>0</v>
      </c>
      <c r="I498" s="10" t="s">
        <v>343</v>
      </c>
      <c r="J498" s="11">
        <v>2029</v>
      </c>
      <c r="K498" s="11">
        <v>2243</v>
      </c>
      <c r="L498" s="11">
        <v>4272</v>
      </c>
      <c r="M498" s="11">
        <v>2433</v>
      </c>
    </row>
    <row r="499" spans="1:13" x14ac:dyDescent="0.3">
      <c r="A499" s="10">
        <v>6712</v>
      </c>
      <c r="B499" s="10">
        <v>25</v>
      </c>
      <c r="C499" s="10" t="s">
        <v>824</v>
      </c>
      <c r="D499" s="10">
        <v>2592</v>
      </c>
      <c r="E499" s="10" t="s">
        <v>505</v>
      </c>
      <c r="F499" s="10">
        <v>0</v>
      </c>
      <c r="G499" s="10" t="s">
        <v>343</v>
      </c>
      <c r="H499" s="10">
        <v>0</v>
      </c>
      <c r="I499" s="10" t="s">
        <v>343</v>
      </c>
      <c r="J499" s="11">
        <v>1581</v>
      </c>
      <c r="K499" s="11">
        <v>1651</v>
      </c>
      <c r="L499" s="11">
        <v>3232</v>
      </c>
      <c r="M499" s="11">
        <v>1729</v>
      </c>
    </row>
    <row r="500" spans="1:13" x14ac:dyDescent="0.3">
      <c r="A500" s="10">
        <v>6712</v>
      </c>
      <c r="B500" s="10">
        <v>25</v>
      </c>
      <c r="C500" s="10" t="s">
        <v>824</v>
      </c>
      <c r="D500" s="10">
        <v>2593</v>
      </c>
      <c r="E500" s="10" t="s">
        <v>837</v>
      </c>
      <c r="F500" s="10">
        <v>0</v>
      </c>
      <c r="G500" s="10" t="s">
        <v>343</v>
      </c>
      <c r="H500" s="10">
        <v>0</v>
      </c>
      <c r="I500" s="10" t="s">
        <v>343</v>
      </c>
      <c r="J500" s="11">
        <v>3879</v>
      </c>
      <c r="K500" s="11">
        <v>4037</v>
      </c>
      <c r="L500" s="11">
        <v>7916</v>
      </c>
      <c r="M500" s="11">
        <v>3491</v>
      </c>
    </row>
    <row r="501" spans="1:13" x14ac:dyDescent="0.3">
      <c r="A501" s="10">
        <v>6712</v>
      </c>
      <c r="B501" s="10">
        <v>25</v>
      </c>
      <c r="C501" s="10" t="s">
        <v>824</v>
      </c>
      <c r="D501" s="10">
        <v>2594</v>
      </c>
      <c r="E501" s="10" t="s">
        <v>838</v>
      </c>
      <c r="F501" s="10">
        <v>0</v>
      </c>
      <c r="G501" s="10" t="s">
        <v>343</v>
      </c>
      <c r="H501" s="10">
        <v>0</v>
      </c>
      <c r="I501" s="10" t="s">
        <v>343</v>
      </c>
      <c r="J501" s="10">
        <v>865</v>
      </c>
      <c r="K501" s="10">
        <v>908</v>
      </c>
      <c r="L501" s="11">
        <v>1773</v>
      </c>
      <c r="M501" s="10">
        <v>664</v>
      </c>
    </row>
    <row r="502" spans="1:13" x14ac:dyDescent="0.3">
      <c r="A502" s="10">
        <v>6712</v>
      </c>
      <c r="B502" s="10">
        <v>25</v>
      </c>
      <c r="C502" s="10" t="s">
        <v>824</v>
      </c>
      <c r="D502" s="10">
        <v>2595</v>
      </c>
      <c r="E502" s="10" t="s">
        <v>839</v>
      </c>
      <c r="F502" s="10">
        <v>0</v>
      </c>
      <c r="G502" s="10" t="s">
        <v>343</v>
      </c>
      <c r="H502" s="10">
        <v>0</v>
      </c>
      <c r="I502" s="10" t="s">
        <v>343</v>
      </c>
      <c r="J502" s="11">
        <v>3241</v>
      </c>
      <c r="K502" s="11">
        <v>3376</v>
      </c>
      <c r="L502" s="11">
        <v>6617</v>
      </c>
      <c r="M502" s="11">
        <v>4650</v>
      </c>
    </row>
    <row r="503" spans="1:13" x14ac:dyDescent="0.3">
      <c r="A503" s="10">
        <v>6712</v>
      </c>
      <c r="B503" s="10">
        <v>25</v>
      </c>
      <c r="C503" s="10" t="s">
        <v>824</v>
      </c>
      <c r="D503" s="10">
        <v>2596</v>
      </c>
      <c r="E503" s="10" t="s">
        <v>840</v>
      </c>
      <c r="F503" s="10">
        <v>0</v>
      </c>
      <c r="G503" s="10" t="s">
        <v>343</v>
      </c>
      <c r="H503" s="10">
        <v>0</v>
      </c>
      <c r="I503" s="10" t="s">
        <v>343</v>
      </c>
      <c r="J503" s="11">
        <v>1102</v>
      </c>
      <c r="K503" s="11">
        <v>1130</v>
      </c>
      <c r="L503" s="11">
        <v>2232</v>
      </c>
      <c r="M503" s="10">
        <v>837</v>
      </c>
    </row>
    <row r="504" spans="1:13" x14ac:dyDescent="0.3">
      <c r="A504" s="10">
        <v>6712</v>
      </c>
      <c r="B504" s="10">
        <v>25</v>
      </c>
      <c r="C504" s="10" t="s">
        <v>824</v>
      </c>
      <c r="D504" s="10">
        <v>2598</v>
      </c>
      <c r="E504" s="10" t="s">
        <v>841</v>
      </c>
      <c r="F504" s="10">
        <v>0</v>
      </c>
      <c r="G504" s="10" t="s">
        <v>343</v>
      </c>
      <c r="H504" s="10">
        <v>0</v>
      </c>
      <c r="I504" s="10" t="s">
        <v>343</v>
      </c>
      <c r="J504" s="11">
        <v>1643</v>
      </c>
      <c r="K504" s="11">
        <v>1868</v>
      </c>
      <c r="L504" s="11">
        <v>3511</v>
      </c>
      <c r="M504" s="11">
        <v>2216</v>
      </c>
    </row>
    <row r="505" spans="1:13" x14ac:dyDescent="0.3">
      <c r="A505" s="10">
        <v>6712</v>
      </c>
      <c r="B505" s="10">
        <v>25</v>
      </c>
      <c r="C505" s="10" t="s">
        <v>824</v>
      </c>
      <c r="D505" s="10">
        <v>2599</v>
      </c>
      <c r="E505" s="10" t="s">
        <v>842</v>
      </c>
      <c r="F505" s="10">
        <v>0</v>
      </c>
      <c r="G505" s="10" t="s">
        <v>343</v>
      </c>
      <c r="H505" s="10">
        <v>0</v>
      </c>
      <c r="I505" s="10" t="s">
        <v>343</v>
      </c>
      <c r="J505" s="11">
        <v>7289</v>
      </c>
      <c r="K505" s="11">
        <v>8481</v>
      </c>
      <c r="L505" s="11">
        <v>15770</v>
      </c>
      <c r="M505" s="11">
        <v>9170</v>
      </c>
    </row>
    <row r="506" spans="1:13" x14ac:dyDescent="0.3">
      <c r="A506" s="10">
        <v>6712</v>
      </c>
      <c r="B506" s="10">
        <v>26</v>
      </c>
      <c r="C506" s="10" t="s">
        <v>843</v>
      </c>
      <c r="D506" s="10">
        <v>0</v>
      </c>
      <c r="E506" s="10" t="s">
        <v>343</v>
      </c>
      <c r="F506" s="10">
        <v>0</v>
      </c>
      <c r="G506" s="10" t="s">
        <v>343</v>
      </c>
      <c r="H506" s="10">
        <v>0</v>
      </c>
      <c r="I506" s="10" t="s">
        <v>343</v>
      </c>
      <c r="J506" s="11">
        <v>128349</v>
      </c>
      <c r="K506" s="11">
        <v>131421</v>
      </c>
      <c r="L506" s="11">
        <v>259770</v>
      </c>
      <c r="M506" s="11">
        <v>111246</v>
      </c>
    </row>
    <row r="507" spans="1:13" x14ac:dyDescent="0.3">
      <c r="A507" s="10">
        <v>6712</v>
      </c>
      <c r="B507" s="10">
        <v>26</v>
      </c>
      <c r="C507" s="10" t="s">
        <v>843</v>
      </c>
      <c r="D507" s="10">
        <v>2601</v>
      </c>
      <c r="E507" s="10" t="s">
        <v>844</v>
      </c>
      <c r="F507" s="10">
        <v>0</v>
      </c>
      <c r="G507" s="10" t="s">
        <v>343</v>
      </c>
      <c r="H507" s="10">
        <v>0</v>
      </c>
      <c r="I507" s="10" t="s">
        <v>343</v>
      </c>
      <c r="J507" s="11">
        <v>42555</v>
      </c>
      <c r="K507" s="11">
        <v>42629</v>
      </c>
      <c r="L507" s="11">
        <v>85184</v>
      </c>
      <c r="M507" s="11">
        <v>38011</v>
      </c>
    </row>
    <row r="508" spans="1:13" x14ac:dyDescent="0.3">
      <c r="A508" s="10">
        <v>6712</v>
      </c>
      <c r="B508" s="10">
        <v>26</v>
      </c>
      <c r="C508" s="10" t="s">
        <v>843</v>
      </c>
      <c r="D508" s="10">
        <v>2602</v>
      </c>
      <c r="E508" s="10" t="s">
        <v>845</v>
      </c>
      <c r="F508" s="10">
        <v>0</v>
      </c>
      <c r="G508" s="10" t="s">
        <v>343</v>
      </c>
      <c r="H508" s="10">
        <v>0</v>
      </c>
      <c r="I508" s="10" t="s">
        <v>343</v>
      </c>
      <c r="J508" s="11">
        <v>10779</v>
      </c>
      <c r="K508" s="11">
        <v>11382</v>
      </c>
      <c r="L508" s="11">
        <v>22161</v>
      </c>
      <c r="M508" s="11">
        <v>9215</v>
      </c>
    </row>
    <row r="509" spans="1:13" x14ac:dyDescent="0.3">
      <c r="A509" s="10">
        <v>6712</v>
      </c>
      <c r="B509" s="10">
        <v>26</v>
      </c>
      <c r="C509" s="10" t="s">
        <v>843</v>
      </c>
      <c r="D509" s="10">
        <v>2603</v>
      </c>
      <c r="E509" s="10" t="s">
        <v>846</v>
      </c>
      <c r="F509" s="10">
        <v>0</v>
      </c>
      <c r="G509" s="10" t="s">
        <v>343</v>
      </c>
      <c r="H509" s="10">
        <v>0</v>
      </c>
      <c r="I509" s="10" t="s">
        <v>343</v>
      </c>
      <c r="J509" s="11">
        <v>32047</v>
      </c>
      <c r="K509" s="11">
        <v>32160</v>
      </c>
      <c r="L509" s="11">
        <v>64207</v>
      </c>
      <c r="M509" s="11">
        <v>25935</v>
      </c>
    </row>
    <row r="510" spans="1:13" x14ac:dyDescent="0.3">
      <c r="A510" s="10">
        <v>6712</v>
      </c>
      <c r="B510" s="10">
        <v>26</v>
      </c>
      <c r="C510" s="10" t="s">
        <v>843</v>
      </c>
      <c r="D510" s="10">
        <v>2604</v>
      </c>
      <c r="E510" s="10" t="s">
        <v>847</v>
      </c>
      <c r="F510" s="10">
        <v>0</v>
      </c>
      <c r="G510" s="10" t="s">
        <v>343</v>
      </c>
      <c r="H510" s="10">
        <v>0</v>
      </c>
      <c r="I510" s="10" t="s">
        <v>343</v>
      </c>
      <c r="J510" s="11">
        <v>30999</v>
      </c>
      <c r="K510" s="11">
        <v>31982</v>
      </c>
      <c r="L510" s="11">
        <v>62981</v>
      </c>
      <c r="M510" s="11">
        <v>24023</v>
      </c>
    </row>
    <row r="511" spans="1:13" x14ac:dyDescent="0.3">
      <c r="A511" s="10">
        <v>6712</v>
      </c>
      <c r="B511" s="10">
        <v>26</v>
      </c>
      <c r="C511" s="10" t="s">
        <v>843</v>
      </c>
      <c r="D511" s="10">
        <v>2695</v>
      </c>
      <c r="E511" s="10" t="s">
        <v>848</v>
      </c>
      <c r="F511" s="10">
        <v>0</v>
      </c>
      <c r="G511" s="10" t="s">
        <v>343</v>
      </c>
      <c r="H511" s="10">
        <v>0</v>
      </c>
      <c r="I511" s="10" t="s">
        <v>343</v>
      </c>
      <c r="J511" s="11">
        <v>1227</v>
      </c>
      <c r="K511" s="11">
        <v>1347</v>
      </c>
      <c r="L511" s="11">
        <v>2574</v>
      </c>
      <c r="M511" s="11">
        <v>1394</v>
      </c>
    </row>
    <row r="512" spans="1:13" x14ac:dyDescent="0.3">
      <c r="A512" s="10">
        <v>6712</v>
      </c>
      <c r="B512" s="10">
        <v>26</v>
      </c>
      <c r="C512" s="10" t="s">
        <v>843</v>
      </c>
      <c r="D512" s="10">
        <v>2696</v>
      </c>
      <c r="E512" s="10" t="s">
        <v>709</v>
      </c>
      <c r="F512" s="10">
        <v>0</v>
      </c>
      <c r="G512" s="10" t="s">
        <v>343</v>
      </c>
      <c r="H512" s="10">
        <v>0</v>
      </c>
      <c r="I512" s="10" t="s">
        <v>343</v>
      </c>
      <c r="J512" s="11">
        <v>2144</v>
      </c>
      <c r="K512" s="11">
        <v>2415</v>
      </c>
      <c r="L512" s="11">
        <v>4559</v>
      </c>
      <c r="M512" s="11">
        <v>2605</v>
      </c>
    </row>
    <row r="513" spans="1:13" x14ac:dyDescent="0.3">
      <c r="A513" s="10">
        <v>6712</v>
      </c>
      <c r="B513" s="10">
        <v>26</v>
      </c>
      <c r="C513" s="10" t="s">
        <v>843</v>
      </c>
      <c r="D513" s="10">
        <v>2697</v>
      </c>
      <c r="E513" s="10" t="s">
        <v>849</v>
      </c>
      <c r="F513" s="10">
        <v>0</v>
      </c>
      <c r="G513" s="10" t="s">
        <v>343</v>
      </c>
      <c r="H513" s="10">
        <v>0</v>
      </c>
      <c r="I513" s="10" t="s">
        <v>343</v>
      </c>
      <c r="J513" s="10">
        <v>795</v>
      </c>
      <c r="K513" s="10">
        <v>905</v>
      </c>
      <c r="L513" s="11">
        <v>1700</v>
      </c>
      <c r="M513" s="10">
        <v>767</v>
      </c>
    </row>
    <row r="514" spans="1:13" x14ac:dyDescent="0.3">
      <c r="A514" s="10">
        <v>6712</v>
      </c>
      <c r="B514" s="10">
        <v>26</v>
      </c>
      <c r="C514" s="10" t="s">
        <v>843</v>
      </c>
      <c r="D514" s="10">
        <v>2698</v>
      </c>
      <c r="E514" s="10" t="s">
        <v>850</v>
      </c>
      <c r="F514" s="10">
        <v>0</v>
      </c>
      <c r="G514" s="10" t="s">
        <v>343</v>
      </c>
      <c r="H514" s="10">
        <v>0</v>
      </c>
      <c r="I514" s="10" t="s">
        <v>343</v>
      </c>
      <c r="J514" s="10">
        <v>498</v>
      </c>
      <c r="K514" s="10">
        <v>529</v>
      </c>
      <c r="L514" s="11">
        <v>1027</v>
      </c>
      <c r="M514" s="10">
        <v>317</v>
      </c>
    </row>
    <row r="515" spans="1:13" x14ac:dyDescent="0.3">
      <c r="A515" s="10">
        <v>6712</v>
      </c>
      <c r="B515" s="10">
        <v>26</v>
      </c>
      <c r="C515" s="10" t="s">
        <v>843</v>
      </c>
      <c r="D515" s="10">
        <v>2699</v>
      </c>
      <c r="E515" s="10" t="s">
        <v>851</v>
      </c>
      <c r="F515" s="10">
        <v>0</v>
      </c>
      <c r="G515" s="10" t="s">
        <v>343</v>
      </c>
      <c r="H515" s="10">
        <v>0</v>
      </c>
      <c r="I515" s="10" t="s">
        <v>343</v>
      </c>
      <c r="J515" s="11">
        <v>7305</v>
      </c>
      <c r="K515" s="11">
        <v>8072</v>
      </c>
      <c r="L515" s="11">
        <v>15377</v>
      </c>
      <c r="M515" s="11">
        <v>8979</v>
      </c>
    </row>
    <row r="516" spans="1:13" x14ac:dyDescent="0.3">
      <c r="A516" s="10">
        <v>6712</v>
      </c>
      <c r="B516" s="10">
        <v>27</v>
      </c>
      <c r="C516" s="10" t="s">
        <v>852</v>
      </c>
      <c r="D516" s="10">
        <v>0</v>
      </c>
      <c r="E516" s="10" t="s">
        <v>343</v>
      </c>
      <c r="F516" s="10">
        <v>0</v>
      </c>
      <c r="G516" s="10" t="s">
        <v>343</v>
      </c>
      <c r="H516" s="10">
        <v>0</v>
      </c>
      <c r="I516" s="10" t="s">
        <v>343</v>
      </c>
      <c r="J516" s="11">
        <v>280641</v>
      </c>
      <c r="K516" s="11">
        <v>281601</v>
      </c>
      <c r="L516" s="11">
        <v>562242</v>
      </c>
      <c r="M516" s="11">
        <v>233852</v>
      </c>
    </row>
    <row r="517" spans="1:13" x14ac:dyDescent="0.3">
      <c r="A517" s="10">
        <v>6712</v>
      </c>
      <c r="B517" s="10">
        <v>27</v>
      </c>
      <c r="C517" s="10" t="s">
        <v>852</v>
      </c>
      <c r="D517" s="10">
        <v>2701</v>
      </c>
      <c r="E517" s="10" t="s">
        <v>853</v>
      </c>
      <c r="F517" s="10">
        <v>0</v>
      </c>
      <c r="G517" s="10" t="s">
        <v>343</v>
      </c>
      <c r="H517" s="10">
        <v>0</v>
      </c>
      <c r="I517" s="10" t="s">
        <v>343</v>
      </c>
      <c r="J517" s="11">
        <v>43855</v>
      </c>
      <c r="K517" s="11">
        <v>43035</v>
      </c>
      <c r="L517" s="11">
        <v>86890</v>
      </c>
      <c r="M517" s="11">
        <v>31565</v>
      </c>
    </row>
    <row r="518" spans="1:13" x14ac:dyDescent="0.3">
      <c r="A518" s="10">
        <v>6712</v>
      </c>
      <c r="B518" s="10">
        <v>27</v>
      </c>
      <c r="C518" s="10" t="s">
        <v>852</v>
      </c>
      <c r="D518" s="10">
        <v>2702</v>
      </c>
      <c r="E518" s="10" t="s">
        <v>854</v>
      </c>
      <c r="F518" s="10">
        <v>0</v>
      </c>
      <c r="G518" s="10" t="s">
        <v>343</v>
      </c>
      <c r="H518" s="10">
        <v>0</v>
      </c>
      <c r="I518" s="10" t="s">
        <v>343</v>
      </c>
      <c r="J518" s="11">
        <v>19513</v>
      </c>
      <c r="K518" s="11">
        <v>19512</v>
      </c>
      <c r="L518" s="11">
        <v>39025</v>
      </c>
      <c r="M518" s="11">
        <v>14443</v>
      </c>
    </row>
    <row r="519" spans="1:13" x14ac:dyDescent="0.3">
      <c r="A519" s="10">
        <v>6712</v>
      </c>
      <c r="B519" s="10">
        <v>27</v>
      </c>
      <c r="C519" s="10" t="s">
        <v>852</v>
      </c>
      <c r="D519" s="10">
        <v>2703</v>
      </c>
      <c r="E519" s="10" t="s">
        <v>855</v>
      </c>
      <c r="F519" s="10">
        <v>0</v>
      </c>
      <c r="G519" s="10" t="s">
        <v>343</v>
      </c>
      <c r="H519" s="10">
        <v>0</v>
      </c>
      <c r="I519" s="10" t="s">
        <v>343</v>
      </c>
      <c r="J519" s="11">
        <v>27531</v>
      </c>
      <c r="K519" s="11">
        <v>27366</v>
      </c>
      <c r="L519" s="11">
        <v>54897</v>
      </c>
      <c r="M519" s="11">
        <v>17397</v>
      </c>
    </row>
    <row r="520" spans="1:13" x14ac:dyDescent="0.3">
      <c r="A520" s="10">
        <v>6712</v>
      </c>
      <c r="B520" s="10">
        <v>27</v>
      </c>
      <c r="C520" s="10" t="s">
        <v>852</v>
      </c>
      <c r="D520" s="10">
        <v>2704</v>
      </c>
      <c r="E520" s="10" t="s">
        <v>856</v>
      </c>
      <c r="F520" s="10">
        <v>0</v>
      </c>
      <c r="G520" s="10" t="s">
        <v>343</v>
      </c>
      <c r="H520" s="10">
        <v>0</v>
      </c>
      <c r="I520" s="10" t="s">
        <v>343</v>
      </c>
      <c r="J520" s="11">
        <v>20169</v>
      </c>
      <c r="K520" s="11">
        <v>20167</v>
      </c>
      <c r="L520" s="11">
        <v>40336</v>
      </c>
      <c r="M520" s="11">
        <v>15723</v>
      </c>
    </row>
    <row r="521" spans="1:13" x14ac:dyDescent="0.3">
      <c r="A521" s="10">
        <v>6712</v>
      </c>
      <c r="B521" s="10">
        <v>27</v>
      </c>
      <c r="C521" s="10" t="s">
        <v>852</v>
      </c>
      <c r="D521" s="10">
        <v>2705</v>
      </c>
      <c r="E521" s="10" t="s">
        <v>857</v>
      </c>
      <c r="F521" s="10">
        <v>0</v>
      </c>
      <c r="G521" s="10" t="s">
        <v>343</v>
      </c>
      <c r="H521" s="10">
        <v>0</v>
      </c>
      <c r="I521" s="10" t="s">
        <v>343</v>
      </c>
      <c r="J521" s="11">
        <v>38371</v>
      </c>
      <c r="K521" s="11">
        <v>38083</v>
      </c>
      <c r="L521" s="11">
        <v>76454</v>
      </c>
      <c r="M521" s="11">
        <v>28513</v>
      </c>
    </row>
    <row r="522" spans="1:13" x14ac:dyDescent="0.3">
      <c r="A522" s="10">
        <v>6712</v>
      </c>
      <c r="B522" s="10">
        <v>27</v>
      </c>
      <c r="C522" s="10" t="s">
        <v>852</v>
      </c>
      <c r="D522" s="10">
        <v>2706</v>
      </c>
      <c r="E522" s="10" t="s">
        <v>858</v>
      </c>
      <c r="F522" s="10">
        <v>0</v>
      </c>
      <c r="G522" s="10" t="s">
        <v>343</v>
      </c>
      <c r="H522" s="10">
        <v>0</v>
      </c>
      <c r="I522" s="10" t="s">
        <v>343</v>
      </c>
      <c r="J522" s="11">
        <v>37252</v>
      </c>
      <c r="K522" s="11">
        <v>38574</v>
      </c>
      <c r="L522" s="11">
        <v>75826</v>
      </c>
      <c r="M522" s="11">
        <v>39533</v>
      </c>
    </row>
    <row r="523" spans="1:13" x14ac:dyDescent="0.3">
      <c r="A523" s="10">
        <v>6712</v>
      </c>
      <c r="B523" s="10">
        <v>27</v>
      </c>
      <c r="C523" s="10" t="s">
        <v>852</v>
      </c>
      <c r="D523" s="10">
        <v>2707</v>
      </c>
      <c r="E523" s="10" t="s">
        <v>859</v>
      </c>
      <c r="F523" s="10">
        <v>0</v>
      </c>
      <c r="G523" s="10" t="s">
        <v>343</v>
      </c>
      <c r="H523" s="10">
        <v>0</v>
      </c>
      <c r="I523" s="10" t="s">
        <v>343</v>
      </c>
      <c r="J523" s="11">
        <v>25387</v>
      </c>
      <c r="K523" s="11">
        <v>25478</v>
      </c>
      <c r="L523" s="11">
        <v>50865</v>
      </c>
      <c r="M523" s="11">
        <v>17217</v>
      </c>
    </row>
    <row r="524" spans="1:13" x14ac:dyDescent="0.3">
      <c r="A524" s="10">
        <v>6712</v>
      </c>
      <c r="B524" s="10">
        <v>27</v>
      </c>
      <c r="C524" s="10" t="s">
        <v>852</v>
      </c>
      <c r="D524" s="10">
        <v>2708</v>
      </c>
      <c r="E524" s="10" t="s">
        <v>860</v>
      </c>
      <c r="F524" s="10">
        <v>0</v>
      </c>
      <c r="G524" s="10" t="s">
        <v>343</v>
      </c>
      <c r="H524" s="10">
        <v>0</v>
      </c>
      <c r="I524" s="10" t="s">
        <v>343</v>
      </c>
      <c r="J524" s="11">
        <v>13463</v>
      </c>
      <c r="K524" s="11">
        <v>13784</v>
      </c>
      <c r="L524" s="11">
        <v>27247</v>
      </c>
      <c r="M524" s="11">
        <v>8919</v>
      </c>
    </row>
    <row r="525" spans="1:13" x14ac:dyDescent="0.3">
      <c r="A525" s="10">
        <v>6712</v>
      </c>
      <c r="B525" s="10">
        <v>27</v>
      </c>
      <c r="C525" s="10" t="s">
        <v>852</v>
      </c>
      <c r="D525" s="10">
        <v>2709</v>
      </c>
      <c r="E525" s="10" t="s">
        <v>861</v>
      </c>
      <c r="F525" s="10">
        <v>0</v>
      </c>
      <c r="G525" s="10" t="s">
        <v>343</v>
      </c>
      <c r="H525" s="10">
        <v>0</v>
      </c>
      <c r="I525" s="10" t="s">
        <v>343</v>
      </c>
      <c r="J525" s="11">
        <v>12642</v>
      </c>
      <c r="K525" s="11">
        <v>12503</v>
      </c>
      <c r="L525" s="11">
        <v>25145</v>
      </c>
      <c r="M525" s="11">
        <v>10915</v>
      </c>
    </row>
    <row r="526" spans="1:13" x14ac:dyDescent="0.3">
      <c r="A526" s="10">
        <v>6712</v>
      </c>
      <c r="B526" s="10">
        <v>27</v>
      </c>
      <c r="C526" s="10" t="s">
        <v>852</v>
      </c>
      <c r="D526" s="10">
        <v>2791</v>
      </c>
      <c r="E526" s="10" t="s">
        <v>862</v>
      </c>
      <c r="F526" s="10">
        <v>0</v>
      </c>
      <c r="G526" s="10" t="s">
        <v>343</v>
      </c>
      <c r="H526" s="10">
        <v>0</v>
      </c>
      <c r="I526" s="10" t="s">
        <v>343</v>
      </c>
      <c r="J526" s="11">
        <v>5159</v>
      </c>
      <c r="K526" s="11">
        <v>5316</v>
      </c>
      <c r="L526" s="11">
        <v>10475</v>
      </c>
      <c r="M526" s="11">
        <v>5329</v>
      </c>
    </row>
    <row r="527" spans="1:13" x14ac:dyDescent="0.3">
      <c r="A527" s="10">
        <v>6712</v>
      </c>
      <c r="B527" s="10">
        <v>27</v>
      </c>
      <c r="C527" s="10" t="s">
        <v>852</v>
      </c>
      <c r="D527" s="10">
        <v>2792</v>
      </c>
      <c r="E527" s="10" t="s">
        <v>863</v>
      </c>
      <c r="F527" s="10">
        <v>0</v>
      </c>
      <c r="G527" s="10" t="s">
        <v>343</v>
      </c>
      <c r="H527" s="10">
        <v>0</v>
      </c>
      <c r="I527" s="10" t="s">
        <v>343</v>
      </c>
      <c r="J527" s="11">
        <v>2344</v>
      </c>
      <c r="K527" s="11">
        <v>2412</v>
      </c>
      <c r="L527" s="11">
        <v>4756</v>
      </c>
      <c r="M527" s="11">
        <v>2484</v>
      </c>
    </row>
    <row r="528" spans="1:13" x14ac:dyDescent="0.3">
      <c r="A528" s="10">
        <v>6712</v>
      </c>
      <c r="B528" s="10">
        <v>27</v>
      </c>
      <c r="C528" s="10" t="s">
        <v>852</v>
      </c>
      <c r="D528" s="10">
        <v>2793</v>
      </c>
      <c r="E528" s="10" t="s">
        <v>864</v>
      </c>
      <c r="F528" s="10">
        <v>0</v>
      </c>
      <c r="G528" s="10" t="s">
        <v>343</v>
      </c>
      <c r="H528" s="10">
        <v>0</v>
      </c>
      <c r="I528" s="10" t="s">
        <v>343</v>
      </c>
      <c r="J528" s="11">
        <v>2506</v>
      </c>
      <c r="K528" s="11">
        <v>2973</v>
      </c>
      <c r="L528" s="11">
        <v>5479</v>
      </c>
      <c r="M528" s="11">
        <v>3154</v>
      </c>
    </row>
    <row r="529" spans="1:13" x14ac:dyDescent="0.3">
      <c r="A529" s="10">
        <v>6712</v>
      </c>
      <c r="B529" s="10">
        <v>27</v>
      </c>
      <c r="C529" s="10" t="s">
        <v>852</v>
      </c>
      <c r="D529" s="10">
        <v>2794</v>
      </c>
      <c r="E529" s="10" t="s">
        <v>865</v>
      </c>
      <c r="F529" s="10">
        <v>0</v>
      </c>
      <c r="G529" s="10" t="s">
        <v>343</v>
      </c>
      <c r="H529" s="10">
        <v>0</v>
      </c>
      <c r="I529" s="10" t="s">
        <v>343</v>
      </c>
      <c r="J529" s="11">
        <v>9884</v>
      </c>
      <c r="K529" s="11">
        <v>10404</v>
      </c>
      <c r="L529" s="11">
        <v>20288</v>
      </c>
      <c r="M529" s="11">
        <v>10328</v>
      </c>
    </row>
    <row r="530" spans="1:13" x14ac:dyDescent="0.3">
      <c r="A530" s="10">
        <v>6712</v>
      </c>
      <c r="B530" s="10">
        <v>27</v>
      </c>
      <c r="C530" s="10" t="s">
        <v>852</v>
      </c>
      <c r="D530" s="10">
        <v>2795</v>
      </c>
      <c r="E530" s="10" t="s">
        <v>866</v>
      </c>
      <c r="F530" s="10">
        <v>0</v>
      </c>
      <c r="G530" s="10" t="s">
        <v>343</v>
      </c>
      <c r="H530" s="10">
        <v>0</v>
      </c>
      <c r="I530" s="10" t="s">
        <v>343</v>
      </c>
      <c r="J530" s="11">
        <v>1220</v>
      </c>
      <c r="K530" s="11">
        <v>1252</v>
      </c>
      <c r="L530" s="11">
        <v>2472</v>
      </c>
      <c r="M530" s="11">
        <v>1209</v>
      </c>
    </row>
    <row r="531" spans="1:13" x14ac:dyDescent="0.3">
      <c r="A531" s="10">
        <v>6712</v>
      </c>
      <c r="B531" s="10">
        <v>27</v>
      </c>
      <c r="C531" s="10" t="s">
        <v>852</v>
      </c>
      <c r="D531" s="10">
        <v>2796</v>
      </c>
      <c r="E531" s="10" t="s">
        <v>867</v>
      </c>
      <c r="F531" s="10">
        <v>0</v>
      </c>
      <c r="G531" s="10" t="s">
        <v>343</v>
      </c>
      <c r="H531" s="10">
        <v>0</v>
      </c>
      <c r="I531" s="10" t="s">
        <v>343</v>
      </c>
      <c r="J531" s="11">
        <v>1311</v>
      </c>
      <c r="K531" s="11">
        <v>1376</v>
      </c>
      <c r="L531" s="11">
        <v>2687</v>
      </c>
      <c r="M531" s="11">
        <v>1253</v>
      </c>
    </row>
    <row r="532" spans="1:13" x14ac:dyDescent="0.3">
      <c r="A532" s="10">
        <v>6712</v>
      </c>
      <c r="B532" s="10">
        <v>27</v>
      </c>
      <c r="C532" s="10" t="s">
        <v>852</v>
      </c>
      <c r="D532" s="10">
        <v>2797</v>
      </c>
      <c r="E532" s="10" t="s">
        <v>868</v>
      </c>
      <c r="F532" s="10">
        <v>0</v>
      </c>
      <c r="G532" s="10" t="s">
        <v>343</v>
      </c>
      <c r="H532" s="10">
        <v>0</v>
      </c>
      <c r="I532" s="10" t="s">
        <v>343</v>
      </c>
      <c r="J532" s="11">
        <v>2191</v>
      </c>
      <c r="K532" s="11">
        <v>1871</v>
      </c>
      <c r="L532" s="11">
        <v>4062</v>
      </c>
      <c r="M532" s="11">
        <v>1723</v>
      </c>
    </row>
    <row r="533" spans="1:13" x14ac:dyDescent="0.3">
      <c r="A533" s="10">
        <v>6712</v>
      </c>
      <c r="B533" s="10">
        <v>27</v>
      </c>
      <c r="C533" s="10" t="s">
        <v>852</v>
      </c>
      <c r="D533" s="10">
        <v>2798</v>
      </c>
      <c r="E533" s="10" t="s">
        <v>869</v>
      </c>
      <c r="F533" s="10">
        <v>0</v>
      </c>
      <c r="G533" s="10" t="s">
        <v>343</v>
      </c>
      <c r="H533" s="10">
        <v>0</v>
      </c>
      <c r="I533" s="10" t="s">
        <v>343</v>
      </c>
      <c r="J533" s="11">
        <v>9129</v>
      </c>
      <c r="K533" s="11">
        <v>7941</v>
      </c>
      <c r="L533" s="11">
        <v>17070</v>
      </c>
      <c r="M533" s="11">
        <v>11857</v>
      </c>
    </row>
    <row r="534" spans="1:13" x14ac:dyDescent="0.3">
      <c r="A534" s="10">
        <v>6712</v>
      </c>
      <c r="B534" s="10">
        <v>27</v>
      </c>
      <c r="C534" s="10" t="s">
        <v>852</v>
      </c>
      <c r="D534" s="10">
        <v>2799</v>
      </c>
      <c r="E534" s="10" t="s">
        <v>870</v>
      </c>
      <c r="F534" s="10">
        <v>0</v>
      </c>
      <c r="G534" s="10" t="s">
        <v>343</v>
      </c>
      <c r="H534" s="10">
        <v>0</v>
      </c>
      <c r="I534" s="10" t="s">
        <v>343</v>
      </c>
      <c r="J534" s="11">
        <v>8714</v>
      </c>
      <c r="K534" s="11">
        <v>9554</v>
      </c>
      <c r="L534" s="11">
        <v>18268</v>
      </c>
      <c r="M534" s="11">
        <v>12290</v>
      </c>
    </row>
    <row r="535" spans="1:13" x14ac:dyDescent="0.3">
      <c r="A535" s="10">
        <v>6712</v>
      </c>
      <c r="B535" s="10">
        <v>30</v>
      </c>
      <c r="C535" s="10" t="s">
        <v>871</v>
      </c>
      <c r="D535" s="10">
        <v>0</v>
      </c>
      <c r="E535" s="10" t="s">
        <v>343</v>
      </c>
      <c r="F535" s="10">
        <v>0</v>
      </c>
      <c r="G535" s="10" t="s">
        <v>343</v>
      </c>
      <c r="H535" s="10">
        <v>0</v>
      </c>
      <c r="I535" s="10" t="s">
        <v>343</v>
      </c>
      <c r="J535" s="11">
        <v>1282763</v>
      </c>
      <c r="K535" s="11">
        <v>1337409</v>
      </c>
      <c r="L535" s="11">
        <v>2620172</v>
      </c>
      <c r="M535" s="11">
        <v>1079582</v>
      </c>
    </row>
    <row r="536" spans="1:13" x14ac:dyDescent="0.3">
      <c r="A536" s="10">
        <v>6712</v>
      </c>
      <c r="B536" s="10">
        <v>30</v>
      </c>
      <c r="C536" s="10" t="s">
        <v>871</v>
      </c>
      <c r="D536" s="10">
        <v>3001</v>
      </c>
      <c r="E536" s="10" t="s">
        <v>872</v>
      </c>
      <c r="F536" s="10">
        <v>0</v>
      </c>
      <c r="G536" s="10" t="s">
        <v>343</v>
      </c>
      <c r="H536" s="10">
        <v>0</v>
      </c>
      <c r="I536" s="10" t="s">
        <v>343</v>
      </c>
      <c r="J536" s="11">
        <v>108399</v>
      </c>
      <c r="K536" s="11">
        <v>120739</v>
      </c>
      <c r="L536" s="11">
        <v>229138</v>
      </c>
      <c r="M536" s="11">
        <v>116113</v>
      </c>
    </row>
    <row r="537" spans="1:13" x14ac:dyDescent="0.3">
      <c r="A537" s="10">
        <v>6712</v>
      </c>
      <c r="B537" s="10">
        <v>30</v>
      </c>
      <c r="C537" s="10" t="s">
        <v>871</v>
      </c>
      <c r="D537" s="10">
        <v>3002</v>
      </c>
      <c r="E537" s="10" t="s">
        <v>873</v>
      </c>
      <c r="F537" s="10">
        <v>0</v>
      </c>
      <c r="G537" s="10" t="s">
        <v>343</v>
      </c>
      <c r="H537" s="10">
        <v>0</v>
      </c>
      <c r="I537" s="10" t="s">
        <v>343</v>
      </c>
      <c r="J537" s="11">
        <v>39574</v>
      </c>
      <c r="K537" s="11">
        <v>40656</v>
      </c>
      <c r="L537" s="11">
        <v>80230</v>
      </c>
      <c r="M537" s="11">
        <v>32003</v>
      </c>
    </row>
    <row r="538" spans="1:13" x14ac:dyDescent="0.3">
      <c r="A538" s="10">
        <v>6712</v>
      </c>
      <c r="B538" s="10">
        <v>30</v>
      </c>
      <c r="C538" s="10" t="s">
        <v>871</v>
      </c>
      <c r="D538" s="10">
        <v>3003</v>
      </c>
      <c r="E538" s="10" t="s">
        <v>874</v>
      </c>
      <c r="F538" s="10">
        <v>0</v>
      </c>
      <c r="G538" s="10" t="s">
        <v>343</v>
      </c>
      <c r="H538" s="10">
        <v>0</v>
      </c>
      <c r="I538" s="10" t="s">
        <v>343</v>
      </c>
      <c r="J538" s="11">
        <v>28111</v>
      </c>
      <c r="K538" s="11">
        <v>28556</v>
      </c>
      <c r="L538" s="11">
        <v>56667</v>
      </c>
      <c r="M538" s="11">
        <v>18150</v>
      </c>
    </row>
    <row r="539" spans="1:13" x14ac:dyDescent="0.3">
      <c r="A539" s="10">
        <v>6712</v>
      </c>
      <c r="B539" s="10">
        <v>30</v>
      </c>
      <c r="C539" s="10" t="s">
        <v>871</v>
      </c>
      <c r="D539" s="10">
        <v>3004</v>
      </c>
      <c r="E539" s="10" t="s">
        <v>875</v>
      </c>
      <c r="F539" s="10">
        <v>0</v>
      </c>
      <c r="G539" s="10" t="s">
        <v>343</v>
      </c>
      <c r="H539" s="10">
        <v>0</v>
      </c>
      <c r="I539" s="10" t="s">
        <v>343</v>
      </c>
      <c r="J539" s="11">
        <v>36135</v>
      </c>
      <c r="K539" s="11">
        <v>37162</v>
      </c>
      <c r="L539" s="11">
        <v>73297</v>
      </c>
      <c r="M539" s="11">
        <v>22682</v>
      </c>
    </row>
    <row r="540" spans="1:13" x14ac:dyDescent="0.3">
      <c r="A540" s="10">
        <v>6712</v>
      </c>
      <c r="B540" s="10">
        <v>30</v>
      </c>
      <c r="C540" s="10" t="s">
        <v>871</v>
      </c>
      <c r="D540" s="10">
        <v>3005</v>
      </c>
      <c r="E540" s="10" t="s">
        <v>876</v>
      </c>
      <c r="F540" s="10">
        <v>0</v>
      </c>
      <c r="G540" s="10" t="s">
        <v>343</v>
      </c>
      <c r="H540" s="10">
        <v>0</v>
      </c>
      <c r="I540" s="10" t="s">
        <v>343</v>
      </c>
      <c r="J540" s="11">
        <v>8406</v>
      </c>
      <c r="K540" s="11">
        <v>8616</v>
      </c>
      <c r="L540" s="11">
        <v>17022</v>
      </c>
      <c r="M540" s="11">
        <v>5393</v>
      </c>
    </row>
    <row r="541" spans="1:13" x14ac:dyDescent="0.3">
      <c r="A541" s="10">
        <v>6712</v>
      </c>
      <c r="B541" s="10">
        <v>30</v>
      </c>
      <c r="C541" s="10" t="s">
        <v>871</v>
      </c>
      <c r="D541" s="10">
        <v>3006</v>
      </c>
      <c r="E541" s="10" t="s">
        <v>877</v>
      </c>
      <c r="F541" s="10">
        <v>0</v>
      </c>
      <c r="G541" s="10" t="s">
        <v>343</v>
      </c>
      <c r="H541" s="10">
        <v>0</v>
      </c>
      <c r="I541" s="10" t="s">
        <v>343</v>
      </c>
      <c r="J541" s="11">
        <v>33437</v>
      </c>
      <c r="K541" s="11">
        <v>33952</v>
      </c>
      <c r="L541" s="11">
        <v>67389</v>
      </c>
      <c r="M541" s="11">
        <v>20221</v>
      </c>
    </row>
    <row r="542" spans="1:13" x14ac:dyDescent="0.3">
      <c r="A542" s="10">
        <v>6712</v>
      </c>
      <c r="B542" s="10">
        <v>30</v>
      </c>
      <c r="C542" s="10" t="s">
        <v>871</v>
      </c>
      <c r="D542" s="10">
        <v>3007</v>
      </c>
      <c r="E542" s="10" t="s">
        <v>878</v>
      </c>
      <c r="F542" s="10">
        <v>0</v>
      </c>
      <c r="G542" s="10" t="s">
        <v>343</v>
      </c>
      <c r="H542" s="10">
        <v>0</v>
      </c>
      <c r="I542" s="10" t="s">
        <v>343</v>
      </c>
      <c r="J542" s="11">
        <v>24460</v>
      </c>
      <c r="K542" s="11">
        <v>26217</v>
      </c>
      <c r="L542" s="11">
        <v>50677</v>
      </c>
      <c r="M542" s="11">
        <v>20530</v>
      </c>
    </row>
    <row r="543" spans="1:13" x14ac:dyDescent="0.3">
      <c r="A543" s="10">
        <v>6712</v>
      </c>
      <c r="B543" s="10">
        <v>30</v>
      </c>
      <c r="C543" s="10" t="s">
        <v>871</v>
      </c>
      <c r="D543" s="10">
        <v>3008</v>
      </c>
      <c r="E543" s="10" t="s">
        <v>879</v>
      </c>
      <c r="F543" s="10">
        <v>0</v>
      </c>
      <c r="G543" s="10" t="s">
        <v>343</v>
      </c>
      <c r="H543" s="10">
        <v>0</v>
      </c>
      <c r="I543" s="10" t="s">
        <v>343</v>
      </c>
      <c r="J543" s="11">
        <v>53845</v>
      </c>
      <c r="K543" s="11">
        <v>55407</v>
      </c>
      <c r="L543" s="11">
        <v>109252</v>
      </c>
      <c r="M543" s="11">
        <v>36691</v>
      </c>
    </row>
    <row r="544" spans="1:13" x14ac:dyDescent="0.3">
      <c r="A544" s="10">
        <v>6712</v>
      </c>
      <c r="B544" s="10">
        <v>30</v>
      </c>
      <c r="C544" s="10" t="s">
        <v>871</v>
      </c>
      <c r="D544" s="10">
        <v>3009</v>
      </c>
      <c r="E544" s="10" t="s">
        <v>880</v>
      </c>
      <c r="F544" s="10">
        <v>0</v>
      </c>
      <c r="G544" s="10" t="s">
        <v>343</v>
      </c>
      <c r="H544" s="10">
        <v>0</v>
      </c>
      <c r="I544" s="10" t="s">
        <v>343</v>
      </c>
      <c r="J544" s="11">
        <v>26399</v>
      </c>
      <c r="K544" s="11">
        <v>27681</v>
      </c>
      <c r="L544" s="11">
        <v>54080</v>
      </c>
      <c r="M544" s="11">
        <v>17931</v>
      </c>
    </row>
    <row r="545" spans="1:13" x14ac:dyDescent="0.3">
      <c r="A545" s="10">
        <v>6712</v>
      </c>
      <c r="B545" s="10">
        <v>30</v>
      </c>
      <c r="C545" s="10" t="s">
        <v>871</v>
      </c>
      <c r="D545" s="10">
        <v>3010</v>
      </c>
      <c r="E545" s="10" t="s">
        <v>881</v>
      </c>
      <c r="F545" s="10">
        <v>0</v>
      </c>
      <c r="G545" s="10" t="s">
        <v>343</v>
      </c>
      <c r="H545" s="10">
        <v>0</v>
      </c>
      <c r="I545" s="10" t="s">
        <v>343</v>
      </c>
      <c r="J545" s="11">
        <v>41140</v>
      </c>
      <c r="K545" s="11">
        <v>42793</v>
      </c>
      <c r="L545" s="11">
        <v>83933</v>
      </c>
      <c r="M545" s="11">
        <v>26637</v>
      </c>
    </row>
    <row r="546" spans="1:13" x14ac:dyDescent="0.3">
      <c r="A546" s="10">
        <v>6712</v>
      </c>
      <c r="B546" s="10">
        <v>30</v>
      </c>
      <c r="C546" s="10" t="s">
        <v>871</v>
      </c>
      <c r="D546" s="10">
        <v>3011</v>
      </c>
      <c r="E546" s="10" t="s">
        <v>882</v>
      </c>
      <c r="F546" s="10">
        <v>0</v>
      </c>
      <c r="G546" s="10" t="s">
        <v>343</v>
      </c>
      <c r="H546" s="10">
        <v>0</v>
      </c>
      <c r="I546" s="10" t="s">
        <v>343</v>
      </c>
      <c r="J546" s="11">
        <v>16446</v>
      </c>
      <c r="K546" s="11">
        <v>16614</v>
      </c>
      <c r="L546" s="11">
        <v>33060</v>
      </c>
      <c r="M546" s="11">
        <v>10502</v>
      </c>
    </row>
    <row r="547" spans="1:13" x14ac:dyDescent="0.3">
      <c r="A547" s="10">
        <v>6712</v>
      </c>
      <c r="B547" s="10">
        <v>30</v>
      </c>
      <c r="C547" s="10" t="s">
        <v>871</v>
      </c>
      <c r="D547" s="10">
        <v>3012</v>
      </c>
      <c r="E547" s="10" t="s">
        <v>883</v>
      </c>
      <c r="F547" s="10">
        <v>0</v>
      </c>
      <c r="G547" s="10" t="s">
        <v>343</v>
      </c>
      <c r="H547" s="10">
        <v>0</v>
      </c>
      <c r="I547" s="10" t="s">
        <v>343</v>
      </c>
      <c r="J547" s="11">
        <v>33287</v>
      </c>
      <c r="K547" s="11">
        <v>33337</v>
      </c>
      <c r="L547" s="11">
        <v>66624</v>
      </c>
      <c r="M547" s="11">
        <v>20304</v>
      </c>
    </row>
    <row r="548" spans="1:13" x14ac:dyDescent="0.3">
      <c r="A548" s="10">
        <v>6712</v>
      </c>
      <c r="B548" s="10">
        <v>30</v>
      </c>
      <c r="C548" s="10" t="s">
        <v>871</v>
      </c>
      <c r="D548" s="10">
        <v>3013</v>
      </c>
      <c r="E548" s="10" t="s">
        <v>884</v>
      </c>
      <c r="F548" s="10">
        <v>0</v>
      </c>
      <c r="G548" s="10" t="s">
        <v>343</v>
      </c>
      <c r="H548" s="10">
        <v>0</v>
      </c>
      <c r="I548" s="10" t="s">
        <v>343</v>
      </c>
      <c r="J548" s="11">
        <v>34669</v>
      </c>
      <c r="K548" s="11">
        <v>35404</v>
      </c>
      <c r="L548" s="11">
        <v>70073</v>
      </c>
      <c r="M548" s="11">
        <v>20701</v>
      </c>
    </row>
    <row r="549" spans="1:13" x14ac:dyDescent="0.3">
      <c r="A549" s="10">
        <v>6712</v>
      </c>
      <c r="B549" s="10">
        <v>30</v>
      </c>
      <c r="C549" s="10" t="s">
        <v>871</v>
      </c>
      <c r="D549" s="10">
        <v>3014</v>
      </c>
      <c r="E549" s="10" t="s">
        <v>885</v>
      </c>
      <c r="F549" s="10">
        <v>0</v>
      </c>
      <c r="G549" s="10" t="s">
        <v>343</v>
      </c>
      <c r="H549" s="10">
        <v>0</v>
      </c>
      <c r="I549" s="10" t="s">
        <v>343</v>
      </c>
      <c r="J549" s="11">
        <v>44724</v>
      </c>
      <c r="K549" s="11">
        <v>47140</v>
      </c>
      <c r="L549" s="11">
        <v>91864</v>
      </c>
      <c r="M549" s="11">
        <v>34171</v>
      </c>
    </row>
    <row r="550" spans="1:13" x14ac:dyDescent="0.3">
      <c r="A550" s="10">
        <v>6712</v>
      </c>
      <c r="B550" s="10">
        <v>30</v>
      </c>
      <c r="C550" s="10" t="s">
        <v>871</v>
      </c>
      <c r="D550" s="10">
        <v>3015</v>
      </c>
      <c r="E550" s="10" t="s">
        <v>886</v>
      </c>
      <c r="F550" s="10">
        <v>0</v>
      </c>
      <c r="G550" s="10" t="s">
        <v>343</v>
      </c>
      <c r="H550" s="10">
        <v>0</v>
      </c>
      <c r="I550" s="10" t="s">
        <v>343</v>
      </c>
      <c r="J550" s="11">
        <v>58151</v>
      </c>
      <c r="K550" s="11">
        <v>60356</v>
      </c>
      <c r="L550" s="11">
        <v>118507</v>
      </c>
      <c r="M550" s="11">
        <v>41333</v>
      </c>
    </row>
    <row r="551" spans="1:13" x14ac:dyDescent="0.3">
      <c r="A551" s="10">
        <v>6712</v>
      </c>
      <c r="B551" s="10">
        <v>30</v>
      </c>
      <c r="C551" s="10" t="s">
        <v>871</v>
      </c>
      <c r="D551" s="10">
        <v>3016</v>
      </c>
      <c r="E551" s="10" t="s">
        <v>887</v>
      </c>
      <c r="F551" s="10">
        <v>0</v>
      </c>
      <c r="G551" s="10" t="s">
        <v>343</v>
      </c>
      <c r="H551" s="10">
        <v>0</v>
      </c>
      <c r="I551" s="10" t="s">
        <v>343</v>
      </c>
      <c r="J551" s="11">
        <v>34832</v>
      </c>
      <c r="K551" s="11">
        <v>34796</v>
      </c>
      <c r="L551" s="11">
        <v>69628</v>
      </c>
      <c r="M551" s="11">
        <v>20736</v>
      </c>
    </row>
    <row r="552" spans="1:13" x14ac:dyDescent="0.3">
      <c r="A552" s="10">
        <v>6712</v>
      </c>
      <c r="B552" s="10">
        <v>30</v>
      </c>
      <c r="C552" s="10" t="s">
        <v>871</v>
      </c>
      <c r="D552" s="10">
        <v>3017</v>
      </c>
      <c r="E552" s="10" t="s">
        <v>888</v>
      </c>
      <c r="F552" s="10">
        <v>0</v>
      </c>
      <c r="G552" s="10" t="s">
        <v>343</v>
      </c>
      <c r="H552" s="10">
        <v>0</v>
      </c>
      <c r="I552" s="10" t="s">
        <v>343</v>
      </c>
      <c r="J552" s="11">
        <v>36238</v>
      </c>
      <c r="K552" s="11">
        <v>36781</v>
      </c>
      <c r="L552" s="11">
        <v>73019</v>
      </c>
      <c r="M552" s="11">
        <v>21234</v>
      </c>
    </row>
    <row r="553" spans="1:13" x14ac:dyDescent="0.3">
      <c r="A553" s="10">
        <v>6712</v>
      </c>
      <c r="B553" s="10">
        <v>30</v>
      </c>
      <c r="C553" s="10" t="s">
        <v>871</v>
      </c>
      <c r="D553" s="10">
        <v>3018</v>
      </c>
      <c r="E553" s="10" t="s">
        <v>889</v>
      </c>
      <c r="F553" s="10">
        <v>0</v>
      </c>
      <c r="G553" s="10" t="s">
        <v>343</v>
      </c>
      <c r="H553" s="10">
        <v>0</v>
      </c>
      <c r="I553" s="10" t="s">
        <v>343</v>
      </c>
      <c r="J553" s="11">
        <v>35651</v>
      </c>
      <c r="K553" s="11">
        <v>37445</v>
      </c>
      <c r="L553" s="11">
        <v>73096</v>
      </c>
      <c r="M553" s="11">
        <v>31810</v>
      </c>
    </row>
    <row r="554" spans="1:13" x14ac:dyDescent="0.3">
      <c r="A554" s="10">
        <v>6712</v>
      </c>
      <c r="B554" s="10">
        <v>30</v>
      </c>
      <c r="C554" s="10" t="s">
        <v>871</v>
      </c>
      <c r="D554" s="10">
        <v>3019</v>
      </c>
      <c r="E554" s="10" t="s">
        <v>890</v>
      </c>
      <c r="F554" s="10">
        <v>0</v>
      </c>
      <c r="G554" s="10" t="s">
        <v>343</v>
      </c>
      <c r="H554" s="10">
        <v>0</v>
      </c>
      <c r="I554" s="10" t="s">
        <v>343</v>
      </c>
      <c r="J554" s="11">
        <v>12785</v>
      </c>
      <c r="K554" s="11">
        <v>13358</v>
      </c>
      <c r="L554" s="11">
        <v>26143</v>
      </c>
      <c r="M554" s="11">
        <v>9239</v>
      </c>
    </row>
    <row r="555" spans="1:13" x14ac:dyDescent="0.3">
      <c r="A555" s="10">
        <v>6712</v>
      </c>
      <c r="B555" s="10">
        <v>30</v>
      </c>
      <c r="C555" s="10" t="s">
        <v>871</v>
      </c>
      <c r="D555" s="10">
        <v>3020</v>
      </c>
      <c r="E555" s="10" t="s">
        <v>891</v>
      </c>
      <c r="F555" s="10">
        <v>0</v>
      </c>
      <c r="G555" s="10" t="s">
        <v>343</v>
      </c>
      <c r="H555" s="10">
        <v>0</v>
      </c>
      <c r="I555" s="10" t="s">
        <v>343</v>
      </c>
      <c r="J555" s="11">
        <v>43077</v>
      </c>
      <c r="K555" s="11">
        <v>43778</v>
      </c>
      <c r="L555" s="11">
        <v>86855</v>
      </c>
      <c r="M555" s="11">
        <v>34142</v>
      </c>
    </row>
    <row r="556" spans="1:13" x14ac:dyDescent="0.3">
      <c r="A556" s="10">
        <v>6712</v>
      </c>
      <c r="B556" s="10">
        <v>30</v>
      </c>
      <c r="C556" s="10" t="s">
        <v>871</v>
      </c>
      <c r="D556" s="10">
        <v>3021</v>
      </c>
      <c r="E556" s="10" t="s">
        <v>892</v>
      </c>
      <c r="F556" s="10">
        <v>0</v>
      </c>
      <c r="G556" s="10" t="s">
        <v>343</v>
      </c>
      <c r="H556" s="10">
        <v>0</v>
      </c>
      <c r="I556" s="10" t="s">
        <v>343</v>
      </c>
      <c r="J556" s="11">
        <v>62994</v>
      </c>
      <c r="K556" s="11">
        <v>64563</v>
      </c>
      <c r="L556" s="11">
        <v>127557</v>
      </c>
      <c r="M556" s="11">
        <v>74213</v>
      </c>
    </row>
    <row r="557" spans="1:13" x14ac:dyDescent="0.3">
      <c r="A557" s="10">
        <v>6712</v>
      </c>
      <c r="B557" s="10">
        <v>30</v>
      </c>
      <c r="C557" s="10" t="s">
        <v>871</v>
      </c>
      <c r="D557" s="10">
        <v>3022</v>
      </c>
      <c r="E557" s="10" t="s">
        <v>893</v>
      </c>
      <c r="F557" s="10">
        <v>0</v>
      </c>
      <c r="G557" s="10" t="s">
        <v>343</v>
      </c>
      <c r="H557" s="10">
        <v>0</v>
      </c>
      <c r="I557" s="10" t="s">
        <v>343</v>
      </c>
      <c r="J557" s="11">
        <v>29934</v>
      </c>
      <c r="K557" s="11">
        <v>30600</v>
      </c>
      <c r="L557" s="11">
        <v>60534</v>
      </c>
      <c r="M557" s="11">
        <v>19625</v>
      </c>
    </row>
    <row r="558" spans="1:13" x14ac:dyDescent="0.3">
      <c r="A558" s="10">
        <v>6712</v>
      </c>
      <c r="B558" s="10">
        <v>30</v>
      </c>
      <c r="C558" s="10" t="s">
        <v>871</v>
      </c>
      <c r="D558" s="10">
        <v>3023</v>
      </c>
      <c r="E558" s="10" t="s">
        <v>894</v>
      </c>
      <c r="F558" s="10">
        <v>0</v>
      </c>
      <c r="G558" s="10" t="s">
        <v>343</v>
      </c>
      <c r="H558" s="10">
        <v>0</v>
      </c>
      <c r="I558" s="10" t="s">
        <v>343</v>
      </c>
      <c r="J558" s="11">
        <v>17766</v>
      </c>
      <c r="K558" s="11">
        <v>18253</v>
      </c>
      <c r="L558" s="11">
        <v>36019</v>
      </c>
      <c r="M558" s="11">
        <v>11203</v>
      </c>
    </row>
    <row r="559" spans="1:13" x14ac:dyDescent="0.3">
      <c r="A559" s="10">
        <v>6712</v>
      </c>
      <c r="B559" s="10">
        <v>30</v>
      </c>
      <c r="C559" s="10" t="s">
        <v>871</v>
      </c>
      <c r="D559" s="10">
        <v>3024</v>
      </c>
      <c r="E559" s="10" t="s">
        <v>895</v>
      </c>
      <c r="F559" s="10">
        <v>0</v>
      </c>
      <c r="G559" s="10" t="s">
        <v>343</v>
      </c>
      <c r="H559" s="10">
        <v>0</v>
      </c>
      <c r="I559" s="10" t="s">
        <v>343</v>
      </c>
      <c r="J559" s="11">
        <v>10069</v>
      </c>
      <c r="K559" s="11">
        <v>10404</v>
      </c>
      <c r="L559" s="11">
        <v>20473</v>
      </c>
      <c r="M559" s="11">
        <v>6008</v>
      </c>
    </row>
    <row r="560" spans="1:13" x14ac:dyDescent="0.3">
      <c r="A560" s="10">
        <v>6712</v>
      </c>
      <c r="B560" s="10">
        <v>30</v>
      </c>
      <c r="C560" s="10" t="s">
        <v>871</v>
      </c>
      <c r="D560" s="10">
        <v>3025</v>
      </c>
      <c r="E560" s="10" t="s">
        <v>896</v>
      </c>
      <c r="F560" s="10">
        <v>0</v>
      </c>
      <c r="G560" s="10" t="s">
        <v>343</v>
      </c>
      <c r="H560" s="10">
        <v>0</v>
      </c>
      <c r="I560" s="10" t="s">
        <v>343</v>
      </c>
      <c r="J560" s="11">
        <v>21848</v>
      </c>
      <c r="K560" s="11">
        <v>22268</v>
      </c>
      <c r="L560" s="11">
        <v>44116</v>
      </c>
      <c r="M560" s="11">
        <v>21028</v>
      </c>
    </row>
    <row r="561" spans="1:13" x14ac:dyDescent="0.3">
      <c r="A561" s="10">
        <v>6712</v>
      </c>
      <c r="B561" s="10">
        <v>30</v>
      </c>
      <c r="C561" s="10" t="s">
        <v>871</v>
      </c>
      <c r="D561" s="10">
        <v>3026</v>
      </c>
      <c r="E561" s="10" t="s">
        <v>897</v>
      </c>
      <c r="F561" s="10">
        <v>0</v>
      </c>
      <c r="G561" s="10" t="s">
        <v>343</v>
      </c>
      <c r="H561" s="10">
        <v>0</v>
      </c>
      <c r="I561" s="10" t="s">
        <v>343</v>
      </c>
      <c r="J561" s="11">
        <v>12742</v>
      </c>
      <c r="K561" s="11">
        <v>12606</v>
      </c>
      <c r="L561" s="11">
        <v>25348</v>
      </c>
      <c r="M561" s="11">
        <v>9024</v>
      </c>
    </row>
    <row r="562" spans="1:13" x14ac:dyDescent="0.3">
      <c r="A562" s="10">
        <v>6712</v>
      </c>
      <c r="B562" s="10">
        <v>30</v>
      </c>
      <c r="C562" s="10" t="s">
        <v>871</v>
      </c>
      <c r="D562" s="10">
        <v>3027</v>
      </c>
      <c r="E562" s="10" t="s">
        <v>898</v>
      </c>
      <c r="F562" s="10">
        <v>0</v>
      </c>
      <c r="G562" s="10" t="s">
        <v>343</v>
      </c>
      <c r="H562" s="10">
        <v>0</v>
      </c>
      <c r="I562" s="10" t="s">
        <v>343</v>
      </c>
      <c r="J562" s="11">
        <v>9748</v>
      </c>
      <c r="K562" s="11">
        <v>9623</v>
      </c>
      <c r="L562" s="11">
        <v>19371</v>
      </c>
      <c r="M562" s="11">
        <v>5785</v>
      </c>
    </row>
    <row r="563" spans="1:13" x14ac:dyDescent="0.3">
      <c r="A563" s="10">
        <v>6712</v>
      </c>
      <c r="B563" s="10">
        <v>30</v>
      </c>
      <c r="C563" s="10" t="s">
        <v>871</v>
      </c>
      <c r="D563" s="10">
        <v>3028</v>
      </c>
      <c r="E563" s="10" t="s">
        <v>899</v>
      </c>
      <c r="F563" s="10">
        <v>0</v>
      </c>
      <c r="G563" s="10" t="s">
        <v>343</v>
      </c>
      <c r="H563" s="10">
        <v>0</v>
      </c>
      <c r="I563" s="10" t="s">
        <v>343</v>
      </c>
      <c r="J563" s="11">
        <v>18257</v>
      </c>
      <c r="K563" s="11">
        <v>18482</v>
      </c>
      <c r="L563" s="11">
        <v>36739</v>
      </c>
      <c r="M563" s="11">
        <v>12954</v>
      </c>
    </row>
    <row r="564" spans="1:13" x14ac:dyDescent="0.3">
      <c r="A564" s="10">
        <v>6712</v>
      </c>
      <c r="B564" s="10">
        <v>30</v>
      </c>
      <c r="C564" s="10" t="s">
        <v>871</v>
      </c>
      <c r="D564" s="10">
        <v>3029</v>
      </c>
      <c r="E564" s="10" t="s">
        <v>900</v>
      </c>
      <c r="F564" s="10">
        <v>0</v>
      </c>
      <c r="G564" s="10" t="s">
        <v>343</v>
      </c>
      <c r="H564" s="10">
        <v>0</v>
      </c>
      <c r="I564" s="10" t="s">
        <v>343</v>
      </c>
      <c r="J564" s="11">
        <v>13805</v>
      </c>
      <c r="K564" s="11">
        <v>13968</v>
      </c>
      <c r="L564" s="11">
        <v>27773</v>
      </c>
      <c r="M564" s="11">
        <v>7919</v>
      </c>
    </row>
    <row r="565" spans="1:13" x14ac:dyDescent="0.3">
      <c r="A565" s="10">
        <v>6712</v>
      </c>
      <c r="B565" s="10">
        <v>30</v>
      </c>
      <c r="C565" s="10" t="s">
        <v>871</v>
      </c>
      <c r="D565" s="10">
        <v>3030</v>
      </c>
      <c r="E565" s="10" t="s">
        <v>901</v>
      </c>
      <c r="F565" s="10">
        <v>0</v>
      </c>
      <c r="G565" s="10" t="s">
        <v>343</v>
      </c>
      <c r="H565" s="10">
        <v>0</v>
      </c>
      <c r="I565" s="10" t="s">
        <v>343</v>
      </c>
      <c r="J565" s="11">
        <v>10457</v>
      </c>
      <c r="K565" s="11">
        <v>10695</v>
      </c>
      <c r="L565" s="11">
        <v>21152</v>
      </c>
      <c r="M565" s="11">
        <v>6761</v>
      </c>
    </row>
    <row r="566" spans="1:13" x14ac:dyDescent="0.3">
      <c r="A566" s="10">
        <v>6712</v>
      </c>
      <c r="B566" s="10">
        <v>30</v>
      </c>
      <c r="C566" s="10" t="s">
        <v>871</v>
      </c>
      <c r="D566" s="10">
        <v>3031</v>
      </c>
      <c r="E566" s="10" t="s">
        <v>902</v>
      </c>
      <c r="F566" s="10">
        <v>0</v>
      </c>
      <c r="G566" s="10" t="s">
        <v>343</v>
      </c>
      <c r="H566" s="10">
        <v>0</v>
      </c>
      <c r="I566" s="10" t="s">
        <v>343</v>
      </c>
      <c r="J566" s="11">
        <v>9793</v>
      </c>
      <c r="K566" s="11">
        <v>9908</v>
      </c>
      <c r="L566" s="11">
        <v>19701</v>
      </c>
      <c r="M566" s="11">
        <v>6326</v>
      </c>
    </row>
    <row r="567" spans="1:13" x14ac:dyDescent="0.3">
      <c r="A567" s="10">
        <v>6712</v>
      </c>
      <c r="B567" s="10">
        <v>30</v>
      </c>
      <c r="C567" s="10" t="s">
        <v>871</v>
      </c>
      <c r="D567" s="10">
        <v>3032</v>
      </c>
      <c r="E567" s="10" t="s">
        <v>621</v>
      </c>
      <c r="F567" s="10">
        <v>0</v>
      </c>
      <c r="G567" s="10" t="s">
        <v>343</v>
      </c>
      <c r="H567" s="10">
        <v>0</v>
      </c>
      <c r="I567" s="10" t="s">
        <v>343</v>
      </c>
      <c r="J567" s="11">
        <v>15158</v>
      </c>
      <c r="K567" s="11">
        <v>15898</v>
      </c>
      <c r="L567" s="11">
        <v>31056</v>
      </c>
      <c r="M567" s="11">
        <v>9976</v>
      </c>
    </row>
    <row r="568" spans="1:13" x14ac:dyDescent="0.3">
      <c r="A568" s="10">
        <v>6712</v>
      </c>
      <c r="B568" s="10">
        <v>30</v>
      </c>
      <c r="C568" s="10" t="s">
        <v>871</v>
      </c>
      <c r="D568" s="10">
        <v>3035</v>
      </c>
      <c r="E568" s="10" t="s">
        <v>903</v>
      </c>
      <c r="F568" s="10">
        <v>0</v>
      </c>
      <c r="G568" s="10" t="s">
        <v>343</v>
      </c>
      <c r="H568" s="10">
        <v>0</v>
      </c>
      <c r="I568" s="10" t="s">
        <v>343</v>
      </c>
      <c r="J568" s="11">
        <v>7828</v>
      </c>
      <c r="K568" s="11">
        <v>8435</v>
      </c>
      <c r="L568" s="11">
        <v>16263</v>
      </c>
      <c r="M568" s="11">
        <v>8218</v>
      </c>
    </row>
    <row r="569" spans="1:13" x14ac:dyDescent="0.3">
      <c r="A569" s="10">
        <v>6712</v>
      </c>
      <c r="B569" s="10">
        <v>30</v>
      </c>
      <c r="C569" s="10" t="s">
        <v>871</v>
      </c>
      <c r="D569" s="10">
        <v>3037</v>
      </c>
      <c r="E569" s="10" t="s">
        <v>904</v>
      </c>
      <c r="F569" s="10">
        <v>0</v>
      </c>
      <c r="G569" s="10" t="s">
        <v>343</v>
      </c>
      <c r="H569" s="10">
        <v>0</v>
      </c>
      <c r="I569" s="10" t="s">
        <v>343</v>
      </c>
      <c r="J569" s="11">
        <v>3981</v>
      </c>
      <c r="K569" s="11">
        <v>4054</v>
      </c>
      <c r="L569" s="11">
        <v>8035</v>
      </c>
      <c r="M569" s="11">
        <v>2461</v>
      </c>
    </row>
    <row r="570" spans="1:13" x14ac:dyDescent="0.3">
      <c r="A570" s="10">
        <v>6712</v>
      </c>
      <c r="B570" s="10">
        <v>30</v>
      </c>
      <c r="C570" s="10" t="s">
        <v>871</v>
      </c>
      <c r="D570" s="10">
        <v>3038</v>
      </c>
      <c r="E570" s="10" t="s">
        <v>905</v>
      </c>
      <c r="F570" s="10">
        <v>0</v>
      </c>
      <c r="G570" s="10" t="s">
        <v>343</v>
      </c>
      <c r="H570" s="10">
        <v>0</v>
      </c>
      <c r="I570" s="10" t="s">
        <v>343</v>
      </c>
      <c r="J570" s="11">
        <v>6623</v>
      </c>
      <c r="K570" s="11">
        <v>6672</v>
      </c>
      <c r="L570" s="11">
        <v>13295</v>
      </c>
      <c r="M570" s="11">
        <v>5364</v>
      </c>
    </row>
    <row r="571" spans="1:13" x14ac:dyDescent="0.3">
      <c r="A571" s="10">
        <v>6712</v>
      </c>
      <c r="B571" s="10">
        <v>30</v>
      </c>
      <c r="C571" s="10" t="s">
        <v>871</v>
      </c>
      <c r="D571" s="10">
        <v>3039</v>
      </c>
      <c r="E571" s="10" t="s">
        <v>906</v>
      </c>
      <c r="F571" s="10">
        <v>0</v>
      </c>
      <c r="G571" s="10" t="s">
        <v>343</v>
      </c>
      <c r="H571" s="10">
        <v>0</v>
      </c>
      <c r="I571" s="10" t="s">
        <v>343</v>
      </c>
      <c r="J571" s="11">
        <v>4182</v>
      </c>
      <c r="K571" s="11">
        <v>4335</v>
      </c>
      <c r="L571" s="11">
        <v>8517</v>
      </c>
      <c r="M571" s="11">
        <v>2743</v>
      </c>
    </row>
    <row r="572" spans="1:13" x14ac:dyDescent="0.3">
      <c r="A572" s="10">
        <v>6712</v>
      </c>
      <c r="B572" s="10">
        <v>30</v>
      </c>
      <c r="C572" s="10" t="s">
        <v>871</v>
      </c>
      <c r="D572" s="10">
        <v>3040</v>
      </c>
      <c r="E572" s="10" t="s">
        <v>907</v>
      </c>
      <c r="F572" s="10">
        <v>0</v>
      </c>
      <c r="G572" s="10" t="s">
        <v>343</v>
      </c>
      <c r="H572" s="10">
        <v>0</v>
      </c>
      <c r="I572" s="10" t="s">
        <v>343</v>
      </c>
      <c r="J572" s="11">
        <v>6402</v>
      </c>
      <c r="K572" s="11">
        <v>6494</v>
      </c>
      <c r="L572" s="11">
        <v>12896</v>
      </c>
      <c r="M572" s="11">
        <v>3754</v>
      </c>
    </row>
    <row r="573" spans="1:13" x14ac:dyDescent="0.3">
      <c r="A573" s="10">
        <v>6712</v>
      </c>
      <c r="B573" s="10">
        <v>30</v>
      </c>
      <c r="C573" s="10" t="s">
        <v>871</v>
      </c>
      <c r="D573" s="10">
        <v>3041</v>
      </c>
      <c r="E573" s="10" t="s">
        <v>908</v>
      </c>
      <c r="F573" s="10">
        <v>0</v>
      </c>
      <c r="G573" s="10" t="s">
        <v>343</v>
      </c>
      <c r="H573" s="10">
        <v>0</v>
      </c>
      <c r="I573" s="10" t="s">
        <v>343</v>
      </c>
      <c r="J573" s="11">
        <v>4266</v>
      </c>
      <c r="K573" s="11">
        <v>4501</v>
      </c>
      <c r="L573" s="11">
        <v>8767</v>
      </c>
      <c r="M573" s="11">
        <v>2853</v>
      </c>
    </row>
    <row r="574" spans="1:13" x14ac:dyDescent="0.3">
      <c r="A574" s="10">
        <v>6712</v>
      </c>
      <c r="B574" s="10">
        <v>30</v>
      </c>
      <c r="C574" s="10" t="s">
        <v>871</v>
      </c>
      <c r="D574" s="10">
        <v>3042</v>
      </c>
      <c r="E574" s="10" t="s">
        <v>909</v>
      </c>
      <c r="F574" s="10">
        <v>0</v>
      </c>
      <c r="G574" s="10" t="s">
        <v>343</v>
      </c>
      <c r="H574" s="10">
        <v>0</v>
      </c>
      <c r="I574" s="10" t="s">
        <v>343</v>
      </c>
      <c r="J574" s="11">
        <v>3801</v>
      </c>
      <c r="K574" s="11">
        <v>3864</v>
      </c>
      <c r="L574" s="11">
        <v>7665</v>
      </c>
      <c r="M574" s="11">
        <v>2574</v>
      </c>
    </row>
    <row r="575" spans="1:13" x14ac:dyDescent="0.3">
      <c r="A575" s="10">
        <v>6712</v>
      </c>
      <c r="B575" s="10">
        <v>30</v>
      </c>
      <c r="C575" s="10" t="s">
        <v>871</v>
      </c>
      <c r="D575" s="10">
        <v>3043</v>
      </c>
      <c r="E575" s="10" t="s">
        <v>910</v>
      </c>
      <c r="F575" s="10">
        <v>0</v>
      </c>
      <c r="G575" s="10" t="s">
        <v>343</v>
      </c>
      <c r="H575" s="10">
        <v>0</v>
      </c>
      <c r="I575" s="10" t="s">
        <v>343</v>
      </c>
      <c r="J575" s="11">
        <v>3075</v>
      </c>
      <c r="K575" s="11">
        <v>3073</v>
      </c>
      <c r="L575" s="11">
        <v>6148</v>
      </c>
      <c r="M575" s="11">
        <v>1984</v>
      </c>
    </row>
    <row r="576" spans="1:13" x14ac:dyDescent="0.3">
      <c r="A576" s="10">
        <v>6712</v>
      </c>
      <c r="B576" s="10">
        <v>30</v>
      </c>
      <c r="C576" s="10" t="s">
        <v>871</v>
      </c>
      <c r="D576" s="10">
        <v>3044</v>
      </c>
      <c r="E576" s="10" t="s">
        <v>911</v>
      </c>
      <c r="F576" s="10">
        <v>0</v>
      </c>
      <c r="G576" s="10" t="s">
        <v>343</v>
      </c>
      <c r="H576" s="10">
        <v>0</v>
      </c>
      <c r="I576" s="10" t="s">
        <v>343</v>
      </c>
      <c r="J576" s="11">
        <v>5617</v>
      </c>
      <c r="K576" s="11">
        <v>5797</v>
      </c>
      <c r="L576" s="11">
        <v>11414</v>
      </c>
      <c r="M576" s="11">
        <v>5828</v>
      </c>
    </row>
    <row r="577" spans="1:13" x14ac:dyDescent="0.3">
      <c r="A577" s="10">
        <v>6712</v>
      </c>
      <c r="B577" s="10">
        <v>30</v>
      </c>
      <c r="C577" s="10" t="s">
        <v>871</v>
      </c>
      <c r="D577" s="10">
        <v>3045</v>
      </c>
      <c r="E577" s="10" t="s">
        <v>912</v>
      </c>
      <c r="F577" s="10">
        <v>0</v>
      </c>
      <c r="G577" s="10" t="s">
        <v>343</v>
      </c>
      <c r="H577" s="10">
        <v>0</v>
      </c>
      <c r="I577" s="10" t="s">
        <v>343</v>
      </c>
      <c r="J577" s="11">
        <v>4571</v>
      </c>
      <c r="K577" s="11">
        <v>4675</v>
      </c>
      <c r="L577" s="11">
        <v>9246</v>
      </c>
      <c r="M577" s="11">
        <v>4640</v>
      </c>
    </row>
    <row r="578" spans="1:13" x14ac:dyDescent="0.3">
      <c r="A578" s="10">
        <v>6712</v>
      </c>
      <c r="B578" s="10">
        <v>30</v>
      </c>
      <c r="C578" s="10" t="s">
        <v>871</v>
      </c>
      <c r="D578" s="10">
        <v>3046</v>
      </c>
      <c r="E578" s="10" t="s">
        <v>913</v>
      </c>
      <c r="F578" s="10">
        <v>0</v>
      </c>
      <c r="G578" s="10" t="s">
        <v>343</v>
      </c>
      <c r="H578" s="10">
        <v>0</v>
      </c>
      <c r="I578" s="10" t="s">
        <v>343</v>
      </c>
      <c r="J578" s="11">
        <v>2340</v>
      </c>
      <c r="K578" s="11">
        <v>2374</v>
      </c>
      <c r="L578" s="11">
        <v>4714</v>
      </c>
      <c r="M578" s="11">
        <v>1483</v>
      </c>
    </row>
    <row r="579" spans="1:13" x14ac:dyDescent="0.3">
      <c r="A579" s="10">
        <v>6712</v>
      </c>
      <c r="B579" s="10">
        <v>30</v>
      </c>
      <c r="C579" s="10" t="s">
        <v>871</v>
      </c>
      <c r="D579" s="10">
        <v>3047</v>
      </c>
      <c r="E579" s="10" t="s">
        <v>914</v>
      </c>
      <c r="F579" s="10">
        <v>0</v>
      </c>
      <c r="G579" s="10" t="s">
        <v>343</v>
      </c>
      <c r="H579" s="10">
        <v>0</v>
      </c>
      <c r="I579" s="10" t="s">
        <v>343</v>
      </c>
      <c r="J579" s="11">
        <v>1741</v>
      </c>
      <c r="K579" s="11">
        <v>1916</v>
      </c>
      <c r="L579" s="11">
        <v>3657</v>
      </c>
      <c r="M579" s="11">
        <v>1375</v>
      </c>
    </row>
    <row r="580" spans="1:13" x14ac:dyDescent="0.3">
      <c r="A580" s="10">
        <v>6712</v>
      </c>
      <c r="B580" s="10">
        <v>30</v>
      </c>
      <c r="C580" s="10" t="s">
        <v>871</v>
      </c>
      <c r="D580" s="10">
        <v>3048</v>
      </c>
      <c r="E580" s="10" t="s">
        <v>915</v>
      </c>
      <c r="F580" s="10">
        <v>0</v>
      </c>
      <c r="G580" s="10" t="s">
        <v>343</v>
      </c>
      <c r="H580" s="10">
        <v>0</v>
      </c>
      <c r="I580" s="10" t="s">
        <v>343</v>
      </c>
      <c r="J580" s="11">
        <v>6661</v>
      </c>
      <c r="K580" s="11">
        <v>6789</v>
      </c>
      <c r="L580" s="11">
        <v>13450</v>
      </c>
      <c r="M580" s="11">
        <v>12435</v>
      </c>
    </row>
    <row r="581" spans="1:13" x14ac:dyDescent="0.3">
      <c r="A581" s="10">
        <v>6712</v>
      </c>
      <c r="B581" s="10">
        <v>30</v>
      </c>
      <c r="C581" s="10" t="s">
        <v>871</v>
      </c>
      <c r="D581" s="10">
        <v>3049</v>
      </c>
      <c r="E581" s="10" t="s">
        <v>916</v>
      </c>
      <c r="F581" s="10">
        <v>0</v>
      </c>
      <c r="G581" s="10" t="s">
        <v>343</v>
      </c>
      <c r="H581" s="10">
        <v>0</v>
      </c>
      <c r="I581" s="10" t="s">
        <v>343</v>
      </c>
      <c r="J581" s="11">
        <v>14775</v>
      </c>
      <c r="K581" s="11">
        <v>14425</v>
      </c>
      <c r="L581" s="11">
        <v>29200</v>
      </c>
      <c r="M581" s="11">
        <v>14148</v>
      </c>
    </row>
    <row r="582" spans="1:13" x14ac:dyDescent="0.3">
      <c r="A582" s="10">
        <v>6712</v>
      </c>
      <c r="B582" s="10">
        <v>30</v>
      </c>
      <c r="C582" s="10" t="s">
        <v>871</v>
      </c>
      <c r="D582" s="10">
        <v>3050</v>
      </c>
      <c r="E582" s="10" t="s">
        <v>917</v>
      </c>
      <c r="F582" s="10">
        <v>0</v>
      </c>
      <c r="G582" s="10" t="s">
        <v>343</v>
      </c>
      <c r="H582" s="10">
        <v>0</v>
      </c>
      <c r="I582" s="10" t="s">
        <v>343</v>
      </c>
      <c r="J582" s="11">
        <v>13224</v>
      </c>
      <c r="K582" s="11">
        <v>14713</v>
      </c>
      <c r="L582" s="11">
        <v>27937</v>
      </c>
      <c r="M582" s="11">
        <v>14664</v>
      </c>
    </row>
    <row r="583" spans="1:13" x14ac:dyDescent="0.3">
      <c r="A583" s="10">
        <v>6712</v>
      </c>
      <c r="B583" s="10">
        <v>30</v>
      </c>
      <c r="C583" s="10" t="s">
        <v>871</v>
      </c>
      <c r="D583" s="10">
        <v>3051</v>
      </c>
      <c r="E583" s="10" t="s">
        <v>918</v>
      </c>
      <c r="F583" s="10">
        <v>0</v>
      </c>
      <c r="G583" s="10" t="s">
        <v>343</v>
      </c>
      <c r="H583" s="10">
        <v>0</v>
      </c>
      <c r="I583" s="10" t="s">
        <v>343</v>
      </c>
      <c r="J583" s="11">
        <v>5586</v>
      </c>
      <c r="K583" s="11">
        <v>5821</v>
      </c>
      <c r="L583" s="11">
        <v>11407</v>
      </c>
      <c r="M583" s="11">
        <v>5927</v>
      </c>
    </row>
    <row r="584" spans="1:13" x14ac:dyDescent="0.3">
      <c r="A584" s="10">
        <v>6712</v>
      </c>
      <c r="B584" s="10">
        <v>30</v>
      </c>
      <c r="C584" s="10" t="s">
        <v>871</v>
      </c>
      <c r="D584" s="10">
        <v>3052</v>
      </c>
      <c r="E584" s="10" t="s">
        <v>919</v>
      </c>
      <c r="F584" s="10">
        <v>0</v>
      </c>
      <c r="G584" s="10" t="s">
        <v>343</v>
      </c>
      <c r="H584" s="10">
        <v>0</v>
      </c>
      <c r="I584" s="10" t="s">
        <v>343</v>
      </c>
      <c r="J584" s="11">
        <v>4624</v>
      </c>
      <c r="K584" s="11">
        <v>5106</v>
      </c>
      <c r="L584" s="11">
        <v>9730</v>
      </c>
      <c r="M584" s="11">
        <v>5494</v>
      </c>
    </row>
    <row r="585" spans="1:13" x14ac:dyDescent="0.3">
      <c r="A585" s="10">
        <v>6712</v>
      </c>
      <c r="B585" s="10">
        <v>30</v>
      </c>
      <c r="C585" s="10" t="s">
        <v>871</v>
      </c>
      <c r="D585" s="10">
        <v>3053</v>
      </c>
      <c r="E585" s="10" t="s">
        <v>920</v>
      </c>
      <c r="F585" s="10">
        <v>0</v>
      </c>
      <c r="G585" s="10" t="s">
        <v>343</v>
      </c>
      <c r="H585" s="10">
        <v>0</v>
      </c>
      <c r="I585" s="10" t="s">
        <v>343</v>
      </c>
      <c r="J585" s="11">
        <v>9494</v>
      </c>
      <c r="K585" s="11">
        <v>3994</v>
      </c>
      <c r="L585" s="11">
        <v>13488</v>
      </c>
      <c r="M585" s="11">
        <v>11306</v>
      </c>
    </row>
    <row r="586" spans="1:13" x14ac:dyDescent="0.3">
      <c r="A586" s="10">
        <v>6712</v>
      </c>
      <c r="B586" s="10">
        <v>30</v>
      </c>
      <c r="C586" s="10" t="s">
        <v>871</v>
      </c>
      <c r="D586" s="10">
        <v>3054</v>
      </c>
      <c r="E586" s="10" t="s">
        <v>850</v>
      </c>
      <c r="F586" s="10">
        <v>0</v>
      </c>
      <c r="G586" s="10" t="s">
        <v>343</v>
      </c>
      <c r="H586" s="10">
        <v>0</v>
      </c>
      <c r="I586" s="10" t="s">
        <v>343</v>
      </c>
      <c r="J586" s="11">
        <v>2430</v>
      </c>
      <c r="K586" s="11">
        <v>2611</v>
      </c>
      <c r="L586" s="11">
        <v>5041</v>
      </c>
      <c r="M586" s="11">
        <v>2195</v>
      </c>
    </row>
    <row r="587" spans="1:13" x14ac:dyDescent="0.3">
      <c r="A587" s="10">
        <v>6712</v>
      </c>
      <c r="B587" s="10">
        <v>30</v>
      </c>
      <c r="C587" s="10" t="s">
        <v>871</v>
      </c>
      <c r="D587" s="10">
        <v>3055</v>
      </c>
      <c r="E587" s="10" t="s">
        <v>921</v>
      </c>
      <c r="F587" s="10">
        <v>0</v>
      </c>
      <c r="G587" s="10" t="s">
        <v>343</v>
      </c>
      <c r="H587" s="10">
        <v>0</v>
      </c>
      <c r="I587" s="10" t="s">
        <v>343</v>
      </c>
      <c r="J587" s="11">
        <v>1754</v>
      </c>
      <c r="K587" s="11">
        <v>1838</v>
      </c>
      <c r="L587" s="11">
        <v>3592</v>
      </c>
      <c r="M587" s="11">
        <v>1559</v>
      </c>
    </row>
    <row r="588" spans="1:13" x14ac:dyDescent="0.3">
      <c r="A588" s="10">
        <v>6712</v>
      </c>
      <c r="B588" s="10">
        <v>30</v>
      </c>
      <c r="C588" s="10" t="s">
        <v>871</v>
      </c>
      <c r="D588" s="10">
        <v>3056</v>
      </c>
      <c r="E588" s="10" t="s">
        <v>922</v>
      </c>
      <c r="F588" s="10">
        <v>0</v>
      </c>
      <c r="G588" s="10" t="s">
        <v>343</v>
      </c>
      <c r="H588" s="10">
        <v>0</v>
      </c>
      <c r="I588" s="10" t="s">
        <v>343</v>
      </c>
      <c r="J588" s="11">
        <v>1147</v>
      </c>
      <c r="K588" s="11">
        <v>1194</v>
      </c>
      <c r="L588" s="11">
        <v>2341</v>
      </c>
      <c r="M588" s="10">
        <v>895</v>
      </c>
    </row>
    <row r="589" spans="1:13" x14ac:dyDescent="0.3">
      <c r="A589" s="10">
        <v>6712</v>
      </c>
      <c r="B589" s="10">
        <v>30</v>
      </c>
      <c r="C589" s="10" t="s">
        <v>871</v>
      </c>
      <c r="D589" s="10">
        <v>3057</v>
      </c>
      <c r="E589" s="10" t="s">
        <v>923</v>
      </c>
      <c r="F589" s="10">
        <v>0</v>
      </c>
      <c r="G589" s="10" t="s">
        <v>343</v>
      </c>
      <c r="H589" s="10">
        <v>0</v>
      </c>
      <c r="I589" s="10" t="s">
        <v>343</v>
      </c>
      <c r="J589" s="11">
        <v>2241</v>
      </c>
      <c r="K589" s="11">
        <v>2310</v>
      </c>
      <c r="L589" s="11">
        <v>4551</v>
      </c>
      <c r="M589" s="11">
        <v>1955</v>
      </c>
    </row>
    <row r="590" spans="1:13" x14ac:dyDescent="0.3">
      <c r="A590" s="10">
        <v>6712</v>
      </c>
      <c r="B590" s="10">
        <v>30</v>
      </c>
      <c r="C590" s="10" t="s">
        <v>871</v>
      </c>
      <c r="D590" s="10">
        <v>3058</v>
      </c>
      <c r="E590" s="10" t="s">
        <v>924</v>
      </c>
      <c r="F590" s="10">
        <v>0</v>
      </c>
      <c r="G590" s="10" t="s">
        <v>343</v>
      </c>
      <c r="H590" s="10">
        <v>0</v>
      </c>
      <c r="I590" s="10" t="s">
        <v>343</v>
      </c>
      <c r="J590" s="11">
        <v>1925</v>
      </c>
      <c r="K590" s="11">
        <v>2050</v>
      </c>
      <c r="L590" s="11">
        <v>3975</v>
      </c>
      <c r="M590" s="11">
        <v>1694</v>
      </c>
    </row>
    <row r="591" spans="1:13" x14ac:dyDescent="0.3">
      <c r="A591" s="10">
        <v>6712</v>
      </c>
      <c r="B591" s="10">
        <v>30</v>
      </c>
      <c r="C591" s="10" t="s">
        <v>871</v>
      </c>
      <c r="D591" s="10">
        <v>3059</v>
      </c>
      <c r="E591" s="10" t="s">
        <v>925</v>
      </c>
      <c r="F591" s="10">
        <v>0</v>
      </c>
      <c r="G591" s="10" t="s">
        <v>343</v>
      </c>
      <c r="H591" s="10">
        <v>0</v>
      </c>
      <c r="I591" s="10" t="s">
        <v>343</v>
      </c>
      <c r="J591" s="10">
        <v>887</v>
      </c>
      <c r="K591" s="11">
        <v>1000</v>
      </c>
      <c r="L591" s="11">
        <v>1887</v>
      </c>
      <c r="M591" s="10">
        <v>981</v>
      </c>
    </row>
    <row r="592" spans="1:13" x14ac:dyDescent="0.3">
      <c r="A592" s="10">
        <v>6712</v>
      </c>
      <c r="B592" s="10">
        <v>30</v>
      </c>
      <c r="C592" s="10" t="s">
        <v>871</v>
      </c>
      <c r="D592" s="10">
        <v>3060</v>
      </c>
      <c r="E592" s="10" t="s">
        <v>926</v>
      </c>
      <c r="F592" s="10">
        <v>0</v>
      </c>
      <c r="G592" s="10" t="s">
        <v>343</v>
      </c>
      <c r="H592" s="10">
        <v>0</v>
      </c>
      <c r="I592" s="10" t="s">
        <v>343</v>
      </c>
      <c r="J592" s="11">
        <v>2050</v>
      </c>
      <c r="K592" s="11">
        <v>2180</v>
      </c>
      <c r="L592" s="11">
        <v>4230</v>
      </c>
      <c r="M592" s="11">
        <v>1680</v>
      </c>
    </row>
    <row r="593" spans="1:13" x14ac:dyDescent="0.3">
      <c r="A593" s="10">
        <v>6712</v>
      </c>
      <c r="B593" s="10">
        <v>30</v>
      </c>
      <c r="C593" s="10" t="s">
        <v>871</v>
      </c>
      <c r="D593" s="10">
        <v>3061</v>
      </c>
      <c r="E593" s="10" t="s">
        <v>927</v>
      </c>
      <c r="F593" s="10">
        <v>0</v>
      </c>
      <c r="G593" s="10" t="s">
        <v>343</v>
      </c>
      <c r="H593" s="10">
        <v>0</v>
      </c>
      <c r="I593" s="10" t="s">
        <v>343</v>
      </c>
      <c r="J593" s="11">
        <v>2422</v>
      </c>
      <c r="K593" s="11">
        <v>2515</v>
      </c>
      <c r="L593" s="11">
        <v>4937</v>
      </c>
      <c r="M593" s="11">
        <v>2804</v>
      </c>
    </row>
    <row r="594" spans="1:13" x14ac:dyDescent="0.3">
      <c r="A594" s="10">
        <v>6712</v>
      </c>
      <c r="B594" s="10">
        <v>30</v>
      </c>
      <c r="C594" s="10" t="s">
        <v>871</v>
      </c>
      <c r="D594" s="10">
        <v>3062</v>
      </c>
      <c r="E594" s="10" t="s">
        <v>928</v>
      </c>
      <c r="F594" s="10">
        <v>0</v>
      </c>
      <c r="G594" s="10" t="s">
        <v>343</v>
      </c>
      <c r="H594" s="10">
        <v>0</v>
      </c>
      <c r="I594" s="10" t="s">
        <v>343</v>
      </c>
      <c r="J594" s="11">
        <v>7536</v>
      </c>
      <c r="K594" s="11">
        <v>8510</v>
      </c>
      <c r="L594" s="11">
        <v>16046</v>
      </c>
      <c r="M594" s="11">
        <v>9816</v>
      </c>
    </row>
    <row r="595" spans="1:13" x14ac:dyDescent="0.3">
      <c r="A595" s="10">
        <v>6712</v>
      </c>
      <c r="B595" s="10">
        <v>30</v>
      </c>
      <c r="C595" s="10" t="s">
        <v>871</v>
      </c>
      <c r="D595" s="10">
        <v>3063</v>
      </c>
      <c r="E595" s="10" t="s">
        <v>929</v>
      </c>
      <c r="F595" s="10">
        <v>0</v>
      </c>
      <c r="G595" s="10" t="s">
        <v>343</v>
      </c>
      <c r="H595" s="10">
        <v>0</v>
      </c>
      <c r="I595" s="10" t="s">
        <v>343</v>
      </c>
      <c r="J595" s="11">
        <v>1915</v>
      </c>
      <c r="K595" s="11">
        <v>2105</v>
      </c>
      <c r="L595" s="11">
        <v>4020</v>
      </c>
      <c r="M595" s="11">
        <v>2308</v>
      </c>
    </row>
    <row r="596" spans="1:13" x14ac:dyDescent="0.3">
      <c r="A596" s="10">
        <v>6712</v>
      </c>
      <c r="B596" s="10">
        <v>30</v>
      </c>
      <c r="C596" s="10" t="s">
        <v>871</v>
      </c>
      <c r="D596" s="10">
        <v>3064</v>
      </c>
      <c r="E596" s="10" t="s">
        <v>930</v>
      </c>
      <c r="F596" s="10">
        <v>0</v>
      </c>
      <c r="G596" s="10" t="s">
        <v>343</v>
      </c>
      <c r="H596" s="10">
        <v>0</v>
      </c>
      <c r="I596" s="10" t="s">
        <v>343</v>
      </c>
      <c r="J596" s="11">
        <v>1945</v>
      </c>
      <c r="K596" s="11">
        <v>1648</v>
      </c>
      <c r="L596" s="11">
        <v>3593</v>
      </c>
      <c r="M596" s="11">
        <v>1774</v>
      </c>
    </row>
    <row r="597" spans="1:13" x14ac:dyDescent="0.3">
      <c r="A597" s="10">
        <v>6712</v>
      </c>
      <c r="B597" s="10">
        <v>30</v>
      </c>
      <c r="C597" s="10" t="s">
        <v>871</v>
      </c>
      <c r="D597" s="10">
        <v>3065</v>
      </c>
      <c r="E597" s="10" t="s">
        <v>931</v>
      </c>
      <c r="F597" s="10">
        <v>0</v>
      </c>
      <c r="G597" s="10" t="s">
        <v>343</v>
      </c>
      <c r="H597" s="10">
        <v>0</v>
      </c>
      <c r="I597" s="10" t="s">
        <v>343</v>
      </c>
      <c r="J597" s="11">
        <v>2095</v>
      </c>
      <c r="K597" s="11">
        <v>2262</v>
      </c>
      <c r="L597" s="11">
        <v>4357</v>
      </c>
      <c r="M597" s="11">
        <v>2381</v>
      </c>
    </row>
    <row r="598" spans="1:13" x14ac:dyDescent="0.3">
      <c r="A598" s="10">
        <v>6712</v>
      </c>
      <c r="B598" s="10">
        <v>30</v>
      </c>
      <c r="C598" s="10" t="s">
        <v>871</v>
      </c>
      <c r="D598" s="10">
        <v>3066</v>
      </c>
      <c r="E598" s="10" t="s">
        <v>932</v>
      </c>
      <c r="F598" s="10">
        <v>0</v>
      </c>
      <c r="G598" s="10" t="s">
        <v>343</v>
      </c>
      <c r="H598" s="10">
        <v>0</v>
      </c>
      <c r="I598" s="10" t="s">
        <v>343</v>
      </c>
      <c r="J598" s="11">
        <v>4551</v>
      </c>
      <c r="K598" s="11">
        <v>5073</v>
      </c>
      <c r="L598" s="11">
        <v>9624</v>
      </c>
      <c r="M598" s="11">
        <v>6482</v>
      </c>
    </row>
    <row r="599" spans="1:13" x14ac:dyDescent="0.3">
      <c r="A599" s="10">
        <v>6712</v>
      </c>
      <c r="B599" s="10">
        <v>30</v>
      </c>
      <c r="C599" s="10" t="s">
        <v>871</v>
      </c>
      <c r="D599" s="10">
        <v>3067</v>
      </c>
      <c r="E599" s="10" t="s">
        <v>933</v>
      </c>
      <c r="F599" s="10">
        <v>0</v>
      </c>
      <c r="G599" s="10" t="s">
        <v>343</v>
      </c>
      <c r="H599" s="10">
        <v>0</v>
      </c>
      <c r="I599" s="10" t="s">
        <v>343</v>
      </c>
      <c r="J599" s="11">
        <v>1263</v>
      </c>
      <c r="K599" s="11">
        <v>1422</v>
      </c>
      <c r="L599" s="11">
        <v>2685</v>
      </c>
      <c r="M599" s="11">
        <v>1545</v>
      </c>
    </row>
    <row r="600" spans="1:13" x14ac:dyDescent="0.3">
      <c r="A600" s="10">
        <v>6712</v>
      </c>
      <c r="B600" s="10">
        <v>30</v>
      </c>
      <c r="C600" s="10" t="s">
        <v>871</v>
      </c>
      <c r="D600" s="10">
        <v>3068</v>
      </c>
      <c r="E600" s="10" t="s">
        <v>934</v>
      </c>
      <c r="F600" s="10">
        <v>0</v>
      </c>
      <c r="G600" s="10" t="s">
        <v>343</v>
      </c>
      <c r="H600" s="10">
        <v>0</v>
      </c>
      <c r="I600" s="10" t="s">
        <v>343</v>
      </c>
      <c r="J600" s="11">
        <v>4155</v>
      </c>
      <c r="K600" s="11">
        <v>4430</v>
      </c>
      <c r="L600" s="11">
        <v>8585</v>
      </c>
      <c r="M600" s="11">
        <v>3953</v>
      </c>
    </row>
    <row r="601" spans="1:13" x14ac:dyDescent="0.3">
      <c r="A601" s="10">
        <v>6712</v>
      </c>
      <c r="B601" s="10">
        <v>30</v>
      </c>
      <c r="C601" s="10" t="s">
        <v>871</v>
      </c>
      <c r="D601" s="10">
        <v>3069</v>
      </c>
      <c r="E601" s="10" t="s">
        <v>935</v>
      </c>
      <c r="F601" s="10">
        <v>0</v>
      </c>
      <c r="G601" s="10" t="s">
        <v>343</v>
      </c>
      <c r="H601" s="10">
        <v>0</v>
      </c>
      <c r="I601" s="10" t="s">
        <v>343</v>
      </c>
      <c r="J601" s="11">
        <v>1355</v>
      </c>
      <c r="K601" s="11">
        <v>1373</v>
      </c>
      <c r="L601" s="11">
        <v>2728</v>
      </c>
      <c r="M601" s="10">
        <v>824</v>
      </c>
    </row>
    <row r="602" spans="1:13" x14ac:dyDescent="0.3">
      <c r="A602" s="10">
        <v>6712</v>
      </c>
      <c r="B602" s="10">
        <v>30</v>
      </c>
      <c r="C602" s="10" t="s">
        <v>871</v>
      </c>
      <c r="D602" s="10">
        <v>3070</v>
      </c>
      <c r="E602" s="10" t="s">
        <v>936</v>
      </c>
      <c r="F602" s="10">
        <v>0</v>
      </c>
      <c r="G602" s="10" t="s">
        <v>343</v>
      </c>
      <c r="H602" s="10">
        <v>0</v>
      </c>
      <c r="I602" s="10" t="s">
        <v>343</v>
      </c>
      <c r="J602" s="11">
        <v>1412</v>
      </c>
      <c r="K602" s="11">
        <v>1595</v>
      </c>
      <c r="L602" s="11">
        <v>3007</v>
      </c>
      <c r="M602" s="11">
        <v>1722</v>
      </c>
    </row>
    <row r="603" spans="1:13" x14ac:dyDescent="0.3">
      <c r="A603" s="10">
        <v>6712</v>
      </c>
      <c r="B603" s="10">
        <v>30</v>
      </c>
      <c r="C603" s="10" t="s">
        <v>871</v>
      </c>
      <c r="D603" s="10">
        <v>3071</v>
      </c>
      <c r="E603" s="10" t="s">
        <v>937</v>
      </c>
      <c r="F603" s="10">
        <v>0</v>
      </c>
      <c r="G603" s="10" t="s">
        <v>343</v>
      </c>
      <c r="H603" s="10">
        <v>0</v>
      </c>
      <c r="I603" s="10" t="s">
        <v>343</v>
      </c>
      <c r="J603" s="11">
        <v>3446</v>
      </c>
      <c r="K603" s="11">
        <v>4037</v>
      </c>
      <c r="L603" s="11">
        <v>7483</v>
      </c>
      <c r="M603" s="11">
        <v>2940</v>
      </c>
    </row>
    <row r="604" spans="1:13" x14ac:dyDescent="0.3">
      <c r="A604" s="10">
        <v>6712</v>
      </c>
      <c r="B604" s="10">
        <v>30</v>
      </c>
      <c r="C604" s="10" t="s">
        <v>871</v>
      </c>
      <c r="D604" s="10">
        <v>3072</v>
      </c>
      <c r="E604" s="10" t="s">
        <v>938</v>
      </c>
      <c r="F604" s="10">
        <v>0</v>
      </c>
      <c r="G604" s="10" t="s">
        <v>343</v>
      </c>
      <c r="H604" s="10">
        <v>0</v>
      </c>
      <c r="I604" s="10" t="s">
        <v>343</v>
      </c>
      <c r="J604" s="11">
        <v>6190</v>
      </c>
      <c r="K604" s="11">
        <v>7085</v>
      </c>
      <c r="L604" s="11">
        <v>13275</v>
      </c>
      <c r="M604" s="11">
        <v>7210</v>
      </c>
    </row>
    <row r="605" spans="1:13" x14ac:dyDescent="0.3">
      <c r="A605" s="10">
        <v>6712</v>
      </c>
      <c r="B605" s="10">
        <v>30</v>
      </c>
      <c r="C605" s="10" t="s">
        <v>871</v>
      </c>
      <c r="D605" s="10">
        <v>3073</v>
      </c>
      <c r="E605" s="10" t="s">
        <v>939</v>
      </c>
      <c r="F605" s="10">
        <v>0</v>
      </c>
      <c r="G605" s="10" t="s">
        <v>343</v>
      </c>
      <c r="H605" s="10">
        <v>0</v>
      </c>
      <c r="I605" s="10" t="s">
        <v>343</v>
      </c>
      <c r="J605" s="11">
        <v>2534</v>
      </c>
      <c r="K605" s="11">
        <v>2644</v>
      </c>
      <c r="L605" s="11">
        <v>5178</v>
      </c>
      <c r="M605" s="11">
        <v>2004</v>
      </c>
    </row>
    <row r="606" spans="1:13" x14ac:dyDescent="0.3">
      <c r="A606" s="10">
        <v>6712</v>
      </c>
      <c r="B606" s="10">
        <v>30</v>
      </c>
      <c r="C606" s="10" t="s">
        <v>871</v>
      </c>
      <c r="D606" s="10">
        <v>3074</v>
      </c>
      <c r="E606" s="10" t="s">
        <v>940</v>
      </c>
      <c r="F606" s="10">
        <v>0</v>
      </c>
      <c r="G606" s="10" t="s">
        <v>343</v>
      </c>
      <c r="H606" s="10">
        <v>0</v>
      </c>
      <c r="I606" s="10" t="s">
        <v>343</v>
      </c>
      <c r="J606" s="11">
        <v>2899</v>
      </c>
      <c r="K606" s="11">
        <v>3031</v>
      </c>
      <c r="L606" s="11">
        <v>5930</v>
      </c>
      <c r="M606" s="11">
        <v>3224</v>
      </c>
    </row>
    <row r="607" spans="1:13" x14ac:dyDescent="0.3">
      <c r="A607" s="10">
        <v>6712</v>
      </c>
      <c r="B607" s="10">
        <v>30</v>
      </c>
      <c r="C607" s="10" t="s">
        <v>871</v>
      </c>
      <c r="D607" s="10">
        <v>3075</v>
      </c>
      <c r="E607" s="10" t="s">
        <v>941</v>
      </c>
      <c r="F607" s="10">
        <v>0</v>
      </c>
      <c r="G607" s="10" t="s">
        <v>343</v>
      </c>
      <c r="H607" s="10">
        <v>0</v>
      </c>
      <c r="I607" s="10" t="s">
        <v>343</v>
      </c>
      <c r="J607" s="11">
        <v>2220</v>
      </c>
      <c r="K607" s="11">
        <v>2209</v>
      </c>
      <c r="L607" s="11">
        <v>4429</v>
      </c>
      <c r="M607" s="11">
        <v>1517</v>
      </c>
    </row>
    <row r="608" spans="1:13" x14ac:dyDescent="0.3">
      <c r="A608" s="10">
        <v>6712</v>
      </c>
      <c r="B608" s="10">
        <v>30</v>
      </c>
      <c r="C608" s="10" t="s">
        <v>871</v>
      </c>
      <c r="D608" s="10">
        <v>3076</v>
      </c>
      <c r="E608" s="10" t="s">
        <v>942</v>
      </c>
      <c r="F608" s="10">
        <v>0</v>
      </c>
      <c r="G608" s="10" t="s">
        <v>343</v>
      </c>
      <c r="H608" s="10">
        <v>0</v>
      </c>
      <c r="I608" s="10" t="s">
        <v>343</v>
      </c>
      <c r="J608" s="11">
        <v>2379</v>
      </c>
      <c r="K608" s="11">
        <v>2606</v>
      </c>
      <c r="L608" s="11">
        <v>4985</v>
      </c>
      <c r="M608" s="11">
        <v>1981</v>
      </c>
    </row>
    <row r="609" spans="1:13" x14ac:dyDescent="0.3">
      <c r="A609" s="10">
        <v>6712</v>
      </c>
      <c r="B609" s="10">
        <v>30</v>
      </c>
      <c r="C609" s="10" t="s">
        <v>871</v>
      </c>
      <c r="D609" s="10">
        <v>3077</v>
      </c>
      <c r="E609" s="10" t="s">
        <v>943</v>
      </c>
      <c r="F609" s="10">
        <v>0</v>
      </c>
      <c r="G609" s="10" t="s">
        <v>343</v>
      </c>
      <c r="H609" s="10">
        <v>0</v>
      </c>
      <c r="I609" s="10" t="s">
        <v>343</v>
      </c>
      <c r="J609" s="10">
        <v>941</v>
      </c>
      <c r="K609" s="10">
        <v>938</v>
      </c>
      <c r="L609" s="11">
        <v>1879</v>
      </c>
      <c r="M609" s="10">
        <v>621</v>
      </c>
    </row>
    <row r="610" spans="1:13" x14ac:dyDescent="0.3">
      <c r="A610" s="10">
        <v>6712</v>
      </c>
      <c r="B610" s="10">
        <v>30</v>
      </c>
      <c r="C610" s="10" t="s">
        <v>871</v>
      </c>
      <c r="D610" s="10">
        <v>3078</v>
      </c>
      <c r="E610" s="10" t="s">
        <v>944</v>
      </c>
      <c r="F610" s="10">
        <v>0</v>
      </c>
      <c r="G610" s="10" t="s">
        <v>343</v>
      </c>
      <c r="H610" s="10">
        <v>0</v>
      </c>
      <c r="I610" s="10" t="s">
        <v>343</v>
      </c>
      <c r="J610" s="11">
        <v>1507</v>
      </c>
      <c r="K610" s="11">
        <v>1689</v>
      </c>
      <c r="L610" s="11">
        <v>3196</v>
      </c>
      <c r="M610" s="11">
        <v>1382</v>
      </c>
    </row>
    <row r="611" spans="1:13" x14ac:dyDescent="0.3">
      <c r="A611" s="10">
        <v>6712</v>
      </c>
      <c r="B611" s="10">
        <v>30</v>
      </c>
      <c r="C611" s="10" t="s">
        <v>871</v>
      </c>
      <c r="D611" s="10">
        <v>3079</v>
      </c>
      <c r="E611" s="10" t="s">
        <v>945</v>
      </c>
      <c r="F611" s="10">
        <v>0</v>
      </c>
      <c r="G611" s="10" t="s">
        <v>343</v>
      </c>
      <c r="H611" s="10">
        <v>0</v>
      </c>
      <c r="I611" s="10" t="s">
        <v>343</v>
      </c>
      <c r="J611" s="11">
        <v>1369</v>
      </c>
      <c r="K611" s="11">
        <v>1590</v>
      </c>
      <c r="L611" s="11">
        <v>2959</v>
      </c>
      <c r="M611" s="11">
        <v>1413</v>
      </c>
    </row>
    <row r="612" spans="1:13" x14ac:dyDescent="0.3">
      <c r="A612" s="10">
        <v>6712</v>
      </c>
      <c r="B612" s="10">
        <v>30</v>
      </c>
      <c r="C612" s="10" t="s">
        <v>871</v>
      </c>
      <c r="D612" s="10">
        <v>3080</v>
      </c>
      <c r="E612" s="10" t="s">
        <v>946</v>
      </c>
      <c r="F612" s="10">
        <v>0</v>
      </c>
      <c r="G612" s="10" t="s">
        <v>343</v>
      </c>
      <c r="H612" s="10">
        <v>0</v>
      </c>
      <c r="I612" s="10" t="s">
        <v>343</v>
      </c>
      <c r="J612" s="11">
        <v>2484</v>
      </c>
      <c r="K612" s="11">
        <v>2631</v>
      </c>
      <c r="L612" s="11">
        <v>5115</v>
      </c>
      <c r="M612" s="11">
        <v>1869</v>
      </c>
    </row>
    <row r="613" spans="1:13" x14ac:dyDescent="0.3">
      <c r="A613" s="10">
        <v>6712</v>
      </c>
      <c r="B613" s="10">
        <v>30</v>
      </c>
      <c r="C613" s="10" t="s">
        <v>871</v>
      </c>
      <c r="D613" s="10">
        <v>3081</v>
      </c>
      <c r="E613" s="10" t="s">
        <v>947</v>
      </c>
      <c r="F613" s="10">
        <v>0</v>
      </c>
      <c r="G613" s="10" t="s">
        <v>343</v>
      </c>
      <c r="H613" s="10">
        <v>0</v>
      </c>
      <c r="I613" s="10" t="s">
        <v>343</v>
      </c>
      <c r="J613" s="11">
        <v>1935</v>
      </c>
      <c r="K613" s="11">
        <v>2088</v>
      </c>
      <c r="L613" s="11">
        <v>4023</v>
      </c>
      <c r="M613" s="11">
        <v>1405</v>
      </c>
    </row>
    <row r="614" spans="1:13" x14ac:dyDescent="0.3">
      <c r="A614" s="10">
        <v>6712</v>
      </c>
      <c r="B614" s="10">
        <v>30</v>
      </c>
      <c r="C614" s="10" t="s">
        <v>871</v>
      </c>
      <c r="D614" s="10">
        <v>3082</v>
      </c>
      <c r="E614" s="10" t="s">
        <v>948</v>
      </c>
      <c r="F614" s="10">
        <v>0</v>
      </c>
      <c r="G614" s="10" t="s">
        <v>343</v>
      </c>
      <c r="H614" s="10">
        <v>0</v>
      </c>
      <c r="I614" s="10" t="s">
        <v>343</v>
      </c>
      <c r="J614" s="11">
        <v>2765</v>
      </c>
      <c r="K614" s="11">
        <v>3197</v>
      </c>
      <c r="L614" s="11">
        <v>5962</v>
      </c>
      <c r="M614" s="11">
        <v>4132</v>
      </c>
    </row>
    <row r="615" spans="1:13" x14ac:dyDescent="0.3">
      <c r="A615" s="10">
        <v>6712</v>
      </c>
      <c r="B615" s="10">
        <v>30</v>
      </c>
      <c r="C615" s="10" t="s">
        <v>871</v>
      </c>
      <c r="D615" s="10">
        <v>3083</v>
      </c>
      <c r="E615" s="10" t="s">
        <v>949</v>
      </c>
      <c r="F615" s="10">
        <v>0</v>
      </c>
      <c r="G615" s="10" t="s">
        <v>343</v>
      </c>
      <c r="H615" s="10">
        <v>0</v>
      </c>
      <c r="I615" s="10" t="s">
        <v>343</v>
      </c>
      <c r="J615" s="11">
        <v>4794</v>
      </c>
      <c r="K615" s="11">
        <v>5107</v>
      </c>
      <c r="L615" s="11">
        <v>9901</v>
      </c>
      <c r="M615" s="11">
        <v>4640</v>
      </c>
    </row>
    <row r="616" spans="1:13" x14ac:dyDescent="0.3">
      <c r="A616" s="10">
        <v>6712</v>
      </c>
      <c r="B616" s="10">
        <v>30</v>
      </c>
      <c r="C616" s="10" t="s">
        <v>871</v>
      </c>
      <c r="D616" s="10">
        <v>3084</v>
      </c>
      <c r="E616" s="10" t="s">
        <v>950</v>
      </c>
      <c r="F616" s="10">
        <v>0</v>
      </c>
      <c r="G616" s="10" t="s">
        <v>343</v>
      </c>
      <c r="H616" s="10">
        <v>0</v>
      </c>
      <c r="I616" s="10" t="s">
        <v>343</v>
      </c>
      <c r="J616" s="11">
        <v>5869</v>
      </c>
      <c r="K616" s="11">
        <v>6500</v>
      </c>
      <c r="L616" s="11">
        <v>12369</v>
      </c>
      <c r="M616" s="11">
        <v>5709</v>
      </c>
    </row>
    <row r="617" spans="1:13" x14ac:dyDescent="0.3">
      <c r="A617" s="10">
        <v>6712</v>
      </c>
      <c r="B617" s="10">
        <v>30</v>
      </c>
      <c r="C617" s="10" t="s">
        <v>871</v>
      </c>
      <c r="D617" s="10">
        <v>3085</v>
      </c>
      <c r="E617" s="10" t="s">
        <v>951</v>
      </c>
      <c r="F617" s="10">
        <v>0</v>
      </c>
      <c r="G617" s="10" t="s">
        <v>343</v>
      </c>
      <c r="H617" s="10">
        <v>0</v>
      </c>
      <c r="I617" s="10" t="s">
        <v>343</v>
      </c>
      <c r="J617" s="11">
        <v>1785</v>
      </c>
      <c r="K617" s="11">
        <v>1968</v>
      </c>
      <c r="L617" s="11">
        <v>3753</v>
      </c>
      <c r="M617" s="11">
        <v>1705</v>
      </c>
    </row>
    <row r="618" spans="1:13" x14ac:dyDescent="0.3">
      <c r="A618" s="10">
        <v>6712</v>
      </c>
      <c r="B618" s="10">
        <v>30</v>
      </c>
      <c r="C618" s="10" t="s">
        <v>871</v>
      </c>
      <c r="D618" s="10">
        <v>3086</v>
      </c>
      <c r="E618" s="10" t="s">
        <v>952</v>
      </c>
      <c r="F618" s="10">
        <v>0</v>
      </c>
      <c r="G618" s="10" t="s">
        <v>343</v>
      </c>
      <c r="H618" s="10">
        <v>0</v>
      </c>
      <c r="I618" s="10" t="s">
        <v>343</v>
      </c>
      <c r="J618" s="11">
        <v>1560</v>
      </c>
      <c r="K618" s="11">
        <v>1790</v>
      </c>
      <c r="L618" s="11">
        <v>3350</v>
      </c>
      <c r="M618" s="11">
        <v>1287</v>
      </c>
    </row>
    <row r="619" spans="1:13" x14ac:dyDescent="0.3">
      <c r="A619" s="10">
        <v>6712</v>
      </c>
      <c r="B619" s="10">
        <v>30</v>
      </c>
      <c r="C619" s="10" t="s">
        <v>871</v>
      </c>
      <c r="D619" s="10">
        <v>3087</v>
      </c>
      <c r="E619" s="10" t="s">
        <v>953</v>
      </c>
      <c r="F619" s="10">
        <v>0</v>
      </c>
      <c r="G619" s="10" t="s">
        <v>343</v>
      </c>
      <c r="H619" s="10">
        <v>0</v>
      </c>
      <c r="I619" s="10" t="s">
        <v>343</v>
      </c>
      <c r="J619" s="11">
        <v>1026</v>
      </c>
      <c r="K619" s="11">
        <v>1140</v>
      </c>
      <c r="L619" s="11">
        <v>2166</v>
      </c>
      <c r="M619" s="11">
        <v>1010</v>
      </c>
    </row>
    <row r="620" spans="1:13" x14ac:dyDescent="0.3">
      <c r="A620" s="10">
        <v>6712</v>
      </c>
      <c r="B620" s="10">
        <v>30</v>
      </c>
      <c r="C620" s="10" t="s">
        <v>871</v>
      </c>
      <c r="D620" s="10">
        <v>3088</v>
      </c>
      <c r="E620" s="10" t="s">
        <v>954</v>
      </c>
      <c r="F620" s="10">
        <v>0</v>
      </c>
      <c r="G620" s="10" t="s">
        <v>343</v>
      </c>
      <c r="H620" s="10">
        <v>0</v>
      </c>
      <c r="I620" s="10" t="s">
        <v>343</v>
      </c>
      <c r="J620" s="11">
        <v>1307</v>
      </c>
      <c r="K620" s="11">
        <v>1381</v>
      </c>
      <c r="L620" s="11">
        <v>2688</v>
      </c>
      <c r="M620" s="10">
        <v>913</v>
      </c>
    </row>
    <row r="621" spans="1:13" x14ac:dyDescent="0.3">
      <c r="A621" s="10">
        <v>6712</v>
      </c>
      <c r="B621" s="10">
        <v>30</v>
      </c>
      <c r="C621" s="10" t="s">
        <v>871</v>
      </c>
      <c r="D621" s="10">
        <v>3089</v>
      </c>
      <c r="E621" s="10" t="s">
        <v>955</v>
      </c>
      <c r="F621" s="10">
        <v>0</v>
      </c>
      <c r="G621" s="10" t="s">
        <v>343</v>
      </c>
      <c r="H621" s="10">
        <v>0</v>
      </c>
      <c r="I621" s="10" t="s">
        <v>343</v>
      </c>
      <c r="J621" s="11">
        <v>3613</v>
      </c>
      <c r="K621" s="11">
        <v>3857</v>
      </c>
      <c r="L621" s="11">
        <v>7470</v>
      </c>
      <c r="M621" s="11">
        <v>3350</v>
      </c>
    </row>
    <row r="622" spans="1:13" x14ac:dyDescent="0.3">
      <c r="A622" s="10">
        <v>6712</v>
      </c>
      <c r="B622" s="10">
        <v>30</v>
      </c>
      <c r="C622" s="10" t="s">
        <v>871</v>
      </c>
      <c r="D622" s="10">
        <v>3090</v>
      </c>
      <c r="E622" s="10" t="s">
        <v>956</v>
      </c>
      <c r="F622" s="10">
        <v>0</v>
      </c>
      <c r="G622" s="10" t="s">
        <v>343</v>
      </c>
      <c r="H622" s="10">
        <v>0</v>
      </c>
      <c r="I622" s="10" t="s">
        <v>343</v>
      </c>
      <c r="J622" s="11">
        <v>2799</v>
      </c>
      <c r="K622" s="11">
        <v>2879</v>
      </c>
      <c r="L622" s="11">
        <v>5678</v>
      </c>
      <c r="M622" s="11">
        <v>1869</v>
      </c>
    </row>
    <row r="623" spans="1:13" x14ac:dyDescent="0.3">
      <c r="A623" s="10">
        <v>6712</v>
      </c>
      <c r="B623" s="10">
        <v>30</v>
      </c>
      <c r="C623" s="10" t="s">
        <v>871</v>
      </c>
      <c r="D623" s="10">
        <v>3091</v>
      </c>
      <c r="E623" s="10" t="s">
        <v>957</v>
      </c>
      <c r="F623" s="10">
        <v>0</v>
      </c>
      <c r="G623" s="10" t="s">
        <v>343</v>
      </c>
      <c r="H623" s="10">
        <v>0</v>
      </c>
      <c r="I623" s="10" t="s">
        <v>343</v>
      </c>
      <c r="J623" s="11">
        <v>1794</v>
      </c>
      <c r="K623" s="11">
        <v>1858</v>
      </c>
      <c r="L623" s="11">
        <v>3652</v>
      </c>
      <c r="M623" s="11">
        <v>1207</v>
      </c>
    </row>
    <row r="624" spans="1:13" x14ac:dyDescent="0.3">
      <c r="A624" s="10">
        <v>6712</v>
      </c>
      <c r="B624" s="10">
        <v>30</v>
      </c>
      <c r="C624" s="10" t="s">
        <v>871</v>
      </c>
      <c r="D624" s="10">
        <v>3092</v>
      </c>
      <c r="E624" s="10" t="s">
        <v>958</v>
      </c>
      <c r="F624" s="10">
        <v>0</v>
      </c>
      <c r="G624" s="10" t="s">
        <v>343</v>
      </c>
      <c r="H624" s="10">
        <v>0</v>
      </c>
      <c r="I624" s="10" t="s">
        <v>343</v>
      </c>
      <c r="J624" s="11">
        <v>2625</v>
      </c>
      <c r="K624" s="11">
        <v>3016</v>
      </c>
      <c r="L624" s="11">
        <v>5641</v>
      </c>
      <c r="M624" s="11">
        <v>3088</v>
      </c>
    </row>
    <row r="625" spans="1:13" x14ac:dyDescent="0.3">
      <c r="A625" s="10">
        <v>6712</v>
      </c>
      <c r="B625" s="10">
        <v>30</v>
      </c>
      <c r="C625" s="10" t="s">
        <v>871</v>
      </c>
      <c r="D625" s="10">
        <v>3093</v>
      </c>
      <c r="E625" s="10" t="s">
        <v>959</v>
      </c>
      <c r="F625" s="10">
        <v>0</v>
      </c>
      <c r="G625" s="10" t="s">
        <v>343</v>
      </c>
      <c r="H625" s="10">
        <v>0</v>
      </c>
      <c r="I625" s="10" t="s">
        <v>343</v>
      </c>
      <c r="J625" s="11">
        <v>2836</v>
      </c>
      <c r="K625" s="11">
        <v>3166</v>
      </c>
      <c r="L625" s="11">
        <v>6002</v>
      </c>
      <c r="M625" s="11">
        <v>2511</v>
      </c>
    </row>
    <row r="626" spans="1:13" x14ac:dyDescent="0.3">
      <c r="A626" s="10">
        <v>6712</v>
      </c>
      <c r="B626" s="10">
        <v>30</v>
      </c>
      <c r="C626" s="10" t="s">
        <v>871</v>
      </c>
      <c r="D626" s="10">
        <v>3094</v>
      </c>
      <c r="E626" s="10" t="s">
        <v>960</v>
      </c>
      <c r="F626" s="10">
        <v>0</v>
      </c>
      <c r="G626" s="10" t="s">
        <v>343</v>
      </c>
      <c r="H626" s="10">
        <v>0</v>
      </c>
      <c r="I626" s="10" t="s">
        <v>343</v>
      </c>
      <c r="J626" s="11">
        <v>8412</v>
      </c>
      <c r="K626" s="11">
        <v>8782</v>
      </c>
      <c r="L626" s="11">
        <v>17194</v>
      </c>
      <c r="M626" s="11">
        <v>10395</v>
      </c>
    </row>
    <row r="627" spans="1:13" x14ac:dyDescent="0.3">
      <c r="A627" s="10">
        <v>6712</v>
      </c>
      <c r="B627" s="10">
        <v>30</v>
      </c>
      <c r="C627" s="10" t="s">
        <v>871</v>
      </c>
      <c r="D627" s="10">
        <v>3095</v>
      </c>
      <c r="E627" s="10" t="s">
        <v>961</v>
      </c>
      <c r="F627" s="10">
        <v>0</v>
      </c>
      <c r="G627" s="10" t="s">
        <v>343</v>
      </c>
      <c r="H627" s="10">
        <v>0</v>
      </c>
      <c r="I627" s="10" t="s">
        <v>343</v>
      </c>
      <c r="J627" s="11">
        <v>3215</v>
      </c>
      <c r="K627" s="11">
        <v>3745</v>
      </c>
      <c r="L627" s="11">
        <v>6960</v>
      </c>
      <c r="M627" s="11">
        <v>4784</v>
      </c>
    </row>
    <row r="628" spans="1:13" x14ac:dyDescent="0.3">
      <c r="A628" s="10">
        <v>6712</v>
      </c>
      <c r="B628" s="10">
        <v>30</v>
      </c>
      <c r="C628" s="10" t="s">
        <v>871</v>
      </c>
      <c r="D628" s="10">
        <v>3096</v>
      </c>
      <c r="E628" s="10" t="s">
        <v>962</v>
      </c>
      <c r="F628" s="10">
        <v>0</v>
      </c>
      <c r="G628" s="10" t="s">
        <v>343</v>
      </c>
      <c r="H628" s="10">
        <v>0</v>
      </c>
      <c r="I628" s="10" t="s">
        <v>343</v>
      </c>
      <c r="J628" s="11">
        <v>4472</v>
      </c>
      <c r="K628" s="11">
        <v>4817</v>
      </c>
      <c r="L628" s="11">
        <v>9289</v>
      </c>
      <c r="M628" s="11">
        <v>4176</v>
      </c>
    </row>
    <row r="629" spans="1:13" x14ac:dyDescent="0.3">
      <c r="A629" s="10">
        <v>6712</v>
      </c>
      <c r="B629" s="10">
        <v>30</v>
      </c>
      <c r="C629" s="10" t="s">
        <v>871</v>
      </c>
      <c r="D629" s="10">
        <v>3097</v>
      </c>
      <c r="E629" s="10" t="s">
        <v>963</v>
      </c>
      <c r="F629" s="10">
        <v>0</v>
      </c>
      <c r="G629" s="10" t="s">
        <v>343</v>
      </c>
      <c r="H629" s="10">
        <v>0</v>
      </c>
      <c r="I629" s="10" t="s">
        <v>343</v>
      </c>
      <c r="J629" s="11">
        <v>6207</v>
      </c>
      <c r="K629" s="11">
        <v>6813</v>
      </c>
      <c r="L629" s="11">
        <v>13020</v>
      </c>
      <c r="M629" s="11">
        <v>7403</v>
      </c>
    </row>
    <row r="630" spans="1:13" x14ac:dyDescent="0.3">
      <c r="A630" s="10">
        <v>6712</v>
      </c>
      <c r="B630" s="10">
        <v>30</v>
      </c>
      <c r="C630" s="10" t="s">
        <v>871</v>
      </c>
      <c r="D630" s="10">
        <v>3098</v>
      </c>
      <c r="E630" s="10" t="s">
        <v>964</v>
      </c>
      <c r="F630" s="10">
        <v>0</v>
      </c>
      <c r="G630" s="10" t="s">
        <v>343</v>
      </c>
      <c r="H630" s="10">
        <v>0</v>
      </c>
      <c r="I630" s="10" t="s">
        <v>343</v>
      </c>
      <c r="J630" s="11">
        <v>15025</v>
      </c>
      <c r="K630" s="11">
        <v>16995</v>
      </c>
      <c r="L630" s="11">
        <v>32020</v>
      </c>
      <c r="M630" s="11">
        <v>19408</v>
      </c>
    </row>
    <row r="631" spans="1:13" x14ac:dyDescent="0.3">
      <c r="A631" s="10">
        <v>6712</v>
      </c>
      <c r="B631" s="10">
        <v>30</v>
      </c>
      <c r="C631" s="10" t="s">
        <v>871</v>
      </c>
      <c r="D631" s="10">
        <v>3099</v>
      </c>
      <c r="E631" s="10" t="s">
        <v>965</v>
      </c>
      <c r="F631" s="10">
        <v>0</v>
      </c>
      <c r="G631" s="10" t="s">
        <v>343</v>
      </c>
      <c r="H631" s="10">
        <v>0</v>
      </c>
      <c r="I631" s="10" t="s">
        <v>343</v>
      </c>
      <c r="J631" s="11">
        <v>52544</v>
      </c>
      <c r="K631" s="11">
        <v>60640</v>
      </c>
      <c r="L631" s="11">
        <v>113184</v>
      </c>
      <c r="M631" s="11">
        <v>73265</v>
      </c>
    </row>
    <row r="632" spans="1:13" x14ac:dyDescent="0.3">
      <c r="A632" s="10">
        <v>6712</v>
      </c>
      <c r="B632" s="10">
        <v>31</v>
      </c>
      <c r="C632" s="10" t="s">
        <v>966</v>
      </c>
      <c r="D632" s="10">
        <v>0</v>
      </c>
      <c r="E632" s="10" t="s">
        <v>343</v>
      </c>
      <c r="F632" s="10">
        <v>0</v>
      </c>
      <c r="G632" s="10" t="s">
        <v>343</v>
      </c>
      <c r="H632" s="10">
        <v>0</v>
      </c>
      <c r="I632" s="10" t="s">
        <v>343</v>
      </c>
      <c r="J632" s="11">
        <v>775230</v>
      </c>
      <c r="K632" s="11">
        <v>791078</v>
      </c>
      <c r="L632" s="11">
        <v>1566308</v>
      </c>
      <c r="M632" s="11">
        <v>504266</v>
      </c>
    </row>
    <row r="633" spans="1:13" x14ac:dyDescent="0.3">
      <c r="A633" s="10">
        <v>6712</v>
      </c>
      <c r="B633" s="10">
        <v>31</v>
      </c>
      <c r="C633" s="10" t="s">
        <v>966</v>
      </c>
      <c r="D633" s="10">
        <v>3101</v>
      </c>
      <c r="E633" s="10" t="s">
        <v>967</v>
      </c>
      <c r="F633" s="10">
        <v>0</v>
      </c>
      <c r="G633" s="10" t="s">
        <v>343</v>
      </c>
      <c r="H633" s="10">
        <v>0</v>
      </c>
      <c r="I633" s="10" t="s">
        <v>343</v>
      </c>
      <c r="J633" s="11">
        <v>83803</v>
      </c>
      <c r="K633" s="11">
        <v>86137</v>
      </c>
      <c r="L633" s="11">
        <v>169940</v>
      </c>
      <c r="M633" s="11">
        <v>53568</v>
      </c>
    </row>
    <row r="634" spans="1:13" x14ac:dyDescent="0.3">
      <c r="A634" s="10">
        <v>6712</v>
      </c>
      <c r="B634" s="10">
        <v>31</v>
      </c>
      <c r="C634" s="10" t="s">
        <v>966</v>
      </c>
      <c r="D634" s="10">
        <v>3102</v>
      </c>
      <c r="E634" s="10" t="s">
        <v>968</v>
      </c>
      <c r="F634" s="10">
        <v>0</v>
      </c>
      <c r="G634" s="10" t="s">
        <v>343</v>
      </c>
      <c r="H634" s="10">
        <v>0</v>
      </c>
      <c r="I634" s="10" t="s">
        <v>343</v>
      </c>
      <c r="J634" s="11">
        <v>29318</v>
      </c>
      <c r="K634" s="11">
        <v>29279</v>
      </c>
      <c r="L634" s="11">
        <v>58597</v>
      </c>
      <c r="M634" s="11">
        <v>16997</v>
      </c>
    </row>
    <row r="635" spans="1:13" x14ac:dyDescent="0.3">
      <c r="A635" s="10">
        <v>6712</v>
      </c>
      <c r="B635" s="10">
        <v>31</v>
      </c>
      <c r="C635" s="10" t="s">
        <v>966</v>
      </c>
      <c r="D635" s="10">
        <v>3103</v>
      </c>
      <c r="E635" s="10" t="s">
        <v>969</v>
      </c>
      <c r="F635" s="10">
        <v>0</v>
      </c>
      <c r="G635" s="10" t="s">
        <v>343</v>
      </c>
      <c r="H635" s="10">
        <v>0</v>
      </c>
      <c r="I635" s="10" t="s">
        <v>343</v>
      </c>
      <c r="J635" s="11">
        <v>49754</v>
      </c>
      <c r="K635" s="11">
        <v>50951</v>
      </c>
      <c r="L635" s="11">
        <v>100705</v>
      </c>
      <c r="M635" s="11">
        <v>27512</v>
      </c>
    </row>
    <row r="636" spans="1:13" x14ac:dyDescent="0.3">
      <c r="A636" s="10">
        <v>6712</v>
      </c>
      <c r="B636" s="10">
        <v>31</v>
      </c>
      <c r="C636" s="10" t="s">
        <v>966</v>
      </c>
      <c r="D636" s="10">
        <v>3104</v>
      </c>
      <c r="E636" s="10" t="s">
        <v>970</v>
      </c>
      <c r="F636" s="10">
        <v>0</v>
      </c>
      <c r="G636" s="10" t="s">
        <v>343</v>
      </c>
      <c r="H636" s="10">
        <v>0</v>
      </c>
      <c r="I636" s="10" t="s">
        <v>343</v>
      </c>
      <c r="J636" s="11">
        <v>45649</v>
      </c>
      <c r="K636" s="11">
        <v>47137</v>
      </c>
      <c r="L636" s="11">
        <v>92786</v>
      </c>
      <c r="M636" s="11">
        <v>27856</v>
      </c>
    </row>
    <row r="637" spans="1:13" x14ac:dyDescent="0.3">
      <c r="A637" s="10">
        <v>6712</v>
      </c>
      <c r="B637" s="10">
        <v>31</v>
      </c>
      <c r="C637" s="10" t="s">
        <v>966</v>
      </c>
      <c r="D637" s="10">
        <v>3105</v>
      </c>
      <c r="E637" s="10" t="s">
        <v>971</v>
      </c>
      <c r="F637" s="10">
        <v>0</v>
      </c>
      <c r="G637" s="10" t="s">
        <v>343</v>
      </c>
      <c r="H637" s="10">
        <v>0</v>
      </c>
      <c r="I637" s="10" t="s">
        <v>343</v>
      </c>
      <c r="J637" s="11">
        <v>28659</v>
      </c>
      <c r="K637" s="11">
        <v>28443</v>
      </c>
      <c r="L637" s="11">
        <v>57102</v>
      </c>
      <c r="M637" s="11">
        <v>16177</v>
      </c>
    </row>
    <row r="638" spans="1:13" x14ac:dyDescent="0.3">
      <c r="A638" s="10">
        <v>6712</v>
      </c>
      <c r="B638" s="10">
        <v>31</v>
      </c>
      <c r="C638" s="10" t="s">
        <v>966</v>
      </c>
      <c r="D638" s="10">
        <v>3106</v>
      </c>
      <c r="E638" s="10" t="s">
        <v>972</v>
      </c>
      <c r="F638" s="10">
        <v>0</v>
      </c>
      <c r="G638" s="10" t="s">
        <v>343</v>
      </c>
      <c r="H638" s="10">
        <v>0</v>
      </c>
      <c r="I638" s="10" t="s">
        <v>343</v>
      </c>
      <c r="J638" s="11">
        <v>9654</v>
      </c>
      <c r="K638" s="11">
        <v>9699</v>
      </c>
      <c r="L638" s="11">
        <v>19353</v>
      </c>
      <c r="M638" s="11">
        <v>6099</v>
      </c>
    </row>
    <row r="639" spans="1:13" x14ac:dyDescent="0.3">
      <c r="A639" s="10">
        <v>6712</v>
      </c>
      <c r="B639" s="10">
        <v>31</v>
      </c>
      <c r="C639" s="10" t="s">
        <v>966</v>
      </c>
      <c r="D639" s="10">
        <v>3107</v>
      </c>
      <c r="E639" s="10" t="s">
        <v>973</v>
      </c>
      <c r="F639" s="10">
        <v>0</v>
      </c>
      <c r="G639" s="10" t="s">
        <v>343</v>
      </c>
      <c r="H639" s="10">
        <v>0</v>
      </c>
      <c r="I639" s="10" t="s">
        <v>343</v>
      </c>
      <c r="J639" s="11">
        <v>61874</v>
      </c>
      <c r="K639" s="11">
        <v>62752</v>
      </c>
      <c r="L639" s="11">
        <v>124626</v>
      </c>
      <c r="M639" s="11">
        <v>38673</v>
      </c>
    </row>
    <row r="640" spans="1:13" x14ac:dyDescent="0.3">
      <c r="A640" s="10">
        <v>6712</v>
      </c>
      <c r="B640" s="10">
        <v>31</v>
      </c>
      <c r="C640" s="10" t="s">
        <v>966</v>
      </c>
      <c r="D640" s="10">
        <v>3108</v>
      </c>
      <c r="E640" s="10" t="s">
        <v>974</v>
      </c>
      <c r="F640" s="10">
        <v>0</v>
      </c>
      <c r="G640" s="10" t="s">
        <v>343</v>
      </c>
      <c r="H640" s="10">
        <v>0</v>
      </c>
      <c r="I640" s="10" t="s">
        <v>343</v>
      </c>
      <c r="J640" s="11">
        <v>20318</v>
      </c>
      <c r="K640" s="11">
        <v>20503</v>
      </c>
      <c r="L640" s="11">
        <v>40821</v>
      </c>
      <c r="M640" s="11">
        <v>11926</v>
      </c>
    </row>
    <row r="641" spans="1:13" x14ac:dyDescent="0.3">
      <c r="A641" s="10">
        <v>6712</v>
      </c>
      <c r="B641" s="10">
        <v>31</v>
      </c>
      <c r="C641" s="10" t="s">
        <v>966</v>
      </c>
      <c r="D641" s="10">
        <v>3109</v>
      </c>
      <c r="E641" s="10" t="s">
        <v>975</v>
      </c>
      <c r="F641" s="10">
        <v>0</v>
      </c>
      <c r="G641" s="10" t="s">
        <v>343</v>
      </c>
      <c r="H641" s="10">
        <v>0</v>
      </c>
      <c r="I641" s="10" t="s">
        <v>343</v>
      </c>
      <c r="J641" s="11">
        <v>19972</v>
      </c>
      <c r="K641" s="11">
        <v>20979</v>
      </c>
      <c r="L641" s="11">
        <v>40951</v>
      </c>
      <c r="M641" s="11">
        <v>12887</v>
      </c>
    </row>
    <row r="642" spans="1:13" x14ac:dyDescent="0.3">
      <c r="A642" s="10">
        <v>6712</v>
      </c>
      <c r="B642" s="10">
        <v>31</v>
      </c>
      <c r="C642" s="10" t="s">
        <v>966</v>
      </c>
      <c r="D642" s="10">
        <v>3110</v>
      </c>
      <c r="E642" s="10" t="s">
        <v>976</v>
      </c>
      <c r="F642" s="10">
        <v>0</v>
      </c>
      <c r="G642" s="10" t="s">
        <v>343</v>
      </c>
      <c r="H642" s="10">
        <v>0</v>
      </c>
      <c r="I642" s="10" t="s">
        <v>343</v>
      </c>
      <c r="J642" s="11">
        <v>56431</v>
      </c>
      <c r="K642" s="11">
        <v>56820</v>
      </c>
      <c r="L642" s="11">
        <v>113251</v>
      </c>
      <c r="M642" s="11">
        <v>32571</v>
      </c>
    </row>
    <row r="643" spans="1:13" x14ac:dyDescent="0.3">
      <c r="A643" s="10">
        <v>6712</v>
      </c>
      <c r="B643" s="10">
        <v>31</v>
      </c>
      <c r="C643" s="10" t="s">
        <v>966</v>
      </c>
      <c r="D643" s="10">
        <v>3111</v>
      </c>
      <c r="E643" s="10" t="s">
        <v>977</v>
      </c>
      <c r="F643" s="10">
        <v>0</v>
      </c>
      <c r="G643" s="10" t="s">
        <v>343</v>
      </c>
      <c r="H643" s="10">
        <v>0</v>
      </c>
      <c r="I643" s="10" t="s">
        <v>343</v>
      </c>
      <c r="J643" s="11">
        <v>48724</v>
      </c>
      <c r="K643" s="11">
        <v>49075</v>
      </c>
      <c r="L643" s="11">
        <v>97799</v>
      </c>
      <c r="M643" s="11">
        <v>28402</v>
      </c>
    </row>
    <row r="644" spans="1:13" x14ac:dyDescent="0.3">
      <c r="A644" s="10">
        <v>6712</v>
      </c>
      <c r="B644" s="10">
        <v>31</v>
      </c>
      <c r="C644" s="10" t="s">
        <v>966</v>
      </c>
      <c r="D644" s="10">
        <v>3112</v>
      </c>
      <c r="E644" s="10" t="s">
        <v>978</v>
      </c>
      <c r="F644" s="10">
        <v>0</v>
      </c>
      <c r="G644" s="10" t="s">
        <v>343</v>
      </c>
      <c r="H644" s="10">
        <v>0</v>
      </c>
      <c r="I644" s="10" t="s">
        <v>343</v>
      </c>
      <c r="J644" s="11">
        <v>19033</v>
      </c>
      <c r="K644" s="11">
        <v>18954</v>
      </c>
      <c r="L644" s="11">
        <v>37987</v>
      </c>
      <c r="M644" s="11">
        <v>12268</v>
      </c>
    </row>
    <row r="645" spans="1:13" x14ac:dyDescent="0.3">
      <c r="A645" s="10">
        <v>6712</v>
      </c>
      <c r="B645" s="10">
        <v>31</v>
      </c>
      <c r="C645" s="10" t="s">
        <v>966</v>
      </c>
      <c r="D645" s="10">
        <v>3113</v>
      </c>
      <c r="E645" s="10" t="s">
        <v>979</v>
      </c>
      <c r="F645" s="10">
        <v>0</v>
      </c>
      <c r="G645" s="10" t="s">
        <v>343</v>
      </c>
      <c r="H645" s="10">
        <v>0</v>
      </c>
      <c r="I645" s="10" t="s">
        <v>343</v>
      </c>
      <c r="J645" s="11">
        <v>13722</v>
      </c>
      <c r="K645" s="11">
        <v>14206</v>
      </c>
      <c r="L645" s="11">
        <v>27928</v>
      </c>
      <c r="M645" s="11">
        <v>8289</v>
      </c>
    </row>
    <row r="646" spans="1:13" x14ac:dyDescent="0.3">
      <c r="A646" s="10">
        <v>6712</v>
      </c>
      <c r="B646" s="10">
        <v>31</v>
      </c>
      <c r="C646" s="10" t="s">
        <v>966</v>
      </c>
      <c r="D646" s="10">
        <v>3114</v>
      </c>
      <c r="E646" s="10" t="s">
        <v>980</v>
      </c>
      <c r="F646" s="10">
        <v>0</v>
      </c>
      <c r="G646" s="10" t="s">
        <v>343</v>
      </c>
      <c r="H646" s="10">
        <v>0</v>
      </c>
      <c r="I646" s="10" t="s">
        <v>343</v>
      </c>
      <c r="J646" s="11">
        <v>17663</v>
      </c>
      <c r="K646" s="11">
        <v>17493</v>
      </c>
      <c r="L646" s="11">
        <v>35156</v>
      </c>
      <c r="M646" s="11">
        <v>9778</v>
      </c>
    </row>
    <row r="647" spans="1:13" x14ac:dyDescent="0.3">
      <c r="A647" s="10">
        <v>6712</v>
      </c>
      <c r="B647" s="10">
        <v>31</v>
      </c>
      <c r="C647" s="10" t="s">
        <v>966</v>
      </c>
      <c r="D647" s="10">
        <v>3115</v>
      </c>
      <c r="E647" s="10" t="s">
        <v>981</v>
      </c>
      <c r="F647" s="10">
        <v>0</v>
      </c>
      <c r="G647" s="10" t="s">
        <v>343</v>
      </c>
      <c r="H647" s="10">
        <v>0</v>
      </c>
      <c r="I647" s="10" t="s">
        <v>343</v>
      </c>
      <c r="J647" s="11">
        <v>14032</v>
      </c>
      <c r="K647" s="11">
        <v>13722</v>
      </c>
      <c r="L647" s="11">
        <v>27754</v>
      </c>
      <c r="M647" s="11">
        <v>7589</v>
      </c>
    </row>
    <row r="648" spans="1:13" x14ac:dyDescent="0.3">
      <c r="A648" s="10">
        <v>6712</v>
      </c>
      <c r="B648" s="10">
        <v>31</v>
      </c>
      <c r="C648" s="10" t="s">
        <v>966</v>
      </c>
      <c r="D648" s="10">
        <v>3116</v>
      </c>
      <c r="E648" s="10" t="s">
        <v>982</v>
      </c>
      <c r="F648" s="10">
        <v>0</v>
      </c>
      <c r="G648" s="10" t="s">
        <v>343</v>
      </c>
      <c r="H648" s="10">
        <v>0</v>
      </c>
      <c r="I648" s="10" t="s">
        <v>343</v>
      </c>
      <c r="J648" s="11">
        <v>16032</v>
      </c>
      <c r="K648" s="11">
        <v>16324</v>
      </c>
      <c r="L648" s="11">
        <v>32356</v>
      </c>
      <c r="M648" s="11">
        <v>8675</v>
      </c>
    </row>
    <row r="649" spans="1:13" x14ac:dyDescent="0.3">
      <c r="A649" s="10">
        <v>6712</v>
      </c>
      <c r="B649" s="10">
        <v>31</v>
      </c>
      <c r="C649" s="10" t="s">
        <v>966</v>
      </c>
      <c r="D649" s="10">
        <v>3117</v>
      </c>
      <c r="E649" s="10" t="s">
        <v>983</v>
      </c>
      <c r="F649" s="10">
        <v>0</v>
      </c>
      <c r="G649" s="10" t="s">
        <v>343</v>
      </c>
      <c r="H649" s="10">
        <v>0</v>
      </c>
      <c r="I649" s="10" t="s">
        <v>343</v>
      </c>
      <c r="J649" s="11">
        <v>10899</v>
      </c>
      <c r="K649" s="11">
        <v>10916</v>
      </c>
      <c r="L649" s="11">
        <v>21815</v>
      </c>
      <c r="M649" s="11">
        <v>6706</v>
      </c>
    </row>
    <row r="650" spans="1:13" x14ac:dyDescent="0.3">
      <c r="A650" s="10">
        <v>6712</v>
      </c>
      <c r="B650" s="10">
        <v>31</v>
      </c>
      <c r="C650" s="10" t="s">
        <v>966</v>
      </c>
      <c r="D650" s="10">
        <v>3118</v>
      </c>
      <c r="E650" s="10" t="s">
        <v>984</v>
      </c>
      <c r="F650" s="10">
        <v>0</v>
      </c>
      <c r="G650" s="10" t="s">
        <v>343</v>
      </c>
      <c r="H650" s="10">
        <v>0</v>
      </c>
      <c r="I650" s="10" t="s">
        <v>343</v>
      </c>
      <c r="J650" s="11">
        <v>17457</v>
      </c>
      <c r="K650" s="11">
        <v>17614</v>
      </c>
      <c r="L650" s="11">
        <v>35071</v>
      </c>
      <c r="M650" s="11">
        <v>9561</v>
      </c>
    </row>
    <row r="651" spans="1:13" x14ac:dyDescent="0.3">
      <c r="A651" s="10">
        <v>6712</v>
      </c>
      <c r="B651" s="10">
        <v>31</v>
      </c>
      <c r="C651" s="10" t="s">
        <v>966</v>
      </c>
      <c r="D651" s="10">
        <v>3119</v>
      </c>
      <c r="E651" s="10" t="s">
        <v>985</v>
      </c>
      <c r="F651" s="10">
        <v>0</v>
      </c>
      <c r="G651" s="10" t="s">
        <v>343</v>
      </c>
      <c r="H651" s="10">
        <v>0</v>
      </c>
      <c r="I651" s="10" t="s">
        <v>343</v>
      </c>
      <c r="J651" s="11">
        <v>10671</v>
      </c>
      <c r="K651" s="11">
        <v>10998</v>
      </c>
      <c r="L651" s="11">
        <v>21669</v>
      </c>
      <c r="M651" s="11">
        <v>6364</v>
      </c>
    </row>
    <row r="652" spans="1:13" x14ac:dyDescent="0.3">
      <c r="A652" s="10">
        <v>6712</v>
      </c>
      <c r="B652" s="10">
        <v>31</v>
      </c>
      <c r="C652" s="10" t="s">
        <v>966</v>
      </c>
      <c r="D652" s="10">
        <v>3120</v>
      </c>
      <c r="E652" s="10" t="s">
        <v>986</v>
      </c>
      <c r="F652" s="10">
        <v>0</v>
      </c>
      <c r="G652" s="10" t="s">
        <v>343</v>
      </c>
      <c r="H652" s="10">
        <v>0</v>
      </c>
      <c r="I652" s="10" t="s">
        <v>343</v>
      </c>
      <c r="J652" s="11">
        <v>9334</v>
      </c>
      <c r="K652" s="11">
        <v>9288</v>
      </c>
      <c r="L652" s="11">
        <v>18622</v>
      </c>
      <c r="M652" s="11">
        <v>5981</v>
      </c>
    </row>
    <row r="653" spans="1:13" x14ac:dyDescent="0.3">
      <c r="A653" s="10">
        <v>6712</v>
      </c>
      <c r="B653" s="10">
        <v>31</v>
      </c>
      <c r="C653" s="10" t="s">
        <v>966</v>
      </c>
      <c r="D653" s="10">
        <v>3121</v>
      </c>
      <c r="E653" s="10" t="s">
        <v>987</v>
      </c>
      <c r="F653" s="10">
        <v>0</v>
      </c>
      <c r="G653" s="10" t="s">
        <v>343</v>
      </c>
      <c r="H653" s="10">
        <v>0</v>
      </c>
      <c r="I653" s="10" t="s">
        <v>343</v>
      </c>
      <c r="J653" s="11">
        <v>9147</v>
      </c>
      <c r="K653" s="11">
        <v>9473</v>
      </c>
      <c r="L653" s="11">
        <v>18620</v>
      </c>
      <c r="M653" s="11">
        <v>4828</v>
      </c>
    </row>
    <row r="654" spans="1:13" x14ac:dyDescent="0.3">
      <c r="A654" s="10">
        <v>6712</v>
      </c>
      <c r="B654" s="10">
        <v>31</v>
      </c>
      <c r="C654" s="10" t="s">
        <v>966</v>
      </c>
      <c r="D654" s="10">
        <v>3122</v>
      </c>
      <c r="E654" s="10" t="s">
        <v>988</v>
      </c>
      <c r="F654" s="10">
        <v>0</v>
      </c>
      <c r="G654" s="10" t="s">
        <v>343</v>
      </c>
      <c r="H654" s="10">
        <v>0</v>
      </c>
      <c r="I654" s="10" t="s">
        <v>343</v>
      </c>
      <c r="J654" s="11">
        <v>13207</v>
      </c>
      <c r="K654" s="11">
        <v>13437</v>
      </c>
      <c r="L654" s="11">
        <v>26644</v>
      </c>
      <c r="M654" s="11">
        <v>7668</v>
      </c>
    </row>
    <row r="655" spans="1:13" x14ac:dyDescent="0.3">
      <c r="A655" s="10">
        <v>6712</v>
      </c>
      <c r="B655" s="10">
        <v>31</v>
      </c>
      <c r="C655" s="10" t="s">
        <v>966</v>
      </c>
      <c r="D655" s="10">
        <v>3123</v>
      </c>
      <c r="E655" s="10" t="s">
        <v>621</v>
      </c>
      <c r="F655" s="10">
        <v>0</v>
      </c>
      <c r="G655" s="10" t="s">
        <v>343</v>
      </c>
      <c r="H655" s="10">
        <v>0</v>
      </c>
      <c r="I655" s="10" t="s">
        <v>343</v>
      </c>
      <c r="J655" s="11">
        <v>5997</v>
      </c>
      <c r="K655" s="11">
        <v>6036</v>
      </c>
      <c r="L655" s="11">
        <v>12033</v>
      </c>
      <c r="M655" s="11">
        <v>3697</v>
      </c>
    </row>
    <row r="656" spans="1:13" x14ac:dyDescent="0.3">
      <c r="A656" s="10">
        <v>6712</v>
      </c>
      <c r="B656" s="10">
        <v>31</v>
      </c>
      <c r="C656" s="10" t="s">
        <v>966</v>
      </c>
      <c r="D656" s="10">
        <v>3162</v>
      </c>
      <c r="E656" s="10" t="s">
        <v>989</v>
      </c>
      <c r="F656" s="10">
        <v>0</v>
      </c>
      <c r="G656" s="10" t="s">
        <v>343</v>
      </c>
      <c r="H656" s="10">
        <v>0</v>
      </c>
      <c r="I656" s="10" t="s">
        <v>343</v>
      </c>
      <c r="J656" s="11">
        <v>5139</v>
      </c>
      <c r="K656" s="11">
        <v>5248</v>
      </c>
      <c r="L656" s="11">
        <v>10387</v>
      </c>
      <c r="M656" s="11">
        <v>3072</v>
      </c>
    </row>
    <row r="657" spans="1:13" x14ac:dyDescent="0.3">
      <c r="A657" s="10">
        <v>6712</v>
      </c>
      <c r="B657" s="10">
        <v>31</v>
      </c>
      <c r="C657" s="10" t="s">
        <v>966</v>
      </c>
      <c r="D657" s="10">
        <v>3163</v>
      </c>
      <c r="E657" s="10" t="s">
        <v>990</v>
      </c>
      <c r="F657" s="10">
        <v>0</v>
      </c>
      <c r="G657" s="10" t="s">
        <v>343</v>
      </c>
      <c r="H657" s="10">
        <v>0</v>
      </c>
      <c r="I657" s="10" t="s">
        <v>343</v>
      </c>
      <c r="J657" s="11">
        <v>4815</v>
      </c>
      <c r="K657" s="11">
        <v>4908</v>
      </c>
      <c r="L657" s="11">
        <v>9723</v>
      </c>
      <c r="M657" s="11">
        <v>2828</v>
      </c>
    </row>
    <row r="658" spans="1:13" x14ac:dyDescent="0.3">
      <c r="A658" s="10">
        <v>6712</v>
      </c>
      <c r="B658" s="10">
        <v>31</v>
      </c>
      <c r="C658" s="10" t="s">
        <v>966</v>
      </c>
      <c r="D658" s="10">
        <v>3164</v>
      </c>
      <c r="E658" s="10" t="s">
        <v>991</v>
      </c>
      <c r="F658" s="10">
        <v>0</v>
      </c>
      <c r="G658" s="10" t="s">
        <v>343</v>
      </c>
      <c r="H658" s="10">
        <v>0</v>
      </c>
      <c r="I658" s="10" t="s">
        <v>343</v>
      </c>
      <c r="J658" s="11">
        <v>6284</v>
      </c>
      <c r="K658" s="11">
        <v>6268</v>
      </c>
      <c r="L658" s="11">
        <v>12552</v>
      </c>
      <c r="M658" s="11">
        <v>3912</v>
      </c>
    </row>
    <row r="659" spans="1:13" x14ac:dyDescent="0.3">
      <c r="A659" s="10">
        <v>6712</v>
      </c>
      <c r="B659" s="10">
        <v>31</v>
      </c>
      <c r="C659" s="10" t="s">
        <v>966</v>
      </c>
      <c r="D659" s="10">
        <v>3165</v>
      </c>
      <c r="E659" s="10" t="s">
        <v>992</v>
      </c>
      <c r="F659" s="10">
        <v>0</v>
      </c>
      <c r="G659" s="10" t="s">
        <v>343</v>
      </c>
      <c r="H659" s="10">
        <v>0</v>
      </c>
      <c r="I659" s="10" t="s">
        <v>343</v>
      </c>
      <c r="J659" s="11">
        <v>3879</v>
      </c>
      <c r="K659" s="11">
        <v>3953</v>
      </c>
      <c r="L659" s="11">
        <v>7832</v>
      </c>
      <c r="M659" s="11">
        <v>2513</v>
      </c>
    </row>
    <row r="660" spans="1:13" x14ac:dyDescent="0.3">
      <c r="A660" s="10">
        <v>6712</v>
      </c>
      <c r="B660" s="10">
        <v>31</v>
      </c>
      <c r="C660" s="10" t="s">
        <v>966</v>
      </c>
      <c r="D660" s="10">
        <v>3166</v>
      </c>
      <c r="E660" s="10" t="s">
        <v>993</v>
      </c>
      <c r="F660" s="10">
        <v>0</v>
      </c>
      <c r="G660" s="10" t="s">
        <v>343</v>
      </c>
      <c r="H660" s="10">
        <v>0</v>
      </c>
      <c r="I660" s="10" t="s">
        <v>343</v>
      </c>
      <c r="J660" s="11">
        <v>8416</v>
      </c>
      <c r="K660" s="11">
        <v>8339</v>
      </c>
      <c r="L660" s="11">
        <v>16755</v>
      </c>
      <c r="M660" s="11">
        <v>4408</v>
      </c>
    </row>
    <row r="661" spans="1:13" x14ac:dyDescent="0.3">
      <c r="A661" s="10">
        <v>6712</v>
      </c>
      <c r="B661" s="10">
        <v>31</v>
      </c>
      <c r="C661" s="10" t="s">
        <v>966</v>
      </c>
      <c r="D661" s="10">
        <v>3167</v>
      </c>
      <c r="E661" s="10" t="s">
        <v>994</v>
      </c>
      <c r="F661" s="10">
        <v>0</v>
      </c>
      <c r="G661" s="10" t="s">
        <v>343</v>
      </c>
      <c r="H661" s="10">
        <v>0</v>
      </c>
      <c r="I661" s="10" t="s">
        <v>343</v>
      </c>
      <c r="J661" s="11">
        <v>5062</v>
      </c>
      <c r="K661" s="11">
        <v>5035</v>
      </c>
      <c r="L661" s="11">
        <v>10097</v>
      </c>
      <c r="M661" s="11">
        <v>3041</v>
      </c>
    </row>
    <row r="662" spans="1:13" x14ac:dyDescent="0.3">
      <c r="A662" s="10">
        <v>6712</v>
      </c>
      <c r="B662" s="10">
        <v>31</v>
      </c>
      <c r="C662" s="10" t="s">
        <v>966</v>
      </c>
      <c r="D662" s="10">
        <v>3168</v>
      </c>
      <c r="E662" s="10" t="s">
        <v>995</v>
      </c>
      <c r="F662" s="10">
        <v>0</v>
      </c>
      <c r="G662" s="10" t="s">
        <v>343</v>
      </c>
      <c r="H662" s="10">
        <v>0</v>
      </c>
      <c r="I662" s="10" t="s">
        <v>343</v>
      </c>
      <c r="J662" s="11">
        <v>4691</v>
      </c>
      <c r="K662" s="11">
        <v>4696</v>
      </c>
      <c r="L662" s="11">
        <v>9387</v>
      </c>
      <c r="M662" s="11">
        <v>2848</v>
      </c>
    </row>
    <row r="663" spans="1:13" x14ac:dyDescent="0.3">
      <c r="A663" s="10">
        <v>6712</v>
      </c>
      <c r="B663" s="10">
        <v>31</v>
      </c>
      <c r="C663" s="10" t="s">
        <v>966</v>
      </c>
      <c r="D663" s="10">
        <v>3169</v>
      </c>
      <c r="E663" s="10" t="s">
        <v>996</v>
      </c>
      <c r="F663" s="10">
        <v>0</v>
      </c>
      <c r="G663" s="10" t="s">
        <v>343</v>
      </c>
      <c r="H663" s="10">
        <v>0</v>
      </c>
      <c r="I663" s="10" t="s">
        <v>343</v>
      </c>
      <c r="J663" s="11">
        <v>5857</v>
      </c>
      <c r="K663" s="11">
        <v>6044</v>
      </c>
      <c r="L663" s="11">
        <v>11901</v>
      </c>
      <c r="M663" s="11">
        <v>3487</v>
      </c>
    </row>
    <row r="664" spans="1:13" x14ac:dyDescent="0.3">
      <c r="A664" s="10">
        <v>6712</v>
      </c>
      <c r="B664" s="10">
        <v>31</v>
      </c>
      <c r="C664" s="10" t="s">
        <v>966</v>
      </c>
      <c r="D664" s="10">
        <v>3170</v>
      </c>
      <c r="E664" s="10" t="s">
        <v>997</v>
      </c>
      <c r="F664" s="10">
        <v>0</v>
      </c>
      <c r="G664" s="10" t="s">
        <v>343</v>
      </c>
      <c r="H664" s="10">
        <v>0</v>
      </c>
      <c r="I664" s="10" t="s">
        <v>343</v>
      </c>
      <c r="J664" s="11">
        <v>3765</v>
      </c>
      <c r="K664" s="11">
        <v>3825</v>
      </c>
      <c r="L664" s="11">
        <v>7590</v>
      </c>
      <c r="M664" s="11">
        <v>2274</v>
      </c>
    </row>
    <row r="665" spans="1:13" x14ac:dyDescent="0.3">
      <c r="A665" s="10">
        <v>6712</v>
      </c>
      <c r="B665" s="10">
        <v>31</v>
      </c>
      <c r="C665" s="10" t="s">
        <v>966</v>
      </c>
      <c r="D665" s="10">
        <v>3171</v>
      </c>
      <c r="E665" s="10" t="s">
        <v>998</v>
      </c>
      <c r="F665" s="10">
        <v>0</v>
      </c>
      <c r="G665" s="10" t="s">
        <v>343</v>
      </c>
      <c r="H665" s="10">
        <v>0</v>
      </c>
      <c r="I665" s="10" t="s">
        <v>343</v>
      </c>
      <c r="J665" s="11">
        <v>4318</v>
      </c>
      <c r="K665" s="11">
        <v>4255</v>
      </c>
      <c r="L665" s="11">
        <v>8573</v>
      </c>
      <c r="M665" s="11">
        <v>2437</v>
      </c>
    </row>
    <row r="666" spans="1:13" x14ac:dyDescent="0.3">
      <c r="A666" s="10">
        <v>6712</v>
      </c>
      <c r="B666" s="10">
        <v>31</v>
      </c>
      <c r="C666" s="10" t="s">
        <v>966</v>
      </c>
      <c r="D666" s="10">
        <v>3174</v>
      </c>
      <c r="E666" s="10" t="s">
        <v>999</v>
      </c>
      <c r="F666" s="10">
        <v>0</v>
      </c>
      <c r="G666" s="10" t="s">
        <v>343</v>
      </c>
      <c r="H666" s="10">
        <v>0</v>
      </c>
      <c r="I666" s="10" t="s">
        <v>343</v>
      </c>
      <c r="J666" s="11">
        <v>1678</v>
      </c>
      <c r="K666" s="11">
        <v>1704</v>
      </c>
      <c r="L666" s="11">
        <v>3382</v>
      </c>
      <c r="M666" s="11">
        <v>1377</v>
      </c>
    </row>
    <row r="667" spans="1:13" x14ac:dyDescent="0.3">
      <c r="A667" s="10">
        <v>6712</v>
      </c>
      <c r="B667" s="10">
        <v>31</v>
      </c>
      <c r="C667" s="10" t="s">
        <v>966</v>
      </c>
      <c r="D667" s="10">
        <v>3175</v>
      </c>
      <c r="E667" s="10" t="s">
        <v>1000</v>
      </c>
      <c r="F667" s="10">
        <v>0</v>
      </c>
      <c r="G667" s="10" t="s">
        <v>343</v>
      </c>
      <c r="H667" s="10">
        <v>0</v>
      </c>
      <c r="I667" s="10" t="s">
        <v>343</v>
      </c>
      <c r="J667" s="11">
        <v>8337</v>
      </c>
      <c r="K667" s="11">
        <v>8229</v>
      </c>
      <c r="L667" s="11">
        <v>16566</v>
      </c>
      <c r="M667" s="11">
        <v>4508</v>
      </c>
    </row>
    <row r="668" spans="1:13" x14ac:dyDescent="0.3">
      <c r="A668" s="10">
        <v>6712</v>
      </c>
      <c r="B668" s="10">
        <v>31</v>
      </c>
      <c r="C668" s="10" t="s">
        <v>966</v>
      </c>
      <c r="D668" s="10">
        <v>3176</v>
      </c>
      <c r="E668" s="10" t="s">
        <v>1001</v>
      </c>
      <c r="F668" s="10">
        <v>0</v>
      </c>
      <c r="G668" s="10" t="s">
        <v>343</v>
      </c>
      <c r="H668" s="10">
        <v>0</v>
      </c>
      <c r="I668" s="10" t="s">
        <v>343</v>
      </c>
      <c r="J668" s="11">
        <v>5560</v>
      </c>
      <c r="K668" s="11">
        <v>5978</v>
      </c>
      <c r="L668" s="11">
        <v>11538</v>
      </c>
      <c r="M668" s="11">
        <v>4047</v>
      </c>
    </row>
    <row r="669" spans="1:13" x14ac:dyDescent="0.3">
      <c r="A669" s="10">
        <v>6712</v>
      </c>
      <c r="B669" s="10">
        <v>31</v>
      </c>
      <c r="C669" s="10" t="s">
        <v>966</v>
      </c>
      <c r="D669" s="10">
        <v>3177</v>
      </c>
      <c r="E669" s="10" t="s">
        <v>1002</v>
      </c>
      <c r="F669" s="10">
        <v>0</v>
      </c>
      <c r="G669" s="10" t="s">
        <v>343</v>
      </c>
      <c r="H669" s="10">
        <v>0</v>
      </c>
      <c r="I669" s="10" t="s">
        <v>343</v>
      </c>
      <c r="J669" s="11">
        <v>2668</v>
      </c>
      <c r="K669" s="11">
        <v>2737</v>
      </c>
      <c r="L669" s="11">
        <v>5405</v>
      </c>
      <c r="M669" s="11">
        <v>2051</v>
      </c>
    </row>
    <row r="670" spans="1:13" x14ac:dyDescent="0.3">
      <c r="A670" s="10">
        <v>6712</v>
      </c>
      <c r="B670" s="10">
        <v>31</v>
      </c>
      <c r="C670" s="10" t="s">
        <v>966</v>
      </c>
      <c r="D670" s="10">
        <v>3178</v>
      </c>
      <c r="E670" s="10" t="s">
        <v>1003</v>
      </c>
      <c r="F670" s="10">
        <v>0</v>
      </c>
      <c r="G670" s="10" t="s">
        <v>343</v>
      </c>
      <c r="H670" s="10">
        <v>0</v>
      </c>
      <c r="I670" s="10" t="s">
        <v>343</v>
      </c>
      <c r="J670" s="11">
        <v>4504</v>
      </c>
      <c r="K670" s="11">
        <v>4668</v>
      </c>
      <c r="L670" s="11">
        <v>9172</v>
      </c>
      <c r="M670" s="11">
        <v>3727</v>
      </c>
    </row>
    <row r="671" spans="1:13" x14ac:dyDescent="0.3">
      <c r="A671" s="10">
        <v>6712</v>
      </c>
      <c r="B671" s="10">
        <v>31</v>
      </c>
      <c r="C671" s="10" t="s">
        <v>966</v>
      </c>
      <c r="D671" s="10">
        <v>3179</v>
      </c>
      <c r="E671" s="10" t="s">
        <v>1004</v>
      </c>
      <c r="F671" s="10">
        <v>0</v>
      </c>
      <c r="G671" s="10" t="s">
        <v>343</v>
      </c>
      <c r="H671" s="10">
        <v>0</v>
      </c>
      <c r="I671" s="10" t="s">
        <v>343</v>
      </c>
      <c r="J671" s="11">
        <v>2054</v>
      </c>
      <c r="K671" s="11">
        <v>2155</v>
      </c>
      <c r="L671" s="11">
        <v>4209</v>
      </c>
      <c r="M671" s="11">
        <v>1478</v>
      </c>
    </row>
    <row r="672" spans="1:13" x14ac:dyDescent="0.3">
      <c r="A672" s="10">
        <v>6712</v>
      </c>
      <c r="B672" s="10">
        <v>31</v>
      </c>
      <c r="C672" s="10" t="s">
        <v>966</v>
      </c>
      <c r="D672" s="10">
        <v>3180</v>
      </c>
      <c r="E672" s="10" t="s">
        <v>1005</v>
      </c>
      <c r="F672" s="10">
        <v>0</v>
      </c>
      <c r="G672" s="10" t="s">
        <v>343</v>
      </c>
      <c r="H672" s="10">
        <v>0</v>
      </c>
      <c r="I672" s="10" t="s">
        <v>343</v>
      </c>
      <c r="J672" s="11">
        <v>1572</v>
      </c>
      <c r="K672" s="11">
        <v>1643</v>
      </c>
      <c r="L672" s="11">
        <v>3215</v>
      </c>
      <c r="M672" s="11">
        <v>1111</v>
      </c>
    </row>
    <row r="673" spans="1:13" x14ac:dyDescent="0.3">
      <c r="A673" s="10">
        <v>6712</v>
      </c>
      <c r="B673" s="10">
        <v>31</v>
      </c>
      <c r="C673" s="10" t="s">
        <v>966</v>
      </c>
      <c r="D673" s="10">
        <v>3181</v>
      </c>
      <c r="E673" s="10" t="s">
        <v>1006</v>
      </c>
      <c r="F673" s="10">
        <v>0</v>
      </c>
      <c r="G673" s="10" t="s">
        <v>343</v>
      </c>
      <c r="H673" s="10">
        <v>0</v>
      </c>
      <c r="I673" s="10" t="s">
        <v>343</v>
      </c>
      <c r="J673" s="11">
        <v>2445</v>
      </c>
      <c r="K673" s="11">
        <v>2555</v>
      </c>
      <c r="L673" s="11">
        <v>5000</v>
      </c>
      <c r="M673" s="11">
        <v>1486</v>
      </c>
    </row>
    <row r="674" spans="1:13" x14ac:dyDescent="0.3">
      <c r="A674" s="10">
        <v>6712</v>
      </c>
      <c r="B674" s="10">
        <v>31</v>
      </c>
      <c r="C674" s="10" t="s">
        <v>966</v>
      </c>
      <c r="D674" s="10">
        <v>3182</v>
      </c>
      <c r="E674" s="10" t="s">
        <v>1007</v>
      </c>
      <c r="F674" s="10">
        <v>0</v>
      </c>
      <c r="G674" s="10" t="s">
        <v>343</v>
      </c>
      <c r="H674" s="10">
        <v>0</v>
      </c>
      <c r="I674" s="10" t="s">
        <v>343</v>
      </c>
      <c r="J674" s="11">
        <v>3329</v>
      </c>
      <c r="K674" s="11">
        <v>3293</v>
      </c>
      <c r="L674" s="11">
        <v>6622</v>
      </c>
      <c r="M674" s="11">
        <v>2082</v>
      </c>
    </row>
    <row r="675" spans="1:13" x14ac:dyDescent="0.3">
      <c r="A675" s="10">
        <v>6712</v>
      </c>
      <c r="B675" s="10">
        <v>31</v>
      </c>
      <c r="C675" s="10" t="s">
        <v>966</v>
      </c>
      <c r="D675" s="10">
        <v>3183</v>
      </c>
      <c r="E675" s="10" t="s">
        <v>1008</v>
      </c>
      <c r="F675" s="10">
        <v>0</v>
      </c>
      <c r="G675" s="10" t="s">
        <v>343</v>
      </c>
      <c r="H675" s="10">
        <v>0</v>
      </c>
      <c r="I675" s="10" t="s">
        <v>343</v>
      </c>
      <c r="J675" s="11">
        <v>2316</v>
      </c>
      <c r="K675" s="11">
        <v>2354</v>
      </c>
      <c r="L675" s="11">
        <v>4670</v>
      </c>
      <c r="M675" s="11">
        <v>1842</v>
      </c>
    </row>
    <row r="676" spans="1:13" x14ac:dyDescent="0.3">
      <c r="A676" s="10">
        <v>6712</v>
      </c>
      <c r="B676" s="10">
        <v>31</v>
      </c>
      <c r="C676" s="10" t="s">
        <v>966</v>
      </c>
      <c r="D676" s="10">
        <v>3184</v>
      </c>
      <c r="E676" s="10" t="s">
        <v>1009</v>
      </c>
      <c r="F676" s="10">
        <v>0</v>
      </c>
      <c r="G676" s="10" t="s">
        <v>343</v>
      </c>
      <c r="H676" s="10">
        <v>0</v>
      </c>
      <c r="I676" s="10" t="s">
        <v>343</v>
      </c>
      <c r="J676" s="11">
        <v>1715</v>
      </c>
      <c r="K676" s="11">
        <v>1899</v>
      </c>
      <c r="L676" s="11">
        <v>3614</v>
      </c>
      <c r="M676" s="11">
        <v>1739</v>
      </c>
    </row>
    <row r="677" spans="1:13" x14ac:dyDescent="0.3">
      <c r="A677" s="10">
        <v>6712</v>
      </c>
      <c r="B677" s="10">
        <v>31</v>
      </c>
      <c r="C677" s="10" t="s">
        <v>966</v>
      </c>
      <c r="D677" s="10">
        <v>3185</v>
      </c>
      <c r="E677" s="10" t="s">
        <v>1010</v>
      </c>
      <c r="F677" s="10">
        <v>0</v>
      </c>
      <c r="G677" s="10" t="s">
        <v>343</v>
      </c>
      <c r="H677" s="10">
        <v>0</v>
      </c>
      <c r="I677" s="10" t="s">
        <v>343</v>
      </c>
      <c r="J677" s="11">
        <v>3477</v>
      </c>
      <c r="K677" s="11">
        <v>3621</v>
      </c>
      <c r="L677" s="11">
        <v>7098</v>
      </c>
      <c r="M677" s="11">
        <v>2951</v>
      </c>
    </row>
    <row r="678" spans="1:13" x14ac:dyDescent="0.3">
      <c r="A678" s="10">
        <v>6712</v>
      </c>
      <c r="B678" s="10">
        <v>31</v>
      </c>
      <c r="C678" s="10" t="s">
        <v>966</v>
      </c>
      <c r="D678" s="10">
        <v>3186</v>
      </c>
      <c r="E678" s="10" t="s">
        <v>1011</v>
      </c>
      <c r="F678" s="10">
        <v>0</v>
      </c>
      <c r="G678" s="10" t="s">
        <v>343</v>
      </c>
      <c r="H678" s="10">
        <v>0</v>
      </c>
      <c r="I678" s="10" t="s">
        <v>343</v>
      </c>
      <c r="J678" s="11">
        <v>5152</v>
      </c>
      <c r="K678" s="11">
        <v>5570</v>
      </c>
      <c r="L678" s="11">
        <v>10722</v>
      </c>
      <c r="M678" s="11">
        <v>5827</v>
      </c>
    </row>
    <row r="679" spans="1:13" x14ac:dyDescent="0.3">
      <c r="A679" s="10">
        <v>6712</v>
      </c>
      <c r="B679" s="10">
        <v>31</v>
      </c>
      <c r="C679" s="10" t="s">
        <v>966</v>
      </c>
      <c r="D679" s="10">
        <v>3187</v>
      </c>
      <c r="E679" s="10" t="s">
        <v>1012</v>
      </c>
      <c r="F679" s="10">
        <v>0</v>
      </c>
      <c r="G679" s="10" t="s">
        <v>343</v>
      </c>
      <c r="H679" s="10">
        <v>0</v>
      </c>
      <c r="I679" s="10" t="s">
        <v>343</v>
      </c>
      <c r="J679" s="11">
        <v>6159</v>
      </c>
      <c r="K679" s="11">
        <v>6764</v>
      </c>
      <c r="L679" s="11">
        <v>12923</v>
      </c>
      <c r="M679" s="11">
        <v>6432</v>
      </c>
    </row>
    <row r="680" spans="1:13" x14ac:dyDescent="0.3">
      <c r="A680" s="10">
        <v>6712</v>
      </c>
      <c r="B680" s="10">
        <v>31</v>
      </c>
      <c r="C680" s="10" t="s">
        <v>966</v>
      </c>
      <c r="D680" s="10">
        <v>3188</v>
      </c>
      <c r="E680" s="10" t="s">
        <v>1013</v>
      </c>
      <c r="F680" s="10">
        <v>0</v>
      </c>
      <c r="G680" s="10" t="s">
        <v>343</v>
      </c>
      <c r="H680" s="10">
        <v>0</v>
      </c>
      <c r="I680" s="10" t="s">
        <v>343</v>
      </c>
      <c r="J680" s="11">
        <v>2071</v>
      </c>
      <c r="K680" s="11">
        <v>2144</v>
      </c>
      <c r="L680" s="11">
        <v>4215</v>
      </c>
      <c r="M680" s="11">
        <v>1294</v>
      </c>
    </row>
    <row r="681" spans="1:13" x14ac:dyDescent="0.3">
      <c r="A681" s="10">
        <v>6712</v>
      </c>
      <c r="B681" s="10">
        <v>31</v>
      </c>
      <c r="C681" s="10" t="s">
        <v>966</v>
      </c>
      <c r="D681" s="10">
        <v>3189</v>
      </c>
      <c r="E681" s="10" t="s">
        <v>1014</v>
      </c>
      <c r="F681" s="10">
        <v>0</v>
      </c>
      <c r="G681" s="10" t="s">
        <v>343</v>
      </c>
      <c r="H681" s="10">
        <v>0</v>
      </c>
      <c r="I681" s="10" t="s">
        <v>343</v>
      </c>
      <c r="J681" s="11">
        <v>1915</v>
      </c>
      <c r="K681" s="11">
        <v>2138</v>
      </c>
      <c r="L681" s="11">
        <v>4053</v>
      </c>
      <c r="M681" s="11">
        <v>2340</v>
      </c>
    </row>
    <row r="682" spans="1:13" x14ac:dyDescent="0.3">
      <c r="A682" s="10">
        <v>6712</v>
      </c>
      <c r="B682" s="10">
        <v>31</v>
      </c>
      <c r="C682" s="10" t="s">
        <v>966</v>
      </c>
      <c r="D682" s="10">
        <v>3190</v>
      </c>
      <c r="E682" s="10" t="s">
        <v>1015</v>
      </c>
      <c r="F682" s="10">
        <v>0</v>
      </c>
      <c r="G682" s="10" t="s">
        <v>343</v>
      </c>
      <c r="H682" s="10">
        <v>0</v>
      </c>
      <c r="I682" s="10" t="s">
        <v>343</v>
      </c>
      <c r="J682" s="11">
        <v>1841</v>
      </c>
      <c r="K682" s="11">
        <v>1952</v>
      </c>
      <c r="L682" s="11">
        <v>3793</v>
      </c>
      <c r="M682" s="11">
        <v>2036</v>
      </c>
    </row>
    <row r="683" spans="1:13" x14ac:dyDescent="0.3">
      <c r="A683" s="10">
        <v>6712</v>
      </c>
      <c r="B683" s="10">
        <v>31</v>
      </c>
      <c r="C683" s="10" t="s">
        <v>966</v>
      </c>
      <c r="D683" s="10">
        <v>3191</v>
      </c>
      <c r="E683" s="10" t="s">
        <v>1016</v>
      </c>
      <c r="F683" s="10">
        <v>0</v>
      </c>
      <c r="G683" s="10" t="s">
        <v>343</v>
      </c>
      <c r="H683" s="10">
        <v>0</v>
      </c>
      <c r="I683" s="10" t="s">
        <v>343</v>
      </c>
      <c r="J683" s="11">
        <v>2372</v>
      </c>
      <c r="K683" s="11">
        <v>2428</v>
      </c>
      <c r="L683" s="11">
        <v>4800</v>
      </c>
      <c r="M683" s="11">
        <v>1849</v>
      </c>
    </row>
    <row r="684" spans="1:13" x14ac:dyDescent="0.3">
      <c r="A684" s="10">
        <v>6712</v>
      </c>
      <c r="B684" s="10">
        <v>31</v>
      </c>
      <c r="C684" s="10" t="s">
        <v>966</v>
      </c>
      <c r="D684" s="10">
        <v>3192</v>
      </c>
      <c r="E684" s="10" t="s">
        <v>1017</v>
      </c>
      <c r="F684" s="10">
        <v>0</v>
      </c>
      <c r="G684" s="10" t="s">
        <v>343</v>
      </c>
      <c r="H684" s="10">
        <v>0</v>
      </c>
      <c r="I684" s="10" t="s">
        <v>343</v>
      </c>
      <c r="J684" s="11">
        <v>4218</v>
      </c>
      <c r="K684" s="11">
        <v>4734</v>
      </c>
      <c r="L684" s="11">
        <v>8952</v>
      </c>
      <c r="M684" s="11">
        <v>4195</v>
      </c>
    </row>
    <row r="685" spans="1:13" x14ac:dyDescent="0.3">
      <c r="A685" s="10">
        <v>6712</v>
      </c>
      <c r="B685" s="10">
        <v>31</v>
      </c>
      <c r="C685" s="10" t="s">
        <v>966</v>
      </c>
      <c r="D685" s="10">
        <v>3193</v>
      </c>
      <c r="E685" s="10" t="s">
        <v>1018</v>
      </c>
      <c r="F685" s="10">
        <v>0</v>
      </c>
      <c r="G685" s="10" t="s">
        <v>343</v>
      </c>
      <c r="H685" s="10">
        <v>0</v>
      </c>
      <c r="I685" s="10" t="s">
        <v>343</v>
      </c>
      <c r="J685" s="11">
        <v>4094</v>
      </c>
      <c r="K685" s="11">
        <v>4113</v>
      </c>
      <c r="L685" s="11">
        <v>8207</v>
      </c>
      <c r="M685" s="11">
        <v>3647</v>
      </c>
    </row>
    <row r="686" spans="1:13" x14ac:dyDescent="0.3">
      <c r="A686" s="10">
        <v>6712</v>
      </c>
      <c r="B686" s="10">
        <v>31</v>
      </c>
      <c r="C686" s="10" t="s">
        <v>966</v>
      </c>
      <c r="D686" s="10">
        <v>3194</v>
      </c>
      <c r="E686" s="10" t="s">
        <v>1019</v>
      </c>
      <c r="F686" s="10">
        <v>0</v>
      </c>
      <c r="G686" s="10" t="s">
        <v>343</v>
      </c>
      <c r="H686" s="10">
        <v>0</v>
      </c>
      <c r="I686" s="10" t="s">
        <v>343</v>
      </c>
      <c r="J686" s="11">
        <v>4526</v>
      </c>
      <c r="K686" s="11">
        <v>4938</v>
      </c>
      <c r="L686" s="11">
        <v>9464</v>
      </c>
      <c r="M686" s="11">
        <v>4272</v>
      </c>
    </row>
    <row r="687" spans="1:13" x14ac:dyDescent="0.3">
      <c r="A687" s="10">
        <v>6712</v>
      </c>
      <c r="B687" s="10">
        <v>31</v>
      </c>
      <c r="C687" s="10" t="s">
        <v>966</v>
      </c>
      <c r="D687" s="10">
        <v>3195</v>
      </c>
      <c r="E687" s="10" t="s">
        <v>1020</v>
      </c>
      <c r="F687" s="10">
        <v>0</v>
      </c>
      <c r="G687" s="10" t="s">
        <v>343</v>
      </c>
      <c r="H687" s="10">
        <v>0</v>
      </c>
      <c r="I687" s="10" t="s">
        <v>343</v>
      </c>
      <c r="J687" s="11">
        <v>1516</v>
      </c>
      <c r="K687" s="11">
        <v>1720</v>
      </c>
      <c r="L687" s="11">
        <v>3236</v>
      </c>
      <c r="M687" s="11">
        <v>1867</v>
      </c>
    </row>
    <row r="688" spans="1:13" x14ac:dyDescent="0.3">
      <c r="A688" s="10">
        <v>6712</v>
      </c>
      <c r="B688" s="10">
        <v>31</v>
      </c>
      <c r="C688" s="10" t="s">
        <v>966</v>
      </c>
      <c r="D688" s="10">
        <v>3196</v>
      </c>
      <c r="E688" s="10" t="s">
        <v>1021</v>
      </c>
      <c r="F688" s="10">
        <v>0</v>
      </c>
      <c r="G688" s="10" t="s">
        <v>343</v>
      </c>
      <c r="H688" s="10">
        <v>0</v>
      </c>
      <c r="I688" s="10" t="s">
        <v>343</v>
      </c>
      <c r="J688" s="11">
        <v>2393</v>
      </c>
      <c r="K688" s="11">
        <v>2516</v>
      </c>
      <c r="L688" s="11">
        <v>4909</v>
      </c>
      <c r="M688" s="11">
        <v>1890</v>
      </c>
    </row>
    <row r="689" spans="1:13" x14ac:dyDescent="0.3">
      <c r="A689" s="10">
        <v>6712</v>
      </c>
      <c r="B689" s="10">
        <v>31</v>
      </c>
      <c r="C689" s="10" t="s">
        <v>966</v>
      </c>
      <c r="D689" s="10">
        <v>3197</v>
      </c>
      <c r="E689" s="10" t="s">
        <v>1022</v>
      </c>
      <c r="F689" s="10">
        <v>0</v>
      </c>
      <c r="G689" s="10" t="s">
        <v>343</v>
      </c>
      <c r="H689" s="10">
        <v>0</v>
      </c>
      <c r="I689" s="10" t="s">
        <v>343</v>
      </c>
      <c r="J689" s="11">
        <v>1784</v>
      </c>
      <c r="K689" s="11">
        <v>1787</v>
      </c>
      <c r="L689" s="11">
        <v>3571</v>
      </c>
      <c r="M689" s="11">
        <v>2087</v>
      </c>
    </row>
    <row r="690" spans="1:13" x14ac:dyDescent="0.3">
      <c r="A690" s="10">
        <v>6712</v>
      </c>
      <c r="B690" s="10">
        <v>31</v>
      </c>
      <c r="C690" s="10" t="s">
        <v>966</v>
      </c>
      <c r="D690" s="10">
        <v>3198</v>
      </c>
      <c r="E690" s="10" t="s">
        <v>1023</v>
      </c>
      <c r="F690" s="10">
        <v>0</v>
      </c>
      <c r="G690" s="10" t="s">
        <v>343</v>
      </c>
      <c r="H690" s="10">
        <v>0</v>
      </c>
      <c r="I690" s="10" t="s">
        <v>343</v>
      </c>
      <c r="J690" s="11">
        <v>9388</v>
      </c>
      <c r="K690" s="11">
        <v>10676</v>
      </c>
      <c r="L690" s="11">
        <v>20064</v>
      </c>
      <c r="M690" s="11">
        <v>11785</v>
      </c>
    </row>
    <row r="691" spans="1:13" x14ac:dyDescent="0.3">
      <c r="A691" s="10">
        <v>6712</v>
      </c>
      <c r="B691" s="10">
        <v>31</v>
      </c>
      <c r="C691" s="10" t="s">
        <v>966</v>
      </c>
      <c r="D691" s="10">
        <v>3199</v>
      </c>
      <c r="E691" s="10" t="s">
        <v>1024</v>
      </c>
      <c r="F691" s="10">
        <v>0</v>
      </c>
      <c r="G691" s="10" t="s">
        <v>343</v>
      </c>
      <c r="H691" s="10">
        <v>0</v>
      </c>
      <c r="I691" s="10" t="s">
        <v>343</v>
      </c>
      <c r="J691" s="11">
        <v>24570</v>
      </c>
      <c r="K691" s="11">
        <v>25955</v>
      </c>
      <c r="L691" s="11">
        <v>50525</v>
      </c>
      <c r="M691" s="11">
        <v>31454</v>
      </c>
    </row>
    <row r="692" spans="1:13" x14ac:dyDescent="0.3">
      <c r="A692" s="10">
        <v>6712</v>
      </c>
      <c r="B692" s="10">
        <v>32</v>
      </c>
      <c r="C692" s="10" t="s">
        <v>1025</v>
      </c>
      <c r="D692" s="10">
        <v>0</v>
      </c>
      <c r="E692" s="10" t="s">
        <v>343</v>
      </c>
      <c r="F692" s="10">
        <v>0</v>
      </c>
      <c r="G692" s="10" t="s">
        <v>343</v>
      </c>
      <c r="H692" s="10">
        <v>0</v>
      </c>
      <c r="I692" s="10" t="s">
        <v>343</v>
      </c>
      <c r="J692" s="11">
        <v>675268</v>
      </c>
      <c r="K692" s="11">
        <v>684977</v>
      </c>
      <c r="L692" s="11">
        <v>1360245</v>
      </c>
      <c r="M692" s="11">
        <v>426326</v>
      </c>
    </row>
    <row r="693" spans="1:13" x14ac:dyDescent="0.3">
      <c r="A693" s="10">
        <v>6712</v>
      </c>
      <c r="B693" s="10">
        <v>32</v>
      </c>
      <c r="C693" s="10" t="s">
        <v>1025</v>
      </c>
      <c r="D693" s="10">
        <v>3201</v>
      </c>
      <c r="E693" s="10" t="s">
        <v>1026</v>
      </c>
      <c r="F693" s="10">
        <v>0</v>
      </c>
      <c r="G693" s="10" t="s">
        <v>343</v>
      </c>
      <c r="H693" s="10">
        <v>0</v>
      </c>
      <c r="I693" s="10" t="s">
        <v>343</v>
      </c>
      <c r="J693" s="11">
        <v>106979</v>
      </c>
      <c r="K693" s="11">
        <v>109808</v>
      </c>
      <c r="L693" s="11">
        <v>216787</v>
      </c>
      <c r="M693" s="11">
        <v>80692</v>
      </c>
    </row>
    <row r="694" spans="1:13" x14ac:dyDescent="0.3">
      <c r="A694" s="10">
        <v>6712</v>
      </c>
      <c r="B694" s="10">
        <v>32</v>
      </c>
      <c r="C694" s="10" t="s">
        <v>1025</v>
      </c>
      <c r="D694" s="10">
        <v>3202</v>
      </c>
      <c r="E694" s="10" t="s">
        <v>1027</v>
      </c>
      <c r="F694" s="10">
        <v>0</v>
      </c>
      <c r="G694" s="10" t="s">
        <v>343</v>
      </c>
      <c r="H694" s="10">
        <v>0</v>
      </c>
      <c r="I694" s="10" t="s">
        <v>343</v>
      </c>
      <c r="J694" s="11">
        <v>33812</v>
      </c>
      <c r="K694" s="11">
        <v>33858</v>
      </c>
      <c r="L694" s="11">
        <v>67670</v>
      </c>
      <c r="M694" s="11">
        <v>19556</v>
      </c>
    </row>
    <row r="695" spans="1:13" x14ac:dyDescent="0.3">
      <c r="A695" s="10">
        <v>6712</v>
      </c>
      <c r="B695" s="10">
        <v>32</v>
      </c>
      <c r="C695" s="10" t="s">
        <v>1025</v>
      </c>
      <c r="D695" s="10">
        <v>3203</v>
      </c>
      <c r="E695" s="10" t="s">
        <v>1028</v>
      </c>
      <c r="F695" s="10">
        <v>0</v>
      </c>
      <c r="G695" s="10" t="s">
        <v>343</v>
      </c>
      <c r="H695" s="10">
        <v>0</v>
      </c>
      <c r="I695" s="10" t="s">
        <v>343</v>
      </c>
      <c r="J695" s="11">
        <v>45042</v>
      </c>
      <c r="K695" s="11">
        <v>44937</v>
      </c>
      <c r="L695" s="11">
        <v>89979</v>
      </c>
      <c r="M695" s="11">
        <v>24470</v>
      </c>
    </row>
    <row r="696" spans="1:13" x14ac:dyDescent="0.3">
      <c r="A696" s="10">
        <v>6712</v>
      </c>
      <c r="B696" s="10">
        <v>32</v>
      </c>
      <c r="C696" s="10" t="s">
        <v>1025</v>
      </c>
      <c r="D696" s="10">
        <v>3204</v>
      </c>
      <c r="E696" s="10" t="s">
        <v>1029</v>
      </c>
      <c r="F696" s="10">
        <v>0</v>
      </c>
      <c r="G696" s="10" t="s">
        <v>343</v>
      </c>
      <c r="H696" s="10">
        <v>0</v>
      </c>
      <c r="I696" s="10" t="s">
        <v>343</v>
      </c>
      <c r="J696" s="11">
        <v>26848</v>
      </c>
      <c r="K696" s="11">
        <v>26867</v>
      </c>
      <c r="L696" s="11">
        <v>53715</v>
      </c>
      <c r="M696" s="11">
        <v>14571</v>
      </c>
    </row>
    <row r="697" spans="1:13" x14ac:dyDescent="0.3">
      <c r="A697" s="10">
        <v>6712</v>
      </c>
      <c r="B697" s="10">
        <v>32</v>
      </c>
      <c r="C697" s="10" t="s">
        <v>1025</v>
      </c>
      <c r="D697" s="10">
        <v>3205</v>
      </c>
      <c r="E697" s="10" t="s">
        <v>1030</v>
      </c>
      <c r="F697" s="10">
        <v>0</v>
      </c>
      <c r="G697" s="10" t="s">
        <v>343</v>
      </c>
      <c r="H697" s="10">
        <v>0</v>
      </c>
      <c r="I697" s="10" t="s">
        <v>343</v>
      </c>
      <c r="J697" s="11">
        <v>70602</v>
      </c>
      <c r="K697" s="11">
        <v>72527</v>
      </c>
      <c r="L697" s="11">
        <v>143129</v>
      </c>
      <c r="M697" s="11">
        <v>44228</v>
      </c>
    </row>
    <row r="698" spans="1:13" x14ac:dyDescent="0.3">
      <c r="A698" s="10">
        <v>6712</v>
      </c>
      <c r="B698" s="10">
        <v>32</v>
      </c>
      <c r="C698" s="10" t="s">
        <v>1025</v>
      </c>
      <c r="D698" s="10">
        <v>3206</v>
      </c>
      <c r="E698" s="10" t="s">
        <v>1031</v>
      </c>
      <c r="F698" s="10">
        <v>0</v>
      </c>
      <c r="G698" s="10" t="s">
        <v>343</v>
      </c>
      <c r="H698" s="10">
        <v>0</v>
      </c>
      <c r="I698" s="10" t="s">
        <v>343</v>
      </c>
      <c r="J698" s="11">
        <v>29880</v>
      </c>
      <c r="K698" s="11">
        <v>29740</v>
      </c>
      <c r="L698" s="11">
        <v>59620</v>
      </c>
      <c r="M698" s="11">
        <v>20001</v>
      </c>
    </row>
    <row r="699" spans="1:13" x14ac:dyDescent="0.3">
      <c r="A699" s="10">
        <v>6712</v>
      </c>
      <c r="B699" s="10">
        <v>32</v>
      </c>
      <c r="C699" s="10" t="s">
        <v>1025</v>
      </c>
      <c r="D699" s="10">
        <v>3207</v>
      </c>
      <c r="E699" s="10" t="s">
        <v>1032</v>
      </c>
      <c r="F699" s="10">
        <v>0</v>
      </c>
      <c r="G699" s="10" t="s">
        <v>343</v>
      </c>
      <c r="H699" s="10">
        <v>0</v>
      </c>
      <c r="I699" s="10" t="s">
        <v>343</v>
      </c>
      <c r="J699" s="11">
        <v>42715</v>
      </c>
      <c r="K699" s="11">
        <v>43096</v>
      </c>
      <c r="L699" s="11">
        <v>85811</v>
      </c>
      <c r="M699" s="11">
        <v>24077</v>
      </c>
    </row>
    <row r="700" spans="1:13" x14ac:dyDescent="0.3">
      <c r="A700" s="10">
        <v>6712</v>
      </c>
      <c r="B700" s="10">
        <v>32</v>
      </c>
      <c r="C700" s="10" t="s">
        <v>1025</v>
      </c>
      <c r="D700" s="10">
        <v>3208</v>
      </c>
      <c r="E700" s="10" t="s">
        <v>1033</v>
      </c>
      <c r="F700" s="10">
        <v>0</v>
      </c>
      <c r="G700" s="10" t="s">
        <v>343</v>
      </c>
      <c r="H700" s="10">
        <v>0</v>
      </c>
      <c r="I700" s="10" t="s">
        <v>343</v>
      </c>
      <c r="J700" s="11">
        <v>18980</v>
      </c>
      <c r="K700" s="11">
        <v>18779</v>
      </c>
      <c r="L700" s="11">
        <v>37759</v>
      </c>
      <c r="M700" s="11">
        <v>11213</v>
      </c>
    </row>
    <row r="701" spans="1:13" x14ac:dyDescent="0.3">
      <c r="A701" s="10">
        <v>6712</v>
      </c>
      <c r="B701" s="10">
        <v>32</v>
      </c>
      <c r="C701" s="10" t="s">
        <v>1025</v>
      </c>
      <c r="D701" s="10">
        <v>3209</v>
      </c>
      <c r="E701" s="10" t="s">
        <v>1034</v>
      </c>
      <c r="F701" s="10">
        <v>0</v>
      </c>
      <c r="G701" s="10" t="s">
        <v>343</v>
      </c>
      <c r="H701" s="10">
        <v>0</v>
      </c>
      <c r="I701" s="10" t="s">
        <v>343</v>
      </c>
      <c r="J701" s="11">
        <v>63779</v>
      </c>
      <c r="K701" s="11">
        <v>64598</v>
      </c>
      <c r="L701" s="11">
        <v>128377</v>
      </c>
      <c r="M701" s="11">
        <v>33821</v>
      </c>
    </row>
    <row r="702" spans="1:13" x14ac:dyDescent="0.3">
      <c r="A702" s="10">
        <v>6712</v>
      </c>
      <c r="B702" s="10">
        <v>32</v>
      </c>
      <c r="C702" s="10" t="s">
        <v>1025</v>
      </c>
      <c r="D702" s="10">
        <v>3210</v>
      </c>
      <c r="E702" s="10" t="s">
        <v>1035</v>
      </c>
      <c r="F702" s="10">
        <v>0</v>
      </c>
      <c r="G702" s="10" t="s">
        <v>343</v>
      </c>
      <c r="H702" s="10">
        <v>0</v>
      </c>
      <c r="I702" s="10" t="s">
        <v>343</v>
      </c>
      <c r="J702" s="11">
        <v>63268</v>
      </c>
      <c r="K702" s="11">
        <v>62984</v>
      </c>
      <c r="L702" s="11">
        <v>126252</v>
      </c>
      <c r="M702" s="11">
        <v>36330</v>
      </c>
    </row>
    <row r="703" spans="1:13" x14ac:dyDescent="0.3">
      <c r="A703" s="10">
        <v>6712</v>
      </c>
      <c r="B703" s="10">
        <v>32</v>
      </c>
      <c r="C703" s="10" t="s">
        <v>1025</v>
      </c>
      <c r="D703" s="10">
        <v>3211</v>
      </c>
      <c r="E703" s="10" t="s">
        <v>1036</v>
      </c>
      <c r="F703" s="10">
        <v>0</v>
      </c>
      <c r="G703" s="10" t="s">
        <v>343</v>
      </c>
      <c r="H703" s="10">
        <v>0</v>
      </c>
      <c r="I703" s="10" t="s">
        <v>343</v>
      </c>
      <c r="J703" s="11">
        <v>13282</v>
      </c>
      <c r="K703" s="11">
        <v>13264</v>
      </c>
      <c r="L703" s="11">
        <v>26546</v>
      </c>
      <c r="M703" s="11">
        <v>7353</v>
      </c>
    </row>
    <row r="704" spans="1:13" x14ac:dyDescent="0.3">
      <c r="A704" s="10">
        <v>6712</v>
      </c>
      <c r="B704" s="10">
        <v>32</v>
      </c>
      <c r="C704" s="10" t="s">
        <v>1025</v>
      </c>
      <c r="D704" s="10">
        <v>3212</v>
      </c>
      <c r="E704" s="10" t="s">
        <v>1037</v>
      </c>
      <c r="F704" s="10">
        <v>0</v>
      </c>
      <c r="G704" s="10" t="s">
        <v>343</v>
      </c>
      <c r="H704" s="10">
        <v>0</v>
      </c>
      <c r="I704" s="10" t="s">
        <v>343</v>
      </c>
      <c r="J704" s="11">
        <v>24836</v>
      </c>
      <c r="K704" s="11">
        <v>24824</v>
      </c>
      <c r="L704" s="11">
        <v>49660</v>
      </c>
      <c r="M704" s="11">
        <v>12255</v>
      </c>
    </row>
    <row r="705" spans="1:13" x14ac:dyDescent="0.3">
      <c r="A705" s="10">
        <v>6712</v>
      </c>
      <c r="B705" s="10">
        <v>32</v>
      </c>
      <c r="C705" s="10" t="s">
        <v>1025</v>
      </c>
      <c r="D705" s="10">
        <v>3213</v>
      </c>
      <c r="E705" s="10" t="s">
        <v>1038</v>
      </c>
      <c r="F705" s="10">
        <v>0</v>
      </c>
      <c r="G705" s="10" t="s">
        <v>343</v>
      </c>
      <c r="H705" s="10">
        <v>0</v>
      </c>
      <c r="I705" s="10" t="s">
        <v>343</v>
      </c>
      <c r="J705" s="11">
        <v>17724</v>
      </c>
      <c r="K705" s="11">
        <v>17164</v>
      </c>
      <c r="L705" s="11">
        <v>34888</v>
      </c>
      <c r="M705" s="11">
        <v>10269</v>
      </c>
    </row>
    <row r="706" spans="1:13" x14ac:dyDescent="0.3">
      <c r="A706" s="10">
        <v>6712</v>
      </c>
      <c r="B706" s="10">
        <v>32</v>
      </c>
      <c r="C706" s="10" t="s">
        <v>1025</v>
      </c>
      <c r="D706" s="10">
        <v>3214</v>
      </c>
      <c r="E706" s="10" t="s">
        <v>1039</v>
      </c>
      <c r="F706" s="10">
        <v>0</v>
      </c>
      <c r="G706" s="10" t="s">
        <v>343</v>
      </c>
      <c r="H706" s="10">
        <v>0</v>
      </c>
      <c r="I706" s="10" t="s">
        <v>343</v>
      </c>
      <c r="J706" s="11">
        <v>18927</v>
      </c>
      <c r="K706" s="11">
        <v>18610</v>
      </c>
      <c r="L706" s="11">
        <v>37537</v>
      </c>
      <c r="M706" s="11">
        <v>12707</v>
      </c>
    </row>
    <row r="707" spans="1:13" x14ac:dyDescent="0.3">
      <c r="A707" s="10">
        <v>6712</v>
      </c>
      <c r="B707" s="10">
        <v>32</v>
      </c>
      <c r="C707" s="10" t="s">
        <v>1025</v>
      </c>
      <c r="D707" s="10">
        <v>3215</v>
      </c>
      <c r="E707" s="10" t="s">
        <v>1040</v>
      </c>
      <c r="F707" s="10">
        <v>0</v>
      </c>
      <c r="G707" s="10" t="s">
        <v>343</v>
      </c>
      <c r="H707" s="10">
        <v>0</v>
      </c>
      <c r="I707" s="10" t="s">
        <v>343</v>
      </c>
      <c r="J707" s="11">
        <v>23261</v>
      </c>
      <c r="K707" s="11">
        <v>23039</v>
      </c>
      <c r="L707" s="11">
        <v>46300</v>
      </c>
      <c r="M707" s="11">
        <v>12103</v>
      </c>
    </row>
    <row r="708" spans="1:13" x14ac:dyDescent="0.3">
      <c r="A708" s="10">
        <v>6712</v>
      </c>
      <c r="B708" s="10">
        <v>32</v>
      </c>
      <c r="C708" s="10" t="s">
        <v>1025</v>
      </c>
      <c r="D708" s="10">
        <v>3216</v>
      </c>
      <c r="E708" s="10" t="s">
        <v>1041</v>
      </c>
      <c r="F708" s="10">
        <v>0</v>
      </c>
      <c r="G708" s="10" t="s">
        <v>343</v>
      </c>
      <c r="H708" s="10">
        <v>0</v>
      </c>
      <c r="I708" s="10" t="s">
        <v>343</v>
      </c>
      <c r="J708" s="11">
        <v>16615</v>
      </c>
      <c r="K708" s="11">
        <v>17030</v>
      </c>
      <c r="L708" s="11">
        <v>33645</v>
      </c>
      <c r="M708" s="11">
        <v>10444</v>
      </c>
    </row>
    <row r="709" spans="1:13" x14ac:dyDescent="0.3">
      <c r="A709" s="10">
        <v>6712</v>
      </c>
      <c r="B709" s="10">
        <v>32</v>
      </c>
      <c r="C709" s="10" t="s">
        <v>1025</v>
      </c>
      <c r="D709" s="10">
        <v>3217</v>
      </c>
      <c r="E709" s="10" t="s">
        <v>1042</v>
      </c>
      <c r="F709" s="10">
        <v>0</v>
      </c>
      <c r="G709" s="10" t="s">
        <v>343</v>
      </c>
      <c r="H709" s="10">
        <v>0</v>
      </c>
      <c r="I709" s="10" t="s">
        <v>343</v>
      </c>
      <c r="J709" s="11">
        <v>17133</v>
      </c>
      <c r="K709" s="11">
        <v>17286</v>
      </c>
      <c r="L709" s="11">
        <v>34419</v>
      </c>
      <c r="M709" s="11">
        <v>9065</v>
      </c>
    </row>
    <row r="710" spans="1:13" x14ac:dyDescent="0.3">
      <c r="A710" s="10">
        <v>6712</v>
      </c>
      <c r="B710" s="10">
        <v>32</v>
      </c>
      <c r="C710" s="10" t="s">
        <v>1025</v>
      </c>
      <c r="D710" s="10">
        <v>3286</v>
      </c>
      <c r="E710" s="10" t="s">
        <v>1043</v>
      </c>
      <c r="F710" s="10">
        <v>0</v>
      </c>
      <c r="G710" s="10" t="s">
        <v>343</v>
      </c>
      <c r="H710" s="10">
        <v>0</v>
      </c>
      <c r="I710" s="10" t="s">
        <v>343</v>
      </c>
      <c r="J710" s="11">
        <v>3159</v>
      </c>
      <c r="K710" s="11">
        <v>3279</v>
      </c>
      <c r="L710" s="11">
        <v>6438</v>
      </c>
      <c r="M710" s="11">
        <v>2513</v>
      </c>
    </row>
    <row r="711" spans="1:13" x14ac:dyDescent="0.3">
      <c r="A711" s="10">
        <v>6712</v>
      </c>
      <c r="B711" s="10">
        <v>32</v>
      </c>
      <c r="C711" s="10" t="s">
        <v>1025</v>
      </c>
      <c r="D711" s="10">
        <v>3287</v>
      </c>
      <c r="E711" s="10" t="s">
        <v>1044</v>
      </c>
      <c r="F711" s="10">
        <v>0</v>
      </c>
      <c r="G711" s="10" t="s">
        <v>343</v>
      </c>
      <c r="H711" s="10">
        <v>0</v>
      </c>
      <c r="I711" s="10" t="s">
        <v>343</v>
      </c>
      <c r="J711" s="11">
        <v>1165</v>
      </c>
      <c r="K711" s="11">
        <v>1151</v>
      </c>
      <c r="L711" s="11">
        <v>2316</v>
      </c>
      <c r="M711" s="11">
        <v>1316</v>
      </c>
    </row>
    <row r="712" spans="1:13" x14ac:dyDescent="0.3">
      <c r="A712" s="10">
        <v>6712</v>
      </c>
      <c r="B712" s="10">
        <v>32</v>
      </c>
      <c r="C712" s="10" t="s">
        <v>1025</v>
      </c>
      <c r="D712" s="10">
        <v>3288</v>
      </c>
      <c r="E712" s="10" t="s">
        <v>1045</v>
      </c>
      <c r="F712" s="10">
        <v>0</v>
      </c>
      <c r="G712" s="10" t="s">
        <v>343</v>
      </c>
      <c r="H712" s="10">
        <v>0</v>
      </c>
      <c r="I712" s="10" t="s">
        <v>343</v>
      </c>
      <c r="J712" s="11">
        <v>2012</v>
      </c>
      <c r="K712" s="11">
        <v>2249</v>
      </c>
      <c r="L712" s="11">
        <v>4261</v>
      </c>
      <c r="M712" s="11">
        <v>1941</v>
      </c>
    </row>
    <row r="713" spans="1:13" x14ac:dyDescent="0.3">
      <c r="A713" s="10">
        <v>6712</v>
      </c>
      <c r="B713" s="10">
        <v>32</v>
      </c>
      <c r="C713" s="10" t="s">
        <v>1025</v>
      </c>
      <c r="D713" s="10">
        <v>3289</v>
      </c>
      <c r="E713" s="10" t="s">
        <v>1046</v>
      </c>
      <c r="F713" s="10">
        <v>0</v>
      </c>
      <c r="G713" s="10" t="s">
        <v>343</v>
      </c>
      <c r="H713" s="10">
        <v>0</v>
      </c>
      <c r="I713" s="10" t="s">
        <v>343</v>
      </c>
      <c r="J713" s="11">
        <v>1633</v>
      </c>
      <c r="K713" s="11">
        <v>1933</v>
      </c>
      <c r="L713" s="11">
        <v>3566</v>
      </c>
      <c r="M713" s="11">
        <v>2424</v>
      </c>
    </row>
    <row r="714" spans="1:13" x14ac:dyDescent="0.3">
      <c r="A714" s="10">
        <v>6712</v>
      </c>
      <c r="B714" s="10">
        <v>32</v>
      </c>
      <c r="C714" s="10" t="s">
        <v>1025</v>
      </c>
      <c r="D714" s="10">
        <v>3290</v>
      </c>
      <c r="E714" s="10" t="s">
        <v>1047</v>
      </c>
      <c r="F714" s="10">
        <v>0</v>
      </c>
      <c r="G714" s="10" t="s">
        <v>343</v>
      </c>
      <c r="H714" s="10">
        <v>0</v>
      </c>
      <c r="I714" s="10" t="s">
        <v>343</v>
      </c>
      <c r="J714" s="11">
        <v>2186</v>
      </c>
      <c r="K714" s="11">
        <v>2377</v>
      </c>
      <c r="L714" s="11">
        <v>4563</v>
      </c>
      <c r="M714" s="11">
        <v>2931</v>
      </c>
    </row>
    <row r="715" spans="1:13" x14ac:dyDescent="0.3">
      <c r="A715" s="10">
        <v>6712</v>
      </c>
      <c r="B715" s="10">
        <v>32</v>
      </c>
      <c r="C715" s="10" t="s">
        <v>1025</v>
      </c>
      <c r="D715" s="10">
        <v>3291</v>
      </c>
      <c r="E715" s="10" t="s">
        <v>1048</v>
      </c>
      <c r="F715" s="10">
        <v>0</v>
      </c>
      <c r="G715" s="10" t="s">
        <v>343</v>
      </c>
      <c r="H715" s="10">
        <v>0</v>
      </c>
      <c r="I715" s="10" t="s">
        <v>343</v>
      </c>
      <c r="J715" s="11">
        <v>2363</v>
      </c>
      <c r="K715" s="11">
        <v>2523</v>
      </c>
      <c r="L715" s="11">
        <v>4886</v>
      </c>
      <c r="M715" s="11">
        <v>1699</v>
      </c>
    </row>
    <row r="716" spans="1:13" x14ac:dyDescent="0.3">
      <c r="A716" s="10">
        <v>6712</v>
      </c>
      <c r="B716" s="10">
        <v>32</v>
      </c>
      <c r="C716" s="10" t="s">
        <v>1025</v>
      </c>
      <c r="D716" s="10">
        <v>3292</v>
      </c>
      <c r="E716" s="10" t="s">
        <v>1049</v>
      </c>
      <c r="F716" s="10">
        <v>0</v>
      </c>
      <c r="G716" s="10" t="s">
        <v>343</v>
      </c>
      <c r="H716" s="10">
        <v>0</v>
      </c>
      <c r="I716" s="10" t="s">
        <v>343</v>
      </c>
      <c r="J716" s="11">
        <v>2475</v>
      </c>
      <c r="K716" s="11">
        <v>2690</v>
      </c>
      <c r="L716" s="11">
        <v>5165</v>
      </c>
      <c r="M716" s="11">
        <v>2825</v>
      </c>
    </row>
    <row r="717" spans="1:13" x14ac:dyDescent="0.3">
      <c r="A717" s="10">
        <v>6712</v>
      </c>
      <c r="B717" s="10">
        <v>32</v>
      </c>
      <c r="C717" s="10" t="s">
        <v>1025</v>
      </c>
      <c r="D717" s="10">
        <v>3293</v>
      </c>
      <c r="E717" s="10" t="s">
        <v>1050</v>
      </c>
      <c r="F717" s="10">
        <v>0</v>
      </c>
      <c r="G717" s="10" t="s">
        <v>343</v>
      </c>
      <c r="H717" s="10">
        <v>0</v>
      </c>
      <c r="I717" s="10" t="s">
        <v>343</v>
      </c>
      <c r="J717" s="11">
        <v>1336</v>
      </c>
      <c r="K717" s="11">
        <v>1324</v>
      </c>
      <c r="L717" s="11">
        <v>2660</v>
      </c>
      <c r="M717" s="10">
        <v>893</v>
      </c>
    </row>
    <row r="718" spans="1:13" x14ac:dyDescent="0.3">
      <c r="A718" s="10">
        <v>6712</v>
      </c>
      <c r="B718" s="10">
        <v>32</v>
      </c>
      <c r="C718" s="10" t="s">
        <v>1025</v>
      </c>
      <c r="D718" s="10">
        <v>3294</v>
      </c>
      <c r="E718" s="10" t="s">
        <v>1051</v>
      </c>
      <c r="F718" s="10">
        <v>0</v>
      </c>
      <c r="G718" s="10" t="s">
        <v>343</v>
      </c>
      <c r="H718" s="10">
        <v>0</v>
      </c>
      <c r="I718" s="10" t="s">
        <v>343</v>
      </c>
      <c r="J718" s="11">
        <v>2576</v>
      </c>
      <c r="K718" s="11">
        <v>2943</v>
      </c>
      <c r="L718" s="11">
        <v>5519</v>
      </c>
      <c r="M718" s="11">
        <v>3515</v>
      </c>
    </row>
    <row r="719" spans="1:13" x14ac:dyDescent="0.3">
      <c r="A719" s="10">
        <v>6712</v>
      </c>
      <c r="B719" s="10">
        <v>32</v>
      </c>
      <c r="C719" s="10" t="s">
        <v>1025</v>
      </c>
      <c r="D719" s="10">
        <v>3295</v>
      </c>
      <c r="E719" s="10" t="s">
        <v>1052</v>
      </c>
      <c r="F719" s="10">
        <v>0</v>
      </c>
      <c r="G719" s="10" t="s">
        <v>343</v>
      </c>
      <c r="H719" s="10">
        <v>0</v>
      </c>
      <c r="I719" s="10" t="s">
        <v>343</v>
      </c>
      <c r="J719" s="11">
        <v>1888</v>
      </c>
      <c r="K719" s="11">
        <v>2102</v>
      </c>
      <c r="L719" s="11">
        <v>3990</v>
      </c>
      <c r="M719" s="11">
        <v>2027</v>
      </c>
    </row>
    <row r="720" spans="1:13" x14ac:dyDescent="0.3">
      <c r="A720" s="10">
        <v>6712</v>
      </c>
      <c r="B720" s="10">
        <v>32</v>
      </c>
      <c r="C720" s="10" t="s">
        <v>1025</v>
      </c>
      <c r="D720" s="10">
        <v>3296</v>
      </c>
      <c r="E720" s="10" t="s">
        <v>1053</v>
      </c>
      <c r="F720" s="10">
        <v>0</v>
      </c>
      <c r="G720" s="10" t="s">
        <v>343</v>
      </c>
      <c r="H720" s="10">
        <v>0</v>
      </c>
      <c r="I720" s="10" t="s">
        <v>343</v>
      </c>
      <c r="J720" s="11">
        <v>1854</v>
      </c>
      <c r="K720" s="11">
        <v>1987</v>
      </c>
      <c r="L720" s="11">
        <v>3841</v>
      </c>
      <c r="M720" s="11">
        <v>1852</v>
      </c>
    </row>
    <row r="721" spans="1:13" x14ac:dyDescent="0.3">
      <c r="A721" s="10">
        <v>6712</v>
      </c>
      <c r="B721" s="10">
        <v>32</v>
      </c>
      <c r="C721" s="10" t="s">
        <v>1025</v>
      </c>
      <c r="D721" s="10">
        <v>3297</v>
      </c>
      <c r="E721" s="10" t="s">
        <v>1054</v>
      </c>
      <c r="F721" s="10">
        <v>0</v>
      </c>
      <c r="G721" s="10" t="s">
        <v>343</v>
      </c>
      <c r="H721" s="10">
        <v>0</v>
      </c>
      <c r="I721" s="10" t="s">
        <v>343</v>
      </c>
      <c r="J721" s="11">
        <v>1070</v>
      </c>
      <c r="K721" s="11">
        <v>1174</v>
      </c>
      <c r="L721" s="11">
        <v>2244</v>
      </c>
      <c r="M721" s="11">
        <v>1147</v>
      </c>
    </row>
    <row r="722" spans="1:13" x14ac:dyDescent="0.3">
      <c r="A722" s="10">
        <v>6712</v>
      </c>
      <c r="B722" s="10">
        <v>32</v>
      </c>
      <c r="C722" s="10" t="s">
        <v>1025</v>
      </c>
      <c r="D722" s="10">
        <v>3298</v>
      </c>
      <c r="E722" s="10" t="s">
        <v>1055</v>
      </c>
      <c r="F722" s="10">
        <v>0</v>
      </c>
      <c r="G722" s="10" t="s">
        <v>343</v>
      </c>
      <c r="H722" s="10">
        <v>0</v>
      </c>
      <c r="I722" s="10" t="s">
        <v>343</v>
      </c>
      <c r="J722" s="10">
        <v>954</v>
      </c>
      <c r="K722" s="10">
        <v>919</v>
      </c>
      <c r="L722" s="11">
        <v>1873</v>
      </c>
      <c r="M722" s="10">
        <v>581</v>
      </c>
    </row>
    <row r="723" spans="1:13" x14ac:dyDescent="0.3">
      <c r="A723" s="10">
        <v>6712</v>
      </c>
      <c r="B723" s="10">
        <v>32</v>
      </c>
      <c r="C723" s="10" t="s">
        <v>1025</v>
      </c>
      <c r="D723" s="10">
        <v>3299</v>
      </c>
      <c r="E723" s="10" t="s">
        <v>1056</v>
      </c>
      <c r="F723" s="10">
        <v>0</v>
      </c>
      <c r="G723" s="10" t="s">
        <v>343</v>
      </c>
      <c r="H723" s="10">
        <v>0</v>
      </c>
      <c r="I723" s="10" t="s">
        <v>343</v>
      </c>
      <c r="J723" s="11">
        <v>16914</v>
      </c>
      <c r="K723" s="11">
        <v>19915</v>
      </c>
      <c r="L723" s="11">
        <v>36829</v>
      </c>
      <c r="M723" s="11">
        <v>17507</v>
      </c>
    </row>
    <row r="724" spans="1:13" x14ac:dyDescent="0.3">
      <c r="A724" s="10">
        <v>6712</v>
      </c>
      <c r="B724" s="10">
        <v>33</v>
      </c>
      <c r="C724" s="10" t="s">
        <v>1057</v>
      </c>
      <c r="D724" s="10">
        <v>0</v>
      </c>
      <c r="E724" s="10" t="s">
        <v>343</v>
      </c>
      <c r="F724" s="10">
        <v>0</v>
      </c>
      <c r="G724" s="10" t="s">
        <v>343</v>
      </c>
      <c r="H724" s="10">
        <v>0</v>
      </c>
      <c r="I724" s="10" t="s">
        <v>343</v>
      </c>
      <c r="J724" s="11">
        <v>717079</v>
      </c>
      <c r="K724" s="11">
        <v>724934</v>
      </c>
      <c r="L724" s="11">
        <v>1442013</v>
      </c>
      <c r="M724" s="11">
        <v>420976</v>
      </c>
    </row>
    <row r="725" spans="1:13" x14ac:dyDescent="0.3">
      <c r="A725" s="10">
        <v>6712</v>
      </c>
      <c r="B725" s="10">
        <v>33</v>
      </c>
      <c r="C725" s="10" t="s">
        <v>1057</v>
      </c>
      <c r="D725" s="10">
        <v>3301</v>
      </c>
      <c r="E725" s="10" t="s">
        <v>1058</v>
      </c>
      <c r="F725" s="10">
        <v>0</v>
      </c>
      <c r="G725" s="10" t="s">
        <v>343</v>
      </c>
      <c r="H725" s="10">
        <v>0</v>
      </c>
      <c r="I725" s="10" t="s">
        <v>343</v>
      </c>
      <c r="J725" s="11">
        <v>42715</v>
      </c>
      <c r="K725" s="11">
        <v>44372</v>
      </c>
      <c r="L725" s="11">
        <v>87087</v>
      </c>
      <c r="M725" s="11">
        <v>28641</v>
      </c>
    </row>
    <row r="726" spans="1:13" x14ac:dyDescent="0.3">
      <c r="A726" s="10">
        <v>6712</v>
      </c>
      <c r="B726" s="10">
        <v>33</v>
      </c>
      <c r="C726" s="10" t="s">
        <v>1057</v>
      </c>
      <c r="D726" s="10">
        <v>3302</v>
      </c>
      <c r="E726" s="10" t="s">
        <v>1059</v>
      </c>
      <c r="F726" s="10">
        <v>0</v>
      </c>
      <c r="G726" s="10" t="s">
        <v>343</v>
      </c>
      <c r="H726" s="10">
        <v>0</v>
      </c>
      <c r="I726" s="10" t="s">
        <v>343</v>
      </c>
      <c r="J726" s="11">
        <v>14566</v>
      </c>
      <c r="K726" s="11">
        <v>14531</v>
      </c>
      <c r="L726" s="11">
        <v>29097</v>
      </c>
      <c r="M726" s="11">
        <v>7868</v>
      </c>
    </row>
    <row r="727" spans="1:13" x14ac:dyDescent="0.3">
      <c r="A727" s="10">
        <v>6712</v>
      </c>
      <c r="B727" s="10">
        <v>33</v>
      </c>
      <c r="C727" s="10" t="s">
        <v>1057</v>
      </c>
      <c r="D727" s="10">
        <v>3303</v>
      </c>
      <c r="E727" s="10" t="s">
        <v>1060</v>
      </c>
      <c r="F727" s="10">
        <v>0</v>
      </c>
      <c r="G727" s="10" t="s">
        <v>343</v>
      </c>
      <c r="H727" s="10">
        <v>0</v>
      </c>
      <c r="I727" s="10" t="s">
        <v>343</v>
      </c>
      <c r="J727" s="11">
        <v>46036</v>
      </c>
      <c r="K727" s="11">
        <v>46393</v>
      </c>
      <c r="L727" s="11">
        <v>92429</v>
      </c>
      <c r="M727" s="11">
        <v>25518</v>
      </c>
    </row>
    <row r="728" spans="1:13" x14ac:dyDescent="0.3">
      <c r="A728" s="10">
        <v>6712</v>
      </c>
      <c r="B728" s="10">
        <v>33</v>
      </c>
      <c r="C728" s="10" t="s">
        <v>1057</v>
      </c>
      <c r="D728" s="10">
        <v>3304</v>
      </c>
      <c r="E728" s="10" t="s">
        <v>1061</v>
      </c>
      <c r="F728" s="10">
        <v>0</v>
      </c>
      <c r="G728" s="10" t="s">
        <v>343</v>
      </c>
      <c r="H728" s="10">
        <v>0</v>
      </c>
      <c r="I728" s="10" t="s">
        <v>343</v>
      </c>
      <c r="J728" s="11">
        <v>91830</v>
      </c>
      <c r="K728" s="11">
        <v>91592</v>
      </c>
      <c r="L728" s="11">
        <v>183422</v>
      </c>
      <c r="M728" s="11">
        <v>53433</v>
      </c>
    </row>
    <row r="729" spans="1:13" x14ac:dyDescent="0.3">
      <c r="A729" s="10">
        <v>6712</v>
      </c>
      <c r="B729" s="10">
        <v>33</v>
      </c>
      <c r="C729" s="10" t="s">
        <v>1057</v>
      </c>
      <c r="D729" s="10">
        <v>3305</v>
      </c>
      <c r="E729" s="10" t="s">
        <v>1062</v>
      </c>
      <c r="F729" s="10">
        <v>0</v>
      </c>
      <c r="G729" s="10" t="s">
        <v>343</v>
      </c>
      <c r="H729" s="10">
        <v>0</v>
      </c>
      <c r="I729" s="10" t="s">
        <v>343</v>
      </c>
      <c r="J729" s="11">
        <v>71639</v>
      </c>
      <c r="K729" s="11">
        <v>72425</v>
      </c>
      <c r="L729" s="11">
        <v>144064</v>
      </c>
      <c r="M729" s="11">
        <v>36720</v>
      </c>
    </row>
    <row r="730" spans="1:13" x14ac:dyDescent="0.3">
      <c r="A730" s="10">
        <v>6712</v>
      </c>
      <c r="B730" s="10">
        <v>33</v>
      </c>
      <c r="C730" s="10" t="s">
        <v>1057</v>
      </c>
      <c r="D730" s="10">
        <v>3306</v>
      </c>
      <c r="E730" s="10" t="s">
        <v>1063</v>
      </c>
      <c r="F730" s="10">
        <v>0</v>
      </c>
      <c r="G730" s="10" t="s">
        <v>343</v>
      </c>
      <c r="H730" s="10">
        <v>0</v>
      </c>
      <c r="I730" s="10" t="s">
        <v>343</v>
      </c>
      <c r="J730" s="11">
        <v>17830</v>
      </c>
      <c r="K730" s="11">
        <v>18125</v>
      </c>
      <c r="L730" s="11">
        <v>35955</v>
      </c>
      <c r="M730" s="11">
        <v>9420</v>
      </c>
    </row>
    <row r="731" spans="1:13" x14ac:dyDescent="0.3">
      <c r="A731" s="10">
        <v>6712</v>
      </c>
      <c r="B731" s="10">
        <v>33</v>
      </c>
      <c r="C731" s="10" t="s">
        <v>1057</v>
      </c>
      <c r="D731" s="10">
        <v>3307</v>
      </c>
      <c r="E731" s="10" t="s">
        <v>1064</v>
      </c>
      <c r="F731" s="10">
        <v>0</v>
      </c>
      <c r="G731" s="10" t="s">
        <v>343</v>
      </c>
      <c r="H731" s="10">
        <v>0</v>
      </c>
      <c r="I731" s="10" t="s">
        <v>343</v>
      </c>
      <c r="J731" s="11">
        <v>31041</v>
      </c>
      <c r="K731" s="11">
        <v>31502</v>
      </c>
      <c r="L731" s="11">
        <v>62543</v>
      </c>
      <c r="M731" s="11">
        <v>15738</v>
      </c>
    </row>
    <row r="732" spans="1:13" x14ac:dyDescent="0.3">
      <c r="A732" s="10">
        <v>6712</v>
      </c>
      <c r="B732" s="10">
        <v>33</v>
      </c>
      <c r="C732" s="10" t="s">
        <v>1057</v>
      </c>
      <c r="D732" s="10">
        <v>3308</v>
      </c>
      <c r="E732" s="10" t="s">
        <v>1065</v>
      </c>
      <c r="F732" s="10">
        <v>0</v>
      </c>
      <c r="G732" s="10" t="s">
        <v>343</v>
      </c>
      <c r="H732" s="10">
        <v>0</v>
      </c>
      <c r="I732" s="10" t="s">
        <v>343</v>
      </c>
      <c r="J732" s="11">
        <v>34004</v>
      </c>
      <c r="K732" s="11">
        <v>34507</v>
      </c>
      <c r="L732" s="11">
        <v>68511</v>
      </c>
      <c r="M732" s="11">
        <v>18826</v>
      </c>
    </row>
    <row r="733" spans="1:13" x14ac:dyDescent="0.3">
      <c r="A733" s="10">
        <v>6712</v>
      </c>
      <c r="B733" s="10">
        <v>33</v>
      </c>
      <c r="C733" s="10" t="s">
        <v>1057</v>
      </c>
      <c r="D733" s="10">
        <v>3309</v>
      </c>
      <c r="E733" s="10" t="s">
        <v>1066</v>
      </c>
      <c r="F733" s="10">
        <v>0</v>
      </c>
      <c r="G733" s="10" t="s">
        <v>343</v>
      </c>
      <c r="H733" s="10">
        <v>0</v>
      </c>
      <c r="I733" s="10" t="s">
        <v>343</v>
      </c>
      <c r="J733" s="11">
        <v>37070</v>
      </c>
      <c r="K733" s="11">
        <v>37490</v>
      </c>
      <c r="L733" s="11">
        <v>74560</v>
      </c>
      <c r="M733" s="11">
        <v>21004</v>
      </c>
    </row>
    <row r="734" spans="1:13" x14ac:dyDescent="0.3">
      <c r="A734" s="10">
        <v>6712</v>
      </c>
      <c r="B734" s="10">
        <v>33</v>
      </c>
      <c r="C734" s="10" t="s">
        <v>1057</v>
      </c>
      <c r="D734" s="10">
        <v>3310</v>
      </c>
      <c r="E734" s="10" t="s">
        <v>1067</v>
      </c>
      <c r="F734" s="10">
        <v>0</v>
      </c>
      <c r="G734" s="10" t="s">
        <v>343</v>
      </c>
      <c r="H734" s="10">
        <v>0</v>
      </c>
      <c r="I734" s="10" t="s">
        <v>343</v>
      </c>
      <c r="J734" s="11">
        <v>49943</v>
      </c>
      <c r="K734" s="11">
        <v>50661</v>
      </c>
      <c r="L734" s="11">
        <v>100604</v>
      </c>
      <c r="M734" s="11">
        <v>27568</v>
      </c>
    </row>
    <row r="735" spans="1:13" x14ac:dyDescent="0.3">
      <c r="A735" s="10">
        <v>6712</v>
      </c>
      <c r="B735" s="10">
        <v>33</v>
      </c>
      <c r="C735" s="10" t="s">
        <v>1057</v>
      </c>
      <c r="D735" s="10">
        <v>3311</v>
      </c>
      <c r="E735" s="10" t="s">
        <v>1068</v>
      </c>
      <c r="F735" s="10">
        <v>0</v>
      </c>
      <c r="G735" s="10" t="s">
        <v>343</v>
      </c>
      <c r="H735" s="10">
        <v>0</v>
      </c>
      <c r="I735" s="10" t="s">
        <v>343</v>
      </c>
      <c r="J735" s="11">
        <v>2167</v>
      </c>
      <c r="K735" s="11">
        <v>2155</v>
      </c>
      <c r="L735" s="11">
        <v>4322</v>
      </c>
      <c r="M735" s="11">
        <v>1140</v>
      </c>
    </row>
    <row r="736" spans="1:13" x14ac:dyDescent="0.3">
      <c r="A736" s="10">
        <v>6712</v>
      </c>
      <c r="B736" s="10">
        <v>33</v>
      </c>
      <c r="C736" s="10" t="s">
        <v>1057</v>
      </c>
      <c r="D736" s="10">
        <v>3312</v>
      </c>
      <c r="E736" s="10" t="s">
        <v>1069</v>
      </c>
      <c r="F736" s="10">
        <v>0</v>
      </c>
      <c r="G736" s="10" t="s">
        <v>343</v>
      </c>
      <c r="H736" s="10">
        <v>0</v>
      </c>
      <c r="I736" s="10" t="s">
        <v>343</v>
      </c>
      <c r="J736" s="11">
        <v>19339</v>
      </c>
      <c r="K736" s="11">
        <v>19256</v>
      </c>
      <c r="L736" s="11">
        <v>38595</v>
      </c>
      <c r="M736" s="11">
        <v>9348</v>
      </c>
    </row>
    <row r="737" spans="1:13" x14ac:dyDescent="0.3">
      <c r="A737" s="10">
        <v>6712</v>
      </c>
      <c r="B737" s="10">
        <v>33</v>
      </c>
      <c r="C737" s="10" t="s">
        <v>1057</v>
      </c>
      <c r="D737" s="10">
        <v>3313</v>
      </c>
      <c r="E737" s="10" t="s">
        <v>1070</v>
      </c>
      <c r="F737" s="10">
        <v>0</v>
      </c>
      <c r="G737" s="10" t="s">
        <v>343</v>
      </c>
      <c r="H737" s="10">
        <v>0</v>
      </c>
      <c r="I737" s="10" t="s">
        <v>343</v>
      </c>
      <c r="J737" s="11">
        <v>19720</v>
      </c>
      <c r="K737" s="11">
        <v>19451</v>
      </c>
      <c r="L737" s="11">
        <v>39171</v>
      </c>
      <c r="M737" s="11">
        <v>12562</v>
      </c>
    </row>
    <row r="738" spans="1:13" x14ac:dyDescent="0.3">
      <c r="A738" s="10">
        <v>6712</v>
      </c>
      <c r="B738" s="10">
        <v>33</v>
      </c>
      <c r="C738" s="10" t="s">
        <v>1057</v>
      </c>
      <c r="D738" s="10">
        <v>3314</v>
      </c>
      <c r="E738" s="10" t="s">
        <v>1071</v>
      </c>
      <c r="F738" s="10">
        <v>0</v>
      </c>
      <c r="G738" s="10" t="s">
        <v>343</v>
      </c>
      <c r="H738" s="10">
        <v>0</v>
      </c>
      <c r="I738" s="10" t="s">
        <v>343</v>
      </c>
      <c r="J738" s="11">
        <v>23906</v>
      </c>
      <c r="K738" s="11">
        <v>24166</v>
      </c>
      <c r="L738" s="11">
        <v>48072</v>
      </c>
      <c r="M738" s="11">
        <v>11885</v>
      </c>
    </row>
    <row r="739" spans="1:13" x14ac:dyDescent="0.3">
      <c r="A739" s="10">
        <v>6712</v>
      </c>
      <c r="B739" s="10">
        <v>33</v>
      </c>
      <c r="C739" s="10" t="s">
        <v>1057</v>
      </c>
      <c r="D739" s="10">
        <v>3315</v>
      </c>
      <c r="E739" s="10" t="s">
        <v>1072</v>
      </c>
      <c r="F739" s="10">
        <v>0</v>
      </c>
      <c r="G739" s="10" t="s">
        <v>343</v>
      </c>
      <c r="H739" s="10">
        <v>0</v>
      </c>
      <c r="I739" s="10" t="s">
        <v>343</v>
      </c>
      <c r="J739" s="11">
        <v>22413</v>
      </c>
      <c r="K739" s="11">
        <v>21874</v>
      </c>
      <c r="L739" s="11">
        <v>44287</v>
      </c>
      <c r="M739" s="11">
        <v>11748</v>
      </c>
    </row>
    <row r="740" spans="1:13" x14ac:dyDescent="0.3">
      <c r="A740" s="10">
        <v>6712</v>
      </c>
      <c r="B740" s="10">
        <v>33</v>
      </c>
      <c r="C740" s="10" t="s">
        <v>1057</v>
      </c>
      <c r="D740" s="10">
        <v>3316</v>
      </c>
      <c r="E740" s="10" t="s">
        <v>1073</v>
      </c>
      <c r="F740" s="10">
        <v>0</v>
      </c>
      <c r="G740" s="10" t="s">
        <v>343</v>
      </c>
      <c r="H740" s="10">
        <v>0</v>
      </c>
      <c r="I740" s="10" t="s">
        <v>343</v>
      </c>
      <c r="J740" s="11">
        <v>20179</v>
      </c>
      <c r="K740" s="11">
        <v>20019</v>
      </c>
      <c r="L740" s="11">
        <v>40198</v>
      </c>
      <c r="M740" s="11">
        <v>9938</v>
      </c>
    </row>
    <row r="741" spans="1:13" x14ac:dyDescent="0.3">
      <c r="A741" s="10">
        <v>6712</v>
      </c>
      <c r="B741" s="10">
        <v>33</v>
      </c>
      <c r="C741" s="10" t="s">
        <v>1057</v>
      </c>
      <c r="D741" s="10">
        <v>3317</v>
      </c>
      <c r="E741" s="10" t="s">
        <v>1074</v>
      </c>
      <c r="F741" s="10">
        <v>0</v>
      </c>
      <c r="G741" s="10" t="s">
        <v>343</v>
      </c>
      <c r="H741" s="10">
        <v>0</v>
      </c>
      <c r="I741" s="10" t="s">
        <v>343</v>
      </c>
      <c r="J741" s="11">
        <v>27506</v>
      </c>
      <c r="K741" s="11">
        <v>27098</v>
      </c>
      <c r="L741" s="11">
        <v>54604</v>
      </c>
      <c r="M741" s="11">
        <v>16576</v>
      </c>
    </row>
    <row r="742" spans="1:13" x14ac:dyDescent="0.3">
      <c r="A742" s="10">
        <v>6712</v>
      </c>
      <c r="B742" s="10">
        <v>33</v>
      </c>
      <c r="C742" s="10" t="s">
        <v>1057</v>
      </c>
      <c r="D742" s="10">
        <v>3318</v>
      </c>
      <c r="E742" s="10" t="s">
        <v>1075</v>
      </c>
      <c r="F742" s="10">
        <v>0</v>
      </c>
      <c r="G742" s="10" t="s">
        <v>343</v>
      </c>
      <c r="H742" s="10">
        <v>0</v>
      </c>
      <c r="I742" s="10" t="s">
        <v>343</v>
      </c>
      <c r="J742" s="11">
        <v>8850</v>
      </c>
      <c r="K742" s="11">
        <v>8702</v>
      </c>
      <c r="L742" s="11">
        <v>17552</v>
      </c>
      <c r="M742" s="11">
        <v>4620</v>
      </c>
    </row>
    <row r="743" spans="1:13" x14ac:dyDescent="0.3">
      <c r="A743" s="10">
        <v>6712</v>
      </c>
      <c r="B743" s="10">
        <v>33</v>
      </c>
      <c r="C743" s="10" t="s">
        <v>1057</v>
      </c>
      <c r="D743" s="10">
        <v>3319</v>
      </c>
      <c r="E743" s="10" t="s">
        <v>1076</v>
      </c>
      <c r="F743" s="10">
        <v>0</v>
      </c>
      <c r="G743" s="10" t="s">
        <v>343</v>
      </c>
      <c r="H743" s="10">
        <v>0</v>
      </c>
      <c r="I743" s="10" t="s">
        <v>343</v>
      </c>
      <c r="J743" s="11">
        <v>18001</v>
      </c>
      <c r="K743" s="11">
        <v>17785</v>
      </c>
      <c r="L743" s="11">
        <v>35786</v>
      </c>
      <c r="M743" s="11">
        <v>9791</v>
      </c>
    </row>
    <row r="744" spans="1:13" x14ac:dyDescent="0.3">
      <c r="A744" s="10">
        <v>6712</v>
      </c>
      <c r="B744" s="10">
        <v>33</v>
      </c>
      <c r="C744" s="10" t="s">
        <v>1057</v>
      </c>
      <c r="D744" s="10">
        <v>3320</v>
      </c>
      <c r="E744" s="10" t="s">
        <v>1077</v>
      </c>
      <c r="F744" s="10">
        <v>0</v>
      </c>
      <c r="G744" s="10" t="s">
        <v>343</v>
      </c>
      <c r="H744" s="10">
        <v>0</v>
      </c>
      <c r="I744" s="10" t="s">
        <v>343</v>
      </c>
      <c r="J744" s="11">
        <v>15187</v>
      </c>
      <c r="K744" s="11">
        <v>15508</v>
      </c>
      <c r="L744" s="11">
        <v>30695</v>
      </c>
      <c r="M744" s="11">
        <v>8569</v>
      </c>
    </row>
    <row r="745" spans="1:13" x14ac:dyDescent="0.3">
      <c r="A745" s="10">
        <v>6712</v>
      </c>
      <c r="B745" s="10">
        <v>33</v>
      </c>
      <c r="C745" s="10" t="s">
        <v>1057</v>
      </c>
      <c r="D745" s="10">
        <v>3321</v>
      </c>
      <c r="E745" s="10" t="s">
        <v>1078</v>
      </c>
      <c r="F745" s="10">
        <v>0</v>
      </c>
      <c r="G745" s="10" t="s">
        <v>343</v>
      </c>
      <c r="H745" s="10">
        <v>0</v>
      </c>
      <c r="I745" s="10" t="s">
        <v>343</v>
      </c>
      <c r="J745" s="11">
        <v>11700</v>
      </c>
      <c r="K745" s="11">
        <v>11682</v>
      </c>
      <c r="L745" s="11">
        <v>23382</v>
      </c>
      <c r="M745" s="11">
        <v>5940</v>
      </c>
    </row>
    <row r="746" spans="1:13" x14ac:dyDescent="0.3">
      <c r="A746" s="10">
        <v>6712</v>
      </c>
      <c r="B746" s="10">
        <v>33</v>
      </c>
      <c r="C746" s="10" t="s">
        <v>1057</v>
      </c>
      <c r="D746" s="10">
        <v>3322</v>
      </c>
      <c r="E746" s="10" t="s">
        <v>1079</v>
      </c>
      <c r="F746" s="10">
        <v>0</v>
      </c>
      <c r="G746" s="10" t="s">
        <v>343</v>
      </c>
      <c r="H746" s="10">
        <v>0</v>
      </c>
      <c r="I746" s="10" t="s">
        <v>343</v>
      </c>
      <c r="J746" s="11">
        <v>9765</v>
      </c>
      <c r="K746" s="11">
        <v>9663</v>
      </c>
      <c r="L746" s="11">
        <v>19428</v>
      </c>
      <c r="M746" s="11">
        <v>5606</v>
      </c>
    </row>
    <row r="747" spans="1:13" x14ac:dyDescent="0.3">
      <c r="A747" s="10">
        <v>6712</v>
      </c>
      <c r="B747" s="10">
        <v>33</v>
      </c>
      <c r="C747" s="10" t="s">
        <v>1057</v>
      </c>
      <c r="D747" s="10">
        <v>3381</v>
      </c>
      <c r="E747" s="10" t="s">
        <v>1080</v>
      </c>
      <c r="F747" s="10">
        <v>0</v>
      </c>
      <c r="G747" s="10" t="s">
        <v>343</v>
      </c>
      <c r="H747" s="10">
        <v>0</v>
      </c>
      <c r="I747" s="10" t="s">
        <v>343</v>
      </c>
      <c r="J747" s="11">
        <v>5137</v>
      </c>
      <c r="K747" s="11">
        <v>5017</v>
      </c>
      <c r="L747" s="11">
        <v>10154</v>
      </c>
      <c r="M747" s="11">
        <v>2868</v>
      </c>
    </row>
    <row r="748" spans="1:13" x14ac:dyDescent="0.3">
      <c r="A748" s="10">
        <v>6712</v>
      </c>
      <c r="B748" s="10">
        <v>33</v>
      </c>
      <c r="C748" s="10" t="s">
        <v>1057</v>
      </c>
      <c r="D748" s="10">
        <v>3382</v>
      </c>
      <c r="E748" s="10" t="s">
        <v>1081</v>
      </c>
      <c r="F748" s="10">
        <v>0</v>
      </c>
      <c r="G748" s="10" t="s">
        <v>343</v>
      </c>
      <c r="H748" s="10">
        <v>0</v>
      </c>
      <c r="I748" s="10" t="s">
        <v>343</v>
      </c>
      <c r="J748" s="11">
        <v>4570</v>
      </c>
      <c r="K748" s="11">
        <v>4392</v>
      </c>
      <c r="L748" s="11">
        <v>8962</v>
      </c>
      <c r="M748" s="11">
        <v>2375</v>
      </c>
    </row>
    <row r="749" spans="1:13" x14ac:dyDescent="0.3">
      <c r="A749" s="10">
        <v>6712</v>
      </c>
      <c r="B749" s="10">
        <v>33</v>
      </c>
      <c r="C749" s="10" t="s">
        <v>1057</v>
      </c>
      <c r="D749" s="10">
        <v>3383</v>
      </c>
      <c r="E749" s="10" t="s">
        <v>1082</v>
      </c>
      <c r="F749" s="10">
        <v>0</v>
      </c>
      <c r="G749" s="10" t="s">
        <v>343</v>
      </c>
      <c r="H749" s="10">
        <v>0</v>
      </c>
      <c r="I749" s="10" t="s">
        <v>343</v>
      </c>
      <c r="J749" s="11">
        <v>4306</v>
      </c>
      <c r="K749" s="11">
        <v>4439</v>
      </c>
      <c r="L749" s="11">
        <v>8745</v>
      </c>
      <c r="M749" s="11">
        <v>2298</v>
      </c>
    </row>
    <row r="750" spans="1:13" x14ac:dyDescent="0.3">
      <c r="A750" s="10">
        <v>6712</v>
      </c>
      <c r="B750" s="10">
        <v>33</v>
      </c>
      <c r="C750" s="10" t="s">
        <v>1057</v>
      </c>
      <c r="D750" s="10">
        <v>3384</v>
      </c>
      <c r="E750" s="10" t="s">
        <v>1083</v>
      </c>
      <c r="F750" s="10">
        <v>0</v>
      </c>
      <c r="G750" s="10" t="s">
        <v>343</v>
      </c>
      <c r="H750" s="10">
        <v>0</v>
      </c>
      <c r="I750" s="10" t="s">
        <v>343</v>
      </c>
      <c r="J750" s="11">
        <v>5162</v>
      </c>
      <c r="K750" s="11">
        <v>5348</v>
      </c>
      <c r="L750" s="11">
        <v>10510</v>
      </c>
      <c r="M750" s="11">
        <v>3175</v>
      </c>
    </row>
    <row r="751" spans="1:13" x14ac:dyDescent="0.3">
      <c r="A751" s="10">
        <v>6712</v>
      </c>
      <c r="B751" s="10">
        <v>33</v>
      </c>
      <c r="C751" s="10" t="s">
        <v>1057</v>
      </c>
      <c r="D751" s="10">
        <v>3385</v>
      </c>
      <c r="E751" s="10" t="s">
        <v>1084</v>
      </c>
      <c r="F751" s="10">
        <v>0</v>
      </c>
      <c r="G751" s="10" t="s">
        <v>343</v>
      </c>
      <c r="H751" s="10">
        <v>0</v>
      </c>
      <c r="I751" s="10" t="s">
        <v>343</v>
      </c>
      <c r="J751" s="11">
        <v>4538</v>
      </c>
      <c r="K751" s="11">
        <v>4519</v>
      </c>
      <c r="L751" s="11">
        <v>9057</v>
      </c>
      <c r="M751" s="11">
        <v>2123</v>
      </c>
    </row>
    <row r="752" spans="1:13" x14ac:dyDescent="0.3">
      <c r="A752" s="10">
        <v>6712</v>
      </c>
      <c r="B752" s="10">
        <v>33</v>
      </c>
      <c r="C752" s="10" t="s">
        <v>1057</v>
      </c>
      <c r="D752" s="10">
        <v>3386</v>
      </c>
      <c r="E752" s="10" t="s">
        <v>1085</v>
      </c>
      <c r="F752" s="10">
        <v>0</v>
      </c>
      <c r="G752" s="10" t="s">
        <v>343</v>
      </c>
      <c r="H752" s="10">
        <v>0</v>
      </c>
      <c r="I752" s="10" t="s">
        <v>343</v>
      </c>
      <c r="J752" s="11">
        <v>1920</v>
      </c>
      <c r="K752" s="11">
        <v>1952</v>
      </c>
      <c r="L752" s="11">
        <v>3872</v>
      </c>
      <c r="M752" s="11">
        <v>1540</v>
      </c>
    </row>
    <row r="753" spans="1:13" x14ac:dyDescent="0.3">
      <c r="A753" s="10">
        <v>6712</v>
      </c>
      <c r="B753" s="10">
        <v>33</v>
      </c>
      <c r="C753" s="10" t="s">
        <v>1057</v>
      </c>
      <c r="D753" s="10">
        <v>3387</v>
      </c>
      <c r="E753" s="10" t="s">
        <v>1086</v>
      </c>
      <c r="F753" s="10">
        <v>0</v>
      </c>
      <c r="G753" s="10" t="s">
        <v>343</v>
      </c>
      <c r="H753" s="10">
        <v>0</v>
      </c>
      <c r="I753" s="10" t="s">
        <v>343</v>
      </c>
      <c r="J753" s="11">
        <v>2242</v>
      </c>
      <c r="K753" s="11">
        <v>2325</v>
      </c>
      <c r="L753" s="11">
        <v>4567</v>
      </c>
      <c r="M753" s="11">
        <v>1503</v>
      </c>
    </row>
    <row r="754" spans="1:13" x14ac:dyDescent="0.3">
      <c r="A754" s="10">
        <v>6712</v>
      </c>
      <c r="B754" s="10">
        <v>33</v>
      </c>
      <c r="C754" s="10" t="s">
        <v>1057</v>
      </c>
      <c r="D754" s="10">
        <v>3388</v>
      </c>
      <c r="E754" s="10" t="s">
        <v>1087</v>
      </c>
      <c r="F754" s="10">
        <v>0</v>
      </c>
      <c r="G754" s="10" t="s">
        <v>343</v>
      </c>
      <c r="H754" s="10">
        <v>0</v>
      </c>
      <c r="I754" s="10" t="s">
        <v>343</v>
      </c>
      <c r="J754" s="11">
        <v>1656</v>
      </c>
      <c r="K754" s="11">
        <v>1611</v>
      </c>
      <c r="L754" s="11">
        <v>3267</v>
      </c>
      <c r="M754" s="11">
        <v>1110</v>
      </c>
    </row>
    <row r="755" spans="1:13" x14ac:dyDescent="0.3">
      <c r="A755" s="10">
        <v>6712</v>
      </c>
      <c r="B755" s="10">
        <v>33</v>
      </c>
      <c r="C755" s="10" t="s">
        <v>1057</v>
      </c>
      <c r="D755" s="10">
        <v>3389</v>
      </c>
      <c r="E755" s="10" t="s">
        <v>1088</v>
      </c>
      <c r="F755" s="10">
        <v>0</v>
      </c>
      <c r="G755" s="10" t="s">
        <v>343</v>
      </c>
      <c r="H755" s="10">
        <v>0</v>
      </c>
      <c r="I755" s="10" t="s">
        <v>343</v>
      </c>
      <c r="J755" s="11">
        <v>2904</v>
      </c>
      <c r="K755" s="11">
        <v>3045</v>
      </c>
      <c r="L755" s="11">
        <v>5949</v>
      </c>
      <c r="M755" s="11">
        <v>1914</v>
      </c>
    </row>
    <row r="756" spans="1:13" x14ac:dyDescent="0.3">
      <c r="A756" s="10">
        <v>6712</v>
      </c>
      <c r="B756" s="10">
        <v>33</v>
      </c>
      <c r="C756" s="10" t="s">
        <v>1057</v>
      </c>
      <c r="D756" s="10">
        <v>3390</v>
      </c>
      <c r="E756" s="10" t="s">
        <v>1089</v>
      </c>
      <c r="F756" s="10">
        <v>0</v>
      </c>
      <c r="G756" s="10" t="s">
        <v>343</v>
      </c>
      <c r="H756" s="10">
        <v>0</v>
      </c>
      <c r="I756" s="10" t="s">
        <v>343</v>
      </c>
      <c r="J756" s="11">
        <v>1196</v>
      </c>
      <c r="K756" s="11">
        <v>1314</v>
      </c>
      <c r="L756" s="11">
        <v>2510</v>
      </c>
      <c r="M756" s="11">
        <v>1354</v>
      </c>
    </row>
    <row r="757" spans="1:13" x14ac:dyDescent="0.3">
      <c r="A757" s="10">
        <v>6712</v>
      </c>
      <c r="B757" s="10">
        <v>33</v>
      </c>
      <c r="C757" s="10" t="s">
        <v>1057</v>
      </c>
      <c r="D757" s="10">
        <v>3391</v>
      </c>
      <c r="E757" s="10" t="s">
        <v>953</v>
      </c>
      <c r="F757" s="10">
        <v>0</v>
      </c>
      <c r="G757" s="10" t="s">
        <v>343</v>
      </c>
      <c r="H757" s="10">
        <v>0</v>
      </c>
      <c r="I757" s="10" t="s">
        <v>343</v>
      </c>
      <c r="J757" s="11">
        <v>1831</v>
      </c>
      <c r="K757" s="11">
        <v>1962</v>
      </c>
      <c r="L757" s="11">
        <v>3793</v>
      </c>
      <c r="M757" s="11">
        <v>2165</v>
      </c>
    </row>
    <row r="758" spans="1:13" x14ac:dyDescent="0.3">
      <c r="A758" s="10">
        <v>6712</v>
      </c>
      <c r="B758" s="10">
        <v>33</v>
      </c>
      <c r="C758" s="10" t="s">
        <v>1057</v>
      </c>
      <c r="D758" s="10">
        <v>3392</v>
      </c>
      <c r="E758" s="10" t="s">
        <v>1090</v>
      </c>
      <c r="F758" s="10">
        <v>0</v>
      </c>
      <c r="G758" s="10" t="s">
        <v>343</v>
      </c>
      <c r="H758" s="10">
        <v>0</v>
      </c>
      <c r="I758" s="10" t="s">
        <v>343</v>
      </c>
      <c r="J758" s="11">
        <v>5232</v>
      </c>
      <c r="K758" s="11">
        <v>5348</v>
      </c>
      <c r="L758" s="11">
        <v>10580</v>
      </c>
      <c r="M758" s="11">
        <v>3936</v>
      </c>
    </row>
    <row r="759" spans="1:13" x14ac:dyDescent="0.3">
      <c r="A759" s="10">
        <v>6712</v>
      </c>
      <c r="B759" s="10">
        <v>33</v>
      </c>
      <c r="C759" s="10" t="s">
        <v>1057</v>
      </c>
      <c r="D759" s="10">
        <v>3393</v>
      </c>
      <c r="E759" s="10" t="s">
        <v>1091</v>
      </c>
      <c r="F759" s="10">
        <v>0</v>
      </c>
      <c r="G759" s="10" t="s">
        <v>343</v>
      </c>
      <c r="H759" s="10">
        <v>0</v>
      </c>
      <c r="I759" s="10" t="s">
        <v>343</v>
      </c>
      <c r="J759" s="11">
        <v>1365</v>
      </c>
      <c r="K759" s="11">
        <v>1409</v>
      </c>
      <c r="L759" s="11">
        <v>2774</v>
      </c>
      <c r="M759" s="11">
        <v>1382</v>
      </c>
    </row>
    <row r="760" spans="1:13" x14ac:dyDescent="0.3">
      <c r="A760" s="10">
        <v>6712</v>
      </c>
      <c r="B760" s="10">
        <v>33</v>
      </c>
      <c r="C760" s="10" t="s">
        <v>1057</v>
      </c>
      <c r="D760" s="10">
        <v>3394</v>
      </c>
      <c r="E760" s="10" t="s">
        <v>1092</v>
      </c>
      <c r="F760" s="10">
        <v>0</v>
      </c>
      <c r="G760" s="10" t="s">
        <v>343</v>
      </c>
      <c r="H760" s="10">
        <v>0</v>
      </c>
      <c r="I760" s="10" t="s">
        <v>343</v>
      </c>
      <c r="J760" s="11">
        <v>5368</v>
      </c>
      <c r="K760" s="11">
        <v>5399</v>
      </c>
      <c r="L760" s="11">
        <v>10767</v>
      </c>
      <c r="M760" s="11">
        <v>3078</v>
      </c>
    </row>
    <row r="761" spans="1:13" x14ac:dyDescent="0.3">
      <c r="A761" s="10">
        <v>6712</v>
      </c>
      <c r="B761" s="10">
        <v>33</v>
      </c>
      <c r="C761" s="10" t="s">
        <v>1057</v>
      </c>
      <c r="D761" s="10">
        <v>3395</v>
      </c>
      <c r="E761" s="10" t="s">
        <v>1093</v>
      </c>
      <c r="F761" s="10">
        <v>0</v>
      </c>
      <c r="G761" s="10" t="s">
        <v>343</v>
      </c>
      <c r="H761" s="10">
        <v>0</v>
      </c>
      <c r="I761" s="10" t="s">
        <v>343</v>
      </c>
      <c r="J761" s="11">
        <v>1994</v>
      </c>
      <c r="K761" s="11">
        <v>2116</v>
      </c>
      <c r="L761" s="11">
        <v>4110</v>
      </c>
      <c r="M761" s="11">
        <v>2200</v>
      </c>
    </row>
    <row r="762" spans="1:13" x14ac:dyDescent="0.3">
      <c r="A762" s="10">
        <v>6712</v>
      </c>
      <c r="B762" s="10">
        <v>33</v>
      </c>
      <c r="C762" s="10" t="s">
        <v>1057</v>
      </c>
      <c r="D762" s="10">
        <v>3396</v>
      </c>
      <c r="E762" s="10" t="s">
        <v>1094</v>
      </c>
      <c r="F762" s="10">
        <v>0</v>
      </c>
      <c r="G762" s="10" t="s">
        <v>343</v>
      </c>
      <c r="H762" s="10">
        <v>0</v>
      </c>
      <c r="I762" s="10" t="s">
        <v>343</v>
      </c>
      <c r="J762" s="11">
        <v>8185</v>
      </c>
      <c r="K762" s="11">
        <v>8975</v>
      </c>
      <c r="L762" s="11">
        <v>17160</v>
      </c>
      <c r="M762" s="11">
        <v>7867</v>
      </c>
    </row>
    <row r="763" spans="1:13" x14ac:dyDescent="0.3">
      <c r="A763" s="10">
        <v>6712</v>
      </c>
      <c r="B763" s="10">
        <v>33</v>
      </c>
      <c r="C763" s="10" t="s">
        <v>1057</v>
      </c>
      <c r="D763" s="10">
        <v>3397</v>
      </c>
      <c r="E763" s="10" t="s">
        <v>1095</v>
      </c>
      <c r="F763" s="10">
        <v>0</v>
      </c>
      <c r="G763" s="10" t="s">
        <v>343</v>
      </c>
      <c r="H763" s="10">
        <v>0</v>
      </c>
      <c r="I763" s="10" t="s">
        <v>343</v>
      </c>
      <c r="J763" s="11">
        <v>2831</v>
      </c>
      <c r="K763" s="11">
        <v>3086</v>
      </c>
      <c r="L763" s="11">
        <v>5917</v>
      </c>
      <c r="M763" s="11">
        <v>3346</v>
      </c>
    </row>
    <row r="764" spans="1:13" x14ac:dyDescent="0.3">
      <c r="A764" s="10">
        <v>6712</v>
      </c>
      <c r="B764" s="10">
        <v>33</v>
      </c>
      <c r="C764" s="10" t="s">
        <v>1057</v>
      </c>
      <c r="D764" s="10">
        <v>3398</v>
      </c>
      <c r="E764" s="10" t="s">
        <v>1096</v>
      </c>
      <c r="F764" s="10">
        <v>0</v>
      </c>
      <c r="G764" s="10" t="s">
        <v>343</v>
      </c>
      <c r="H764" s="10">
        <v>0</v>
      </c>
      <c r="I764" s="10" t="s">
        <v>343</v>
      </c>
      <c r="J764" s="11">
        <v>3038</v>
      </c>
      <c r="K764" s="11">
        <v>3171</v>
      </c>
      <c r="L764" s="11">
        <v>6209</v>
      </c>
      <c r="M764" s="11">
        <v>2522</v>
      </c>
    </row>
    <row r="765" spans="1:13" x14ac:dyDescent="0.3">
      <c r="A765" s="10">
        <v>6712</v>
      </c>
      <c r="B765" s="10">
        <v>33</v>
      </c>
      <c r="C765" s="10" t="s">
        <v>1057</v>
      </c>
      <c r="D765" s="10">
        <v>3399</v>
      </c>
      <c r="E765" s="10" t="s">
        <v>1097</v>
      </c>
      <c r="F765" s="10">
        <v>0</v>
      </c>
      <c r="G765" s="10" t="s">
        <v>343</v>
      </c>
      <c r="H765" s="10">
        <v>0</v>
      </c>
      <c r="I765" s="10" t="s">
        <v>343</v>
      </c>
      <c r="J765" s="11">
        <v>18197</v>
      </c>
      <c r="K765" s="11">
        <v>20549</v>
      </c>
      <c r="L765" s="11">
        <v>38746</v>
      </c>
      <c r="M765" s="11">
        <v>21761</v>
      </c>
    </row>
    <row r="766" spans="1:13" x14ac:dyDescent="0.3">
      <c r="A766" s="10">
        <v>6712</v>
      </c>
      <c r="B766" s="10">
        <v>34</v>
      </c>
      <c r="C766" s="10" t="s">
        <v>1098</v>
      </c>
      <c r="D766" s="10">
        <v>0</v>
      </c>
      <c r="E766" s="10" t="s">
        <v>343</v>
      </c>
      <c r="F766" s="10">
        <v>0</v>
      </c>
      <c r="G766" s="10" t="s">
        <v>343</v>
      </c>
      <c r="H766" s="10">
        <v>0</v>
      </c>
      <c r="I766" s="10" t="s">
        <v>343</v>
      </c>
      <c r="J766" s="11">
        <v>929772</v>
      </c>
      <c r="K766" s="11">
        <v>938170</v>
      </c>
      <c r="L766" s="11">
        <v>1867942</v>
      </c>
      <c r="M766" s="11">
        <v>661003</v>
      </c>
    </row>
    <row r="767" spans="1:13" x14ac:dyDescent="0.3">
      <c r="A767" s="10">
        <v>6712</v>
      </c>
      <c r="B767" s="10">
        <v>34</v>
      </c>
      <c r="C767" s="10" t="s">
        <v>1098</v>
      </c>
      <c r="D767" s="10">
        <v>3401</v>
      </c>
      <c r="E767" s="10" t="s">
        <v>1099</v>
      </c>
      <c r="F767" s="10">
        <v>0</v>
      </c>
      <c r="G767" s="10" t="s">
        <v>343</v>
      </c>
      <c r="H767" s="10">
        <v>0</v>
      </c>
      <c r="I767" s="10" t="s">
        <v>343</v>
      </c>
      <c r="J767" s="11">
        <v>48202</v>
      </c>
      <c r="K767" s="11">
        <v>50196</v>
      </c>
      <c r="L767" s="11">
        <v>98398</v>
      </c>
      <c r="M767" s="11">
        <v>38838</v>
      </c>
    </row>
    <row r="768" spans="1:13" x14ac:dyDescent="0.3">
      <c r="A768" s="10">
        <v>6712</v>
      </c>
      <c r="B768" s="10">
        <v>34</v>
      </c>
      <c r="C768" s="10" t="s">
        <v>1098</v>
      </c>
      <c r="D768" s="10">
        <v>3402</v>
      </c>
      <c r="E768" s="10" t="s">
        <v>1100</v>
      </c>
      <c r="F768" s="10">
        <v>0</v>
      </c>
      <c r="G768" s="10" t="s">
        <v>343</v>
      </c>
      <c r="H768" s="10">
        <v>0</v>
      </c>
      <c r="I768" s="10" t="s">
        <v>343</v>
      </c>
      <c r="J768" s="11">
        <v>33605</v>
      </c>
      <c r="K768" s="11">
        <v>33061</v>
      </c>
      <c r="L768" s="11">
        <v>66666</v>
      </c>
      <c r="M768" s="11">
        <v>20190</v>
      </c>
    </row>
    <row r="769" spans="1:13" x14ac:dyDescent="0.3">
      <c r="A769" s="10">
        <v>6712</v>
      </c>
      <c r="B769" s="10">
        <v>34</v>
      </c>
      <c r="C769" s="10" t="s">
        <v>1098</v>
      </c>
      <c r="D769" s="10">
        <v>3403</v>
      </c>
      <c r="E769" s="10" t="s">
        <v>1101</v>
      </c>
      <c r="F769" s="10">
        <v>0</v>
      </c>
      <c r="G769" s="10" t="s">
        <v>343</v>
      </c>
      <c r="H769" s="10">
        <v>0</v>
      </c>
      <c r="I769" s="10" t="s">
        <v>343</v>
      </c>
      <c r="J769" s="11">
        <v>18294</v>
      </c>
      <c r="K769" s="11">
        <v>18033</v>
      </c>
      <c r="L769" s="11">
        <v>36327</v>
      </c>
      <c r="M769" s="11">
        <v>10854</v>
      </c>
    </row>
    <row r="770" spans="1:13" x14ac:dyDescent="0.3">
      <c r="A770" s="10">
        <v>6712</v>
      </c>
      <c r="B770" s="10">
        <v>34</v>
      </c>
      <c r="C770" s="10" t="s">
        <v>1098</v>
      </c>
      <c r="D770" s="10">
        <v>3404</v>
      </c>
      <c r="E770" s="10" t="s">
        <v>1102</v>
      </c>
      <c r="F770" s="10">
        <v>0</v>
      </c>
      <c r="G770" s="10" t="s">
        <v>343</v>
      </c>
      <c r="H770" s="10">
        <v>0</v>
      </c>
      <c r="I770" s="10" t="s">
        <v>343</v>
      </c>
      <c r="J770" s="11">
        <v>49824</v>
      </c>
      <c r="K770" s="11">
        <v>50848</v>
      </c>
      <c r="L770" s="11">
        <v>100672</v>
      </c>
      <c r="M770" s="11">
        <v>29244</v>
      </c>
    </row>
    <row r="771" spans="1:13" x14ac:dyDescent="0.3">
      <c r="A771" s="10">
        <v>6712</v>
      </c>
      <c r="B771" s="10">
        <v>34</v>
      </c>
      <c r="C771" s="10" t="s">
        <v>1098</v>
      </c>
      <c r="D771" s="10">
        <v>3405</v>
      </c>
      <c r="E771" s="10" t="s">
        <v>1103</v>
      </c>
      <c r="F771" s="10">
        <v>0</v>
      </c>
      <c r="G771" s="10" t="s">
        <v>343</v>
      </c>
      <c r="H771" s="10">
        <v>0</v>
      </c>
      <c r="I771" s="10" t="s">
        <v>343</v>
      </c>
      <c r="J771" s="11">
        <v>15998</v>
      </c>
      <c r="K771" s="11">
        <v>16012</v>
      </c>
      <c r="L771" s="11">
        <v>32010</v>
      </c>
      <c r="M771" s="11">
        <v>9534</v>
      </c>
    </row>
    <row r="772" spans="1:13" x14ac:dyDescent="0.3">
      <c r="A772" s="10">
        <v>6712</v>
      </c>
      <c r="B772" s="10">
        <v>34</v>
      </c>
      <c r="C772" s="10" t="s">
        <v>1098</v>
      </c>
      <c r="D772" s="10">
        <v>3407</v>
      </c>
      <c r="E772" s="10" t="s">
        <v>1104</v>
      </c>
      <c r="F772" s="10">
        <v>0</v>
      </c>
      <c r="G772" s="10" t="s">
        <v>343</v>
      </c>
      <c r="H772" s="10">
        <v>0</v>
      </c>
      <c r="I772" s="10" t="s">
        <v>343</v>
      </c>
      <c r="J772" s="11">
        <v>66362</v>
      </c>
      <c r="K772" s="11">
        <v>65513</v>
      </c>
      <c r="L772" s="11">
        <v>131875</v>
      </c>
      <c r="M772" s="11">
        <v>56002</v>
      </c>
    </row>
    <row r="773" spans="1:13" x14ac:dyDescent="0.3">
      <c r="A773" s="10">
        <v>6712</v>
      </c>
      <c r="B773" s="10">
        <v>34</v>
      </c>
      <c r="C773" s="10" t="s">
        <v>1098</v>
      </c>
      <c r="D773" s="10">
        <v>3408</v>
      </c>
      <c r="E773" s="10" t="s">
        <v>1105</v>
      </c>
      <c r="F773" s="10">
        <v>0</v>
      </c>
      <c r="G773" s="10" t="s">
        <v>343</v>
      </c>
      <c r="H773" s="10">
        <v>0</v>
      </c>
      <c r="I773" s="10" t="s">
        <v>343</v>
      </c>
      <c r="J773" s="11">
        <v>26148</v>
      </c>
      <c r="K773" s="11">
        <v>25499</v>
      </c>
      <c r="L773" s="11">
        <v>51647</v>
      </c>
      <c r="M773" s="11">
        <v>19398</v>
      </c>
    </row>
    <row r="774" spans="1:13" x14ac:dyDescent="0.3">
      <c r="A774" s="10">
        <v>6712</v>
      </c>
      <c r="B774" s="10">
        <v>34</v>
      </c>
      <c r="C774" s="10" t="s">
        <v>1098</v>
      </c>
      <c r="D774" s="10">
        <v>3409</v>
      </c>
      <c r="E774" s="10" t="s">
        <v>1106</v>
      </c>
      <c r="F774" s="10">
        <v>0</v>
      </c>
      <c r="G774" s="10" t="s">
        <v>343</v>
      </c>
      <c r="H774" s="10">
        <v>0</v>
      </c>
      <c r="I774" s="10" t="s">
        <v>343</v>
      </c>
      <c r="J774" s="11">
        <v>31041</v>
      </c>
      <c r="K774" s="11">
        <v>30147</v>
      </c>
      <c r="L774" s="11">
        <v>61188</v>
      </c>
      <c r="M774" s="11">
        <v>21464</v>
      </c>
    </row>
    <row r="775" spans="1:13" x14ac:dyDescent="0.3">
      <c r="A775" s="10">
        <v>6712</v>
      </c>
      <c r="B775" s="10">
        <v>34</v>
      </c>
      <c r="C775" s="10" t="s">
        <v>1098</v>
      </c>
      <c r="D775" s="10">
        <v>3410</v>
      </c>
      <c r="E775" s="10" t="s">
        <v>1107</v>
      </c>
      <c r="F775" s="10">
        <v>0</v>
      </c>
      <c r="G775" s="10" t="s">
        <v>343</v>
      </c>
      <c r="H775" s="10">
        <v>0</v>
      </c>
      <c r="I775" s="10" t="s">
        <v>343</v>
      </c>
      <c r="J775" s="11">
        <v>39522</v>
      </c>
      <c r="K775" s="11">
        <v>38460</v>
      </c>
      <c r="L775" s="11">
        <v>77982</v>
      </c>
      <c r="M775" s="11">
        <v>25208</v>
      </c>
    </row>
    <row r="776" spans="1:13" x14ac:dyDescent="0.3">
      <c r="A776" s="10">
        <v>6712</v>
      </c>
      <c r="B776" s="10">
        <v>34</v>
      </c>
      <c r="C776" s="10" t="s">
        <v>1098</v>
      </c>
      <c r="D776" s="10">
        <v>3411</v>
      </c>
      <c r="E776" s="10" t="s">
        <v>1108</v>
      </c>
      <c r="F776" s="10">
        <v>0</v>
      </c>
      <c r="G776" s="10" t="s">
        <v>343</v>
      </c>
      <c r="H776" s="10">
        <v>0</v>
      </c>
      <c r="I776" s="10" t="s">
        <v>343</v>
      </c>
      <c r="J776" s="11">
        <v>55878</v>
      </c>
      <c r="K776" s="11">
        <v>55449</v>
      </c>
      <c r="L776" s="11">
        <v>111327</v>
      </c>
      <c r="M776" s="11">
        <v>31122</v>
      </c>
    </row>
    <row r="777" spans="1:13" x14ac:dyDescent="0.3">
      <c r="A777" s="10">
        <v>6712</v>
      </c>
      <c r="B777" s="10">
        <v>34</v>
      </c>
      <c r="C777" s="10" t="s">
        <v>1098</v>
      </c>
      <c r="D777" s="10">
        <v>3412</v>
      </c>
      <c r="E777" s="10" t="s">
        <v>1109</v>
      </c>
      <c r="F777" s="10">
        <v>0</v>
      </c>
      <c r="G777" s="10" t="s">
        <v>343</v>
      </c>
      <c r="H777" s="10">
        <v>0</v>
      </c>
      <c r="I777" s="10" t="s">
        <v>343</v>
      </c>
      <c r="J777" s="11">
        <v>18365</v>
      </c>
      <c r="K777" s="11">
        <v>18154</v>
      </c>
      <c r="L777" s="11">
        <v>36519</v>
      </c>
      <c r="M777" s="11">
        <v>9947</v>
      </c>
    </row>
    <row r="778" spans="1:13" x14ac:dyDescent="0.3">
      <c r="A778" s="10">
        <v>6712</v>
      </c>
      <c r="B778" s="10">
        <v>34</v>
      </c>
      <c r="C778" s="10" t="s">
        <v>1098</v>
      </c>
      <c r="D778" s="10">
        <v>3414</v>
      </c>
      <c r="E778" s="10" t="s">
        <v>1110</v>
      </c>
      <c r="F778" s="10">
        <v>0</v>
      </c>
      <c r="G778" s="10" t="s">
        <v>343</v>
      </c>
      <c r="H778" s="10">
        <v>0</v>
      </c>
      <c r="I778" s="10" t="s">
        <v>343</v>
      </c>
      <c r="J778" s="11">
        <v>40336</v>
      </c>
      <c r="K778" s="11">
        <v>40308</v>
      </c>
      <c r="L778" s="11">
        <v>80644</v>
      </c>
      <c r="M778" s="11">
        <v>24063</v>
      </c>
    </row>
    <row r="779" spans="1:13" x14ac:dyDescent="0.3">
      <c r="A779" s="10">
        <v>6712</v>
      </c>
      <c r="B779" s="10">
        <v>34</v>
      </c>
      <c r="C779" s="10" t="s">
        <v>1098</v>
      </c>
      <c r="D779" s="10">
        <v>3415</v>
      </c>
      <c r="E779" s="10" t="s">
        <v>1111</v>
      </c>
      <c r="F779" s="10">
        <v>0</v>
      </c>
      <c r="G779" s="10" t="s">
        <v>343</v>
      </c>
      <c r="H779" s="10">
        <v>0</v>
      </c>
      <c r="I779" s="10" t="s">
        <v>343</v>
      </c>
      <c r="J779" s="11">
        <v>46196</v>
      </c>
      <c r="K779" s="11">
        <v>47125</v>
      </c>
      <c r="L779" s="11">
        <v>93321</v>
      </c>
      <c r="M779" s="11">
        <v>32952</v>
      </c>
    </row>
    <row r="780" spans="1:13" x14ac:dyDescent="0.3">
      <c r="A780" s="10">
        <v>6712</v>
      </c>
      <c r="B780" s="10">
        <v>34</v>
      </c>
      <c r="C780" s="10" t="s">
        <v>1098</v>
      </c>
      <c r="D780" s="10">
        <v>3419</v>
      </c>
      <c r="E780" s="10" t="s">
        <v>1112</v>
      </c>
      <c r="F780" s="10">
        <v>0</v>
      </c>
      <c r="G780" s="10" t="s">
        <v>343</v>
      </c>
      <c r="H780" s="10">
        <v>0</v>
      </c>
      <c r="I780" s="10" t="s">
        <v>343</v>
      </c>
      <c r="J780" s="11">
        <v>52369</v>
      </c>
      <c r="K780" s="11">
        <v>51691</v>
      </c>
      <c r="L780" s="11">
        <v>104060</v>
      </c>
      <c r="M780" s="11">
        <v>35796</v>
      </c>
    </row>
    <row r="781" spans="1:13" x14ac:dyDescent="0.3">
      <c r="A781" s="10">
        <v>6712</v>
      </c>
      <c r="B781" s="10">
        <v>34</v>
      </c>
      <c r="C781" s="10" t="s">
        <v>1098</v>
      </c>
      <c r="D781" s="10">
        <v>3420</v>
      </c>
      <c r="E781" s="10" t="s">
        <v>1113</v>
      </c>
      <c r="F781" s="10">
        <v>0</v>
      </c>
      <c r="G781" s="10" t="s">
        <v>343</v>
      </c>
      <c r="H781" s="10">
        <v>0</v>
      </c>
      <c r="I781" s="10" t="s">
        <v>343</v>
      </c>
      <c r="J781" s="11">
        <v>15089</v>
      </c>
      <c r="K781" s="11">
        <v>14662</v>
      </c>
      <c r="L781" s="11">
        <v>29751</v>
      </c>
      <c r="M781" s="11">
        <v>9007</v>
      </c>
    </row>
    <row r="782" spans="1:13" x14ac:dyDescent="0.3">
      <c r="A782" s="10">
        <v>6712</v>
      </c>
      <c r="B782" s="10">
        <v>34</v>
      </c>
      <c r="C782" s="10" t="s">
        <v>1098</v>
      </c>
      <c r="D782" s="10">
        <v>3421</v>
      </c>
      <c r="E782" s="10" t="s">
        <v>1114</v>
      </c>
      <c r="F782" s="10">
        <v>0</v>
      </c>
      <c r="G782" s="10" t="s">
        <v>343</v>
      </c>
      <c r="H782" s="10">
        <v>0</v>
      </c>
      <c r="I782" s="10" t="s">
        <v>343</v>
      </c>
      <c r="J782" s="11">
        <v>22824</v>
      </c>
      <c r="K782" s="11">
        <v>22250</v>
      </c>
      <c r="L782" s="11">
        <v>45074</v>
      </c>
      <c r="M782" s="11">
        <v>12629</v>
      </c>
    </row>
    <row r="783" spans="1:13" x14ac:dyDescent="0.3">
      <c r="A783" s="10">
        <v>6712</v>
      </c>
      <c r="B783" s="10">
        <v>34</v>
      </c>
      <c r="C783" s="10" t="s">
        <v>1098</v>
      </c>
      <c r="D783" s="10">
        <v>3422</v>
      </c>
      <c r="E783" s="10" t="s">
        <v>1115</v>
      </c>
      <c r="F783" s="10">
        <v>0</v>
      </c>
      <c r="G783" s="10" t="s">
        <v>343</v>
      </c>
      <c r="H783" s="10">
        <v>0</v>
      </c>
      <c r="I783" s="10" t="s">
        <v>343</v>
      </c>
      <c r="J783" s="11">
        <v>26961</v>
      </c>
      <c r="K783" s="11">
        <v>26871</v>
      </c>
      <c r="L783" s="11">
        <v>53832</v>
      </c>
      <c r="M783" s="11">
        <v>15617</v>
      </c>
    </row>
    <row r="784" spans="1:13" x14ac:dyDescent="0.3">
      <c r="A784" s="10">
        <v>6712</v>
      </c>
      <c r="B784" s="10">
        <v>34</v>
      </c>
      <c r="C784" s="10" t="s">
        <v>1098</v>
      </c>
      <c r="D784" s="10">
        <v>3424</v>
      </c>
      <c r="E784" s="10" t="s">
        <v>1116</v>
      </c>
      <c r="F784" s="10">
        <v>0</v>
      </c>
      <c r="G784" s="10" t="s">
        <v>343</v>
      </c>
      <c r="H784" s="10">
        <v>0</v>
      </c>
      <c r="I784" s="10" t="s">
        <v>343</v>
      </c>
      <c r="J784" s="11">
        <v>13596</v>
      </c>
      <c r="K784" s="11">
        <v>13468</v>
      </c>
      <c r="L784" s="11">
        <v>27064</v>
      </c>
      <c r="M784" s="11">
        <v>8413</v>
      </c>
    </row>
    <row r="785" spans="1:13" x14ac:dyDescent="0.3">
      <c r="A785" s="10">
        <v>6712</v>
      </c>
      <c r="B785" s="10">
        <v>34</v>
      </c>
      <c r="C785" s="10" t="s">
        <v>1098</v>
      </c>
      <c r="D785" s="10">
        <v>3425</v>
      </c>
      <c r="E785" s="10" t="s">
        <v>1117</v>
      </c>
      <c r="F785" s="10">
        <v>0</v>
      </c>
      <c r="G785" s="10" t="s">
        <v>343</v>
      </c>
      <c r="H785" s="10">
        <v>0</v>
      </c>
      <c r="I785" s="10" t="s">
        <v>343</v>
      </c>
      <c r="J785" s="11">
        <v>22491</v>
      </c>
      <c r="K785" s="11">
        <v>21756</v>
      </c>
      <c r="L785" s="11">
        <v>44247</v>
      </c>
      <c r="M785" s="11">
        <v>15417</v>
      </c>
    </row>
    <row r="786" spans="1:13" x14ac:dyDescent="0.3">
      <c r="A786" s="10">
        <v>6712</v>
      </c>
      <c r="B786" s="10">
        <v>34</v>
      </c>
      <c r="C786" s="10" t="s">
        <v>1098</v>
      </c>
      <c r="D786" s="10">
        <v>3426</v>
      </c>
      <c r="E786" s="10" t="s">
        <v>1118</v>
      </c>
      <c r="F786" s="10">
        <v>0</v>
      </c>
      <c r="G786" s="10" t="s">
        <v>343</v>
      </c>
      <c r="H786" s="10">
        <v>0</v>
      </c>
      <c r="I786" s="10" t="s">
        <v>343</v>
      </c>
      <c r="J786" s="11">
        <v>14736</v>
      </c>
      <c r="K786" s="11">
        <v>14383</v>
      </c>
      <c r="L786" s="11">
        <v>29119</v>
      </c>
      <c r="M786" s="11">
        <v>9519</v>
      </c>
    </row>
    <row r="787" spans="1:13" x14ac:dyDescent="0.3">
      <c r="A787" s="10">
        <v>6712</v>
      </c>
      <c r="B787" s="10">
        <v>34</v>
      </c>
      <c r="C787" s="10" t="s">
        <v>1098</v>
      </c>
      <c r="D787" s="10">
        <v>3429</v>
      </c>
      <c r="E787" s="10" t="s">
        <v>1119</v>
      </c>
      <c r="F787" s="10">
        <v>0</v>
      </c>
      <c r="G787" s="10" t="s">
        <v>343</v>
      </c>
      <c r="H787" s="10">
        <v>0</v>
      </c>
      <c r="I787" s="10" t="s">
        <v>343</v>
      </c>
      <c r="J787" s="11">
        <v>10929</v>
      </c>
      <c r="K787" s="11">
        <v>10288</v>
      </c>
      <c r="L787" s="11">
        <v>21217</v>
      </c>
      <c r="M787" s="11">
        <v>7580</v>
      </c>
    </row>
    <row r="788" spans="1:13" x14ac:dyDescent="0.3">
      <c r="A788" s="10">
        <v>6712</v>
      </c>
      <c r="B788" s="10">
        <v>34</v>
      </c>
      <c r="C788" s="10" t="s">
        <v>1098</v>
      </c>
      <c r="D788" s="10">
        <v>3430</v>
      </c>
      <c r="E788" s="10" t="s">
        <v>1120</v>
      </c>
      <c r="F788" s="10">
        <v>0</v>
      </c>
      <c r="G788" s="10" t="s">
        <v>343</v>
      </c>
      <c r="H788" s="10">
        <v>0</v>
      </c>
      <c r="I788" s="10" t="s">
        <v>343</v>
      </c>
      <c r="J788" s="11">
        <v>19484</v>
      </c>
      <c r="K788" s="11">
        <v>19455</v>
      </c>
      <c r="L788" s="11">
        <v>38939</v>
      </c>
      <c r="M788" s="11">
        <v>11938</v>
      </c>
    </row>
    <row r="789" spans="1:13" x14ac:dyDescent="0.3">
      <c r="A789" s="10">
        <v>6712</v>
      </c>
      <c r="B789" s="10">
        <v>34</v>
      </c>
      <c r="C789" s="10" t="s">
        <v>1098</v>
      </c>
      <c r="D789" s="10">
        <v>3431</v>
      </c>
      <c r="E789" s="10" t="s">
        <v>1121</v>
      </c>
      <c r="F789" s="10">
        <v>0</v>
      </c>
      <c r="G789" s="10" t="s">
        <v>343</v>
      </c>
      <c r="H789" s="10">
        <v>0</v>
      </c>
      <c r="I789" s="10" t="s">
        <v>343</v>
      </c>
      <c r="J789" s="11">
        <v>14063</v>
      </c>
      <c r="K789" s="11">
        <v>13966</v>
      </c>
      <c r="L789" s="11">
        <v>28029</v>
      </c>
      <c r="M789" s="11">
        <v>8372</v>
      </c>
    </row>
    <row r="790" spans="1:13" x14ac:dyDescent="0.3">
      <c r="A790" s="10">
        <v>6712</v>
      </c>
      <c r="B790" s="10">
        <v>34</v>
      </c>
      <c r="C790" s="10" t="s">
        <v>1098</v>
      </c>
      <c r="D790" s="10">
        <v>3432</v>
      </c>
      <c r="E790" s="10" t="s">
        <v>1122</v>
      </c>
      <c r="F790" s="10">
        <v>0</v>
      </c>
      <c r="G790" s="10" t="s">
        <v>343</v>
      </c>
      <c r="H790" s="10">
        <v>0</v>
      </c>
      <c r="I790" s="10" t="s">
        <v>343</v>
      </c>
      <c r="J790" s="11">
        <v>15631</v>
      </c>
      <c r="K790" s="11">
        <v>15518</v>
      </c>
      <c r="L790" s="11">
        <v>31149</v>
      </c>
      <c r="M790" s="11">
        <v>9799</v>
      </c>
    </row>
    <row r="791" spans="1:13" x14ac:dyDescent="0.3">
      <c r="A791" s="10">
        <v>6712</v>
      </c>
      <c r="B791" s="10">
        <v>34</v>
      </c>
      <c r="C791" s="10" t="s">
        <v>1098</v>
      </c>
      <c r="D791" s="10">
        <v>3433</v>
      </c>
      <c r="E791" s="10" t="s">
        <v>1123</v>
      </c>
      <c r="F791" s="10">
        <v>0</v>
      </c>
      <c r="G791" s="10" t="s">
        <v>343</v>
      </c>
      <c r="H791" s="10">
        <v>0</v>
      </c>
      <c r="I791" s="10" t="s">
        <v>343</v>
      </c>
      <c r="J791" s="11">
        <v>16716</v>
      </c>
      <c r="K791" s="11">
        <v>16477</v>
      </c>
      <c r="L791" s="11">
        <v>33193</v>
      </c>
      <c r="M791" s="11">
        <v>11459</v>
      </c>
    </row>
    <row r="792" spans="1:13" x14ac:dyDescent="0.3">
      <c r="A792" s="10">
        <v>6712</v>
      </c>
      <c r="B792" s="10">
        <v>34</v>
      </c>
      <c r="C792" s="10" t="s">
        <v>1098</v>
      </c>
      <c r="D792" s="10">
        <v>3463</v>
      </c>
      <c r="E792" s="10" t="s">
        <v>1124</v>
      </c>
      <c r="F792" s="10">
        <v>0</v>
      </c>
      <c r="G792" s="10" t="s">
        <v>343</v>
      </c>
      <c r="H792" s="10">
        <v>0</v>
      </c>
      <c r="I792" s="10" t="s">
        <v>343</v>
      </c>
      <c r="J792" s="11">
        <v>5893</v>
      </c>
      <c r="K792" s="11">
        <v>5844</v>
      </c>
      <c r="L792" s="11">
        <v>11737</v>
      </c>
      <c r="M792" s="11">
        <v>4636</v>
      </c>
    </row>
    <row r="793" spans="1:13" x14ac:dyDescent="0.3">
      <c r="A793" s="10">
        <v>6712</v>
      </c>
      <c r="B793" s="10">
        <v>34</v>
      </c>
      <c r="C793" s="10" t="s">
        <v>1098</v>
      </c>
      <c r="D793" s="10">
        <v>3464</v>
      </c>
      <c r="E793" s="10" t="s">
        <v>1125</v>
      </c>
      <c r="F793" s="10">
        <v>0</v>
      </c>
      <c r="G793" s="10" t="s">
        <v>343</v>
      </c>
      <c r="H793" s="10">
        <v>0</v>
      </c>
      <c r="I793" s="10" t="s">
        <v>343</v>
      </c>
      <c r="J793" s="11">
        <v>4065</v>
      </c>
      <c r="K793" s="11">
        <v>4216</v>
      </c>
      <c r="L793" s="11">
        <v>8281</v>
      </c>
      <c r="M793" s="11">
        <v>3472</v>
      </c>
    </row>
    <row r="794" spans="1:13" x14ac:dyDescent="0.3">
      <c r="A794" s="10">
        <v>6712</v>
      </c>
      <c r="B794" s="10">
        <v>34</v>
      </c>
      <c r="C794" s="10" t="s">
        <v>1098</v>
      </c>
      <c r="D794" s="10">
        <v>3465</v>
      </c>
      <c r="E794" s="10" t="s">
        <v>1126</v>
      </c>
      <c r="F794" s="10">
        <v>0</v>
      </c>
      <c r="G794" s="10" t="s">
        <v>343</v>
      </c>
      <c r="H794" s="10">
        <v>0</v>
      </c>
      <c r="I794" s="10" t="s">
        <v>343</v>
      </c>
      <c r="J794" s="11">
        <v>6541</v>
      </c>
      <c r="K794" s="11">
        <v>6598</v>
      </c>
      <c r="L794" s="11">
        <v>13139</v>
      </c>
      <c r="M794" s="11">
        <v>3751</v>
      </c>
    </row>
    <row r="795" spans="1:13" x14ac:dyDescent="0.3">
      <c r="A795" s="10">
        <v>6712</v>
      </c>
      <c r="B795" s="10">
        <v>34</v>
      </c>
      <c r="C795" s="10" t="s">
        <v>1098</v>
      </c>
      <c r="D795" s="10">
        <v>3466</v>
      </c>
      <c r="E795" s="10" t="s">
        <v>1127</v>
      </c>
      <c r="F795" s="10">
        <v>0</v>
      </c>
      <c r="G795" s="10" t="s">
        <v>343</v>
      </c>
      <c r="H795" s="10">
        <v>0</v>
      </c>
      <c r="I795" s="10" t="s">
        <v>343</v>
      </c>
      <c r="J795" s="11">
        <v>4430</v>
      </c>
      <c r="K795" s="11">
        <v>4591</v>
      </c>
      <c r="L795" s="11">
        <v>9021</v>
      </c>
      <c r="M795" s="11">
        <v>3396</v>
      </c>
    </row>
    <row r="796" spans="1:13" x14ac:dyDescent="0.3">
      <c r="A796" s="10">
        <v>6712</v>
      </c>
      <c r="B796" s="10">
        <v>34</v>
      </c>
      <c r="C796" s="10" t="s">
        <v>1098</v>
      </c>
      <c r="D796" s="10">
        <v>3467</v>
      </c>
      <c r="E796" s="10" t="s">
        <v>1128</v>
      </c>
      <c r="F796" s="10">
        <v>0</v>
      </c>
      <c r="G796" s="10" t="s">
        <v>343</v>
      </c>
      <c r="H796" s="10">
        <v>0</v>
      </c>
      <c r="I796" s="10" t="s">
        <v>343</v>
      </c>
      <c r="J796" s="11">
        <v>4521</v>
      </c>
      <c r="K796" s="11">
        <v>7138</v>
      </c>
      <c r="L796" s="11">
        <v>11659</v>
      </c>
      <c r="M796" s="11">
        <v>3572</v>
      </c>
    </row>
    <row r="797" spans="1:13" x14ac:dyDescent="0.3">
      <c r="A797" s="10">
        <v>6712</v>
      </c>
      <c r="B797" s="10">
        <v>34</v>
      </c>
      <c r="C797" s="10" t="s">
        <v>1098</v>
      </c>
      <c r="D797" s="10">
        <v>3468</v>
      </c>
      <c r="E797" s="10" t="s">
        <v>1129</v>
      </c>
      <c r="F797" s="10">
        <v>0</v>
      </c>
      <c r="G797" s="10" t="s">
        <v>343</v>
      </c>
      <c r="H797" s="10">
        <v>0</v>
      </c>
      <c r="I797" s="10" t="s">
        <v>343</v>
      </c>
      <c r="J797" s="11">
        <v>4895</v>
      </c>
      <c r="K797" s="11">
        <v>5029</v>
      </c>
      <c r="L797" s="11">
        <v>9924</v>
      </c>
      <c r="M797" s="11">
        <v>3535</v>
      </c>
    </row>
    <row r="798" spans="1:13" x14ac:dyDescent="0.3">
      <c r="A798" s="10">
        <v>6712</v>
      </c>
      <c r="B798" s="10">
        <v>34</v>
      </c>
      <c r="C798" s="10" t="s">
        <v>1098</v>
      </c>
      <c r="D798" s="10">
        <v>3469</v>
      </c>
      <c r="E798" s="10" t="s">
        <v>1130</v>
      </c>
      <c r="F798" s="10">
        <v>0</v>
      </c>
      <c r="G798" s="10" t="s">
        <v>343</v>
      </c>
      <c r="H798" s="10">
        <v>0</v>
      </c>
      <c r="I798" s="10" t="s">
        <v>343</v>
      </c>
      <c r="J798" s="11">
        <v>4754</v>
      </c>
      <c r="K798" s="11">
        <v>4721</v>
      </c>
      <c r="L798" s="11">
        <v>9475</v>
      </c>
      <c r="M798" s="11">
        <v>3349</v>
      </c>
    </row>
    <row r="799" spans="1:13" x14ac:dyDescent="0.3">
      <c r="A799" s="10">
        <v>6712</v>
      </c>
      <c r="B799" s="10">
        <v>34</v>
      </c>
      <c r="C799" s="10" t="s">
        <v>1098</v>
      </c>
      <c r="D799" s="10">
        <v>3470</v>
      </c>
      <c r="E799" s="10" t="s">
        <v>1131</v>
      </c>
      <c r="F799" s="10">
        <v>0</v>
      </c>
      <c r="G799" s="10" t="s">
        <v>343</v>
      </c>
      <c r="H799" s="10">
        <v>0</v>
      </c>
      <c r="I799" s="10" t="s">
        <v>343</v>
      </c>
      <c r="J799" s="11">
        <v>6164</v>
      </c>
      <c r="K799" s="11">
        <v>6246</v>
      </c>
      <c r="L799" s="11">
        <v>12410</v>
      </c>
      <c r="M799" s="11">
        <v>4386</v>
      </c>
    </row>
    <row r="800" spans="1:13" x14ac:dyDescent="0.3">
      <c r="A800" s="10">
        <v>6712</v>
      </c>
      <c r="B800" s="10">
        <v>34</v>
      </c>
      <c r="C800" s="10" t="s">
        <v>1098</v>
      </c>
      <c r="D800" s="10">
        <v>3471</v>
      </c>
      <c r="E800" s="10" t="s">
        <v>1132</v>
      </c>
      <c r="F800" s="10">
        <v>0</v>
      </c>
      <c r="G800" s="10" t="s">
        <v>343</v>
      </c>
      <c r="H800" s="10">
        <v>0</v>
      </c>
      <c r="I800" s="10" t="s">
        <v>343</v>
      </c>
      <c r="J800" s="11">
        <v>4904</v>
      </c>
      <c r="K800" s="11">
        <v>5550</v>
      </c>
      <c r="L800" s="11">
        <v>10454</v>
      </c>
      <c r="M800" s="11">
        <v>4360</v>
      </c>
    </row>
    <row r="801" spans="1:13" x14ac:dyDescent="0.3">
      <c r="A801" s="10">
        <v>6712</v>
      </c>
      <c r="B801" s="10">
        <v>34</v>
      </c>
      <c r="C801" s="10" t="s">
        <v>1098</v>
      </c>
      <c r="D801" s="10">
        <v>3472</v>
      </c>
      <c r="E801" s="10" t="s">
        <v>1133</v>
      </c>
      <c r="F801" s="10">
        <v>0</v>
      </c>
      <c r="G801" s="10" t="s">
        <v>343</v>
      </c>
      <c r="H801" s="10">
        <v>0</v>
      </c>
      <c r="I801" s="10" t="s">
        <v>343</v>
      </c>
      <c r="J801" s="11">
        <v>6755</v>
      </c>
      <c r="K801" s="11">
        <v>6567</v>
      </c>
      <c r="L801" s="11">
        <v>13322</v>
      </c>
      <c r="M801" s="11">
        <v>4193</v>
      </c>
    </row>
    <row r="802" spans="1:13" x14ac:dyDescent="0.3">
      <c r="A802" s="10">
        <v>6712</v>
      </c>
      <c r="B802" s="10">
        <v>34</v>
      </c>
      <c r="C802" s="10" t="s">
        <v>1098</v>
      </c>
      <c r="D802" s="10">
        <v>3473</v>
      </c>
      <c r="E802" s="10" t="s">
        <v>1134</v>
      </c>
      <c r="F802" s="10">
        <v>0</v>
      </c>
      <c r="G802" s="10" t="s">
        <v>343</v>
      </c>
      <c r="H802" s="10">
        <v>0</v>
      </c>
      <c r="I802" s="10" t="s">
        <v>343</v>
      </c>
      <c r="J802" s="11">
        <v>3919</v>
      </c>
      <c r="K802" s="11">
        <v>3961</v>
      </c>
      <c r="L802" s="11">
        <v>7880</v>
      </c>
      <c r="M802" s="11">
        <v>3123</v>
      </c>
    </row>
    <row r="803" spans="1:13" x14ac:dyDescent="0.3">
      <c r="A803" s="10">
        <v>6712</v>
      </c>
      <c r="B803" s="10">
        <v>34</v>
      </c>
      <c r="C803" s="10" t="s">
        <v>1098</v>
      </c>
      <c r="D803" s="10">
        <v>3474</v>
      </c>
      <c r="E803" s="10" t="s">
        <v>1135</v>
      </c>
      <c r="F803" s="10">
        <v>0</v>
      </c>
      <c r="G803" s="10" t="s">
        <v>343</v>
      </c>
      <c r="H803" s="10">
        <v>0</v>
      </c>
      <c r="I803" s="10" t="s">
        <v>343</v>
      </c>
      <c r="J803" s="11">
        <v>6899</v>
      </c>
      <c r="K803" s="11">
        <v>6736</v>
      </c>
      <c r="L803" s="11">
        <v>13635</v>
      </c>
      <c r="M803" s="11">
        <v>5374</v>
      </c>
    </row>
    <row r="804" spans="1:13" x14ac:dyDescent="0.3">
      <c r="A804" s="10">
        <v>6712</v>
      </c>
      <c r="B804" s="10">
        <v>34</v>
      </c>
      <c r="C804" s="10" t="s">
        <v>1098</v>
      </c>
      <c r="D804" s="10">
        <v>3475</v>
      </c>
      <c r="E804" s="10" t="s">
        <v>1136</v>
      </c>
      <c r="F804" s="10">
        <v>0</v>
      </c>
      <c r="G804" s="10" t="s">
        <v>343</v>
      </c>
      <c r="H804" s="10">
        <v>0</v>
      </c>
      <c r="I804" s="10" t="s">
        <v>343</v>
      </c>
      <c r="J804" s="11">
        <v>19714</v>
      </c>
      <c r="K804" s="11">
        <v>22013</v>
      </c>
      <c r="L804" s="11">
        <v>41727</v>
      </c>
      <c r="M804" s="11">
        <v>22883</v>
      </c>
    </row>
    <row r="805" spans="1:13" x14ac:dyDescent="0.3">
      <c r="A805" s="10">
        <v>6712</v>
      </c>
      <c r="B805" s="10">
        <v>34</v>
      </c>
      <c r="C805" s="10" t="s">
        <v>1098</v>
      </c>
      <c r="D805" s="10">
        <v>3476</v>
      </c>
      <c r="E805" s="10" t="s">
        <v>1137</v>
      </c>
      <c r="F805" s="10">
        <v>0</v>
      </c>
      <c r="G805" s="10" t="s">
        <v>343</v>
      </c>
      <c r="H805" s="10">
        <v>0</v>
      </c>
      <c r="I805" s="10" t="s">
        <v>343</v>
      </c>
      <c r="J805" s="11">
        <v>13627</v>
      </c>
      <c r="K805" s="11">
        <v>11324</v>
      </c>
      <c r="L805" s="11">
        <v>24951</v>
      </c>
      <c r="M805" s="11">
        <v>11955</v>
      </c>
    </row>
    <row r="806" spans="1:13" x14ac:dyDescent="0.3">
      <c r="A806" s="10">
        <v>6712</v>
      </c>
      <c r="B806" s="10">
        <v>34</v>
      </c>
      <c r="C806" s="10" t="s">
        <v>1098</v>
      </c>
      <c r="D806" s="10">
        <v>3477</v>
      </c>
      <c r="E806" s="10" t="s">
        <v>1138</v>
      </c>
      <c r="F806" s="10">
        <v>0</v>
      </c>
      <c r="G806" s="10" t="s">
        <v>343</v>
      </c>
      <c r="H806" s="10">
        <v>0</v>
      </c>
      <c r="I806" s="10" t="s">
        <v>343</v>
      </c>
      <c r="J806" s="11">
        <v>3111</v>
      </c>
      <c r="K806" s="11">
        <v>3206</v>
      </c>
      <c r="L806" s="11">
        <v>6317</v>
      </c>
      <c r="M806" s="11">
        <v>1951</v>
      </c>
    </row>
    <row r="807" spans="1:13" x14ac:dyDescent="0.3">
      <c r="A807" s="10">
        <v>6712</v>
      </c>
      <c r="B807" s="10">
        <v>34</v>
      </c>
      <c r="C807" s="10" t="s">
        <v>1098</v>
      </c>
      <c r="D807" s="10">
        <v>3478</v>
      </c>
      <c r="E807" s="10" t="s">
        <v>1139</v>
      </c>
      <c r="F807" s="10">
        <v>0</v>
      </c>
      <c r="G807" s="10" t="s">
        <v>343</v>
      </c>
      <c r="H807" s="10">
        <v>0</v>
      </c>
      <c r="I807" s="10" t="s">
        <v>343</v>
      </c>
      <c r="J807" s="11">
        <v>1849</v>
      </c>
      <c r="K807" s="11">
        <v>1947</v>
      </c>
      <c r="L807" s="11">
        <v>3796</v>
      </c>
      <c r="M807" s="11">
        <v>1974</v>
      </c>
    </row>
    <row r="808" spans="1:13" x14ac:dyDescent="0.3">
      <c r="A808" s="10">
        <v>6712</v>
      </c>
      <c r="B808" s="10">
        <v>34</v>
      </c>
      <c r="C808" s="10" t="s">
        <v>1098</v>
      </c>
      <c r="D808" s="10">
        <v>3479</v>
      </c>
      <c r="E808" s="10" t="s">
        <v>1140</v>
      </c>
      <c r="F808" s="10">
        <v>0</v>
      </c>
      <c r="G808" s="10" t="s">
        <v>343</v>
      </c>
      <c r="H808" s="10">
        <v>0</v>
      </c>
      <c r="I808" s="10" t="s">
        <v>343</v>
      </c>
      <c r="J808" s="11">
        <v>1446</v>
      </c>
      <c r="K808" s="11">
        <v>1507</v>
      </c>
      <c r="L808" s="11">
        <v>2953</v>
      </c>
      <c r="M808" s="11">
        <v>1234</v>
      </c>
    </row>
    <row r="809" spans="1:13" x14ac:dyDescent="0.3">
      <c r="A809" s="10">
        <v>6712</v>
      </c>
      <c r="B809" s="10">
        <v>34</v>
      </c>
      <c r="C809" s="10" t="s">
        <v>1098</v>
      </c>
      <c r="D809" s="10">
        <v>3480</v>
      </c>
      <c r="E809" s="10" t="s">
        <v>1141</v>
      </c>
      <c r="F809" s="10">
        <v>0</v>
      </c>
      <c r="G809" s="10" t="s">
        <v>343</v>
      </c>
      <c r="H809" s="10">
        <v>0</v>
      </c>
      <c r="I809" s="10" t="s">
        <v>343</v>
      </c>
      <c r="J809" s="11">
        <v>1584</v>
      </c>
      <c r="K809" s="11">
        <v>1616</v>
      </c>
      <c r="L809" s="11">
        <v>3200</v>
      </c>
      <c r="M809" s="11">
        <v>1164</v>
      </c>
    </row>
    <row r="810" spans="1:13" x14ac:dyDescent="0.3">
      <c r="A810" s="10">
        <v>6712</v>
      </c>
      <c r="B810" s="10">
        <v>34</v>
      </c>
      <c r="C810" s="10" t="s">
        <v>1098</v>
      </c>
      <c r="D810" s="10">
        <v>3481</v>
      </c>
      <c r="E810" s="10" t="s">
        <v>1142</v>
      </c>
      <c r="F810" s="10">
        <v>0</v>
      </c>
      <c r="G810" s="10" t="s">
        <v>343</v>
      </c>
      <c r="H810" s="10">
        <v>0</v>
      </c>
      <c r="I810" s="10" t="s">
        <v>343</v>
      </c>
      <c r="J810" s="11">
        <v>1435</v>
      </c>
      <c r="K810" s="11">
        <v>1568</v>
      </c>
      <c r="L810" s="11">
        <v>3003</v>
      </c>
      <c r="M810" s="11">
        <v>1058</v>
      </c>
    </row>
    <row r="811" spans="1:13" x14ac:dyDescent="0.3">
      <c r="A811" s="10">
        <v>6712</v>
      </c>
      <c r="B811" s="10">
        <v>34</v>
      </c>
      <c r="C811" s="10" t="s">
        <v>1098</v>
      </c>
      <c r="D811" s="10">
        <v>3482</v>
      </c>
      <c r="E811" s="10" t="s">
        <v>1143</v>
      </c>
      <c r="F811" s="10">
        <v>0</v>
      </c>
      <c r="G811" s="10" t="s">
        <v>343</v>
      </c>
      <c r="H811" s="10">
        <v>0</v>
      </c>
      <c r="I811" s="10" t="s">
        <v>343</v>
      </c>
      <c r="J811" s="11">
        <v>1489</v>
      </c>
      <c r="K811" s="11">
        <v>1566</v>
      </c>
      <c r="L811" s="11">
        <v>3055</v>
      </c>
      <c r="M811" s="11">
        <v>1012</v>
      </c>
    </row>
    <row r="812" spans="1:13" x14ac:dyDescent="0.3">
      <c r="A812" s="10">
        <v>6712</v>
      </c>
      <c r="B812" s="10">
        <v>34</v>
      </c>
      <c r="C812" s="10" t="s">
        <v>1098</v>
      </c>
      <c r="D812" s="10">
        <v>3483</v>
      </c>
      <c r="E812" s="10" t="s">
        <v>1144</v>
      </c>
      <c r="F812" s="10">
        <v>0</v>
      </c>
      <c r="G812" s="10" t="s">
        <v>343</v>
      </c>
      <c r="H812" s="10">
        <v>0</v>
      </c>
      <c r="I812" s="10" t="s">
        <v>343</v>
      </c>
      <c r="J812" s="11">
        <v>1407</v>
      </c>
      <c r="K812" s="11">
        <v>1543</v>
      </c>
      <c r="L812" s="11">
        <v>2950</v>
      </c>
      <c r="M812" s="11">
        <v>1656</v>
      </c>
    </row>
    <row r="813" spans="1:13" x14ac:dyDescent="0.3">
      <c r="A813" s="10">
        <v>6712</v>
      </c>
      <c r="B813" s="10">
        <v>34</v>
      </c>
      <c r="C813" s="10" t="s">
        <v>1098</v>
      </c>
      <c r="D813" s="10">
        <v>3484</v>
      </c>
      <c r="E813" s="10" t="s">
        <v>1145</v>
      </c>
      <c r="F813" s="10">
        <v>0</v>
      </c>
      <c r="G813" s="10" t="s">
        <v>343</v>
      </c>
      <c r="H813" s="10">
        <v>0</v>
      </c>
      <c r="I813" s="10" t="s">
        <v>343</v>
      </c>
      <c r="J813" s="11">
        <v>2098</v>
      </c>
      <c r="K813" s="11">
        <v>2060</v>
      </c>
      <c r="L813" s="11">
        <v>4158</v>
      </c>
      <c r="M813" s="11">
        <v>1552</v>
      </c>
    </row>
    <row r="814" spans="1:13" x14ac:dyDescent="0.3">
      <c r="A814" s="10">
        <v>6712</v>
      </c>
      <c r="B814" s="10">
        <v>34</v>
      </c>
      <c r="C814" s="10" t="s">
        <v>1098</v>
      </c>
      <c r="D814" s="10">
        <v>3485</v>
      </c>
      <c r="E814" s="10" t="s">
        <v>1146</v>
      </c>
      <c r="F814" s="10">
        <v>0</v>
      </c>
      <c r="G814" s="10" t="s">
        <v>343</v>
      </c>
      <c r="H814" s="10">
        <v>0</v>
      </c>
      <c r="I814" s="10" t="s">
        <v>343</v>
      </c>
      <c r="J814" s="11">
        <v>4265</v>
      </c>
      <c r="K814" s="11">
        <v>4522</v>
      </c>
      <c r="L814" s="11">
        <v>8787</v>
      </c>
      <c r="M814" s="11">
        <v>4544</v>
      </c>
    </row>
    <row r="815" spans="1:13" x14ac:dyDescent="0.3">
      <c r="A815" s="10">
        <v>6712</v>
      </c>
      <c r="B815" s="10">
        <v>34</v>
      </c>
      <c r="C815" s="10" t="s">
        <v>1098</v>
      </c>
      <c r="D815" s="10">
        <v>3486</v>
      </c>
      <c r="E815" s="10" t="s">
        <v>1147</v>
      </c>
      <c r="F815" s="10">
        <v>0</v>
      </c>
      <c r="G815" s="10" t="s">
        <v>343</v>
      </c>
      <c r="H815" s="10">
        <v>0</v>
      </c>
      <c r="I815" s="10" t="s">
        <v>343</v>
      </c>
      <c r="J815" s="11">
        <v>2108</v>
      </c>
      <c r="K815" s="11">
        <v>2235</v>
      </c>
      <c r="L815" s="11">
        <v>4343</v>
      </c>
      <c r="M815" s="11">
        <v>2192</v>
      </c>
    </row>
    <row r="816" spans="1:13" x14ac:dyDescent="0.3">
      <c r="A816" s="10">
        <v>6712</v>
      </c>
      <c r="B816" s="10">
        <v>34</v>
      </c>
      <c r="C816" s="10" t="s">
        <v>1098</v>
      </c>
      <c r="D816" s="10">
        <v>3487</v>
      </c>
      <c r="E816" s="10" t="s">
        <v>1148</v>
      </c>
      <c r="F816" s="10">
        <v>0</v>
      </c>
      <c r="G816" s="10" t="s">
        <v>343</v>
      </c>
      <c r="H816" s="10">
        <v>0</v>
      </c>
      <c r="I816" s="10" t="s">
        <v>343</v>
      </c>
      <c r="J816" s="11">
        <v>4260</v>
      </c>
      <c r="K816" s="11">
        <v>4382</v>
      </c>
      <c r="L816" s="11">
        <v>8642</v>
      </c>
      <c r="M816" s="11">
        <v>3525</v>
      </c>
    </row>
    <row r="817" spans="1:13" x14ac:dyDescent="0.3">
      <c r="A817" s="10">
        <v>6712</v>
      </c>
      <c r="B817" s="10">
        <v>34</v>
      </c>
      <c r="C817" s="10" t="s">
        <v>1098</v>
      </c>
      <c r="D817" s="10">
        <v>3488</v>
      </c>
      <c r="E817" s="10" t="s">
        <v>1149</v>
      </c>
      <c r="F817" s="10">
        <v>0</v>
      </c>
      <c r="G817" s="10" t="s">
        <v>343</v>
      </c>
      <c r="H817" s="10">
        <v>0</v>
      </c>
      <c r="I817" s="10" t="s">
        <v>343</v>
      </c>
      <c r="J817" s="11">
        <v>3391</v>
      </c>
      <c r="K817" s="11">
        <v>3423</v>
      </c>
      <c r="L817" s="11">
        <v>6814</v>
      </c>
      <c r="M817" s="11">
        <v>2736</v>
      </c>
    </row>
    <row r="818" spans="1:13" x14ac:dyDescent="0.3">
      <c r="A818" s="10">
        <v>6712</v>
      </c>
      <c r="B818" s="10">
        <v>34</v>
      </c>
      <c r="C818" s="10" t="s">
        <v>1098</v>
      </c>
      <c r="D818" s="10">
        <v>3489</v>
      </c>
      <c r="E818" s="10" t="s">
        <v>1150</v>
      </c>
      <c r="F818" s="10">
        <v>0</v>
      </c>
      <c r="G818" s="10" t="s">
        <v>343</v>
      </c>
      <c r="H818" s="10">
        <v>0</v>
      </c>
      <c r="I818" s="10" t="s">
        <v>343</v>
      </c>
      <c r="J818" s="11">
        <v>6103</v>
      </c>
      <c r="K818" s="11">
        <v>6644</v>
      </c>
      <c r="L818" s="11">
        <v>12747</v>
      </c>
      <c r="M818" s="11">
        <v>7011</v>
      </c>
    </row>
    <row r="819" spans="1:13" x14ac:dyDescent="0.3">
      <c r="A819" s="10">
        <v>6712</v>
      </c>
      <c r="B819" s="10">
        <v>34</v>
      </c>
      <c r="C819" s="10" t="s">
        <v>1098</v>
      </c>
      <c r="D819" s="10">
        <v>3490</v>
      </c>
      <c r="E819" s="10" t="s">
        <v>1151</v>
      </c>
      <c r="F819" s="10">
        <v>0</v>
      </c>
      <c r="G819" s="10" t="s">
        <v>343</v>
      </c>
      <c r="H819" s="10">
        <v>0</v>
      </c>
      <c r="I819" s="10" t="s">
        <v>343</v>
      </c>
      <c r="J819" s="11">
        <v>3259</v>
      </c>
      <c r="K819" s="11">
        <v>3278</v>
      </c>
      <c r="L819" s="11">
        <v>6537</v>
      </c>
      <c r="M819" s="11">
        <v>1938</v>
      </c>
    </row>
    <row r="820" spans="1:13" x14ac:dyDescent="0.3">
      <c r="A820" s="10">
        <v>6712</v>
      </c>
      <c r="B820" s="10">
        <v>34</v>
      </c>
      <c r="C820" s="10" t="s">
        <v>1098</v>
      </c>
      <c r="D820" s="10">
        <v>3491</v>
      </c>
      <c r="E820" s="10" t="s">
        <v>1152</v>
      </c>
      <c r="F820" s="10">
        <v>0</v>
      </c>
      <c r="G820" s="10" t="s">
        <v>343</v>
      </c>
      <c r="H820" s="10">
        <v>0</v>
      </c>
      <c r="I820" s="10" t="s">
        <v>343</v>
      </c>
      <c r="J820" s="11">
        <v>1500</v>
      </c>
      <c r="K820" s="11">
        <v>1603</v>
      </c>
      <c r="L820" s="11">
        <v>3103</v>
      </c>
      <c r="M820" s="11">
        <v>1049</v>
      </c>
    </row>
    <row r="821" spans="1:13" x14ac:dyDescent="0.3">
      <c r="A821" s="10">
        <v>6712</v>
      </c>
      <c r="B821" s="10">
        <v>34</v>
      </c>
      <c r="C821" s="10" t="s">
        <v>1098</v>
      </c>
      <c r="D821" s="10">
        <v>3492</v>
      </c>
      <c r="E821" s="10" t="s">
        <v>1153</v>
      </c>
      <c r="F821" s="10">
        <v>0</v>
      </c>
      <c r="G821" s="10" t="s">
        <v>343</v>
      </c>
      <c r="H821" s="10">
        <v>0</v>
      </c>
      <c r="I821" s="10" t="s">
        <v>343</v>
      </c>
      <c r="J821" s="11">
        <v>2817</v>
      </c>
      <c r="K821" s="11">
        <v>3121</v>
      </c>
      <c r="L821" s="11">
        <v>5938</v>
      </c>
      <c r="M821" s="11">
        <v>2640</v>
      </c>
    </row>
    <row r="822" spans="1:13" x14ac:dyDescent="0.3">
      <c r="A822" s="10">
        <v>6712</v>
      </c>
      <c r="B822" s="10">
        <v>34</v>
      </c>
      <c r="C822" s="10" t="s">
        <v>1098</v>
      </c>
      <c r="D822" s="10">
        <v>3493</v>
      </c>
      <c r="E822" s="10" t="s">
        <v>1154</v>
      </c>
      <c r="F822" s="10">
        <v>0</v>
      </c>
      <c r="G822" s="10" t="s">
        <v>343</v>
      </c>
      <c r="H822" s="10">
        <v>0</v>
      </c>
      <c r="I822" s="10" t="s">
        <v>343</v>
      </c>
      <c r="J822" s="11">
        <v>2116</v>
      </c>
      <c r="K822" s="11">
        <v>2261</v>
      </c>
      <c r="L822" s="11">
        <v>4377</v>
      </c>
      <c r="M822" s="11">
        <v>2201</v>
      </c>
    </row>
    <row r="823" spans="1:13" x14ac:dyDescent="0.3">
      <c r="A823" s="10">
        <v>6712</v>
      </c>
      <c r="B823" s="10">
        <v>34</v>
      </c>
      <c r="C823" s="10" t="s">
        <v>1098</v>
      </c>
      <c r="D823" s="10">
        <v>3494</v>
      </c>
      <c r="E823" s="10" t="s">
        <v>1155</v>
      </c>
      <c r="F823" s="10">
        <v>0</v>
      </c>
      <c r="G823" s="10" t="s">
        <v>343</v>
      </c>
      <c r="H823" s="10">
        <v>0</v>
      </c>
      <c r="I823" s="10" t="s">
        <v>343</v>
      </c>
      <c r="J823" s="11">
        <v>1438</v>
      </c>
      <c r="K823" s="11">
        <v>1459</v>
      </c>
      <c r="L823" s="11">
        <v>2897</v>
      </c>
      <c r="M823" s="11">
        <v>1382</v>
      </c>
    </row>
    <row r="824" spans="1:13" x14ac:dyDescent="0.3">
      <c r="A824" s="10">
        <v>6712</v>
      </c>
      <c r="B824" s="10">
        <v>34</v>
      </c>
      <c r="C824" s="10" t="s">
        <v>1098</v>
      </c>
      <c r="D824" s="10">
        <v>3495</v>
      </c>
      <c r="E824" s="10" t="s">
        <v>1156</v>
      </c>
      <c r="F824" s="10">
        <v>0</v>
      </c>
      <c r="G824" s="10" t="s">
        <v>343</v>
      </c>
      <c r="H824" s="10">
        <v>0</v>
      </c>
      <c r="I824" s="10" t="s">
        <v>343</v>
      </c>
      <c r="J824" s="11">
        <v>2016</v>
      </c>
      <c r="K824" s="11">
        <v>2009</v>
      </c>
      <c r="L824" s="11">
        <v>4025</v>
      </c>
      <c r="M824" s="11">
        <v>2117</v>
      </c>
    </row>
    <row r="825" spans="1:13" x14ac:dyDescent="0.3">
      <c r="A825" s="10">
        <v>6712</v>
      </c>
      <c r="B825" s="10">
        <v>34</v>
      </c>
      <c r="C825" s="10" t="s">
        <v>1098</v>
      </c>
      <c r="D825" s="10">
        <v>3496</v>
      </c>
      <c r="E825" s="10" t="s">
        <v>1157</v>
      </c>
      <c r="F825" s="10">
        <v>0</v>
      </c>
      <c r="G825" s="10" t="s">
        <v>343</v>
      </c>
      <c r="H825" s="10">
        <v>0</v>
      </c>
      <c r="I825" s="10" t="s">
        <v>343</v>
      </c>
      <c r="J825" s="11">
        <v>2551</v>
      </c>
      <c r="K825" s="11">
        <v>2998</v>
      </c>
      <c r="L825" s="11">
        <v>5549</v>
      </c>
      <c r="M825" s="11">
        <v>3214</v>
      </c>
    </row>
    <row r="826" spans="1:13" x14ac:dyDescent="0.3">
      <c r="A826" s="10">
        <v>6712</v>
      </c>
      <c r="B826" s="10">
        <v>34</v>
      </c>
      <c r="C826" s="10" t="s">
        <v>1098</v>
      </c>
      <c r="D826" s="10">
        <v>3497</v>
      </c>
      <c r="E826" s="10" t="s">
        <v>1158</v>
      </c>
      <c r="F826" s="10">
        <v>0</v>
      </c>
      <c r="G826" s="10" t="s">
        <v>343</v>
      </c>
      <c r="H826" s="10">
        <v>0</v>
      </c>
      <c r="I826" s="10" t="s">
        <v>343</v>
      </c>
      <c r="J826" s="11">
        <v>4779</v>
      </c>
      <c r="K826" s="11">
        <v>5066</v>
      </c>
      <c r="L826" s="11">
        <v>9845</v>
      </c>
      <c r="M826" s="11">
        <v>4683</v>
      </c>
    </row>
    <row r="827" spans="1:13" x14ac:dyDescent="0.3">
      <c r="A827" s="10">
        <v>6712</v>
      </c>
      <c r="B827" s="10">
        <v>34</v>
      </c>
      <c r="C827" s="10" t="s">
        <v>1098</v>
      </c>
      <c r="D827" s="10">
        <v>3498</v>
      </c>
      <c r="E827" s="10" t="s">
        <v>1159</v>
      </c>
      <c r="F827" s="10">
        <v>0</v>
      </c>
      <c r="G827" s="10" t="s">
        <v>343</v>
      </c>
      <c r="H827" s="10">
        <v>0</v>
      </c>
      <c r="I827" s="10" t="s">
        <v>343</v>
      </c>
      <c r="J827" s="11">
        <v>11476</v>
      </c>
      <c r="K827" s="11">
        <v>12990</v>
      </c>
      <c r="L827" s="11">
        <v>24466</v>
      </c>
      <c r="M827" s="11">
        <v>11080</v>
      </c>
    </row>
    <row r="828" spans="1:13" x14ac:dyDescent="0.3">
      <c r="A828" s="10">
        <v>6712</v>
      </c>
      <c r="B828" s="10">
        <v>34</v>
      </c>
      <c r="C828" s="10" t="s">
        <v>1098</v>
      </c>
      <c r="D828" s="10">
        <v>3499</v>
      </c>
      <c r="E828" s="10" t="s">
        <v>1160</v>
      </c>
      <c r="F828" s="10">
        <v>0</v>
      </c>
      <c r="G828" s="10" t="s">
        <v>343</v>
      </c>
      <c r="H828" s="10">
        <v>0</v>
      </c>
      <c r="I828" s="10" t="s">
        <v>343</v>
      </c>
      <c r="J828" s="11">
        <v>31533</v>
      </c>
      <c r="K828" s="11">
        <v>37042</v>
      </c>
      <c r="L828" s="11">
        <v>68575</v>
      </c>
      <c r="M828" s="11">
        <v>32743</v>
      </c>
    </row>
    <row r="829" spans="1:13" x14ac:dyDescent="0.3">
      <c r="A829" s="10">
        <v>6712</v>
      </c>
      <c r="B829" s="10">
        <v>35</v>
      </c>
      <c r="C829" s="10" t="s">
        <v>1161</v>
      </c>
      <c r="D829" s="10">
        <v>0</v>
      </c>
      <c r="E829" s="10" t="s">
        <v>343</v>
      </c>
      <c r="F829" s="10">
        <v>0</v>
      </c>
      <c r="G829" s="10" t="s">
        <v>343</v>
      </c>
      <c r="H829" s="10">
        <v>0</v>
      </c>
      <c r="I829" s="10" t="s">
        <v>343</v>
      </c>
      <c r="J829" s="11">
        <v>261204</v>
      </c>
      <c r="K829" s="11">
        <v>264121</v>
      </c>
      <c r="L829" s="11">
        <v>525325</v>
      </c>
      <c r="M829" s="11">
        <v>189342</v>
      </c>
    </row>
    <row r="830" spans="1:13" x14ac:dyDescent="0.3">
      <c r="A830" s="10">
        <v>6712</v>
      </c>
      <c r="B830" s="10">
        <v>35</v>
      </c>
      <c r="C830" s="10" t="s">
        <v>1161</v>
      </c>
      <c r="D830" s="10">
        <v>3501</v>
      </c>
      <c r="E830" s="10" t="s">
        <v>1162</v>
      </c>
      <c r="F830" s="10">
        <v>0</v>
      </c>
      <c r="G830" s="10" t="s">
        <v>343</v>
      </c>
      <c r="H830" s="10">
        <v>0</v>
      </c>
      <c r="I830" s="10" t="s">
        <v>343</v>
      </c>
      <c r="J830" s="11">
        <v>52643</v>
      </c>
      <c r="K830" s="11">
        <v>52992</v>
      </c>
      <c r="L830" s="11">
        <v>105635</v>
      </c>
      <c r="M830" s="11">
        <v>40833</v>
      </c>
    </row>
    <row r="831" spans="1:13" x14ac:dyDescent="0.3">
      <c r="A831" s="10">
        <v>6712</v>
      </c>
      <c r="B831" s="10">
        <v>35</v>
      </c>
      <c r="C831" s="10" t="s">
        <v>1161</v>
      </c>
      <c r="D831" s="10">
        <v>3502</v>
      </c>
      <c r="E831" s="10" t="s">
        <v>1163</v>
      </c>
      <c r="F831" s="10">
        <v>0</v>
      </c>
      <c r="G831" s="10" t="s">
        <v>343</v>
      </c>
      <c r="H831" s="10">
        <v>0</v>
      </c>
      <c r="I831" s="10" t="s">
        <v>343</v>
      </c>
      <c r="J831" s="11">
        <v>12087</v>
      </c>
      <c r="K831" s="11">
        <v>12071</v>
      </c>
      <c r="L831" s="11">
        <v>24158</v>
      </c>
      <c r="M831" s="11">
        <v>8419</v>
      </c>
    </row>
    <row r="832" spans="1:13" x14ac:dyDescent="0.3">
      <c r="A832" s="10">
        <v>6712</v>
      </c>
      <c r="B832" s="10">
        <v>35</v>
      </c>
      <c r="C832" s="10" t="s">
        <v>1161</v>
      </c>
      <c r="D832" s="10">
        <v>3503</v>
      </c>
      <c r="E832" s="10" t="s">
        <v>1164</v>
      </c>
      <c r="F832" s="10">
        <v>0</v>
      </c>
      <c r="G832" s="10" t="s">
        <v>343</v>
      </c>
      <c r="H832" s="10">
        <v>0</v>
      </c>
      <c r="I832" s="10" t="s">
        <v>343</v>
      </c>
      <c r="J832" s="11">
        <v>30502</v>
      </c>
      <c r="K832" s="11">
        <v>30192</v>
      </c>
      <c r="L832" s="11">
        <v>60694</v>
      </c>
      <c r="M832" s="11">
        <v>21029</v>
      </c>
    </row>
    <row r="833" spans="1:13" x14ac:dyDescent="0.3">
      <c r="A833" s="10">
        <v>6712</v>
      </c>
      <c r="B833" s="10">
        <v>35</v>
      </c>
      <c r="C833" s="10" t="s">
        <v>1161</v>
      </c>
      <c r="D833" s="10">
        <v>3504</v>
      </c>
      <c r="E833" s="10" t="s">
        <v>1165</v>
      </c>
      <c r="F833" s="10">
        <v>0</v>
      </c>
      <c r="G833" s="10" t="s">
        <v>343</v>
      </c>
      <c r="H833" s="10">
        <v>0</v>
      </c>
      <c r="I833" s="10" t="s">
        <v>343</v>
      </c>
      <c r="J833" s="11">
        <v>30273</v>
      </c>
      <c r="K833" s="11">
        <v>30438</v>
      </c>
      <c r="L833" s="11">
        <v>60711</v>
      </c>
      <c r="M833" s="11">
        <v>20093</v>
      </c>
    </row>
    <row r="834" spans="1:13" x14ac:dyDescent="0.3">
      <c r="A834" s="10">
        <v>6712</v>
      </c>
      <c r="B834" s="10">
        <v>35</v>
      </c>
      <c r="C834" s="10" t="s">
        <v>1161</v>
      </c>
      <c r="D834" s="10">
        <v>3505</v>
      </c>
      <c r="E834" s="10" t="s">
        <v>1166</v>
      </c>
      <c r="F834" s="10">
        <v>0</v>
      </c>
      <c r="G834" s="10" t="s">
        <v>343</v>
      </c>
      <c r="H834" s="10">
        <v>0</v>
      </c>
      <c r="I834" s="10" t="s">
        <v>343</v>
      </c>
      <c r="J834" s="11">
        <v>15672</v>
      </c>
      <c r="K834" s="11">
        <v>15856</v>
      </c>
      <c r="L834" s="11">
        <v>31528</v>
      </c>
      <c r="M834" s="11">
        <v>10634</v>
      </c>
    </row>
    <row r="835" spans="1:13" x14ac:dyDescent="0.3">
      <c r="A835" s="10">
        <v>6712</v>
      </c>
      <c r="B835" s="10">
        <v>35</v>
      </c>
      <c r="C835" s="10" t="s">
        <v>1161</v>
      </c>
      <c r="D835" s="10">
        <v>3506</v>
      </c>
      <c r="E835" s="10" t="s">
        <v>1167</v>
      </c>
      <c r="F835" s="10">
        <v>0</v>
      </c>
      <c r="G835" s="10" t="s">
        <v>343</v>
      </c>
      <c r="H835" s="10">
        <v>0</v>
      </c>
      <c r="I835" s="10" t="s">
        <v>343</v>
      </c>
      <c r="J835" s="11">
        <v>25192</v>
      </c>
      <c r="K835" s="11">
        <v>25220</v>
      </c>
      <c r="L835" s="11">
        <v>50412</v>
      </c>
      <c r="M835" s="11">
        <v>15229</v>
      </c>
    </row>
    <row r="836" spans="1:13" x14ac:dyDescent="0.3">
      <c r="A836" s="10">
        <v>6712</v>
      </c>
      <c r="B836" s="10">
        <v>35</v>
      </c>
      <c r="C836" s="10" t="s">
        <v>1161</v>
      </c>
      <c r="D836" s="10">
        <v>3507</v>
      </c>
      <c r="E836" s="10" t="s">
        <v>1168</v>
      </c>
      <c r="F836" s="10">
        <v>0</v>
      </c>
      <c r="G836" s="10" t="s">
        <v>343</v>
      </c>
      <c r="H836" s="10">
        <v>0</v>
      </c>
      <c r="I836" s="10" t="s">
        <v>343</v>
      </c>
      <c r="J836" s="11">
        <v>10066</v>
      </c>
      <c r="K836" s="11">
        <v>10280</v>
      </c>
      <c r="L836" s="11">
        <v>20346</v>
      </c>
      <c r="M836" s="11">
        <v>5752</v>
      </c>
    </row>
    <row r="837" spans="1:13" x14ac:dyDescent="0.3">
      <c r="A837" s="10">
        <v>6712</v>
      </c>
      <c r="B837" s="10">
        <v>35</v>
      </c>
      <c r="C837" s="10" t="s">
        <v>1161</v>
      </c>
      <c r="D837" s="10">
        <v>3508</v>
      </c>
      <c r="E837" s="10" t="s">
        <v>1169</v>
      </c>
      <c r="F837" s="10">
        <v>0</v>
      </c>
      <c r="G837" s="10" t="s">
        <v>343</v>
      </c>
      <c r="H837" s="10">
        <v>0</v>
      </c>
      <c r="I837" s="10" t="s">
        <v>343</v>
      </c>
      <c r="J837" s="11">
        <v>44216</v>
      </c>
      <c r="K837" s="11">
        <v>44657</v>
      </c>
      <c r="L837" s="11">
        <v>88873</v>
      </c>
      <c r="M837" s="11">
        <v>31695</v>
      </c>
    </row>
    <row r="838" spans="1:13" x14ac:dyDescent="0.3">
      <c r="A838" s="10">
        <v>6712</v>
      </c>
      <c r="B838" s="10">
        <v>35</v>
      </c>
      <c r="C838" s="10" t="s">
        <v>1161</v>
      </c>
      <c r="D838" s="10">
        <v>3509</v>
      </c>
      <c r="E838" s="10" t="s">
        <v>1170</v>
      </c>
      <c r="F838" s="10">
        <v>0</v>
      </c>
      <c r="G838" s="10" t="s">
        <v>343</v>
      </c>
      <c r="H838" s="10">
        <v>0</v>
      </c>
      <c r="I838" s="10" t="s">
        <v>343</v>
      </c>
      <c r="J838" s="11">
        <v>14952</v>
      </c>
      <c r="K838" s="11">
        <v>15167</v>
      </c>
      <c r="L838" s="11">
        <v>30119</v>
      </c>
      <c r="M838" s="11">
        <v>11510</v>
      </c>
    </row>
    <row r="839" spans="1:13" x14ac:dyDescent="0.3">
      <c r="A839" s="10">
        <v>6712</v>
      </c>
      <c r="B839" s="10">
        <v>35</v>
      </c>
      <c r="C839" s="10" t="s">
        <v>1161</v>
      </c>
      <c r="D839" s="10">
        <v>3591</v>
      </c>
      <c r="E839" s="10" t="s">
        <v>1171</v>
      </c>
      <c r="F839" s="10">
        <v>0</v>
      </c>
      <c r="G839" s="10" t="s">
        <v>343</v>
      </c>
      <c r="H839" s="10">
        <v>0</v>
      </c>
      <c r="I839" s="10" t="s">
        <v>343</v>
      </c>
      <c r="J839" s="11">
        <v>1837</v>
      </c>
      <c r="K839" s="11">
        <v>1954</v>
      </c>
      <c r="L839" s="11">
        <v>3791</v>
      </c>
      <c r="M839" s="11">
        <v>2389</v>
      </c>
    </row>
    <row r="840" spans="1:13" x14ac:dyDescent="0.3">
      <c r="A840" s="10">
        <v>6712</v>
      </c>
      <c r="B840" s="10">
        <v>35</v>
      </c>
      <c r="C840" s="10" t="s">
        <v>1161</v>
      </c>
      <c r="D840" s="10">
        <v>3592</v>
      </c>
      <c r="E840" s="10" t="s">
        <v>1172</v>
      </c>
      <c r="F840" s="10">
        <v>0</v>
      </c>
      <c r="G840" s="10" t="s">
        <v>343</v>
      </c>
      <c r="H840" s="10">
        <v>0</v>
      </c>
      <c r="I840" s="10" t="s">
        <v>343</v>
      </c>
      <c r="J840" s="11">
        <v>1349</v>
      </c>
      <c r="K840" s="11">
        <v>1444</v>
      </c>
      <c r="L840" s="11">
        <v>2793</v>
      </c>
      <c r="M840" s="11">
        <v>1131</v>
      </c>
    </row>
    <row r="841" spans="1:13" x14ac:dyDescent="0.3">
      <c r="A841" s="10">
        <v>6712</v>
      </c>
      <c r="B841" s="10">
        <v>35</v>
      </c>
      <c r="C841" s="10" t="s">
        <v>1161</v>
      </c>
      <c r="D841" s="10">
        <v>3593</v>
      </c>
      <c r="E841" s="10" t="s">
        <v>1173</v>
      </c>
      <c r="F841" s="10">
        <v>0</v>
      </c>
      <c r="G841" s="10" t="s">
        <v>343</v>
      </c>
      <c r="H841" s="10">
        <v>0</v>
      </c>
      <c r="I841" s="10" t="s">
        <v>343</v>
      </c>
      <c r="J841" s="11">
        <v>2137</v>
      </c>
      <c r="K841" s="11">
        <v>2271</v>
      </c>
      <c r="L841" s="11">
        <v>4408</v>
      </c>
      <c r="M841" s="11">
        <v>1699</v>
      </c>
    </row>
    <row r="842" spans="1:13" x14ac:dyDescent="0.3">
      <c r="A842" s="10">
        <v>6712</v>
      </c>
      <c r="B842" s="10">
        <v>35</v>
      </c>
      <c r="C842" s="10" t="s">
        <v>1161</v>
      </c>
      <c r="D842" s="10">
        <v>3594</v>
      </c>
      <c r="E842" s="10" t="s">
        <v>1174</v>
      </c>
      <c r="F842" s="10">
        <v>0</v>
      </c>
      <c r="G842" s="10" t="s">
        <v>343</v>
      </c>
      <c r="H842" s="10">
        <v>0</v>
      </c>
      <c r="I842" s="10" t="s">
        <v>343</v>
      </c>
      <c r="J842" s="11">
        <v>2249</v>
      </c>
      <c r="K842" s="11">
        <v>2298</v>
      </c>
      <c r="L842" s="11">
        <v>4547</v>
      </c>
      <c r="M842" s="11">
        <v>1935</v>
      </c>
    </row>
    <row r="843" spans="1:13" x14ac:dyDescent="0.3">
      <c r="A843" s="10">
        <v>6712</v>
      </c>
      <c r="B843" s="10">
        <v>35</v>
      </c>
      <c r="C843" s="10" t="s">
        <v>1161</v>
      </c>
      <c r="D843" s="10">
        <v>3595</v>
      </c>
      <c r="E843" s="10" t="s">
        <v>1175</v>
      </c>
      <c r="F843" s="10">
        <v>0</v>
      </c>
      <c r="G843" s="10" t="s">
        <v>343</v>
      </c>
      <c r="H843" s="10">
        <v>0</v>
      </c>
      <c r="I843" s="10" t="s">
        <v>343</v>
      </c>
      <c r="J843" s="11">
        <v>1451</v>
      </c>
      <c r="K843" s="11">
        <v>1486</v>
      </c>
      <c r="L843" s="11">
        <v>2937</v>
      </c>
      <c r="M843" s="11">
        <v>1323</v>
      </c>
    </row>
    <row r="844" spans="1:13" x14ac:dyDescent="0.3">
      <c r="A844" s="10">
        <v>6712</v>
      </c>
      <c r="B844" s="10">
        <v>35</v>
      </c>
      <c r="C844" s="10" t="s">
        <v>1161</v>
      </c>
      <c r="D844" s="10">
        <v>3596</v>
      </c>
      <c r="E844" s="10" t="s">
        <v>1176</v>
      </c>
      <c r="F844" s="10">
        <v>0</v>
      </c>
      <c r="G844" s="10" t="s">
        <v>343</v>
      </c>
      <c r="H844" s="10">
        <v>0</v>
      </c>
      <c r="I844" s="10" t="s">
        <v>343</v>
      </c>
      <c r="J844" s="11">
        <v>1788</v>
      </c>
      <c r="K844" s="11">
        <v>1857</v>
      </c>
      <c r="L844" s="11">
        <v>3645</v>
      </c>
      <c r="M844" s="11">
        <v>1590</v>
      </c>
    </row>
    <row r="845" spans="1:13" x14ac:dyDescent="0.3">
      <c r="A845" s="10">
        <v>6712</v>
      </c>
      <c r="B845" s="10">
        <v>35</v>
      </c>
      <c r="C845" s="10" t="s">
        <v>1161</v>
      </c>
      <c r="D845" s="10">
        <v>3597</v>
      </c>
      <c r="E845" s="10" t="s">
        <v>1177</v>
      </c>
      <c r="F845" s="10">
        <v>0</v>
      </c>
      <c r="G845" s="10" t="s">
        <v>343</v>
      </c>
      <c r="H845" s="10">
        <v>0</v>
      </c>
      <c r="I845" s="10" t="s">
        <v>343</v>
      </c>
      <c r="J845" s="11">
        <v>2319</v>
      </c>
      <c r="K845" s="11">
        <v>2437</v>
      </c>
      <c r="L845" s="11">
        <v>4756</v>
      </c>
      <c r="M845" s="11">
        <v>2322</v>
      </c>
    </row>
    <row r="846" spans="1:13" x14ac:dyDescent="0.3">
      <c r="A846" s="10">
        <v>6712</v>
      </c>
      <c r="B846" s="10">
        <v>35</v>
      </c>
      <c r="C846" s="10" t="s">
        <v>1161</v>
      </c>
      <c r="D846" s="10">
        <v>3598</v>
      </c>
      <c r="E846" s="10" t="s">
        <v>1178</v>
      </c>
      <c r="F846" s="10">
        <v>0</v>
      </c>
      <c r="G846" s="10" t="s">
        <v>343</v>
      </c>
      <c r="H846" s="10">
        <v>0</v>
      </c>
      <c r="I846" s="10" t="s">
        <v>343</v>
      </c>
      <c r="J846" s="11">
        <v>2973</v>
      </c>
      <c r="K846" s="11">
        <v>3223</v>
      </c>
      <c r="L846" s="11">
        <v>6196</v>
      </c>
      <c r="M846" s="11">
        <v>2266</v>
      </c>
    </row>
    <row r="847" spans="1:13" x14ac:dyDescent="0.3">
      <c r="A847" s="10">
        <v>6712</v>
      </c>
      <c r="B847" s="10">
        <v>35</v>
      </c>
      <c r="C847" s="10" t="s">
        <v>1161</v>
      </c>
      <c r="D847" s="10">
        <v>3599</v>
      </c>
      <c r="E847" s="10" t="s">
        <v>1179</v>
      </c>
      <c r="F847" s="10">
        <v>0</v>
      </c>
      <c r="G847" s="10" t="s">
        <v>343</v>
      </c>
      <c r="H847" s="10">
        <v>0</v>
      </c>
      <c r="I847" s="10" t="s">
        <v>343</v>
      </c>
      <c r="J847" s="11">
        <v>9498</v>
      </c>
      <c r="K847" s="11">
        <v>10278</v>
      </c>
      <c r="L847" s="11">
        <v>19776</v>
      </c>
      <c r="M847" s="11">
        <v>9493</v>
      </c>
    </row>
    <row r="848" spans="1:13" x14ac:dyDescent="0.3">
      <c r="A848" s="10">
        <v>6712</v>
      </c>
      <c r="B848" s="10">
        <v>36</v>
      </c>
      <c r="C848" s="10" t="s">
        <v>1180</v>
      </c>
      <c r="D848" s="10">
        <v>0</v>
      </c>
      <c r="E848" s="10" t="s">
        <v>343</v>
      </c>
      <c r="F848" s="10">
        <v>0</v>
      </c>
      <c r="G848" s="10" t="s">
        <v>343</v>
      </c>
      <c r="H848" s="10">
        <v>0</v>
      </c>
      <c r="I848" s="10" t="s">
        <v>343</v>
      </c>
      <c r="J848" s="11">
        <v>544954</v>
      </c>
      <c r="K848" s="11">
        <v>561450</v>
      </c>
      <c r="L848" s="11">
        <v>1106404</v>
      </c>
      <c r="M848" s="11">
        <v>424219</v>
      </c>
    </row>
    <row r="849" spans="1:13" x14ac:dyDescent="0.3">
      <c r="A849" s="10">
        <v>6712</v>
      </c>
      <c r="B849" s="10">
        <v>36</v>
      </c>
      <c r="C849" s="10" t="s">
        <v>1180</v>
      </c>
      <c r="D849" s="10">
        <v>3601</v>
      </c>
      <c r="E849" s="10" t="s">
        <v>1181</v>
      </c>
      <c r="F849" s="10">
        <v>0</v>
      </c>
      <c r="G849" s="10" t="s">
        <v>343</v>
      </c>
      <c r="H849" s="10">
        <v>0</v>
      </c>
      <c r="I849" s="10" t="s">
        <v>343</v>
      </c>
      <c r="J849" s="11">
        <v>65937</v>
      </c>
      <c r="K849" s="11">
        <v>69521</v>
      </c>
      <c r="L849" s="11">
        <v>135458</v>
      </c>
      <c r="M849" s="11">
        <v>57980</v>
      </c>
    </row>
    <row r="850" spans="1:13" x14ac:dyDescent="0.3">
      <c r="A850" s="10">
        <v>6712</v>
      </c>
      <c r="B850" s="10">
        <v>36</v>
      </c>
      <c r="C850" s="10" t="s">
        <v>1180</v>
      </c>
      <c r="D850" s="10">
        <v>3602</v>
      </c>
      <c r="E850" s="10" t="s">
        <v>1182</v>
      </c>
      <c r="F850" s="10">
        <v>0</v>
      </c>
      <c r="G850" s="10" t="s">
        <v>343</v>
      </c>
      <c r="H850" s="10">
        <v>0</v>
      </c>
      <c r="I850" s="10" t="s">
        <v>343</v>
      </c>
      <c r="J850" s="11">
        <v>20529</v>
      </c>
      <c r="K850" s="11">
        <v>21078</v>
      </c>
      <c r="L850" s="11">
        <v>41607</v>
      </c>
      <c r="M850" s="11">
        <v>15324</v>
      </c>
    </row>
    <row r="851" spans="1:13" x14ac:dyDescent="0.3">
      <c r="A851" s="10">
        <v>6712</v>
      </c>
      <c r="B851" s="10">
        <v>36</v>
      </c>
      <c r="C851" s="10" t="s">
        <v>1180</v>
      </c>
      <c r="D851" s="10">
        <v>3603</v>
      </c>
      <c r="E851" s="10" t="s">
        <v>1183</v>
      </c>
      <c r="F851" s="10">
        <v>0</v>
      </c>
      <c r="G851" s="10" t="s">
        <v>343</v>
      </c>
      <c r="H851" s="10">
        <v>0</v>
      </c>
      <c r="I851" s="10" t="s">
        <v>343</v>
      </c>
      <c r="J851" s="11">
        <v>23221</v>
      </c>
      <c r="K851" s="11">
        <v>23833</v>
      </c>
      <c r="L851" s="11">
        <v>47054</v>
      </c>
      <c r="M851" s="11">
        <v>18679</v>
      </c>
    </row>
    <row r="852" spans="1:13" x14ac:dyDescent="0.3">
      <c r="A852" s="10">
        <v>6712</v>
      </c>
      <c r="B852" s="10">
        <v>36</v>
      </c>
      <c r="C852" s="10" t="s">
        <v>1180</v>
      </c>
      <c r="D852" s="10">
        <v>3604</v>
      </c>
      <c r="E852" s="10" t="s">
        <v>1184</v>
      </c>
      <c r="F852" s="10">
        <v>0</v>
      </c>
      <c r="G852" s="10" t="s">
        <v>343</v>
      </c>
      <c r="H852" s="10">
        <v>0</v>
      </c>
      <c r="I852" s="10" t="s">
        <v>343</v>
      </c>
      <c r="J852" s="11">
        <v>42087</v>
      </c>
      <c r="K852" s="11">
        <v>42474</v>
      </c>
      <c r="L852" s="11">
        <v>84561</v>
      </c>
      <c r="M852" s="11">
        <v>26275</v>
      </c>
    </row>
    <row r="853" spans="1:13" x14ac:dyDescent="0.3">
      <c r="A853" s="10">
        <v>6712</v>
      </c>
      <c r="B853" s="10">
        <v>36</v>
      </c>
      <c r="C853" s="10" t="s">
        <v>1180</v>
      </c>
      <c r="D853" s="10">
        <v>3605</v>
      </c>
      <c r="E853" s="10" t="s">
        <v>1185</v>
      </c>
      <c r="F853" s="10">
        <v>0</v>
      </c>
      <c r="G853" s="10" t="s">
        <v>343</v>
      </c>
      <c r="H853" s="10">
        <v>0</v>
      </c>
      <c r="I853" s="10" t="s">
        <v>343</v>
      </c>
      <c r="J853" s="11">
        <v>46415</v>
      </c>
      <c r="K853" s="11">
        <v>46278</v>
      </c>
      <c r="L853" s="11">
        <v>92693</v>
      </c>
      <c r="M853" s="11">
        <v>31368</v>
      </c>
    </row>
    <row r="854" spans="1:13" x14ac:dyDescent="0.3">
      <c r="A854" s="10">
        <v>6712</v>
      </c>
      <c r="B854" s="10">
        <v>36</v>
      </c>
      <c r="C854" s="10" t="s">
        <v>1180</v>
      </c>
      <c r="D854" s="10">
        <v>3606</v>
      </c>
      <c r="E854" s="10" t="s">
        <v>1186</v>
      </c>
      <c r="F854" s="10">
        <v>0</v>
      </c>
      <c r="G854" s="10" t="s">
        <v>343</v>
      </c>
      <c r="H854" s="10">
        <v>0</v>
      </c>
      <c r="I854" s="10" t="s">
        <v>343</v>
      </c>
      <c r="J854" s="11">
        <v>32128</v>
      </c>
      <c r="K854" s="11">
        <v>34416</v>
      </c>
      <c r="L854" s="11">
        <v>66544</v>
      </c>
      <c r="M854" s="11">
        <v>25942</v>
      </c>
    </row>
    <row r="855" spans="1:13" x14ac:dyDescent="0.3">
      <c r="A855" s="10">
        <v>6712</v>
      </c>
      <c r="B855" s="10">
        <v>36</v>
      </c>
      <c r="C855" s="10" t="s">
        <v>1180</v>
      </c>
      <c r="D855" s="10">
        <v>3607</v>
      </c>
      <c r="E855" s="10" t="s">
        <v>1187</v>
      </c>
      <c r="F855" s="10">
        <v>0</v>
      </c>
      <c r="G855" s="10" t="s">
        <v>343</v>
      </c>
      <c r="H855" s="10">
        <v>0</v>
      </c>
      <c r="I855" s="10" t="s">
        <v>343</v>
      </c>
      <c r="J855" s="11">
        <v>19790</v>
      </c>
      <c r="K855" s="11">
        <v>20382</v>
      </c>
      <c r="L855" s="11">
        <v>40172</v>
      </c>
      <c r="M855" s="11">
        <v>14274</v>
      </c>
    </row>
    <row r="856" spans="1:13" x14ac:dyDescent="0.3">
      <c r="A856" s="10">
        <v>6712</v>
      </c>
      <c r="B856" s="10">
        <v>36</v>
      </c>
      <c r="C856" s="10" t="s">
        <v>1180</v>
      </c>
      <c r="D856" s="10">
        <v>3608</v>
      </c>
      <c r="E856" s="10" t="s">
        <v>1188</v>
      </c>
      <c r="F856" s="10">
        <v>0</v>
      </c>
      <c r="G856" s="10" t="s">
        <v>343</v>
      </c>
      <c r="H856" s="10">
        <v>0</v>
      </c>
      <c r="I856" s="10" t="s">
        <v>343</v>
      </c>
      <c r="J856" s="11">
        <v>16277</v>
      </c>
      <c r="K856" s="11">
        <v>16235</v>
      </c>
      <c r="L856" s="11">
        <v>32512</v>
      </c>
      <c r="M856" s="11">
        <v>12131</v>
      </c>
    </row>
    <row r="857" spans="1:13" x14ac:dyDescent="0.3">
      <c r="A857" s="10">
        <v>6712</v>
      </c>
      <c r="B857" s="10">
        <v>36</v>
      </c>
      <c r="C857" s="10" t="s">
        <v>1180</v>
      </c>
      <c r="D857" s="10">
        <v>3609</v>
      </c>
      <c r="E857" s="10" t="s">
        <v>1189</v>
      </c>
      <c r="F857" s="10">
        <v>0</v>
      </c>
      <c r="G857" s="10" t="s">
        <v>343</v>
      </c>
      <c r="H857" s="10">
        <v>0</v>
      </c>
      <c r="I857" s="10" t="s">
        <v>343</v>
      </c>
      <c r="J857" s="11">
        <v>32855</v>
      </c>
      <c r="K857" s="11">
        <v>32261</v>
      </c>
      <c r="L857" s="11">
        <v>65116</v>
      </c>
      <c r="M857" s="11">
        <v>25075</v>
      </c>
    </row>
    <row r="858" spans="1:13" x14ac:dyDescent="0.3">
      <c r="A858" s="10">
        <v>6712</v>
      </c>
      <c r="B858" s="10">
        <v>36</v>
      </c>
      <c r="C858" s="10" t="s">
        <v>1180</v>
      </c>
      <c r="D858" s="10">
        <v>3610</v>
      </c>
      <c r="E858" s="10" t="s">
        <v>1190</v>
      </c>
      <c r="F858" s="10">
        <v>0</v>
      </c>
      <c r="G858" s="10" t="s">
        <v>343</v>
      </c>
      <c r="H858" s="10">
        <v>0</v>
      </c>
      <c r="I858" s="10" t="s">
        <v>343</v>
      </c>
      <c r="J858" s="11">
        <v>52601</v>
      </c>
      <c r="K858" s="11">
        <v>54537</v>
      </c>
      <c r="L858" s="11">
        <v>107138</v>
      </c>
      <c r="M858" s="11">
        <v>36788</v>
      </c>
    </row>
    <row r="859" spans="1:13" x14ac:dyDescent="0.3">
      <c r="A859" s="10">
        <v>6712</v>
      </c>
      <c r="B859" s="10">
        <v>36</v>
      </c>
      <c r="C859" s="10" t="s">
        <v>1180</v>
      </c>
      <c r="D859" s="10">
        <v>3611</v>
      </c>
      <c r="E859" s="10" t="s">
        <v>1191</v>
      </c>
      <c r="F859" s="10">
        <v>0</v>
      </c>
      <c r="G859" s="10" t="s">
        <v>343</v>
      </c>
      <c r="H859" s="10">
        <v>0</v>
      </c>
      <c r="I859" s="10" t="s">
        <v>343</v>
      </c>
      <c r="J859" s="11">
        <v>19920</v>
      </c>
      <c r="K859" s="11">
        <v>20321</v>
      </c>
      <c r="L859" s="11">
        <v>40241</v>
      </c>
      <c r="M859" s="11">
        <v>12139</v>
      </c>
    </row>
    <row r="860" spans="1:13" x14ac:dyDescent="0.3">
      <c r="A860" s="10">
        <v>6712</v>
      </c>
      <c r="B860" s="10">
        <v>36</v>
      </c>
      <c r="C860" s="10" t="s">
        <v>1180</v>
      </c>
      <c r="D860" s="10">
        <v>3612</v>
      </c>
      <c r="E860" s="10" t="s">
        <v>1192</v>
      </c>
      <c r="F860" s="10">
        <v>0</v>
      </c>
      <c r="G860" s="10" t="s">
        <v>343</v>
      </c>
      <c r="H860" s="10">
        <v>0</v>
      </c>
      <c r="I860" s="10" t="s">
        <v>343</v>
      </c>
      <c r="J860" s="11">
        <v>35963</v>
      </c>
      <c r="K860" s="11">
        <v>36250</v>
      </c>
      <c r="L860" s="11">
        <v>72213</v>
      </c>
      <c r="M860" s="11">
        <v>26397</v>
      </c>
    </row>
    <row r="861" spans="1:13" x14ac:dyDescent="0.3">
      <c r="A861" s="10">
        <v>6712</v>
      </c>
      <c r="B861" s="10">
        <v>36</v>
      </c>
      <c r="C861" s="10" t="s">
        <v>1180</v>
      </c>
      <c r="D861" s="10">
        <v>3613</v>
      </c>
      <c r="E861" s="10" t="s">
        <v>1193</v>
      </c>
      <c r="F861" s="10">
        <v>0</v>
      </c>
      <c r="G861" s="10" t="s">
        <v>343</v>
      </c>
      <c r="H861" s="10">
        <v>0</v>
      </c>
      <c r="I861" s="10" t="s">
        <v>343</v>
      </c>
      <c r="J861" s="11">
        <v>19865</v>
      </c>
      <c r="K861" s="11">
        <v>20301</v>
      </c>
      <c r="L861" s="11">
        <v>40166</v>
      </c>
      <c r="M861" s="11">
        <v>14662</v>
      </c>
    </row>
    <row r="862" spans="1:13" x14ac:dyDescent="0.3">
      <c r="A862" s="10">
        <v>6712</v>
      </c>
      <c r="B862" s="10">
        <v>36</v>
      </c>
      <c r="C862" s="10" t="s">
        <v>1180</v>
      </c>
      <c r="D862" s="10">
        <v>3614</v>
      </c>
      <c r="E862" s="10" t="s">
        <v>1194</v>
      </c>
      <c r="F862" s="10">
        <v>0</v>
      </c>
      <c r="G862" s="10" t="s">
        <v>343</v>
      </c>
      <c r="H862" s="10">
        <v>0</v>
      </c>
      <c r="I862" s="10" t="s">
        <v>343</v>
      </c>
      <c r="J862" s="11">
        <v>15250</v>
      </c>
      <c r="K862" s="11">
        <v>15079</v>
      </c>
      <c r="L862" s="11">
        <v>30329</v>
      </c>
      <c r="M862" s="11">
        <v>12863</v>
      </c>
    </row>
    <row r="863" spans="1:13" x14ac:dyDescent="0.3">
      <c r="A863" s="10">
        <v>6712</v>
      </c>
      <c r="B863" s="10">
        <v>36</v>
      </c>
      <c r="C863" s="10" t="s">
        <v>1180</v>
      </c>
      <c r="D863" s="10">
        <v>3615</v>
      </c>
      <c r="E863" s="10" t="s">
        <v>1195</v>
      </c>
      <c r="F863" s="10">
        <v>0</v>
      </c>
      <c r="G863" s="10" t="s">
        <v>343</v>
      </c>
      <c r="H863" s="10">
        <v>0</v>
      </c>
      <c r="I863" s="10" t="s">
        <v>343</v>
      </c>
      <c r="J863" s="11">
        <v>12492</v>
      </c>
      <c r="K863" s="11">
        <v>12900</v>
      </c>
      <c r="L863" s="11">
        <v>25392</v>
      </c>
      <c r="M863" s="11">
        <v>8876</v>
      </c>
    </row>
    <row r="864" spans="1:13" x14ac:dyDescent="0.3">
      <c r="A864" s="10">
        <v>6712</v>
      </c>
      <c r="B864" s="10">
        <v>36</v>
      </c>
      <c r="C864" s="10" t="s">
        <v>1180</v>
      </c>
      <c r="D864" s="10">
        <v>3616</v>
      </c>
      <c r="E864" s="10" t="s">
        <v>1196</v>
      </c>
      <c r="F864" s="10">
        <v>0</v>
      </c>
      <c r="G864" s="10" t="s">
        <v>343</v>
      </c>
      <c r="H864" s="10">
        <v>0</v>
      </c>
      <c r="I864" s="10" t="s">
        <v>343</v>
      </c>
      <c r="J864" s="11">
        <v>7833</v>
      </c>
      <c r="K864" s="11">
        <v>7675</v>
      </c>
      <c r="L864" s="11">
        <v>15508</v>
      </c>
      <c r="M864" s="11">
        <v>6044</v>
      </c>
    </row>
    <row r="865" spans="1:13" x14ac:dyDescent="0.3">
      <c r="A865" s="10">
        <v>6712</v>
      </c>
      <c r="B865" s="10">
        <v>36</v>
      </c>
      <c r="C865" s="10" t="s">
        <v>1180</v>
      </c>
      <c r="D865" s="10">
        <v>3676</v>
      </c>
      <c r="E865" s="10" t="s">
        <v>1197</v>
      </c>
      <c r="F865" s="10">
        <v>0</v>
      </c>
      <c r="G865" s="10" t="s">
        <v>343</v>
      </c>
      <c r="H865" s="10">
        <v>0</v>
      </c>
      <c r="I865" s="10" t="s">
        <v>343</v>
      </c>
      <c r="J865" s="11">
        <v>7630</v>
      </c>
      <c r="K865" s="11">
        <v>7649</v>
      </c>
      <c r="L865" s="11">
        <v>15279</v>
      </c>
      <c r="M865" s="11">
        <v>4788</v>
      </c>
    </row>
    <row r="866" spans="1:13" x14ac:dyDescent="0.3">
      <c r="A866" s="10">
        <v>6712</v>
      </c>
      <c r="B866" s="10">
        <v>36</v>
      </c>
      <c r="C866" s="10" t="s">
        <v>1180</v>
      </c>
      <c r="D866" s="10">
        <v>3677</v>
      </c>
      <c r="E866" s="10" t="s">
        <v>1198</v>
      </c>
      <c r="F866" s="10">
        <v>0</v>
      </c>
      <c r="G866" s="10" t="s">
        <v>343</v>
      </c>
      <c r="H866" s="10">
        <v>0</v>
      </c>
      <c r="I866" s="10" t="s">
        <v>343</v>
      </c>
      <c r="J866" s="11">
        <v>7659</v>
      </c>
      <c r="K866" s="11">
        <v>7726</v>
      </c>
      <c r="L866" s="11">
        <v>15385</v>
      </c>
      <c r="M866" s="11">
        <v>4784</v>
      </c>
    </row>
    <row r="867" spans="1:13" x14ac:dyDescent="0.3">
      <c r="A867" s="10">
        <v>6712</v>
      </c>
      <c r="B867" s="10">
        <v>36</v>
      </c>
      <c r="C867" s="10" t="s">
        <v>1180</v>
      </c>
      <c r="D867" s="10">
        <v>3680</v>
      </c>
      <c r="E867" s="10" t="s">
        <v>1199</v>
      </c>
      <c r="F867" s="10">
        <v>0</v>
      </c>
      <c r="G867" s="10" t="s">
        <v>343</v>
      </c>
      <c r="H867" s="10">
        <v>0</v>
      </c>
      <c r="I867" s="10" t="s">
        <v>343</v>
      </c>
      <c r="J867" s="11">
        <v>1900</v>
      </c>
      <c r="K867" s="11">
        <v>2139</v>
      </c>
      <c r="L867" s="11">
        <v>4039</v>
      </c>
      <c r="M867" s="11">
        <v>1515</v>
      </c>
    </row>
    <row r="868" spans="1:13" x14ac:dyDescent="0.3">
      <c r="A868" s="10">
        <v>6712</v>
      </c>
      <c r="B868" s="10">
        <v>36</v>
      </c>
      <c r="C868" s="10" t="s">
        <v>1180</v>
      </c>
      <c r="D868" s="10">
        <v>3681</v>
      </c>
      <c r="E868" s="10" t="s">
        <v>1200</v>
      </c>
      <c r="F868" s="10">
        <v>0</v>
      </c>
      <c r="G868" s="10" t="s">
        <v>343</v>
      </c>
      <c r="H868" s="10">
        <v>0</v>
      </c>
      <c r="I868" s="10" t="s">
        <v>343</v>
      </c>
      <c r="J868" s="11">
        <v>3789</v>
      </c>
      <c r="K868" s="11">
        <v>4315</v>
      </c>
      <c r="L868" s="11">
        <v>8104</v>
      </c>
      <c r="M868" s="11">
        <v>4824</v>
      </c>
    </row>
    <row r="869" spans="1:13" x14ac:dyDescent="0.3">
      <c r="A869" s="10">
        <v>6712</v>
      </c>
      <c r="B869" s="10">
        <v>36</v>
      </c>
      <c r="C869" s="10" t="s">
        <v>1180</v>
      </c>
      <c r="D869" s="10">
        <v>3682</v>
      </c>
      <c r="E869" s="10" t="s">
        <v>1201</v>
      </c>
      <c r="F869" s="10">
        <v>0</v>
      </c>
      <c r="G869" s="10" t="s">
        <v>343</v>
      </c>
      <c r="H869" s="10">
        <v>0</v>
      </c>
      <c r="I869" s="10" t="s">
        <v>343</v>
      </c>
      <c r="J869" s="11">
        <v>5090</v>
      </c>
      <c r="K869" s="11">
        <v>5459</v>
      </c>
      <c r="L869" s="11">
        <v>10549</v>
      </c>
      <c r="M869" s="11">
        <v>3399</v>
      </c>
    </row>
    <row r="870" spans="1:13" x14ac:dyDescent="0.3">
      <c r="A870" s="10">
        <v>6712</v>
      </c>
      <c r="B870" s="10">
        <v>36</v>
      </c>
      <c r="C870" s="10" t="s">
        <v>1180</v>
      </c>
      <c r="D870" s="10">
        <v>3683</v>
      </c>
      <c r="E870" s="10" t="s">
        <v>1202</v>
      </c>
      <c r="F870" s="10">
        <v>0</v>
      </c>
      <c r="G870" s="10" t="s">
        <v>343</v>
      </c>
      <c r="H870" s="10">
        <v>0</v>
      </c>
      <c r="I870" s="10" t="s">
        <v>343</v>
      </c>
      <c r="J870" s="11">
        <v>1908</v>
      </c>
      <c r="K870" s="11">
        <v>2005</v>
      </c>
      <c r="L870" s="11">
        <v>3913</v>
      </c>
      <c r="M870" s="11">
        <v>1697</v>
      </c>
    </row>
    <row r="871" spans="1:13" x14ac:dyDescent="0.3">
      <c r="A871" s="10">
        <v>6712</v>
      </c>
      <c r="B871" s="10">
        <v>36</v>
      </c>
      <c r="C871" s="10" t="s">
        <v>1180</v>
      </c>
      <c r="D871" s="10">
        <v>3684</v>
      </c>
      <c r="E871" s="10" t="s">
        <v>1203</v>
      </c>
      <c r="F871" s="10">
        <v>0</v>
      </c>
      <c r="G871" s="10" t="s">
        <v>343</v>
      </c>
      <c r="H871" s="10">
        <v>0</v>
      </c>
      <c r="I871" s="10" t="s">
        <v>343</v>
      </c>
      <c r="J871" s="11">
        <v>2691</v>
      </c>
      <c r="K871" s="11">
        <v>3137</v>
      </c>
      <c r="L871" s="11">
        <v>5828</v>
      </c>
      <c r="M871" s="11">
        <v>3122</v>
      </c>
    </row>
    <row r="872" spans="1:13" x14ac:dyDescent="0.3">
      <c r="A872" s="10">
        <v>6712</v>
      </c>
      <c r="B872" s="10">
        <v>36</v>
      </c>
      <c r="C872" s="10" t="s">
        <v>1180</v>
      </c>
      <c r="D872" s="10">
        <v>3685</v>
      </c>
      <c r="E872" s="10" t="s">
        <v>1204</v>
      </c>
      <c r="F872" s="10">
        <v>0</v>
      </c>
      <c r="G872" s="10" t="s">
        <v>343</v>
      </c>
      <c r="H872" s="10">
        <v>0</v>
      </c>
      <c r="I872" s="10" t="s">
        <v>343</v>
      </c>
      <c r="J872" s="11">
        <v>2686</v>
      </c>
      <c r="K872" s="11">
        <v>2735</v>
      </c>
      <c r="L872" s="11">
        <v>5421</v>
      </c>
      <c r="M872" s="11">
        <v>1810</v>
      </c>
    </row>
    <row r="873" spans="1:13" x14ac:dyDescent="0.3">
      <c r="A873" s="10">
        <v>6712</v>
      </c>
      <c r="B873" s="10">
        <v>36</v>
      </c>
      <c r="C873" s="10" t="s">
        <v>1180</v>
      </c>
      <c r="D873" s="10">
        <v>3686</v>
      </c>
      <c r="E873" s="10" t="s">
        <v>1205</v>
      </c>
      <c r="F873" s="10">
        <v>0</v>
      </c>
      <c r="G873" s="10" t="s">
        <v>343</v>
      </c>
      <c r="H873" s="10">
        <v>0</v>
      </c>
      <c r="I873" s="10" t="s">
        <v>343</v>
      </c>
      <c r="J873" s="11">
        <v>1864</v>
      </c>
      <c r="K873" s="11">
        <v>1886</v>
      </c>
      <c r="L873" s="11">
        <v>3750</v>
      </c>
      <c r="M873" s="11">
        <v>2384</v>
      </c>
    </row>
    <row r="874" spans="1:13" x14ac:dyDescent="0.3">
      <c r="A874" s="10">
        <v>6712</v>
      </c>
      <c r="B874" s="10">
        <v>36</v>
      </c>
      <c r="C874" s="10" t="s">
        <v>1180</v>
      </c>
      <c r="D874" s="10">
        <v>3687</v>
      </c>
      <c r="E874" s="10" t="s">
        <v>1206</v>
      </c>
      <c r="F874" s="10">
        <v>0</v>
      </c>
      <c r="G874" s="10" t="s">
        <v>343</v>
      </c>
      <c r="H874" s="10">
        <v>0</v>
      </c>
      <c r="I874" s="10" t="s">
        <v>343</v>
      </c>
      <c r="J874" s="11">
        <v>2838</v>
      </c>
      <c r="K874" s="11">
        <v>2903</v>
      </c>
      <c r="L874" s="11">
        <v>5741</v>
      </c>
      <c r="M874" s="11">
        <v>2816</v>
      </c>
    </row>
    <row r="875" spans="1:13" x14ac:dyDescent="0.3">
      <c r="A875" s="10">
        <v>6712</v>
      </c>
      <c r="B875" s="10">
        <v>36</v>
      </c>
      <c r="C875" s="10" t="s">
        <v>1180</v>
      </c>
      <c r="D875" s="10">
        <v>3688</v>
      </c>
      <c r="E875" s="10" t="s">
        <v>1207</v>
      </c>
      <c r="F875" s="10">
        <v>0</v>
      </c>
      <c r="G875" s="10" t="s">
        <v>343</v>
      </c>
      <c r="H875" s="10">
        <v>0</v>
      </c>
      <c r="I875" s="10" t="s">
        <v>343</v>
      </c>
      <c r="J875" s="11">
        <v>3170</v>
      </c>
      <c r="K875" s="11">
        <v>3462</v>
      </c>
      <c r="L875" s="11">
        <v>6632</v>
      </c>
      <c r="M875" s="11">
        <v>3139</v>
      </c>
    </row>
    <row r="876" spans="1:13" x14ac:dyDescent="0.3">
      <c r="A876" s="10">
        <v>6712</v>
      </c>
      <c r="B876" s="10">
        <v>36</v>
      </c>
      <c r="C876" s="10" t="s">
        <v>1180</v>
      </c>
      <c r="D876" s="10">
        <v>3689</v>
      </c>
      <c r="E876" s="10" t="s">
        <v>1208</v>
      </c>
      <c r="F876" s="10">
        <v>0</v>
      </c>
      <c r="G876" s="10" t="s">
        <v>343</v>
      </c>
      <c r="H876" s="10">
        <v>0</v>
      </c>
      <c r="I876" s="10" t="s">
        <v>343</v>
      </c>
      <c r="J876" s="11">
        <v>2258</v>
      </c>
      <c r="K876" s="11">
        <v>2427</v>
      </c>
      <c r="L876" s="11">
        <v>4685</v>
      </c>
      <c r="M876" s="11">
        <v>2289</v>
      </c>
    </row>
    <row r="877" spans="1:13" x14ac:dyDescent="0.3">
      <c r="A877" s="10">
        <v>6712</v>
      </c>
      <c r="B877" s="10">
        <v>36</v>
      </c>
      <c r="C877" s="10" t="s">
        <v>1180</v>
      </c>
      <c r="D877" s="10">
        <v>3690</v>
      </c>
      <c r="E877" s="10" t="s">
        <v>1209</v>
      </c>
      <c r="F877" s="10">
        <v>0</v>
      </c>
      <c r="G877" s="10" t="s">
        <v>343</v>
      </c>
      <c r="H877" s="10">
        <v>0</v>
      </c>
      <c r="I877" s="10" t="s">
        <v>343</v>
      </c>
      <c r="J877" s="10">
        <v>916</v>
      </c>
      <c r="K877" s="10">
        <v>951</v>
      </c>
      <c r="L877" s="11">
        <v>1867</v>
      </c>
      <c r="M877" s="10">
        <v>840</v>
      </c>
    </row>
    <row r="878" spans="1:13" x14ac:dyDescent="0.3">
      <c r="A878" s="10">
        <v>6712</v>
      </c>
      <c r="B878" s="10">
        <v>36</v>
      </c>
      <c r="C878" s="10" t="s">
        <v>1180</v>
      </c>
      <c r="D878" s="10">
        <v>3691</v>
      </c>
      <c r="E878" s="10" t="s">
        <v>1210</v>
      </c>
      <c r="F878" s="10">
        <v>0</v>
      </c>
      <c r="G878" s="10" t="s">
        <v>343</v>
      </c>
      <c r="H878" s="10">
        <v>0</v>
      </c>
      <c r="I878" s="10" t="s">
        <v>343</v>
      </c>
      <c r="J878" s="11">
        <v>1909</v>
      </c>
      <c r="K878" s="11">
        <v>2095</v>
      </c>
      <c r="L878" s="11">
        <v>4004</v>
      </c>
      <c r="M878" s="11">
        <v>2285</v>
      </c>
    </row>
    <row r="879" spans="1:13" x14ac:dyDescent="0.3">
      <c r="A879" s="10">
        <v>6712</v>
      </c>
      <c r="B879" s="10">
        <v>36</v>
      </c>
      <c r="C879" s="10" t="s">
        <v>1180</v>
      </c>
      <c r="D879" s="10">
        <v>3692</v>
      </c>
      <c r="E879" s="10" t="s">
        <v>1211</v>
      </c>
      <c r="F879" s="10">
        <v>0</v>
      </c>
      <c r="G879" s="10" t="s">
        <v>343</v>
      </c>
      <c r="H879" s="10">
        <v>0</v>
      </c>
      <c r="I879" s="10" t="s">
        <v>343</v>
      </c>
      <c r="J879" s="11">
        <v>4148</v>
      </c>
      <c r="K879" s="11">
        <v>4376</v>
      </c>
      <c r="L879" s="11">
        <v>8524</v>
      </c>
      <c r="M879" s="11">
        <v>4600</v>
      </c>
    </row>
    <row r="880" spans="1:13" x14ac:dyDescent="0.3">
      <c r="A880" s="10">
        <v>6712</v>
      </c>
      <c r="B880" s="10">
        <v>36</v>
      </c>
      <c r="C880" s="10" t="s">
        <v>1180</v>
      </c>
      <c r="D880" s="10">
        <v>3693</v>
      </c>
      <c r="E880" s="10" t="s">
        <v>1212</v>
      </c>
      <c r="F880" s="10">
        <v>0</v>
      </c>
      <c r="G880" s="10" t="s">
        <v>343</v>
      </c>
      <c r="H880" s="10">
        <v>0</v>
      </c>
      <c r="I880" s="10" t="s">
        <v>343</v>
      </c>
      <c r="J880" s="11">
        <v>3642</v>
      </c>
      <c r="K880" s="11">
        <v>3849</v>
      </c>
      <c r="L880" s="11">
        <v>7491</v>
      </c>
      <c r="M880" s="11">
        <v>2442</v>
      </c>
    </row>
    <row r="881" spans="1:13" x14ac:dyDescent="0.3">
      <c r="A881" s="10">
        <v>6712</v>
      </c>
      <c r="B881" s="10">
        <v>36</v>
      </c>
      <c r="C881" s="10" t="s">
        <v>1180</v>
      </c>
      <c r="D881" s="10">
        <v>3694</v>
      </c>
      <c r="E881" s="10" t="s">
        <v>1213</v>
      </c>
      <c r="F881" s="10">
        <v>0</v>
      </c>
      <c r="G881" s="10" t="s">
        <v>343</v>
      </c>
      <c r="H881" s="10">
        <v>0</v>
      </c>
      <c r="I881" s="10" t="s">
        <v>343</v>
      </c>
      <c r="J881" s="11">
        <v>1344</v>
      </c>
      <c r="K881" s="11">
        <v>1493</v>
      </c>
      <c r="L881" s="11">
        <v>2837</v>
      </c>
      <c r="M881" s="11">
        <v>1353</v>
      </c>
    </row>
    <row r="882" spans="1:13" x14ac:dyDescent="0.3">
      <c r="A882" s="10">
        <v>6712</v>
      </c>
      <c r="B882" s="10">
        <v>36</v>
      </c>
      <c r="C882" s="10" t="s">
        <v>1180</v>
      </c>
      <c r="D882" s="10">
        <v>3695</v>
      </c>
      <c r="E882" s="10" t="s">
        <v>1214</v>
      </c>
      <c r="F882" s="10">
        <v>0</v>
      </c>
      <c r="G882" s="10" t="s">
        <v>343</v>
      </c>
      <c r="H882" s="10">
        <v>0</v>
      </c>
      <c r="I882" s="10" t="s">
        <v>343</v>
      </c>
      <c r="J882" s="11">
        <v>1918</v>
      </c>
      <c r="K882" s="11">
        <v>2125</v>
      </c>
      <c r="L882" s="11">
        <v>4043</v>
      </c>
      <c r="M882" s="11">
        <v>1938</v>
      </c>
    </row>
    <row r="883" spans="1:13" x14ac:dyDescent="0.3">
      <c r="A883" s="10">
        <v>6712</v>
      </c>
      <c r="B883" s="10">
        <v>36</v>
      </c>
      <c r="C883" s="10" t="s">
        <v>1180</v>
      </c>
      <c r="D883" s="10">
        <v>3696</v>
      </c>
      <c r="E883" s="10" t="s">
        <v>1215</v>
      </c>
      <c r="F883" s="10">
        <v>0</v>
      </c>
      <c r="G883" s="10" t="s">
        <v>343</v>
      </c>
      <c r="H883" s="10">
        <v>0</v>
      </c>
      <c r="I883" s="10" t="s">
        <v>343</v>
      </c>
      <c r="J883" s="11">
        <v>3674</v>
      </c>
      <c r="K883" s="11">
        <v>4063</v>
      </c>
      <c r="L883" s="11">
        <v>7737</v>
      </c>
      <c r="M883" s="11">
        <v>3567</v>
      </c>
    </row>
    <row r="884" spans="1:13" x14ac:dyDescent="0.3">
      <c r="A884" s="10">
        <v>6712</v>
      </c>
      <c r="B884" s="10">
        <v>36</v>
      </c>
      <c r="C884" s="10" t="s">
        <v>1180</v>
      </c>
      <c r="D884" s="10">
        <v>3697</v>
      </c>
      <c r="E884" s="10" t="s">
        <v>1216</v>
      </c>
      <c r="F884" s="10">
        <v>0</v>
      </c>
      <c r="G884" s="10" t="s">
        <v>343</v>
      </c>
      <c r="H884" s="10">
        <v>0</v>
      </c>
      <c r="I884" s="10" t="s">
        <v>343</v>
      </c>
      <c r="J884" s="11">
        <v>2085</v>
      </c>
      <c r="K884" s="11">
        <v>2361</v>
      </c>
      <c r="L884" s="11">
        <v>4446</v>
      </c>
      <c r="M884" s="11">
        <v>1813</v>
      </c>
    </row>
    <row r="885" spans="1:13" x14ac:dyDescent="0.3">
      <c r="A885" s="10">
        <v>6712</v>
      </c>
      <c r="B885" s="10">
        <v>36</v>
      </c>
      <c r="C885" s="10" t="s">
        <v>1180</v>
      </c>
      <c r="D885" s="10">
        <v>3698</v>
      </c>
      <c r="E885" s="10" t="s">
        <v>1217</v>
      </c>
      <c r="F885" s="10">
        <v>0</v>
      </c>
      <c r="G885" s="10" t="s">
        <v>343</v>
      </c>
      <c r="H885" s="10">
        <v>0</v>
      </c>
      <c r="I885" s="10" t="s">
        <v>343</v>
      </c>
      <c r="J885" s="11">
        <v>2303</v>
      </c>
      <c r="K885" s="11">
        <v>2423</v>
      </c>
      <c r="L885" s="11">
        <v>4726</v>
      </c>
      <c r="M885" s="11">
        <v>2001</v>
      </c>
    </row>
    <row r="886" spans="1:13" x14ac:dyDescent="0.3">
      <c r="A886" s="10">
        <v>6712</v>
      </c>
      <c r="B886" s="10">
        <v>36</v>
      </c>
      <c r="C886" s="10" t="s">
        <v>1180</v>
      </c>
      <c r="D886" s="10">
        <v>3699</v>
      </c>
      <c r="E886" s="10" t="s">
        <v>1218</v>
      </c>
      <c r="F886" s="10">
        <v>0</v>
      </c>
      <c r="G886" s="10" t="s">
        <v>343</v>
      </c>
      <c r="H886" s="10">
        <v>0</v>
      </c>
      <c r="I886" s="10" t="s">
        <v>343</v>
      </c>
      <c r="J886" s="11">
        <v>16369</v>
      </c>
      <c r="K886" s="11">
        <v>18330</v>
      </c>
      <c r="L886" s="11">
        <v>34699</v>
      </c>
      <c r="M886" s="11">
        <v>21996</v>
      </c>
    </row>
    <row r="887" spans="1:13" x14ac:dyDescent="0.3">
      <c r="A887" s="10">
        <v>6712</v>
      </c>
      <c r="B887" s="10">
        <v>37</v>
      </c>
      <c r="C887" s="10" t="s">
        <v>1219</v>
      </c>
      <c r="D887" s="10">
        <v>0</v>
      </c>
      <c r="E887" s="10" t="s">
        <v>343</v>
      </c>
      <c r="F887" s="10">
        <v>0</v>
      </c>
      <c r="G887" s="10" t="s">
        <v>343</v>
      </c>
      <c r="H887" s="10">
        <v>0</v>
      </c>
      <c r="I887" s="10" t="s">
        <v>343</v>
      </c>
      <c r="J887" s="11">
        <v>184783</v>
      </c>
      <c r="K887" s="11">
        <v>187400</v>
      </c>
      <c r="L887" s="11">
        <v>372183</v>
      </c>
      <c r="M887" s="11">
        <v>128559</v>
      </c>
    </row>
    <row r="888" spans="1:13" x14ac:dyDescent="0.3">
      <c r="A888" s="10">
        <v>6712</v>
      </c>
      <c r="B888" s="10">
        <v>37</v>
      </c>
      <c r="C888" s="10" t="s">
        <v>1219</v>
      </c>
      <c r="D888" s="10">
        <v>3701</v>
      </c>
      <c r="E888" s="10" t="s">
        <v>1220</v>
      </c>
      <c r="F888" s="10">
        <v>0</v>
      </c>
      <c r="G888" s="10" t="s">
        <v>343</v>
      </c>
      <c r="H888" s="10">
        <v>0</v>
      </c>
      <c r="I888" s="10" t="s">
        <v>343</v>
      </c>
      <c r="J888" s="11">
        <v>48313</v>
      </c>
      <c r="K888" s="11">
        <v>48483</v>
      </c>
      <c r="L888" s="11">
        <v>96796</v>
      </c>
      <c r="M888" s="11">
        <v>33111</v>
      </c>
    </row>
    <row r="889" spans="1:13" x14ac:dyDescent="0.3">
      <c r="A889" s="10">
        <v>6712</v>
      </c>
      <c r="B889" s="10">
        <v>37</v>
      </c>
      <c r="C889" s="10" t="s">
        <v>1219</v>
      </c>
      <c r="D889" s="10">
        <v>3702</v>
      </c>
      <c r="E889" s="10" t="s">
        <v>1221</v>
      </c>
      <c r="F889" s="10">
        <v>0</v>
      </c>
      <c r="G889" s="10" t="s">
        <v>343</v>
      </c>
      <c r="H889" s="10">
        <v>0</v>
      </c>
      <c r="I889" s="10" t="s">
        <v>343</v>
      </c>
      <c r="J889" s="11">
        <v>19403</v>
      </c>
      <c r="K889" s="11">
        <v>19305</v>
      </c>
      <c r="L889" s="11">
        <v>38708</v>
      </c>
      <c r="M889" s="11">
        <v>12404</v>
      </c>
    </row>
    <row r="890" spans="1:13" x14ac:dyDescent="0.3">
      <c r="A890" s="10">
        <v>6712</v>
      </c>
      <c r="B890" s="10">
        <v>37</v>
      </c>
      <c r="C890" s="10" t="s">
        <v>1219</v>
      </c>
      <c r="D890" s="10">
        <v>3703</v>
      </c>
      <c r="E890" s="10" t="s">
        <v>1222</v>
      </c>
      <c r="F890" s="10">
        <v>0</v>
      </c>
      <c r="G890" s="10" t="s">
        <v>343</v>
      </c>
      <c r="H890" s="10">
        <v>0</v>
      </c>
      <c r="I890" s="10" t="s">
        <v>343</v>
      </c>
      <c r="J890" s="11">
        <v>22916</v>
      </c>
      <c r="K890" s="11">
        <v>22672</v>
      </c>
      <c r="L890" s="11">
        <v>45588</v>
      </c>
      <c r="M890" s="11">
        <v>14242</v>
      </c>
    </row>
    <row r="891" spans="1:13" x14ac:dyDescent="0.3">
      <c r="A891" s="10">
        <v>6712</v>
      </c>
      <c r="B891" s="10">
        <v>37</v>
      </c>
      <c r="C891" s="10" t="s">
        <v>1219</v>
      </c>
      <c r="D891" s="10">
        <v>3704</v>
      </c>
      <c r="E891" s="10" t="s">
        <v>1223</v>
      </c>
      <c r="F891" s="10">
        <v>0</v>
      </c>
      <c r="G891" s="10" t="s">
        <v>343</v>
      </c>
      <c r="H891" s="10">
        <v>0</v>
      </c>
      <c r="I891" s="10" t="s">
        <v>343</v>
      </c>
      <c r="J891" s="11">
        <v>9511</v>
      </c>
      <c r="K891" s="11">
        <v>9400</v>
      </c>
      <c r="L891" s="11">
        <v>18911</v>
      </c>
      <c r="M891" s="11">
        <v>7079</v>
      </c>
    </row>
    <row r="892" spans="1:13" x14ac:dyDescent="0.3">
      <c r="A892" s="10">
        <v>6712</v>
      </c>
      <c r="B892" s="10">
        <v>37</v>
      </c>
      <c r="C892" s="10" t="s">
        <v>1219</v>
      </c>
      <c r="D892" s="10">
        <v>3705</v>
      </c>
      <c r="E892" s="10" t="s">
        <v>1224</v>
      </c>
      <c r="F892" s="10">
        <v>0</v>
      </c>
      <c r="G892" s="10" t="s">
        <v>343</v>
      </c>
      <c r="H892" s="10">
        <v>0</v>
      </c>
      <c r="I892" s="10" t="s">
        <v>343</v>
      </c>
      <c r="J892" s="11">
        <v>17247</v>
      </c>
      <c r="K892" s="11">
        <v>17597</v>
      </c>
      <c r="L892" s="11">
        <v>34844</v>
      </c>
      <c r="M892" s="11">
        <v>11519</v>
      </c>
    </row>
    <row r="893" spans="1:13" x14ac:dyDescent="0.3">
      <c r="A893" s="10">
        <v>6712</v>
      </c>
      <c r="B893" s="10">
        <v>37</v>
      </c>
      <c r="C893" s="10" t="s">
        <v>1219</v>
      </c>
      <c r="D893" s="10">
        <v>3706</v>
      </c>
      <c r="E893" s="10" t="s">
        <v>1225</v>
      </c>
      <c r="F893" s="10">
        <v>0</v>
      </c>
      <c r="G893" s="10" t="s">
        <v>343</v>
      </c>
      <c r="H893" s="10">
        <v>0</v>
      </c>
      <c r="I893" s="10" t="s">
        <v>343</v>
      </c>
      <c r="J893" s="11">
        <v>20612</v>
      </c>
      <c r="K893" s="11">
        <v>20711</v>
      </c>
      <c r="L893" s="11">
        <v>41323</v>
      </c>
      <c r="M893" s="11">
        <v>11474</v>
      </c>
    </row>
    <row r="894" spans="1:13" x14ac:dyDescent="0.3">
      <c r="A894" s="10">
        <v>6712</v>
      </c>
      <c r="B894" s="10">
        <v>37</v>
      </c>
      <c r="C894" s="10" t="s">
        <v>1219</v>
      </c>
      <c r="D894" s="10">
        <v>3707</v>
      </c>
      <c r="E894" s="10" t="s">
        <v>1226</v>
      </c>
      <c r="F894" s="10">
        <v>0</v>
      </c>
      <c r="G894" s="10" t="s">
        <v>343</v>
      </c>
      <c r="H894" s="10">
        <v>0</v>
      </c>
      <c r="I894" s="10" t="s">
        <v>343</v>
      </c>
      <c r="J894" s="11">
        <v>16722</v>
      </c>
      <c r="K894" s="11">
        <v>16922</v>
      </c>
      <c r="L894" s="11">
        <v>33644</v>
      </c>
      <c r="M894" s="11">
        <v>10315</v>
      </c>
    </row>
    <row r="895" spans="1:13" x14ac:dyDescent="0.3">
      <c r="A895" s="10">
        <v>6712</v>
      </c>
      <c r="B895" s="10">
        <v>37</v>
      </c>
      <c r="C895" s="10" t="s">
        <v>1219</v>
      </c>
      <c r="D895" s="10">
        <v>3790</v>
      </c>
      <c r="E895" s="10" t="s">
        <v>1227</v>
      </c>
      <c r="F895" s="10">
        <v>0</v>
      </c>
      <c r="G895" s="10" t="s">
        <v>343</v>
      </c>
      <c r="H895" s="10">
        <v>0</v>
      </c>
      <c r="I895" s="10" t="s">
        <v>343</v>
      </c>
      <c r="J895" s="11">
        <v>2557</v>
      </c>
      <c r="K895" s="11">
        <v>2630</v>
      </c>
      <c r="L895" s="11">
        <v>5187</v>
      </c>
      <c r="M895" s="11">
        <v>1597</v>
      </c>
    </row>
    <row r="896" spans="1:13" x14ac:dyDescent="0.3">
      <c r="A896" s="10">
        <v>6712</v>
      </c>
      <c r="B896" s="10">
        <v>37</v>
      </c>
      <c r="C896" s="10" t="s">
        <v>1219</v>
      </c>
      <c r="D896" s="10">
        <v>3791</v>
      </c>
      <c r="E896" s="10" t="s">
        <v>1228</v>
      </c>
      <c r="F896" s="10">
        <v>0</v>
      </c>
      <c r="G896" s="10" t="s">
        <v>343</v>
      </c>
      <c r="H896" s="10">
        <v>0</v>
      </c>
      <c r="I896" s="10" t="s">
        <v>343</v>
      </c>
      <c r="J896" s="11">
        <v>2956</v>
      </c>
      <c r="K896" s="11">
        <v>2990</v>
      </c>
      <c r="L896" s="11">
        <v>5946</v>
      </c>
      <c r="M896" s="11">
        <v>2341</v>
      </c>
    </row>
    <row r="897" spans="1:13" x14ac:dyDescent="0.3">
      <c r="A897" s="10">
        <v>6712</v>
      </c>
      <c r="B897" s="10">
        <v>37</v>
      </c>
      <c r="C897" s="10" t="s">
        <v>1219</v>
      </c>
      <c r="D897" s="10">
        <v>3792</v>
      </c>
      <c r="E897" s="10" t="s">
        <v>1229</v>
      </c>
      <c r="F897" s="10">
        <v>0</v>
      </c>
      <c r="G897" s="10" t="s">
        <v>343</v>
      </c>
      <c r="H897" s="10">
        <v>0</v>
      </c>
      <c r="I897" s="10" t="s">
        <v>343</v>
      </c>
      <c r="J897" s="10">
        <v>985</v>
      </c>
      <c r="K897" s="11">
        <v>1128</v>
      </c>
      <c r="L897" s="11">
        <v>2113</v>
      </c>
      <c r="M897" s="11">
        <v>1063</v>
      </c>
    </row>
    <row r="898" spans="1:13" x14ac:dyDescent="0.3">
      <c r="A898" s="10">
        <v>6712</v>
      </c>
      <c r="B898" s="10">
        <v>37</v>
      </c>
      <c r="C898" s="10" t="s">
        <v>1219</v>
      </c>
      <c r="D898" s="10">
        <v>3793</v>
      </c>
      <c r="E898" s="10" t="s">
        <v>1230</v>
      </c>
      <c r="F898" s="10">
        <v>0</v>
      </c>
      <c r="G898" s="10" t="s">
        <v>343</v>
      </c>
      <c r="H898" s="10">
        <v>0</v>
      </c>
      <c r="I898" s="10" t="s">
        <v>343</v>
      </c>
      <c r="J898" s="11">
        <v>3289</v>
      </c>
      <c r="K898" s="11">
        <v>3441</v>
      </c>
      <c r="L898" s="11">
        <v>6730</v>
      </c>
      <c r="M898" s="11">
        <v>2329</v>
      </c>
    </row>
    <row r="899" spans="1:13" x14ac:dyDescent="0.3">
      <c r="A899" s="10">
        <v>6712</v>
      </c>
      <c r="B899" s="10">
        <v>37</v>
      </c>
      <c r="C899" s="10" t="s">
        <v>1219</v>
      </c>
      <c r="D899" s="10">
        <v>3794</v>
      </c>
      <c r="E899" s="10" t="s">
        <v>1231</v>
      </c>
      <c r="F899" s="10">
        <v>0</v>
      </c>
      <c r="G899" s="10" t="s">
        <v>343</v>
      </c>
      <c r="H899" s="10">
        <v>0</v>
      </c>
      <c r="I899" s="10" t="s">
        <v>343</v>
      </c>
      <c r="J899" s="11">
        <v>2637</v>
      </c>
      <c r="K899" s="11">
        <v>2893</v>
      </c>
      <c r="L899" s="11">
        <v>5530</v>
      </c>
      <c r="M899" s="11">
        <v>2026</v>
      </c>
    </row>
    <row r="900" spans="1:13" x14ac:dyDescent="0.3">
      <c r="A900" s="10">
        <v>6712</v>
      </c>
      <c r="B900" s="10">
        <v>37</v>
      </c>
      <c r="C900" s="10" t="s">
        <v>1219</v>
      </c>
      <c r="D900" s="10">
        <v>3795</v>
      </c>
      <c r="E900" s="10" t="s">
        <v>1232</v>
      </c>
      <c r="F900" s="10">
        <v>0</v>
      </c>
      <c r="G900" s="10" t="s">
        <v>343</v>
      </c>
      <c r="H900" s="10">
        <v>0</v>
      </c>
      <c r="I900" s="10" t="s">
        <v>343</v>
      </c>
      <c r="J900" s="11">
        <v>1173</v>
      </c>
      <c r="K900" s="11">
        <v>1346</v>
      </c>
      <c r="L900" s="11">
        <v>2519</v>
      </c>
      <c r="M900" s="11">
        <v>1176</v>
      </c>
    </row>
    <row r="901" spans="1:13" x14ac:dyDescent="0.3">
      <c r="A901" s="10">
        <v>6712</v>
      </c>
      <c r="B901" s="10">
        <v>37</v>
      </c>
      <c r="C901" s="10" t="s">
        <v>1219</v>
      </c>
      <c r="D901" s="10">
        <v>3796</v>
      </c>
      <c r="E901" s="10" t="s">
        <v>1233</v>
      </c>
      <c r="F901" s="10">
        <v>0</v>
      </c>
      <c r="G901" s="10" t="s">
        <v>343</v>
      </c>
      <c r="H901" s="10">
        <v>0</v>
      </c>
      <c r="I901" s="10" t="s">
        <v>343</v>
      </c>
      <c r="J901" s="11">
        <v>1628</v>
      </c>
      <c r="K901" s="11">
        <v>1688</v>
      </c>
      <c r="L901" s="11">
        <v>3316</v>
      </c>
      <c r="M901" s="11">
        <v>1771</v>
      </c>
    </row>
    <row r="902" spans="1:13" x14ac:dyDescent="0.3">
      <c r="A902" s="10">
        <v>6712</v>
      </c>
      <c r="B902" s="10">
        <v>37</v>
      </c>
      <c r="C902" s="10" t="s">
        <v>1219</v>
      </c>
      <c r="D902" s="10">
        <v>3797</v>
      </c>
      <c r="E902" s="10" t="s">
        <v>1234</v>
      </c>
      <c r="F902" s="10">
        <v>0</v>
      </c>
      <c r="G902" s="10" t="s">
        <v>343</v>
      </c>
      <c r="H902" s="10">
        <v>0</v>
      </c>
      <c r="I902" s="10" t="s">
        <v>343</v>
      </c>
      <c r="J902" s="11">
        <v>1502</v>
      </c>
      <c r="K902" s="11">
        <v>1647</v>
      </c>
      <c r="L902" s="11">
        <v>3149</v>
      </c>
      <c r="M902" s="11">
        <v>1521</v>
      </c>
    </row>
    <row r="903" spans="1:13" x14ac:dyDescent="0.3">
      <c r="A903" s="10">
        <v>6712</v>
      </c>
      <c r="B903" s="10">
        <v>37</v>
      </c>
      <c r="C903" s="10" t="s">
        <v>1219</v>
      </c>
      <c r="D903" s="10">
        <v>3798</v>
      </c>
      <c r="E903" s="10" t="s">
        <v>1235</v>
      </c>
      <c r="F903" s="10">
        <v>0</v>
      </c>
      <c r="G903" s="10" t="s">
        <v>343</v>
      </c>
      <c r="H903" s="10">
        <v>0</v>
      </c>
      <c r="I903" s="10" t="s">
        <v>343</v>
      </c>
      <c r="J903" s="11">
        <v>1727</v>
      </c>
      <c r="K903" s="11">
        <v>1889</v>
      </c>
      <c r="L903" s="11">
        <v>3616</v>
      </c>
      <c r="M903" s="11">
        <v>1272</v>
      </c>
    </row>
    <row r="904" spans="1:13" x14ac:dyDescent="0.3">
      <c r="A904" s="10">
        <v>6712</v>
      </c>
      <c r="B904" s="10">
        <v>37</v>
      </c>
      <c r="C904" s="10" t="s">
        <v>1219</v>
      </c>
      <c r="D904" s="10">
        <v>3799</v>
      </c>
      <c r="E904" s="10" t="s">
        <v>1236</v>
      </c>
      <c r="F904" s="10">
        <v>0</v>
      </c>
      <c r="G904" s="10" t="s">
        <v>343</v>
      </c>
      <c r="H904" s="10">
        <v>0</v>
      </c>
      <c r="I904" s="10" t="s">
        <v>343</v>
      </c>
      <c r="J904" s="11">
        <v>11605</v>
      </c>
      <c r="K904" s="11">
        <v>12658</v>
      </c>
      <c r="L904" s="11">
        <v>24263</v>
      </c>
      <c r="M904" s="11">
        <v>13319</v>
      </c>
    </row>
    <row r="905" spans="1:13" x14ac:dyDescent="0.3">
      <c r="A905" s="10">
        <v>6712</v>
      </c>
      <c r="B905" s="10">
        <v>38</v>
      </c>
      <c r="C905" s="10" t="s">
        <v>1237</v>
      </c>
      <c r="D905" s="10">
        <v>0</v>
      </c>
      <c r="E905" s="10" t="s">
        <v>343</v>
      </c>
      <c r="F905" s="10">
        <v>0</v>
      </c>
      <c r="G905" s="10" t="s">
        <v>343</v>
      </c>
      <c r="H905" s="10">
        <v>0</v>
      </c>
      <c r="I905" s="10" t="s">
        <v>343</v>
      </c>
      <c r="J905" s="11">
        <v>209459</v>
      </c>
      <c r="K905" s="11">
        <v>209274</v>
      </c>
      <c r="L905" s="11">
        <v>418733</v>
      </c>
      <c r="M905" s="11">
        <v>147459</v>
      </c>
    </row>
    <row r="906" spans="1:13" x14ac:dyDescent="0.3">
      <c r="A906" s="10">
        <v>6712</v>
      </c>
      <c r="B906" s="10">
        <v>38</v>
      </c>
      <c r="C906" s="10" t="s">
        <v>1237</v>
      </c>
      <c r="D906" s="10">
        <v>3801</v>
      </c>
      <c r="E906" s="10" t="s">
        <v>1238</v>
      </c>
      <c r="F906" s="10">
        <v>0</v>
      </c>
      <c r="G906" s="10" t="s">
        <v>343</v>
      </c>
      <c r="H906" s="10">
        <v>0</v>
      </c>
      <c r="I906" s="10" t="s">
        <v>343</v>
      </c>
      <c r="J906" s="11">
        <v>29214</v>
      </c>
      <c r="K906" s="11">
        <v>29166</v>
      </c>
      <c r="L906" s="11">
        <v>58380</v>
      </c>
      <c r="M906" s="11">
        <v>19608</v>
      </c>
    </row>
    <row r="907" spans="1:13" x14ac:dyDescent="0.3">
      <c r="A907" s="10">
        <v>6712</v>
      </c>
      <c r="B907" s="10">
        <v>38</v>
      </c>
      <c r="C907" s="10" t="s">
        <v>1237</v>
      </c>
      <c r="D907" s="10">
        <v>3802</v>
      </c>
      <c r="E907" s="10" t="s">
        <v>1239</v>
      </c>
      <c r="F907" s="10">
        <v>0</v>
      </c>
      <c r="G907" s="10" t="s">
        <v>343</v>
      </c>
      <c r="H907" s="10">
        <v>0</v>
      </c>
      <c r="I907" s="10" t="s">
        <v>343</v>
      </c>
      <c r="J907" s="11">
        <v>14421</v>
      </c>
      <c r="K907" s="11">
        <v>14277</v>
      </c>
      <c r="L907" s="11">
        <v>28698</v>
      </c>
      <c r="M907" s="11">
        <v>8648</v>
      </c>
    </row>
    <row r="908" spans="1:13" x14ac:dyDescent="0.3">
      <c r="A908" s="10">
        <v>6712</v>
      </c>
      <c r="B908" s="10">
        <v>38</v>
      </c>
      <c r="C908" s="10" t="s">
        <v>1237</v>
      </c>
      <c r="D908" s="10">
        <v>3803</v>
      </c>
      <c r="E908" s="10" t="s">
        <v>1240</v>
      </c>
      <c r="F908" s="10">
        <v>0</v>
      </c>
      <c r="G908" s="10" t="s">
        <v>343</v>
      </c>
      <c r="H908" s="10">
        <v>0</v>
      </c>
      <c r="I908" s="10" t="s">
        <v>343</v>
      </c>
      <c r="J908" s="11">
        <v>32438</v>
      </c>
      <c r="K908" s="11">
        <v>32079</v>
      </c>
      <c r="L908" s="11">
        <v>64517</v>
      </c>
      <c r="M908" s="11">
        <v>20112</v>
      </c>
    </row>
    <row r="909" spans="1:13" x14ac:dyDescent="0.3">
      <c r="A909" s="10">
        <v>6712</v>
      </c>
      <c r="B909" s="10">
        <v>38</v>
      </c>
      <c r="C909" s="10" t="s">
        <v>1237</v>
      </c>
      <c r="D909" s="10">
        <v>3804</v>
      </c>
      <c r="E909" s="10" t="s">
        <v>1241</v>
      </c>
      <c r="F909" s="10">
        <v>0</v>
      </c>
      <c r="G909" s="10" t="s">
        <v>343</v>
      </c>
      <c r="H909" s="10">
        <v>0</v>
      </c>
      <c r="I909" s="10" t="s">
        <v>343</v>
      </c>
      <c r="J909" s="11">
        <v>36646</v>
      </c>
      <c r="K909" s="11">
        <v>36361</v>
      </c>
      <c r="L909" s="11">
        <v>73007</v>
      </c>
      <c r="M909" s="11">
        <v>24745</v>
      </c>
    </row>
    <row r="910" spans="1:13" x14ac:dyDescent="0.3">
      <c r="A910" s="10">
        <v>6712</v>
      </c>
      <c r="B910" s="10">
        <v>38</v>
      </c>
      <c r="C910" s="10" t="s">
        <v>1237</v>
      </c>
      <c r="D910" s="10">
        <v>3805</v>
      </c>
      <c r="E910" s="10" t="s">
        <v>1242</v>
      </c>
      <c r="F910" s="10">
        <v>0</v>
      </c>
      <c r="G910" s="10" t="s">
        <v>343</v>
      </c>
      <c r="H910" s="10">
        <v>0</v>
      </c>
      <c r="I910" s="10" t="s">
        <v>343</v>
      </c>
      <c r="J910" s="11">
        <v>14046</v>
      </c>
      <c r="K910" s="11">
        <v>13962</v>
      </c>
      <c r="L910" s="11">
        <v>28008</v>
      </c>
      <c r="M910" s="11">
        <v>10192</v>
      </c>
    </row>
    <row r="911" spans="1:13" x14ac:dyDescent="0.3">
      <c r="A911" s="10">
        <v>6712</v>
      </c>
      <c r="B911" s="10">
        <v>38</v>
      </c>
      <c r="C911" s="10" t="s">
        <v>1237</v>
      </c>
      <c r="D911" s="10">
        <v>3806</v>
      </c>
      <c r="E911" s="10" t="s">
        <v>1243</v>
      </c>
      <c r="F911" s="10">
        <v>0</v>
      </c>
      <c r="G911" s="10" t="s">
        <v>343</v>
      </c>
      <c r="H911" s="10">
        <v>0</v>
      </c>
      <c r="I911" s="10" t="s">
        <v>343</v>
      </c>
      <c r="J911" s="11">
        <v>14116</v>
      </c>
      <c r="K911" s="11">
        <v>13887</v>
      </c>
      <c r="L911" s="11">
        <v>28003</v>
      </c>
      <c r="M911" s="11">
        <v>9521</v>
      </c>
    </row>
    <row r="912" spans="1:13" x14ac:dyDescent="0.3">
      <c r="A912" s="10">
        <v>6712</v>
      </c>
      <c r="B912" s="10">
        <v>38</v>
      </c>
      <c r="C912" s="10" t="s">
        <v>1237</v>
      </c>
      <c r="D912" s="10">
        <v>3807</v>
      </c>
      <c r="E912" s="10" t="s">
        <v>1244</v>
      </c>
      <c r="F912" s="10">
        <v>0</v>
      </c>
      <c r="G912" s="10" t="s">
        <v>343</v>
      </c>
      <c r="H912" s="10">
        <v>0</v>
      </c>
      <c r="I912" s="10" t="s">
        <v>343</v>
      </c>
      <c r="J912" s="11">
        <v>14246</v>
      </c>
      <c r="K912" s="11">
        <v>14105</v>
      </c>
      <c r="L912" s="11">
        <v>28351</v>
      </c>
      <c r="M912" s="11">
        <v>9819</v>
      </c>
    </row>
    <row r="913" spans="1:13" x14ac:dyDescent="0.3">
      <c r="A913" s="10">
        <v>6712</v>
      </c>
      <c r="B913" s="10">
        <v>38</v>
      </c>
      <c r="C913" s="10" t="s">
        <v>1237</v>
      </c>
      <c r="D913" s="10">
        <v>3808</v>
      </c>
      <c r="E913" s="10" t="s">
        <v>1245</v>
      </c>
      <c r="F913" s="10">
        <v>0</v>
      </c>
      <c r="G913" s="10" t="s">
        <v>343</v>
      </c>
      <c r="H913" s="10">
        <v>0</v>
      </c>
      <c r="I913" s="10" t="s">
        <v>343</v>
      </c>
      <c r="J913" s="11">
        <v>6956</v>
      </c>
      <c r="K913" s="11">
        <v>6987</v>
      </c>
      <c r="L913" s="11">
        <v>13943</v>
      </c>
      <c r="M913" s="11">
        <v>4455</v>
      </c>
    </row>
    <row r="914" spans="1:13" x14ac:dyDescent="0.3">
      <c r="A914" s="10">
        <v>6712</v>
      </c>
      <c r="B914" s="10">
        <v>38</v>
      </c>
      <c r="C914" s="10" t="s">
        <v>1237</v>
      </c>
      <c r="D914" s="10">
        <v>3887</v>
      </c>
      <c r="E914" s="10" t="s">
        <v>1246</v>
      </c>
      <c r="F914" s="10">
        <v>0</v>
      </c>
      <c r="G914" s="10" t="s">
        <v>343</v>
      </c>
      <c r="H914" s="10">
        <v>0</v>
      </c>
      <c r="I914" s="10" t="s">
        <v>343</v>
      </c>
      <c r="J914" s="11">
        <v>3612</v>
      </c>
      <c r="K914" s="11">
        <v>3620</v>
      </c>
      <c r="L914" s="11">
        <v>7232</v>
      </c>
      <c r="M914" s="11">
        <v>2453</v>
      </c>
    </row>
    <row r="915" spans="1:13" x14ac:dyDescent="0.3">
      <c r="A915" s="10">
        <v>6712</v>
      </c>
      <c r="B915" s="10">
        <v>38</v>
      </c>
      <c r="C915" s="10" t="s">
        <v>1237</v>
      </c>
      <c r="D915" s="10">
        <v>3888</v>
      </c>
      <c r="E915" s="10" t="s">
        <v>1247</v>
      </c>
      <c r="F915" s="10">
        <v>0</v>
      </c>
      <c r="G915" s="10" t="s">
        <v>343</v>
      </c>
      <c r="H915" s="10">
        <v>0</v>
      </c>
      <c r="I915" s="10" t="s">
        <v>343</v>
      </c>
      <c r="J915" s="11">
        <v>3409</v>
      </c>
      <c r="K915" s="11">
        <v>3432</v>
      </c>
      <c r="L915" s="11">
        <v>6841</v>
      </c>
      <c r="M915" s="11">
        <v>2485</v>
      </c>
    </row>
    <row r="916" spans="1:13" x14ac:dyDescent="0.3">
      <c r="A916" s="10">
        <v>6712</v>
      </c>
      <c r="B916" s="10">
        <v>38</v>
      </c>
      <c r="C916" s="10" t="s">
        <v>1237</v>
      </c>
      <c r="D916" s="10">
        <v>3890</v>
      </c>
      <c r="E916" s="10" t="s">
        <v>1248</v>
      </c>
      <c r="F916" s="10">
        <v>0</v>
      </c>
      <c r="G916" s="10" t="s">
        <v>343</v>
      </c>
      <c r="H916" s="10">
        <v>0</v>
      </c>
      <c r="I916" s="10" t="s">
        <v>343</v>
      </c>
      <c r="J916" s="11">
        <v>5397</v>
      </c>
      <c r="K916" s="11">
        <v>5484</v>
      </c>
      <c r="L916" s="11">
        <v>10881</v>
      </c>
      <c r="M916" s="11">
        <v>4125</v>
      </c>
    </row>
    <row r="917" spans="1:13" x14ac:dyDescent="0.3">
      <c r="A917" s="10">
        <v>6712</v>
      </c>
      <c r="B917" s="10">
        <v>38</v>
      </c>
      <c r="C917" s="10" t="s">
        <v>1237</v>
      </c>
      <c r="D917" s="10">
        <v>3891</v>
      </c>
      <c r="E917" s="10" t="s">
        <v>1249</v>
      </c>
      <c r="F917" s="10">
        <v>0</v>
      </c>
      <c r="G917" s="10" t="s">
        <v>343</v>
      </c>
      <c r="H917" s="10">
        <v>0</v>
      </c>
      <c r="I917" s="10" t="s">
        <v>343</v>
      </c>
      <c r="J917" s="11">
        <v>4749</v>
      </c>
      <c r="K917" s="11">
        <v>4900</v>
      </c>
      <c r="L917" s="11">
        <v>9649</v>
      </c>
      <c r="M917" s="11">
        <v>3717</v>
      </c>
    </row>
    <row r="918" spans="1:13" x14ac:dyDescent="0.3">
      <c r="A918" s="10">
        <v>6712</v>
      </c>
      <c r="B918" s="10">
        <v>38</v>
      </c>
      <c r="C918" s="10" t="s">
        <v>1237</v>
      </c>
      <c r="D918" s="10">
        <v>3892</v>
      </c>
      <c r="E918" s="10" t="s">
        <v>1250</v>
      </c>
      <c r="F918" s="10">
        <v>0</v>
      </c>
      <c r="G918" s="10" t="s">
        <v>343</v>
      </c>
      <c r="H918" s="10">
        <v>0</v>
      </c>
      <c r="I918" s="10" t="s">
        <v>343</v>
      </c>
      <c r="J918" s="11">
        <v>3190</v>
      </c>
      <c r="K918" s="11">
        <v>3174</v>
      </c>
      <c r="L918" s="11">
        <v>6364</v>
      </c>
      <c r="M918" s="11">
        <v>2800</v>
      </c>
    </row>
    <row r="919" spans="1:13" x14ac:dyDescent="0.3">
      <c r="A919" s="10">
        <v>6712</v>
      </c>
      <c r="B919" s="10">
        <v>38</v>
      </c>
      <c r="C919" s="10" t="s">
        <v>1237</v>
      </c>
      <c r="D919" s="10">
        <v>3893</v>
      </c>
      <c r="E919" s="10" t="s">
        <v>1251</v>
      </c>
      <c r="F919" s="10">
        <v>0</v>
      </c>
      <c r="G919" s="10" t="s">
        <v>343</v>
      </c>
      <c r="H919" s="10">
        <v>0</v>
      </c>
      <c r="I919" s="10" t="s">
        <v>343</v>
      </c>
      <c r="J919" s="11">
        <v>3190</v>
      </c>
      <c r="K919" s="11">
        <v>3249</v>
      </c>
      <c r="L919" s="11">
        <v>6439</v>
      </c>
      <c r="M919" s="11">
        <v>2815</v>
      </c>
    </row>
    <row r="920" spans="1:13" x14ac:dyDescent="0.3">
      <c r="A920" s="10">
        <v>6712</v>
      </c>
      <c r="B920" s="10">
        <v>38</v>
      </c>
      <c r="C920" s="10" t="s">
        <v>1237</v>
      </c>
      <c r="D920" s="10">
        <v>3894</v>
      </c>
      <c r="E920" s="10" t="s">
        <v>1252</v>
      </c>
      <c r="F920" s="10">
        <v>0</v>
      </c>
      <c r="G920" s="10" t="s">
        <v>343</v>
      </c>
      <c r="H920" s="10">
        <v>0</v>
      </c>
      <c r="I920" s="10" t="s">
        <v>343</v>
      </c>
      <c r="J920" s="11">
        <v>3309</v>
      </c>
      <c r="K920" s="11">
        <v>3480</v>
      </c>
      <c r="L920" s="11">
        <v>6789</v>
      </c>
      <c r="M920" s="11">
        <v>2053</v>
      </c>
    </row>
    <row r="921" spans="1:13" x14ac:dyDescent="0.3">
      <c r="A921" s="10">
        <v>6712</v>
      </c>
      <c r="B921" s="10">
        <v>38</v>
      </c>
      <c r="C921" s="10" t="s">
        <v>1237</v>
      </c>
      <c r="D921" s="10">
        <v>3895</v>
      </c>
      <c r="E921" s="10" t="s">
        <v>1253</v>
      </c>
      <c r="F921" s="10">
        <v>0</v>
      </c>
      <c r="G921" s="10" t="s">
        <v>343</v>
      </c>
      <c r="H921" s="10">
        <v>0</v>
      </c>
      <c r="I921" s="10" t="s">
        <v>343</v>
      </c>
      <c r="J921" s="11">
        <v>3187</v>
      </c>
      <c r="K921" s="11">
        <v>3204</v>
      </c>
      <c r="L921" s="11">
        <v>6391</v>
      </c>
      <c r="M921" s="11">
        <v>2734</v>
      </c>
    </row>
    <row r="922" spans="1:13" x14ac:dyDescent="0.3">
      <c r="A922" s="10">
        <v>6712</v>
      </c>
      <c r="B922" s="10">
        <v>38</v>
      </c>
      <c r="C922" s="10" t="s">
        <v>1237</v>
      </c>
      <c r="D922" s="10">
        <v>3896</v>
      </c>
      <c r="E922" s="10" t="s">
        <v>1254</v>
      </c>
      <c r="F922" s="10">
        <v>0</v>
      </c>
      <c r="G922" s="10" t="s">
        <v>343</v>
      </c>
      <c r="H922" s="10">
        <v>0</v>
      </c>
      <c r="I922" s="10" t="s">
        <v>343</v>
      </c>
      <c r="J922" s="11">
        <v>4931</v>
      </c>
      <c r="K922" s="11">
        <v>5201</v>
      </c>
      <c r="L922" s="11">
        <v>10132</v>
      </c>
      <c r="M922" s="11">
        <v>3719</v>
      </c>
    </row>
    <row r="923" spans="1:13" x14ac:dyDescent="0.3">
      <c r="A923" s="10">
        <v>6712</v>
      </c>
      <c r="B923" s="10">
        <v>38</v>
      </c>
      <c r="C923" s="10" t="s">
        <v>1237</v>
      </c>
      <c r="D923" s="10">
        <v>3897</v>
      </c>
      <c r="E923" s="10" t="s">
        <v>1255</v>
      </c>
      <c r="F923" s="10">
        <v>0</v>
      </c>
      <c r="G923" s="10" t="s">
        <v>343</v>
      </c>
      <c r="H923" s="10">
        <v>0</v>
      </c>
      <c r="I923" s="10" t="s">
        <v>343</v>
      </c>
      <c r="J923" s="11">
        <v>2465</v>
      </c>
      <c r="K923" s="11">
        <v>2504</v>
      </c>
      <c r="L923" s="11">
        <v>4969</v>
      </c>
      <c r="M923" s="11">
        <v>1584</v>
      </c>
    </row>
    <row r="924" spans="1:13" x14ac:dyDescent="0.3">
      <c r="A924" s="10">
        <v>6712</v>
      </c>
      <c r="B924" s="10">
        <v>38</v>
      </c>
      <c r="C924" s="10" t="s">
        <v>1237</v>
      </c>
      <c r="D924" s="10">
        <v>3898</v>
      </c>
      <c r="E924" s="10" t="s">
        <v>1256</v>
      </c>
      <c r="F924" s="10">
        <v>0</v>
      </c>
      <c r="G924" s="10" t="s">
        <v>343</v>
      </c>
      <c r="H924" s="10">
        <v>0</v>
      </c>
      <c r="I924" s="10" t="s">
        <v>343</v>
      </c>
      <c r="J924" s="11">
        <v>9937</v>
      </c>
      <c r="K924" s="11">
        <v>10202</v>
      </c>
      <c r="L924" s="11">
        <v>20139</v>
      </c>
      <c r="M924" s="11">
        <v>11874</v>
      </c>
    </row>
    <row r="925" spans="1:13" x14ac:dyDescent="0.3">
      <c r="A925" s="10">
        <v>6712</v>
      </c>
      <c r="B925" s="10">
        <v>39</v>
      </c>
      <c r="C925" s="10" t="s">
        <v>1257</v>
      </c>
      <c r="D925" s="10">
        <v>0</v>
      </c>
      <c r="E925" s="10" t="s">
        <v>343</v>
      </c>
      <c r="F925" s="10">
        <v>0</v>
      </c>
      <c r="G925" s="10" t="s">
        <v>343</v>
      </c>
      <c r="H925" s="10">
        <v>0</v>
      </c>
      <c r="I925" s="10" t="s">
        <v>343</v>
      </c>
      <c r="J925" s="11">
        <v>250862</v>
      </c>
      <c r="K925" s="11">
        <v>253517</v>
      </c>
      <c r="L925" s="11">
        <v>504379</v>
      </c>
      <c r="M925" s="11">
        <v>161989</v>
      </c>
    </row>
    <row r="926" spans="1:13" x14ac:dyDescent="0.3">
      <c r="A926" s="10">
        <v>6712</v>
      </c>
      <c r="B926" s="10">
        <v>39</v>
      </c>
      <c r="C926" s="10" t="s">
        <v>1257</v>
      </c>
      <c r="D926" s="10">
        <v>3901</v>
      </c>
      <c r="E926" s="10" t="s">
        <v>1258</v>
      </c>
      <c r="F926" s="10">
        <v>0</v>
      </c>
      <c r="G926" s="10" t="s">
        <v>343</v>
      </c>
      <c r="H926" s="10">
        <v>0</v>
      </c>
      <c r="I926" s="10" t="s">
        <v>343</v>
      </c>
      <c r="J926" s="11">
        <v>50613</v>
      </c>
      <c r="K926" s="11">
        <v>50890</v>
      </c>
      <c r="L926" s="11">
        <v>101503</v>
      </c>
      <c r="M926" s="11">
        <v>33364</v>
      </c>
    </row>
    <row r="927" spans="1:13" x14ac:dyDescent="0.3">
      <c r="A927" s="10">
        <v>6712</v>
      </c>
      <c r="B927" s="10">
        <v>39</v>
      </c>
      <c r="C927" s="10" t="s">
        <v>1257</v>
      </c>
      <c r="D927" s="10">
        <v>3902</v>
      </c>
      <c r="E927" s="10" t="s">
        <v>1259</v>
      </c>
      <c r="F927" s="10">
        <v>0</v>
      </c>
      <c r="G927" s="10" t="s">
        <v>343</v>
      </c>
      <c r="H927" s="10">
        <v>0</v>
      </c>
      <c r="I927" s="10" t="s">
        <v>343</v>
      </c>
      <c r="J927" s="11">
        <v>33352</v>
      </c>
      <c r="K927" s="11">
        <v>33053</v>
      </c>
      <c r="L927" s="11">
        <v>66405</v>
      </c>
      <c r="M927" s="11">
        <v>19618</v>
      </c>
    </row>
    <row r="928" spans="1:13" x14ac:dyDescent="0.3">
      <c r="A928" s="10">
        <v>6712</v>
      </c>
      <c r="B928" s="10">
        <v>39</v>
      </c>
      <c r="C928" s="10" t="s">
        <v>1257</v>
      </c>
      <c r="D928" s="10">
        <v>3903</v>
      </c>
      <c r="E928" s="10" t="s">
        <v>1260</v>
      </c>
      <c r="F928" s="10">
        <v>0</v>
      </c>
      <c r="G928" s="10" t="s">
        <v>343</v>
      </c>
      <c r="H928" s="10">
        <v>0</v>
      </c>
      <c r="I928" s="10" t="s">
        <v>343</v>
      </c>
      <c r="J928" s="11">
        <v>26446</v>
      </c>
      <c r="K928" s="11">
        <v>26878</v>
      </c>
      <c r="L928" s="11">
        <v>53324</v>
      </c>
      <c r="M928" s="11">
        <v>14379</v>
      </c>
    </row>
    <row r="929" spans="1:13" x14ac:dyDescent="0.3">
      <c r="A929" s="10">
        <v>6712</v>
      </c>
      <c r="B929" s="10">
        <v>39</v>
      </c>
      <c r="C929" s="10" t="s">
        <v>1257</v>
      </c>
      <c r="D929" s="10">
        <v>3904</v>
      </c>
      <c r="E929" s="10" t="s">
        <v>1261</v>
      </c>
      <c r="F929" s="10">
        <v>0</v>
      </c>
      <c r="G929" s="10" t="s">
        <v>343</v>
      </c>
      <c r="H929" s="10">
        <v>0</v>
      </c>
      <c r="I929" s="10" t="s">
        <v>343</v>
      </c>
      <c r="J929" s="11">
        <v>45168</v>
      </c>
      <c r="K929" s="11">
        <v>44632</v>
      </c>
      <c r="L929" s="11">
        <v>89800</v>
      </c>
      <c r="M929" s="11">
        <v>26271</v>
      </c>
    </row>
    <row r="930" spans="1:13" x14ac:dyDescent="0.3">
      <c r="A930" s="10">
        <v>6712</v>
      </c>
      <c r="B930" s="10">
        <v>39</v>
      </c>
      <c r="C930" s="10" t="s">
        <v>1257</v>
      </c>
      <c r="D930" s="10">
        <v>3905</v>
      </c>
      <c r="E930" s="10" t="s">
        <v>1262</v>
      </c>
      <c r="F930" s="10">
        <v>0</v>
      </c>
      <c r="G930" s="10" t="s">
        <v>343</v>
      </c>
      <c r="H930" s="10">
        <v>0</v>
      </c>
      <c r="I930" s="10" t="s">
        <v>343</v>
      </c>
      <c r="J930" s="11">
        <v>26799</v>
      </c>
      <c r="K930" s="11">
        <v>26737</v>
      </c>
      <c r="L930" s="11">
        <v>53536</v>
      </c>
      <c r="M930" s="11">
        <v>15816</v>
      </c>
    </row>
    <row r="931" spans="1:13" x14ac:dyDescent="0.3">
      <c r="A931" s="10">
        <v>6712</v>
      </c>
      <c r="B931" s="10">
        <v>39</v>
      </c>
      <c r="C931" s="10" t="s">
        <v>1257</v>
      </c>
      <c r="D931" s="10">
        <v>3906</v>
      </c>
      <c r="E931" s="10" t="s">
        <v>1263</v>
      </c>
      <c r="F931" s="10">
        <v>0</v>
      </c>
      <c r="G931" s="10" t="s">
        <v>343</v>
      </c>
      <c r="H931" s="10">
        <v>0</v>
      </c>
      <c r="I931" s="10" t="s">
        <v>343</v>
      </c>
      <c r="J931" s="11">
        <v>15008</v>
      </c>
      <c r="K931" s="11">
        <v>14988</v>
      </c>
      <c r="L931" s="11">
        <v>29996</v>
      </c>
      <c r="M931" s="11">
        <v>9081</v>
      </c>
    </row>
    <row r="932" spans="1:13" x14ac:dyDescent="0.3">
      <c r="A932" s="10">
        <v>6712</v>
      </c>
      <c r="B932" s="10">
        <v>39</v>
      </c>
      <c r="C932" s="10" t="s">
        <v>1257</v>
      </c>
      <c r="D932" s="10">
        <v>3986</v>
      </c>
      <c r="E932" s="10" t="s">
        <v>1264</v>
      </c>
      <c r="F932" s="10">
        <v>0</v>
      </c>
      <c r="G932" s="10" t="s">
        <v>343</v>
      </c>
      <c r="H932" s="10">
        <v>0</v>
      </c>
      <c r="I932" s="10" t="s">
        <v>343</v>
      </c>
      <c r="J932" s="11">
        <v>4566</v>
      </c>
      <c r="K932" s="11">
        <v>4688</v>
      </c>
      <c r="L932" s="11">
        <v>9254</v>
      </c>
      <c r="M932" s="11">
        <v>2700</v>
      </c>
    </row>
    <row r="933" spans="1:13" x14ac:dyDescent="0.3">
      <c r="A933" s="10">
        <v>6712</v>
      </c>
      <c r="B933" s="10">
        <v>39</v>
      </c>
      <c r="C933" s="10" t="s">
        <v>1257</v>
      </c>
      <c r="D933" s="10">
        <v>3987</v>
      </c>
      <c r="E933" s="10" t="s">
        <v>1265</v>
      </c>
      <c r="F933" s="10">
        <v>0</v>
      </c>
      <c r="G933" s="10" t="s">
        <v>343</v>
      </c>
      <c r="H933" s="10">
        <v>0</v>
      </c>
      <c r="I933" s="10" t="s">
        <v>343</v>
      </c>
      <c r="J933" s="11">
        <v>3319</v>
      </c>
      <c r="K933" s="11">
        <v>3513</v>
      </c>
      <c r="L933" s="11">
        <v>6832</v>
      </c>
      <c r="M933" s="11">
        <v>2504</v>
      </c>
    </row>
    <row r="934" spans="1:13" x14ac:dyDescent="0.3">
      <c r="A934" s="10">
        <v>6712</v>
      </c>
      <c r="B934" s="10">
        <v>39</v>
      </c>
      <c r="C934" s="10" t="s">
        <v>1257</v>
      </c>
      <c r="D934" s="10">
        <v>3988</v>
      </c>
      <c r="E934" s="10" t="s">
        <v>1266</v>
      </c>
      <c r="F934" s="10">
        <v>0</v>
      </c>
      <c r="G934" s="10" t="s">
        <v>343</v>
      </c>
      <c r="H934" s="10">
        <v>0</v>
      </c>
      <c r="I934" s="10" t="s">
        <v>343</v>
      </c>
      <c r="J934" s="11">
        <v>3742</v>
      </c>
      <c r="K934" s="11">
        <v>3929</v>
      </c>
      <c r="L934" s="11">
        <v>7671</v>
      </c>
      <c r="M934" s="11">
        <v>2999</v>
      </c>
    </row>
    <row r="935" spans="1:13" x14ac:dyDescent="0.3">
      <c r="A935" s="10">
        <v>6712</v>
      </c>
      <c r="B935" s="10">
        <v>39</v>
      </c>
      <c r="C935" s="10" t="s">
        <v>1257</v>
      </c>
      <c r="D935" s="10">
        <v>3989</v>
      </c>
      <c r="E935" s="10" t="s">
        <v>1267</v>
      </c>
      <c r="F935" s="10">
        <v>0</v>
      </c>
      <c r="G935" s="10" t="s">
        <v>343</v>
      </c>
      <c r="H935" s="10">
        <v>0</v>
      </c>
      <c r="I935" s="10" t="s">
        <v>343</v>
      </c>
      <c r="J935" s="11">
        <v>2928</v>
      </c>
      <c r="K935" s="11">
        <v>3226</v>
      </c>
      <c r="L935" s="11">
        <v>6154</v>
      </c>
      <c r="M935" s="11">
        <v>1958</v>
      </c>
    </row>
    <row r="936" spans="1:13" x14ac:dyDescent="0.3">
      <c r="A936" s="10">
        <v>6712</v>
      </c>
      <c r="B936" s="10">
        <v>39</v>
      </c>
      <c r="C936" s="10" t="s">
        <v>1257</v>
      </c>
      <c r="D936" s="10">
        <v>3990</v>
      </c>
      <c r="E936" s="10" t="s">
        <v>1268</v>
      </c>
      <c r="F936" s="10">
        <v>0</v>
      </c>
      <c r="G936" s="10" t="s">
        <v>343</v>
      </c>
      <c r="H936" s="10">
        <v>0</v>
      </c>
      <c r="I936" s="10" t="s">
        <v>343</v>
      </c>
      <c r="J936" s="11">
        <v>2141</v>
      </c>
      <c r="K936" s="11">
        <v>2382</v>
      </c>
      <c r="L936" s="11">
        <v>4523</v>
      </c>
      <c r="M936" s="11">
        <v>2721</v>
      </c>
    </row>
    <row r="937" spans="1:13" x14ac:dyDescent="0.3">
      <c r="A937" s="10">
        <v>6712</v>
      </c>
      <c r="B937" s="10">
        <v>39</v>
      </c>
      <c r="C937" s="10" t="s">
        <v>1257</v>
      </c>
      <c r="D937" s="10">
        <v>3991</v>
      </c>
      <c r="E937" s="10" t="s">
        <v>1269</v>
      </c>
      <c r="F937" s="10">
        <v>0</v>
      </c>
      <c r="G937" s="10" t="s">
        <v>343</v>
      </c>
      <c r="H937" s="10">
        <v>0</v>
      </c>
      <c r="I937" s="10" t="s">
        <v>343</v>
      </c>
      <c r="J937" s="11">
        <v>2500</v>
      </c>
      <c r="K937" s="11">
        <v>2421</v>
      </c>
      <c r="L937" s="11">
        <v>4921</v>
      </c>
      <c r="M937" s="11">
        <v>1551</v>
      </c>
    </row>
    <row r="938" spans="1:13" x14ac:dyDescent="0.3">
      <c r="A938" s="10">
        <v>6712</v>
      </c>
      <c r="B938" s="10">
        <v>39</v>
      </c>
      <c r="C938" s="10" t="s">
        <v>1257</v>
      </c>
      <c r="D938" s="10">
        <v>3992</v>
      </c>
      <c r="E938" s="10" t="s">
        <v>1270</v>
      </c>
      <c r="F938" s="10">
        <v>0</v>
      </c>
      <c r="G938" s="10" t="s">
        <v>343</v>
      </c>
      <c r="H938" s="10">
        <v>0</v>
      </c>
      <c r="I938" s="10" t="s">
        <v>343</v>
      </c>
      <c r="J938" s="11">
        <v>4038</v>
      </c>
      <c r="K938" s="11">
        <v>4193</v>
      </c>
      <c r="L938" s="11">
        <v>8231</v>
      </c>
      <c r="M938" s="11">
        <v>3030</v>
      </c>
    </row>
    <row r="939" spans="1:13" x14ac:dyDescent="0.3">
      <c r="A939" s="10">
        <v>6712</v>
      </c>
      <c r="B939" s="10">
        <v>39</v>
      </c>
      <c r="C939" s="10" t="s">
        <v>1257</v>
      </c>
      <c r="D939" s="10">
        <v>3993</v>
      </c>
      <c r="E939" s="10" t="s">
        <v>1271</v>
      </c>
      <c r="F939" s="10">
        <v>0</v>
      </c>
      <c r="G939" s="10" t="s">
        <v>343</v>
      </c>
      <c r="H939" s="10">
        <v>0</v>
      </c>
      <c r="I939" s="10" t="s">
        <v>343</v>
      </c>
      <c r="J939" s="11">
        <v>1358</v>
      </c>
      <c r="K939" s="11">
        <v>1367</v>
      </c>
      <c r="L939" s="11">
        <v>2725</v>
      </c>
      <c r="M939" s="10">
        <v>783</v>
      </c>
    </row>
    <row r="940" spans="1:13" x14ac:dyDescent="0.3">
      <c r="A940" s="10">
        <v>6712</v>
      </c>
      <c r="B940" s="10">
        <v>39</v>
      </c>
      <c r="C940" s="10" t="s">
        <v>1257</v>
      </c>
      <c r="D940" s="10">
        <v>3994</v>
      </c>
      <c r="E940" s="10" t="s">
        <v>1272</v>
      </c>
      <c r="F940" s="10">
        <v>0</v>
      </c>
      <c r="G940" s="10" t="s">
        <v>343</v>
      </c>
      <c r="H940" s="10">
        <v>0</v>
      </c>
      <c r="I940" s="10" t="s">
        <v>343</v>
      </c>
      <c r="J940" s="11">
        <v>9540</v>
      </c>
      <c r="K940" s="11">
        <v>10055</v>
      </c>
      <c r="L940" s="11">
        <v>19595</v>
      </c>
      <c r="M940" s="11">
        <v>6896</v>
      </c>
    </row>
    <row r="941" spans="1:13" x14ac:dyDescent="0.3">
      <c r="A941" s="10">
        <v>6712</v>
      </c>
      <c r="B941" s="10">
        <v>39</v>
      </c>
      <c r="C941" s="10" t="s">
        <v>1257</v>
      </c>
      <c r="D941" s="10">
        <v>3995</v>
      </c>
      <c r="E941" s="10" t="s">
        <v>1273</v>
      </c>
      <c r="F941" s="10">
        <v>0</v>
      </c>
      <c r="G941" s="10" t="s">
        <v>343</v>
      </c>
      <c r="H941" s="10">
        <v>0</v>
      </c>
      <c r="I941" s="10" t="s">
        <v>343</v>
      </c>
      <c r="J941" s="11">
        <v>2693</v>
      </c>
      <c r="K941" s="11">
        <v>2837</v>
      </c>
      <c r="L941" s="11">
        <v>5530</v>
      </c>
      <c r="M941" s="11">
        <v>1895</v>
      </c>
    </row>
    <row r="942" spans="1:13" x14ac:dyDescent="0.3">
      <c r="A942" s="10">
        <v>6712</v>
      </c>
      <c r="B942" s="10">
        <v>39</v>
      </c>
      <c r="C942" s="10" t="s">
        <v>1257</v>
      </c>
      <c r="D942" s="10">
        <v>3996</v>
      </c>
      <c r="E942" s="10" t="s">
        <v>1126</v>
      </c>
      <c r="F942" s="10">
        <v>0</v>
      </c>
      <c r="G942" s="10" t="s">
        <v>343</v>
      </c>
      <c r="H942" s="10">
        <v>0</v>
      </c>
      <c r="I942" s="10" t="s">
        <v>343</v>
      </c>
      <c r="J942" s="11">
        <v>1779</v>
      </c>
      <c r="K942" s="11">
        <v>1758</v>
      </c>
      <c r="L942" s="11">
        <v>3537</v>
      </c>
      <c r="M942" s="11">
        <v>1090</v>
      </c>
    </row>
    <row r="943" spans="1:13" x14ac:dyDescent="0.3">
      <c r="A943" s="10">
        <v>6712</v>
      </c>
      <c r="B943" s="10">
        <v>39</v>
      </c>
      <c r="C943" s="10" t="s">
        <v>1257</v>
      </c>
      <c r="D943" s="10">
        <v>3997</v>
      </c>
      <c r="E943" s="10" t="s">
        <v>1274</v>
      </c>
      <c r="F943" s="10">
        <v>0</v>
      </c>
      <c r="G943" s="10" t="s">
        <v>343</v>
      </c>
      <c r="H943" s="10">
        <v>0</v>
      </c>
      <c r="I943" s="10" t="s">
        <v>343</v>
      </c>
      <c r="J943" s="11">
        <v>2010</v>
      </c>
      <c r="K943" s="11">
        <v>2145</v>
      </c>
      <c r="L943" s="11">
        <v>4155</v>
      </c>
      <c r="M943" s="11">
        <v>1135</v>
      </c>
    </row>
    <row r="944" spans="1:13" x14ac:dyDescent="0.3">
      <c r="A944" s="10">
        <v>6712</v>
      </c>
      <c r="B944" s="10">
        <v>39</v>
      </c>
      <c r="C944" s="10" t="s">
        <v>1257</v>
      </c>
      <c r="D944" s="10">
        <v>3998</v>
      </c>
      <c r="E944" s="10" t="s">
        <v>1275</v>
      </c>
      <c r="F944" s="10">
        <v>0</v>
      </c>
      <c r="G944" s="10" t="s">
        <v>343</v>
      </c>
      <c r="H944" s="10">
        <v>0</v>
      </c>
      <c r="I944" s="10" t="s">
        <v>343</v>
      </c>
      <c r="J944" s="11">
        <v>2408</v>
      </c>
      <c r="K944" s="11">
        <v>2464</v>
      </c>
      <c r="L944" s="11">
        <v>4872</v>
      </c>
      <c r="M944" s="11">
        <v>1466</v>
      </c>
    </row>
    <row r="945" spans="1:13" x14ac:dyDescent="0.3">
      <c r="A945" s="10">
        <v>6712</v>
      </c>
      <c r="B945" s="10">
        <v>39</v>
      </c>
      <c r="C945" s="10" t="s">
        <v>1257</v>
      </c>
      <c r="D945" s="10">
        <v>3999</v>
      </c>
      <c r="E945" s="10" t="s">
        <v>1276</v>
      </c>
      <c r="F945" s="10">
        <v>0</v>
      </c>
      <c r="G945" s="10" t="s">
        <v>343</v>
      </c>
      <c r="H945" s="10">
        <v>0</v>
      </c>
      <c r="I945" s="10" t="s">
        <v>343</v>
      </c>
      <c r="J945" s="11">
        <v>10454</v>
      </c>
      <c r="K945" s="11">
        <v>11361</v>
      </c>
      <c r="L945" s="11">
        <v>21815</v>
      </c>
      <c r="M945" s="11">
        <v>12732</v>
      </c>
    </row>
    <row r="946" spans="1:13" x14ac:dyDescent="0.3">
      <c r="A946" s="10">
        <v>6712</v>
      </c>
      <c r="B946" s="10">
        <v>40</v>
      </c>
      <c r="C946" s="10" t="s">
        <v>1277</v>
      </c>
      <c r="D946" s="10">
        <v>0</v>
      </c>
      <c r="E946" s="10" t="s">
        <v>343</v>
      </c>
      <c r="F946" s="10">
        <v>0</v>
      </c>
      <c r="G946" s="10" t="s">
        <v>343</v>
      </c>
      <c r="H946" s="10">
        <v>0</v>
      </c>
      <c r="I946" s="10" t="s">
        <v>343</v>
      </c>
      <c r="J946" s="11">
        <v>868299</v>
      </c>
      <c r="K946" s="11">
        <v>904082</v>
      </c>
      <c r="L946" s="11">
        <v>1772381</v>
      </c>
      <c r="M946" s="11">
        <v>692088</v>
      </c>
    </row>
    <row r="947" spans="1:13" x14ac:dyDescent="0.3">
      <c r="A947" s="10">
        <v>6712</v>
      </c>
      <c r="B947" s="10">
        <v>40</v>
      </c>
      <c r="C947" s="10" t="s">
        <v>1277</v>
      </c>
      <c r="D947" s="10">
        <v>4001</v>
      </c>
      <c r="E947" s="10" t="s">
        <v>1278</v>
      </c>
      <c r="F947" s="10">
        <v>0</v>
      </c>
      <c r="G947" s="10" t="s">
        <v>343</v>
      </c>
      <c r="H947" s="10">
        <v>0</v>
      </c>
      <c r="I947" s="10" t="s">
        <v>343</v>
      </c>
      <c r="J947" s="11">
        <v>48020</v>
      </c>
      <c r="K947" s="11">
        <v>51475</v>
      </c>
      <c r="L947" s="11">
        <v>99495</v>
      </c>
      <c r="M947" s="11">
        <v>43676</v>
      </c>
    </row>
    <row r="948" spans="1:13" x14ac:dyDescent="0.3">
      <c r="A948" s="10">
        <v>6712</v>
      </c>
      <c r="B948" s="10">
        <v>40</v>
      </c>
      <c r="C948" s="10" t="s">
        <v>1277</v>
      </c>
      <c r="D948" s="10">
        <v>4002</v>
      </c>
      <c r="E948" s="10" t="s">
        <v>1279</v>
      </c>
      <c r="F948" s="10">
        <v>0</v>
      </c>
      <c r="G948" s="10" t="s">
        <v>343</v>
      </c>
      <c r="H948" s="10">
        <v>0</v>
      </c>
      <c r="I948" s="10" t="s">
        <v>343</v>
      </c>
      <c r="J948" s="11">
        <v>24745</v>
      </c>
      <c r="K948" s="11">
        <v>25046</v>
      </c>
      <c r="L948" s="11">
        <v>49791</v>
      </c>
      <c r="M948" s="11">
        <v>18297</v>
      </c>
    </row>
    <row r="949" spans="1:13" x14ac:dyDescent="0.3">
      <c r="A949" s="10">
        <v>6712</v>
      </c>
      <c r="B949" s="10">
        <v>40</v>
      </c>
      <c r="C949" s="10" t="s">
        <v>1277</v>
      </c>
      <c r="D949" s="10">
        <v>4003</v>
      </c>
      <c r="E949" s="10" t="s">
        <v>1280</v>
      </c>
      <c r="F949" s="10">
        <v>0</v>
      </c>
      <c r="G949" s="10" t="s">
        <v>343</v>
      </c>
      <c r="H949" s="10">
        <v>0</v>
      </c>
      <c r="I949" s="10" t="s">
        <v>343</v>
      </c>
      <c r="J949" s="11">
        <v>12046</v>
      </c>
      <c r="K949" s="11">
        <v>12540</v>
      </c>
      <c r="L949" s="11">
        <v>24586</v>
      </c>
      <c r="M949" s="11">
        <v>8286</v>
      </c>
    </row>
    <row r="950" spans="1:13" x14ac:dyDescent="0.3">
      <c r="A950" s="10">
        <v>6712</v>
      </c>
      <c r="B950" s="10">
        <v>40</v>
      </c>
      <c r="C950" s="10" t="s">
        <v>1277</v>
      </c>
      <c r="D950" s="10">
        <v>4004</v>
      </c>
      <c r="E950" s="10" t="s">
        <v>1281</v>
      </c>
      <c r="F950" s="10">
        <v>0</v>
      </c>
      <c r="G950" s="10" t="s">
        <v>343</v>
      </c>
      <c r="H950" s="10">
        <v>0</v>
      </c>
      <c r="I950" s="10" t="s">
        <v>343</v>
      </c>
      <c r="J950" s="11">
        <v>40685</v>
      </c>
      <c r="K950" s="11">
        <v>41824</v>
      </c>
      <c r="L950" s="11">
        <v>82509</v>
      </c>
      <c r="M950" s="11">
        <v>24212</v>
      </c>
    </row>
    <row r="951" spans="1:13" x14ac:dyDescent="0.3">
      <c r="A951" s="10">
        <v>6712</v>
      </c>
      <c r="B951" s="10">
        <v>40</v>
      </c>
      <c r="C951" s="10" t="s">
        <v>1277</v>
      </c>
      <c r="D951" s="10">
        <v>4005</v>
      </c>
      <c r="E951" s="10" t="s">
        <v>1282</v>
      </c>
      <c r="F951" s="10">
        <v>0</v>
      </c>
      <c r="G951" s="10" t="s">
        <v>343</v>
      </c>
      <c r="H951" s="10">
        <v>0</v>
      </c>
      <c r="I951" s="10" t="s">
        <v>343</v>
      </c>
      <c r="J951" s="11">
        <v>41023</v>
      </c>
      <c r="K951" s="11">
        <v>41484</v>
      </c>
      <c r="L951" s="11">
        <v>82507</v>
      </c>
      <c r="M951" s="11">
        <v>27365</v>
      </c>
    </row>
    <row r="952" spans="1:13" x14ac:dyDescent="0.3">
      <c r="A952" s="10">
        <v>6712</v>
      </c>
      <c r="B952" s="10">
        <v>40</v>
      </c>
      <c r="C952" s="10" t="s">
        <v>1277</v>
      </c>
      <c r="D952" s="10">
        <v>4006</v>
      </c>
      <c r="E952" s="10" t="s">
        <v>1283</v>
      </c>
      <c r="F952" s="10">
        <v>0</v>
      </c>
      <c r="G952" s="10" t="s">
        <v>343</v>
      </c>
      <c r="H952" s="10">
        <v>0</v>
      </c>
      <c r="I952" s="10" t="s">
        <v>343</v>
      </c>
      <c r="J952" s="11">
        <v>36148</v>
      </c>
      <c r="K952" s="11">
        <v>36720</v>
      </c>
      <c r="L952" s="11">
        <v>72868</v>
      </c>
      <c r="M952" s="11">
        <v>23437</v>
      </c>
    </row>
    <row r="953" spans="1:13" x14ac:dyDescent="0.3">
      <c r="A953" s="10">
        <v>6712</v>
      </c>
      <c r="B953" s="10">
        <v>40</v>
      </c>
      <c r="C953" s="10" t="s">
        <v>1277</v>
      </c>
      <c r="D953" s="10">
        <v>4007</v>
      </c>
      <c r="E953" s="10" t="s">
        <v>1284</v>
      </c>
      <c r="F953" s="10">
        <v>0</v>
      </c>
      <c r="G953" s="10" t="s">
        <v>343</v>
      </c>
      <c r="H953" s="10">
        <v>0</v>
      </c>
      <c r="I953" s="10" t="s">
        <v>343</v>
      </c>
      <c r="J953" s="11">
        <v>35444</v>
      </c>
      <c r="K953" s="11">
        <v>36275</v>
      </c>
      <c r="L953" s="11">
        <v>71719</v>
      </c>
      <c r="M953" s="11">
        <v>23023</v>
      </c>
    </row>
    <row r="954" spans="1:13" x14ac:dyDescent="0.3">
      <c r="A954" s="10">
        <v>6712</v>
      </c>
      <c r="B954" s="10">
        <v>40</v>
      </c>
      <c r="C954" s="10" t="s">
        <v>1277</v>
      </c>
      <c r="D954" s="10">
        <v>4008</v>
      </c>
      <c r="E954" s="10" t="s">
        <v>1285</v>
      </c>
      <c r="F954" s="10">
        <v>0</v>
      </c>
      <c r="G954" s="10" t="s">
        <v>343</v>
      </c>
      <c r="H954" s="10">
        <v>0</v>
      </c>
      <c r="I954" s="10" t="s">
        <v>343</v>
      </c>
      <c r="J954" s="11">
        <v>15322</v>
      </c>
      <c r="K954" s="11">
        <v>15719</v>
      </c>
      <c r="L954" s="11">
        <v>31041</v>
      </c>
      <c r="M954" s="11">
        <v>8723</v>
      </c>
    </row>
    <row r="955" spans="1:13" x14ac:dyDescent="0.3">
      <c r="A955" s="10">
        <v>6712</v>
      </c>
      <c r="B955" s="10">
        <v>40</v>
      </c>
      <c r="C955" s="10" t="s">
        <v>1277</v>
      </c>
      <c r="D955" s="10">
        <v>4009</v>
      </c>
      <c r="E955" s="10" t="s">
        <v>1286</v>
      </c>
      <c r="F955" s="10">
        <v>0</v>
      </c>
      <c r="G955" s="10" t="s">
        <v>343</v>
      </c>
      <c r="H955" s="10">
        <v>0</v>
      </c>
      <c r="I955" s="10" t="s">
        <v>343</v>
      </c>
      <c r="J955" s="11">
        <v>33727</v>
      </c>
      <c r="K955" s="11">
        <v>34219</v>
      </c>
      <c r="L955" s="11">
        <v>67946</v>
      </c>
      <c r="M955" s="11">
        <v>21248</v>
      </c>
    </row>
    <row r="956" spans="1:13" x14ac:dyDescent="0.3">
      <c r="A956" s="10">
        <v>6712</v>
      </c>
      <c r="B956" s="10">
        <v>40</v>
      </c>
      <c r="C956" s="10" t="s">
        <v>1277</v>
      </c>
      <c r="D956" s="10">
        <v>4010</v>
      </c>
      <c r="E956" s="10" t="s">
        <v>1287</v>
      </c>
      <c r="F956" s="10">
        <v>0</v>
      </c>
      <c r="G956" s="10" t="s">
        <v>343</v>
      </c>
      <c r="H956" s="10">
        <v>0</v>
      </c>
      <c r="I956" s="10" t="s">
        <v>343</v>
      </c>
      <c r="J956" s="11">
        <v>35278</v>
      </c>
      <c r="K956" s="11">
        <v>36289</v>
      </c>
      <c r="L956" s="11">
        <v>71567</v>
      </c>
      <c r="M956" s="11">
        <v>24663</v>
      </c>
    </row>
    <row r="957" spans="1:13" x14ac:dyDescent="0.3">
      <c r="A957" s="10">
        <v>6712</v>
      </c>
      <c r="B957" s="10">
        <v>40</v>
      </c>
      <c r="C957" s="10" t="s">
        <v>1277</v>
      </c>
      <c r="D957" s="10">
        <v>4011</v>
      </c>
      <c r="E957" s="10" t="s">
        <v>1288</v>
      </c>
      <c r="F957" s="10">
        <v>0</v>
      </c>
      <c r="G957" s="10" t="s">
        <v>343</v>
      </c>
      <c r="H957" s="10">
        <v>0</v>
      </c>
      <c r="I957" s="10" t="s">
        <v>343</v>
      </c>
      <c r="J957" s="11">
        <v>7139</v>
      </c>
      <c r="K957" s="11">
        <v>7037</v>
      </c>
      <c r="L957" s="11">
        <v>14176</v>
      </c>
      <c r="M957" s="11">
        <v>4165</v>
      </c>
    </row>
    <row r="958" spans="1:13" x14ac:dyDescent="0.3">
      <c r="A958" s="10">
        <v>6712</v>
      </c>
      <c r="B958" s="10">
        <v>40</v>
      </c>
      <c r="C958" s="10" t="s">
        <v>1277</v>
      </c>
      <c r="D958" s="10">
        <v>4012</v>
      </c>
      <c r="E958" s="10" t="s">
        <v>1289</v>
      </c>
      <c r="F958" s="10">
        <v>0</v>
      </c>
      <c r="G958" s="10" t="s">
        <v>343</v>
      </c>
      <c r="H958" s="10">
        <v>0</v>
      </c>
      <c r="I958" s="10" t="s">
        <v>343</v>
      </c>
      <c r="J958" s="11">
        <v>36928</v>
      </c>
      <c r="K958" s="11">
        <v>37946</v>
      </c>
      <c r="L958" s="11">
        <v>74874</v>
      </c>
      <c r="M958" s="11">
        <v>24469</v>
      </c>
    </row>
    <row r="959" spans="1:13" x14ac:dyDescent="0.3">
      <c r="A959" s="10">
        <v>6712</v>
      </c>
      <c r="B959" s="10">
        <v>40</v>
      </c>
      <c r="C959" s="10" t="s">
        <v>1277</v>
      </c>
      <c r="D959" s="10">
        <v>4013</v>
      </c>
      <c r="E959" s="10" t="s">
        <v>1290</v>
      </c>
      <c r="F959" s="10">
        <v>0</v>
      </c>
      <c r="G959" s="10" t="s">
        <v>343</v>
      </c>
      <c r="H959" s="10">
        <v>0</v>
      </c>
      <c r="I959" s="10" t="s">
        <v>343</v>
      </c>
      <c r="J959" s="11">
        <v>11718</v>
      </c>
      <c r="K959" s="11">
        <v>12054</v>
      </c>
      <c r="L959" s="11">
        <v>23772</v>
      </c>
      <c r="M959" s="11">
        <v>6685</v>
      </c>
    </row>
    <row r="960" spans="1:13" x14ac:dyDescent="0.3">
      <c r="A960" s="10">
        <v>6712</v>
      </c>
      <c r="B960" s="10">
        <v>40</v>
      </c>
      <c r="C960" s="10" t="s">
        <v>1277</v>
      </c>
      <c r="D960" s="10">
        <v>4014</v>
      </c>
      <c r="E960" s="10" t="s">
        <v>1291</v>
      </c>
      <c r="F960" s="10">
        <v>0</v>
      </c>
      <c r="G960" s="10" t="s">
        <v>343</v>
      </c>
      <c r="H960" s="10">
        <v>0</v>
      </c>
      <c r="I960" s="10" t="s">
        <v>343</v>
      </c>
      <c r="J960" s="11">
        <v>18986</v>
      </c>
      <c r="K960" s="11">
        <v>19101</v>
      </c>
      <c r="L960" s="11">
        <v>38087</v>
      </c>
      <c r="M960" s="11">
        <v>11903</v>
      </c>
    </row>
    <row r="961" spans="1:13" x14ac:dyDescent="0.3">
      <c r="A961" s="10">
        <v>6712</v>
      </c>
      <c r="B961" s="10">
        <v>40</v>
      </c>
      <c r="C961" s="10" t="s">
        <v>1277</v>
      </c>
      <c r="D961" s="10">
        <v>4015</v>
      </c>
      <c r="E961" s="10" t="s">
        <v>1292</v>
      </c>
      <c r="F961" s="10">
        <v>0</v>
      </c>
      <c r="G961" s="10" t="s">
        <v>343</v>
      </c>
      <c r="H961" s="10">
        <v>0</v>
      </c>
      <c r="I961" s="10" t="s">
        <v>343</v>
      </c>
      <c r="J961" s="11">
        <v>35017</v>
      </c>
      <c r="K961" s="11">
        <v>35506</v>
      </c>
      <c r="L961" s="11">
        <v>70523</v>
      </c>
      <c r="M961" s="11">
        <v>21915</v>
      </c>
    </row>
    <row r="962" spans="1:13" x14ac:dyDescent="0.3">
      <c r="A962" s="10">
        <v>6712</v>
      </c>
      <c r="B962" s="10">
        <v>40</v>
      </c>
      <c r="C962" s="10" t="s">
        <v>1277</v>
      </c>
      <c r="D962" s="10">
        <v>4016</v>
      </c>
      <c r="E962" s="10" t="s">
        <v>1293</v>
      </c>
      <c r="F962" s="10">
        <v>0</v>
      </c>
      <c r="G962" s="10" t="s">
        <v>343</v>
      </c>
      <c r="H962" s="10">
        <v>0</v>
      </c>
      <c r="I962" s="10" t="s">
        <v>343</v>
      </c>
      <c r="J962" s="11">
        <v>33867</v>
      </c>
      <c r="K962" s="11">
        <v>34334</v>
      </c>
      <c r="L962" s="11">
        <v>68201</v>
      </c>
      <c r="M962" s="11">
        <v>21470</v>
      </c>
    </row>
    <row r="963" spans="1:13" x14ac:dyDescent="0.3">
      <c r="A963" s="10">
        <v>6712</v>
      </c>
      <c r="B963" s="10">
        <v>40</v>
      </c>
      <c r="C963" s="10" t="s">
        <v>1277</v>
      </c>
      <c r="D963" s="10">
        <v>4017</v>
      </c>
      <c r="E963" s="10" t="s">
        <v>1294</v>
      </c>
      <c r="F963" s="10">
        <v>0</v>
      </c>
      <c r="G963" s="10" t="s">
        <v>343</v>
      </c>
      <c r="H963" s="10">
        <v>0</v>
      </c>
      <c r="I963" s="10" t="s">
        <v>343</v>
      </c>
      <c r="J963" s="11">
        <v>32441</v>
      </c>
      <c r="K963" s="11">
        <v>33152</v>
      </c>
      <c r="L963" s="11">
        <v>65593</v>
      </c>
      <c r="M963" s="11">
        <v>22831</v>
      </c>
    </row>
    <row r="964" spans="1:13" x14ac:dyDescent="0.3">
      <c r="A964" s="10">
        <v>6712</v>
      </c>
      <c r="B964" s="10">
        <v>40</v>
      </c>
      <c r="C964" s="10" t="s">
        <v>1277</v>
      </c>
      <c r="D964" s="10">
        <v>4018</v>
      </c>
      <c r="E964" s="10" t="s">
        <v>1295</v>
      </c>
      <c r="F964" s="10">
        <v>0</v>
      </c>
      <c r="G964" s="10" t="s">
        <v>343</v>
      </c>
      <c r="H964" s="10">
        <v>0</v>
      </c>
      <c r="I964" s="10" t="s">
        <v>343</v>
      </c>
      <c r="J964" s="11">
        <v>19112</v>
      </c>
      <c r="K964" s="11">
        <v>19905</v>
      </c>
      <c r="L964" s="11">
        <v>39017</v>
      </c>
      <c r="M964" s="11">
        <v>12191</v>
      </c>
    </row>
    <row r="965" spans="1:13" x14ac:dyDescent="0.3">
      <c r="A965" s="10">
        <v>6712</v>
      </c>
      <c r="B965" s="10">
        <v>40</v>
      </c>
      <c r="C965" s="10" t="s">
        <v>1277</v>
      </c>
      <c r="D965" s="10">
        <v>4019</v>
      </c>
      <c r="E965" s="10" t="s">
        <v>1296</v>
      </c>
      <c r="F965" s="10">
        <v>0</v>
      </c>
      <c r="G965" s="10" t="s">
        <v>343</v>
      </c>
      <c r="H965" s="10">
        <v>0</v>
      </c>
      <c r="I965" s="10" t="s">
        <v>343</v>
      </c>
      <c r="J965" s="11">
        <v>10572</v>
      </c>
      <c r="K965" s="11">
        <v>10681</v>
      </c>
      <c r="L965" s="11">
        <v>21253</v>
      </c>
      <c r="M965" s="11">
        <v>6661</v>
      </c>
    </row>
    <row r="966" spans="1:13" x14ac:dyDescent="0.3">
      <c r="A966" s="10">
        <v>6712</v>
      </c>
      <c r="B966" s="10">
        <v>40</v>
      </c>
      <c r="C966" s="10" t="s">
        <v>1277</v>
      </c>
      <c r="D966" s="10">
        <v>4020</v>
      </c>
      <c r="E966" s="10" t="s">
        <v>1297</v>
      </c>
      <c r="F966" s="10">
        <v>0</v>
      </c>
      <c r="G966" s="10" t="s">
        <v>343</v>
      </c>
      <c r="H966" s="10">
        <v>0</v>
      </c>
      <c r="I966" s="10" t="s">
        <v>343</v>
      </c>
      <c r="J966" s="11">
        <v>9728</v>
      </c>
      <c r="K966" s="11">
        <v>9710</v>
      </c>
      <c r="L966" s="11">
        <v>19438</v>
      </c>
      <c r="M966" s="11">
        <v>6098</v>
      </c>
    </row>
    <row r="967" spans="1:13" x14ac:dyDescent="0.3">
      <c r="A967" s="10">
        <v>6712</v>
      </c>
      <c r="B967" s="10">
        <v>40</v>
      </c>
      <c r="C967" s="10" t="s">
        <v>1277</v>
      </c>
      <c r="D967" s="10">
        <v>4021</v>
      </c>
      <c r="E967" s="10" t="s">
        <v>1298</v>
      </c>
      <c r="F967" s="10">
        <v>0</v>
      </c>
      <c r="G967" s="10" t="s">
        <v>343</v>
      </c>
      <c r="H967" s="10">
        <v>0</v>
      </c>
      <c r="I967" s="10" t="s">
        <v>343</v>
      </c>
      <c r="J967" s="11">
        <v>8819</v>
      </c>
      <c r="K967" s="11">
        <v>9120</v>
      </c>
      <c r="L967" s="11">
        <v>17939</v>
      </c>
      <c r="M967" s="11">
        <v>5504</v>
      </c>
    </row>
    <row r="968" spans="1:13" x14ac:dyDescent="0.3">
      <c r="A968" s="10">
        <v>6712</v>
      </c>
      <c r="B968" s="10">
        <v>40</v>
      </c>
      <c r="C968" s="10" t="s">
        <v>1277</v>
      </c>
      <c r="D968" s="10">
        <v>4022</v>
      </c>
      <c r="E968" s="10" t="s">
        <v>1299</v>
      </c>
      <c r="F968" s="10">
        <v>0</v>
      </c>
      <c r="G968" s="10" t="s">
        <v>343</v>
      </c>
      <c r="H968" s="10">
        <v>0</v>
      </c>
      <c r="I968" s="10" t="s">
        <v>343</v>
      </c>
      <c r="J968" s="11">
        <v>10382</v>
      </c>
      <c r="K968" s="11">
        <v>10437</v>
      </c>
      <c r="L968" s="11">
        <v>20819</v>
      </c>
      <c r="M968" s="11">
        <v>6935</v>
      </c>
    </row>
    <row r="969" spans="1:13" x14ac:dyDescent="0.3">
      <c r="A969" s="10">
        <v>6712</v>
      </c>
      <c r="B969" s="10">
        <v>40</v>
      </c>
      <c r="C969" s="10" t="s">
        <v>1277</v>
      </c>
      <c r="D969" s="10">
        <v>4023</v>
      </c>
      <c r="E969" s="10" t="s">
        <v>1300</v>
      </c>
      <c r="F969" s="10">
        <v>0</v>
      </c>
      <c r="G969" s="10" t="s">
        <v>343</v>
      </c>
      <c r="H969" s="10">
        <v>0</v>
      </c>
      <c r="I969" s="10" t="s">
        <v>343</v>
      </c>
      <c r="J969" s="11">
        <v>11613</v>
      </c>
      <c r="K969" s="11">
        <v>11782</v>
      </c>
      <c r="L969" s="11">
        <v>23395</v>
      </c>
      <c r="M969" s="11">
        <v>7104</v>
      </c>
    </row>
    <row r="970" spans="1:13" x14ac:dyDescent="0.3">
      <c r="A970" s="10">
        <v>6712</v>
      </c>
      <c r="B970" s="10">
        <v>40</v>
      </c>
      <c r="C970" s="10" t="s">
        <v>1277</v>
      </c>
      <c r="D970" s="10">
        <v>4024</v>
      </c>
      <c r="E970" s="10" t="s">
        <v>1301</v>
      </c>
      <c r="F970" s="10">
        <v>0</v>
      </c>
      <c r="G970" s="10" t="s">
        <v>343</v>
      </c>
      <c r="H970" s="10">
        <v>0</v>
      </c>
      <c r="I970" s="10" t="s">
        <v>343</v>
      </c>
      <c r="J970" s="11">
        <v>12829</v>
      </c>
      <c r="K970" s="11">
        <v>13151</v>
      </c>
      <c r="L970" s="11">
        <v>25980</v>
      </c>
      <c r="M970" s="11">
        <v>8738</v>
      </c>
    </row>
    <row r="971" spans="1:13" x14ac:dyDescent="0.3">
      <c r="A971" s="10">
        <v>6712</v>
      </c>
      <c r="B971" s="10">
        <v>40</v>
      </c>
      <c r="C971" s="10" t="s">
        <v>1277</v>
      </c>
      <c r="D971" s="10">
        <v>4025</v>
      </c>
      <c r="E971" s="10" t="s">
        <v>1302</v>
      </c>
      <c r="F971" s="10">
        <v>0</v>
      </c>
      <c r="G971" s="10" t="s">
        <v>343</v>
      </c>
      <c r="H971" s="10">
        <v>0</v>
      </c>
      <c r="I971" s="10" t="s">
        <v>343</v>
      </c>
      <c r="J971" s="11">
        <v>10387</v>
      </c>
      <c r="K971" s="11">
        <v>10504</v>
      </c>
      <c r="L971" s="11">
        <v>20891</v>
      </c>
      <c r="M971" s="11">
        <v>6801</v>
      </c>
    </row>
    <row r="972" spans="1:13" x14ac:dyDescent="0.3">
      <c r="A972" s="10">
        <v>6712</v>
      </c>
      <c r="B972" s="10">
        <v>40</v>
      </c>
      <c r="C972" s="10" t="s">
        <v>1277</v>
      </c>
      <c r="D972" s="10">
        <v>4029</v>
      </c>
      <c r="E972" s="10" t="s">
        <v>1303</v>
      </c>
      <c r="F972" s="10">
        <v>0</v>
      </c>
      <c r="G972" s="10" t="s">
        <v>343</v>
      </c>
      <c r="H972" s="10">
        <v>0</v>
      </c>
      <c r="I972" s="10" t="s">
        <v>343</v>
      </c>
      <c r="J972" s="11">
        <v>9750</v>
      </c>
      <c r="K972" s="11">
        <v>9954</v>
      </c>
      <c r="L972" s="11">
        <v>19704</v>
      </c>
      <c r="M972" s="11">
        <v>5977</v>
      </c>
    </row>
    <row r="973" spans="1:13" x14ac:dyDescent="0.3">
      <c r="A973" s="10">
        <v>6712</v>
      </c>
      <c r="B973" s="10">
        <v>40</v>
      </c>
      <c r="C973" s="10" t="s">
        <v>1277</v>
      </c>
      <c r="D973" s="10">
        <v>4054</v>
      </c>
      <c r="E973" s="10" t="s">
        <v>1304</v>
      </c>
      <c r="F973" s="10">
        <v>0</v>
      </c>
      <c r="G973" s="10" t="s">
        <v>343</v>
      </c>
      <c r="H973" s="10">
        <v>0</v>
      </c>
      <c r="I973" s="10" t="s">
        <v>343</v>
      </c>
      <c r="J973" s="11">
        <v>27265</v>
      </c>
      <c r="K973" s="11">
        <v>28075</v>
      </c>
      <c r="L973" s="11">
        <v>55340</v>
      </c>
      <c r="M973" s="11">
        <v>32137</v>
      </c>
    </row>
    <row r="974" spans="1:13" x14ac:dyDescent="0.3">
      <c r="A974" s="10">
        <v>6712</v>
      </c>
      <c r="B974" s="10">
        <v>40</v>
      </c>
      <c r="C974" s="10" t="s">
        <v>1277</v>
      </c>
      <c r="D974" s="10">
        <v>4055</v>
      </c>
      <c r="E974" s="10" t="s">
        <v>1305</v>
      </c>
      <c r="F974" s="10">
        <v>0</v>
      </c>
      <c r="G974" s="10" t="s">
        <v>343</v>
      </c>
      <c r="H974" s="10">
        <v>0</v>
      </c>
      <c r="I974" s="10" t="s">
        <v>343</v>
      </c>
      <c r="J974" s="11">
        <v>4409</v>
      </c>
      <c r="K974" s="11">
        <v>4330</v>
      </c>
      <c r="L974" s="11">
        <v>8739</v>
      </c>
      <c r="M974" s="11">
        <v>2606</v>
      </c>
    </row>
    <row r="975" spans="1:13" x14ac:dyDescent="0.3">
      <c r="A975" s="10">
        <v>6712</v>
      </c>
      <c r="B975" s="10">
        <v>40</v>
      </c>
      <c r="C975" s="10" t="s">
        <v>1277</v>
      </c>
      <c r="D975" s="10">
        <v>4056</v>
      </c>
      <c r="E975" s="10" t="s">
        <v>1306</v>
      </c>
      <c r="F975" s="10">
        <v>0</v>
      </c>
      <c r="G975" s="10" t="s">
        <v>343</v>
      </c>
      <c r="H975" s="10">
        <v>0</v>
      </c>
      <c r="I975" s="10" t="s">
        <v>343</v>
      </c>
      <c r="J975" s="11">
        <v>4892</v>
      </c>
      <c r="K975" s="11">
        <v>4965</v>
      </c>
      <c r="L975" s="11">
        <v>9857</v>
      </c>
      <c r="M975" s="11">
        <v>2803</v>
      </c>
    </row>
    <row r="976" spans="1:13" x14ac:dyDescent="0.3">
      <c r="A976" s="10">
        <v>6712</v>
      </c>
      <c r="B976" s="10">
        <v>40</v>
      </c>
      <c r="C976" s="10" t="s">
        <v>1277</v>
      </c>
      <c r="D976" s="10">
        <v>4057</v>
      </c>
      <c r="E976" s="10" t="s">
        <v>1307</v>
      </c>
      <c r="F976" s="10">
        <v>0</v>
      </c>
      <c r="G976" s="10" t="s">
        <v>343</v>
      </c>
      <c r="H976" s="10">
        <v>0</v>
      </c>
      <c r="I976" s="10" t="s">
        <v>343</v>
      </c>
      <c r="J976" s="11">
        <v>9333</v>
      </c>
      <c r="K976" s="11">
        <v>10049</v>
      </c>
      <c r="L976" s="11">
        <v>19382</v>
      </c>
      <c r="M976" s="11">
        <v>9638</v>
      </c>
    </row>
    <row r="977" spans="1:13" x14ac:dyDescent="0.3">
      <c r="A977" s="10">
        <v>6712</v>
      </c>
      <c r="B977" s="10">
        <v>40</v>
      </c>
      <c r="C977" s="10" t="s">
        <v>1277</v>
      </c>
      <c r="D977" s="10">
        <v>4058</v>
      </c>
      <c r="E977" s="10" t="s">
        <v>956</v>
      </c>
      <c r="F977" s="10">
        <v>0</v>
      </c>
      <c r="G977" s="10" t="s">
        <v>343</v>
      </c>
      <c r="H977" s="10">
        <v>0</v>
      </c>
      <c r="I977" s="10" t="s">
        <v>343</v>
      </c>
      <c r="J977" s="11">
        <v>2914</v>
      </c>
      <c r="K977" s="11">
        <v>2929</v>
      </c>
      <c r="L977" s="11">
        <v>5843</v>
      </c>
      <c r="M977" s="11">
        <v>1863</v>
      </c>
    </row>
    <row r="978" spans="1:13" x14ac:dyDescent="0.3">
      <c r="A978" s="10">
        <v>6712</v>
      </c>
      <c r="B978" s="10">
        <v>40</v>
      </c>
      <c r="C978" s="10" t="s">
        <v>1277</v>
      </c>
      <c r="D978" s="10">
        <v>4060</v>
      </c>
      <c r="E978" s="10" t="s">
        <v>1308</v>
      </c>
      <c r="F978" s="10">
        <v>0</v>
      </c>
      <c r="G978" s="10" t="s">
        <v>343</v>
      </c>
      <c r="H978" s="10">
        <v>0</v>
      </c>
      <c r="I978" s="10" t="s">
        <v>343</v>
      </c>
      <c r="J978" s="11">
        <v>4924</v>
      </c>
      <c r="K978" s="11">
        <v>5158</v>
      </c>
      <c r="L978" s="11">
        <v>10082</v>
      </c>
      <c r="M978" s="11">
        <v>3684</v>
      </c>
    </row>
    <row r="979" spans="1:13" x14ac:dyDescent="0.3">
      <c r="A979" s="10">
        <v>6712</v>
      </c>
      <c r="B979" s="10">
        <v>40</v>
      </c>
      <c r="C979" s="10" t="s">
        <v>1277</v>
      </c>
      <c r="D979" s="10">
        <v>4061</v>
      </c>
      <c r="E979" s="10" t="s">
        <v>1309</v>
      </c>
      <c r="F979" s="10">
        <v>0</v>
      </c>
      <c r="G979" s="10" t="s">
        <v>343</v>
      </c>
      <c r="H979" s="10">
        <v>0</v>
      </c>
      <c r="I979" s="10" t="s">
        <v>343</v>
      </c>
      <c r="J979" s="11">
        <v>3624</v>
      </c>
      <c r="K979" s="11">
        <v>3964</v>
      </c>
      <c r="L979" s="11">
        <v>7588</v>
      </c>
      <c r="M979" s="11">
        <v>2339</v>
      </c>
    </row>
    <row r="980" spans="1:13" x14ac:dyDescent="0.3">
      <c r="A980" s="10">
        <v>6712</v>
      </c>
      <c r="B980" s="10">
        <v>40</v>
      </c>
      <c r="C980" s="10" t="s">
        <v>1277</v>
      </c>
      <c r="D980" s="10">
        <v>4062</v>
      </c>
      <c r="E980" s="10" t="s">
        <v>839</v>
      </c>
      <c r="F980" s="10">
        <v>0</v>
      </c>
      <c r="G980" s="10" t="s">
        <v>343</v>
      </c>
      <c r="H980" s="10">
        <v>0</v>
      </c>
      <c r="I980" s="10" t="s">
        <v>343</v>
      </c>
      <c r="J980" s="11">
        <v>15303</v>
      </c>
      <c r="K980" s="11">
        <v>17691</v>
      </c>
      <c r="L980" s="11">
        <v>32994</v>
      </c>
      <c r="M980" s="11">
        <v>19056</v>
      </c>
    </row>
    <row r="981" spans="1:13" x14ac:dyDescent="0.3">
      <c r="A981" s="10">
        <v>6712</v>
      </c>
      <c r="B981" s="10">
        <v>40</v>
      </c>
      <c r="C981" s="10" t="s">
        <v>1277</v>
      </c>
      <c r="D981" s="10">
        <v>4063</v>
      </c>
      <c r="E981" s="10" t="s">
        <v>1310</v>
      </c>
      <c r="F981" s="10">
        <v>0</v>
      </c>
      <c r="G981" s="10" t="s">
        <v>343</v>
      </c>
      <c r="H981" s="10">
        <v>0</v>
      </c>
      <c r="I981" s="10" t="s">
        <v>343</v>
      </c>
      <c r="J981" s="11">
        <v>4762</v>
      </c>
      <c r="K981" s="11">
        <v>4965</v>
      </c>
      <c r="L981" s="11">
        <v>9727</v>
      </c>
      <c r="M981" s="11">
        <v>3351</v>
      </c>
    </row>
    <row r="982" spans="1:13" x14ac:dyDescent="0.3">
      <c r="A982" s="10">
        <v>6712</v>
      </c>
      <c r="B982" s="10">
        <v>40</v>
      </c>
      <c r="C982" s="10" t="s">
        <v>1277</v>
      </c>
      <c r="D982" s="10">
        <v>4064</v>
      </c>
      <c r="E982" s="10" t="s">
        <v>1311</v>
      </c>
      <c r="F982" s="10">
        <v>0</v>
      </c>
      <c r="G982" s="10" t="s">
        <v>343</v>
      </c>
      <c r="H982" s="10">
        <v>0</v>
      </c>
      <c r="I982" s="10" t="s">
        <v>343</v>
      </c>
      <c r="J982" s="11">
        <v>8536</v>
      </c>
      <c r="K982" s="11">
        <v>8944</v>
      </c>
      <c r="L982" s="11">
        <v>17480</v>
      </c>
      <c r="M982" s="11">
        <v>7548</v>
      </c>
    </row>
    <row r="983" spans="1:13" x14ac:dyDescent="0.3">
      <c r="A983" s="10">
        <v>6712</v>
      </c>
      <c r="B983" s="10">
        <v>40</v>
      </c>
      <c r="C983" s="10" t="s">
        <v>1277</v>
      </c>
      <c r="D983" s="10">
        <v>4065</v>
      </c>
      <c r="E983" s="10" t="s">
        <v>1312</v>
      </c>
      <c r="F983" s="10">
        <v>0</v>
      </c>
      <c r="G983" s="10" t="s">
        <v>343</v>
      </c>
      <c r="H983" s="10">
        <v>0</v>
      </c>
      <c r="I983" s="10" t="s">
        <v>343</v>
      </c>
      <c r="J983" s="11">
        <v>4149</v>
      </c>
      <c r="K983" s="11">
        <v>4334</v>
      </c>
      <c r="L983" s="11">
        <v>8483</v>
      </c>
      <c r="M983" s="11">
        <v>2848</v>
      </c>
    </row>
    <row r="984" spans="1:13" x14ac:dyDescent="0.3">
      <c r="A984" s="10">
        <v>6712</v>
      </c>
      <c r="B984" s="10">
        <v>40</v>
      </c>
      <c r="C984" s="10" t="s">
        <v>1277</v>
      </c>
      <c r="D984" s="10">
        <v>4067</v>
      </c>
      <c r="E984" s="10" t="s">
        <v>1313</v>
      </c>
      <c r="F984" s="10">
        <v>0</v>
      </c>
      <c r="G984" s="10" t="s">
        <v>343</v>
      </c>
      <c r="H984" s="10">
        <v>0</v>
      </c>
      <c r="I984" s="10" t="s">
        <v>343</v>
      </c>
      <c r="J984" s="11">
        <v>8857</v>
      </c>
      <c r="K984" s="11">
        <v>9046</v>
      </c>
      <c r="L984" s="11">
        <v>17903</v>
      </c>
      <c r="M984" s="11">
        <v>6137</v>
      </c>
    </row>
    <row r="985" spans="1:13" x14ac:dyDescent="0.3">
      <c r="A985" s="10">
        <v>6712</v>
      </c>
      <c r="B985" s="10">
        <v>40</v>
      </c>
      <c r="C985" s="10" t="s">
        <v>1277</v>
      </c>
      <c r="D985" s="10">
        <v>4068</v>
      </c>
      <c r="E985" s="10" t="s">
        <v>1314</v>
      </c>
      <c r="F985" s="10">
        <v>0</v>
      </c>
      <c r="G985" s="10" t="s">
        <v>343</v>
      </c>
      <c r="H985" s="10">
        <v>0</v>
      </c>
      <c r="I985" s="10" t="s">
        <v>343</v>
      </c>
      <c r="J985" s="11">
        <v>22409</v>
      </c>
      <c r="K985" s="11">
        <v>26213</v>
      </c>
      <c r="L985" s="11">
        <v>48622</v>
      </c>
      <c r="M985" s="11">
        <v>30471</v>
      </c>
    </row>
    <row r="986" spans="1:13" x14ac:dyDescent="0.3">
      <c r="A986" s="10">
        <v>6712</v>
      </c>
      <c r="B986" s="10">
        <v>40</v>
      </c>
      <c r="C986" s="10" t="s">
        <v>1277</v>
      </c>
      <c r="D986" s="10">
        <v>4069</v>
      </c>
      <c r="E986" s="10" t="s">
        <v>1315</v>
      </c>
      <c r="F986" s="10">
        <v>0</v>
      </c>
      <c r="G986" s="10" t="s">
        <v>343</v>
      </c>
      <c r="H986" s="10">
        <v>0</v>
      </c>
      <c r="I986" s="10" t="s">
        <v>343</v>
      </c>
      <c r="J986" s="11">
        <v>2724</v>
      </c>
      <c r="K986" s="11">
        <v>2768</v>
      </c>
      <c r="L986" s="11">
        <v>5492</v>
      </c>
      <c r="M986" s="11">
        <v>1965</v>
      </c>
    </row>
    <row r="987" spans="1:13" x14ac:dyDescent="0.3">
      <c r="A987" s="10">
        <v>6712</v>
      </c>
      <c r="B987" s="10">
        <v>40</v>
      </c>
      <c r="C987" s="10" t="s">
        <v>1277</v>
      </c>
      <c r="D987" s="10">
        <v>4070</v>
      </c>
      <c r="E987" s="10" t="s">
        <v>1316</v>
      </c>
      <c r="F987" s="10">
        <v>0</v>
      </c>
      <c r="G987" s="10" t="s">
        <v>343</v>
      </c>
      <c r="H987" s="10">
        <v>0</v>
      </c>
      <c r="I987" s="10" t="s">
        <v>343</v>
      </c>
      <c r="J987" s="11">
        <v>3249</v>
      </c>
      <c r="K987" s="11">
        <v>3340</v>
      </c>
      <c r="L987" s="11">
        <v>6589</v>
      </c>
      <c r="M987" s="11">
        <v>2369</v>
      </c>
    </row>
    <row r="988" spans="1:13" x14ac:dyDescent="0.3">
      <c r="A988" s="10">
        <v>6712</v>
      </c>
      <c r="B988" s="10">
        <v>40</v>
      </c>
      <c r="C988" s="10" t="s">
        <v>1277</v>
      </c>
      <c r="D988" s="10">
        <v>4071</v>
      </c>
      <c r="E988" s="10" t="s">
        <v>1267</v>
      </c>
      <c r="F988" s="10">
        <v>0</v>
      </c>
      <c r="G988" s="10" t="s">
        <v>343</v>
      </c>
      <c r="H988" s="10">
        <v>0</v>
      </c>
      <c r="I988" s="10" t="s">
        <v>343</v>
      </c>
      <c r="J988" s="11">
        <v>1926</v>
      </c>
      <c r="K988" s="11">
        <v>2099</v>
      </c>
      <c r="L988" s="11">
        <v>4025</v>
      </c>
      <c r="M988" s="11">
        <v>1568</v>
      </c>
    </row>
    <row r="989" spans="1:13" x14ac:dyDescent="0.3">
      <c r="A989" s="10">
        <v>6712</v>
      </c>
      <c r="B989" s="10">
        <v>40</v>
      </c>
      <c r="C989" s="10" t="s">
        <v>1277</v>
      </c>
      <c r="D989" s="10">
        <v>4072</v>
      </c>
      <c r="E989" s="10" t="s">
        <v>1317</v>
      </c>
      <c r="F989" s="10">
        <v>0</v>
      </c>
      <c r="G989" s="10" t="s">
        <v>343</v>
      </c>
      <c r="H989" s="10">
        <v>0</v>
      </c>
      <c r="I989" s="10" t="s">
        <v>343</v>
      </c>
      <c r="J989" s="11">
        <v>2531</v>
      </c>
      <c r="K989" s="11">
        <v>2648</v>
      </c>
      <c r="L989" s="11">
        <v>5179</v>
      </c>
      <c r="M989" s="11">
        <v>2044</v>
      </c>
    </row>
    <row r="990" spans="1:13" x14ac:dyDescent="0.3">
      <c r="A990" s="10">
        <v>6712</v>
      </c>
      <c r="B990" s="10">
        <v>40</v>
      </c>
      <c r="C990" s="10" t="s">
        <v>1277</v>
      </c>
      <c r="D990" s="10">
        <v>4073</v>
      </c>
      <c r="E990" s="10" t="s">
        <v>1318</v>
      </c>
      <c r="F990" s="10">
        <v>0</v>
      </c>
      <c r="G990" s="10" t="s">
        <v>343</v>
      </c>
      <c r="H990" s="10">
        <v>0</v>
      </c>
      <c r="I990" s="10" t="s">
        <v>343</v>
      </c>
      <c r="J990" s="11">
        <v>1644</v>
      </c>
      <c r="K990" s="11">
        <v>1750</v>
      </c>
      <c r="L990" s="11">
        <v>3394</v>
      </c>
      <c r="M990" s="11">
        <v>1352</v>
      </c>
    </row>
    <row r="991" spans="1:13" x14ac:dyDescent="0.3">
      <c r="A991" s="10">
        <v>6712</v>
      </c>
      <c r="B991" s="10">
        <v>40</v>
      </c>
      <c r="C991" s="10" t="s">
        <v>1277</v>
      </c>
      <c r="D991" s="10">
        <v>4074</v>
      </c>
      <c r="E991" s="10" t="s">
        <v>1319</v>
      </c>
      <c r="F991" s="10">
        <v>0</v>
      </c>
      <c r="G991" s="10" t="s">
        <v>343</v>
      </c>
      <c r="H991" s="10">
        <v>0</v>
      </c>
      <c r="I991" s="10" t="s">
        <v>343</v>
      </c>
      <c r="J991" s="11">
        <v>5200</v>
      </c>
      <c r="K991" s="11">
        <v>5336</v>
      </c>
      <c r="L991" s="11">
        <v>10536</v>
      </c>
      <c r="M991" s="11">
        <v>3952</v>
      </c>
    </row>
    <row r="992" spans="1:13" x14ac:dyDescent="0.3">
      <c r="A992" s="10">
        <v>6712</v>
      </c>
      <c r="B992" s="10">
        <v>40</v>
      </c>
      <c r="C992" s="10" t="s">
        <v>1277</v>
      </c>
      <c r="D992" s="10">
        <v>4075</v>
      </c>
      <c r="E992" s="10" t="s">
        <v>1320</v>
      </c>
      <c r="F992" s="10">
        <v>0</v>
      </c>
      <c r="G992" s="10" t="s">
        <v>343</v>
      </c>
      <c r="H992" s="10">
        <v>0</v>
      </c>
      <c r="I992" s="10" t="s">
        <v>343</v>
      </c>
      <c r="J992" s="11">
        <v>3566</v>
      </c>
      <c r="K992" s="11">
        <v>4017</v>
      </c>
      <c r="L992" s="11">
        <v>7583</v>
      </c>
      <c r="M992" s="11">
        <v>3461</v>
      </c>
    </row>
    <row r="993" spans="1:13" x14ac:dyDescent="0.3">
      <c r="A993" s="10">
        <v>6712</v>
      </c>
      <c r="B993" s="10">
        <v>40</v>
      </c>
      <c r="C993" s="10" t="s">
        <v>1277</v>
      </c>
      <c r="D993" s="10">
        <v>4076</v>
      </c>
      <c r="E993" s="10" t="s">
        <v>1321</v>
      </c>
      <c r="F993" s="10">
        <v>0</v>
      </c>
      <c r="G993" s="10" t="s">
        <v>343</v>
      </c>
      <c r="H993" s="10">
        <v>0</v>
      </c>
      <c r="I993" s="10" t="s">
        <v>343</v>
      </c>
      <c r="J993" s="11">
        <v>1600</v>
      </c>
      <c r="K993" s="11">
        <v>1771</v>
      </c>
      <c r="L993" s="11">
        <v>3371</v>
      </c>
      <c r="M993" s="11">
        <v>2003</v>
      </c>
    </row>
    <row r="994" spans="1:13" x14ac:dyDescent="0.3">
      <c r="A994" s="10">
        <v>6712</v>
      </c>
      <c r="B994" s="10">
        <v>40</v>
      </c>
      <c r="C994" s="10" t="s">
        <v>1277</v>
      </c>
      <c r="D994" s="10">
        <v>4077</v>
      </c>
      <c r="E994" s="10" t="s">
        <v>1322</v>
      </c>
      <c r="F994" s="10">
        <v>0</v>
      </c>
      <c r="G994" s="10" t="s">
        <v>343</v>
      </c>
      <c r="H994" s="10">
        <v>0</v>
      </c>
      <c r="I994" s="10" t="s">
        <v>343</v>
      </c>
      <c r="J994" s="11">
        <v>1287</v>
      </c>
      <c r="K994" s="11">
        <v>1459</v>
      </c>
      <c r="L994" s="11">
        <v>2746</v>
      </c>
      <c r="M994" s="11">
        <v>1780</v>
      </c>
    </row>
    <row r="995" spans="1:13" x14ac:dyDescent="0.3">
      <c r="A995" s="10">
        <v>6712</v>
      </c>
      <c r="B995" s="10">
        <v>40</v>
      </c>
      <c r="C995" s="10" t="s">
        <v>1277</v>
      </c>
      <c r="D995" s="10">
        <v>4078</v>
      </c>
      <c r="E995" s="10" t="s">
        <v>1323</v>
      </c>
      <c r="F995" s="10">
        <v>0</v>
      </c>
      <c r="G995" s="10" t="s">
        <v>343</v>
      </c>
      <c r="H995" s="10">
        <v>0</v>
      </c>
      <c r="I995" s="10" t="s">
        <v>343</v>
      </c>
      <c r="J995" s="11">
        <v>2648</v>
      </c>
      <c r="K995" s="11">
        <v>2814</v>
      </c>
      <c r="L995" s="11">
        <v>5462</v>
      </c>
      <c r="M995" s="11">
        <v>2849</v>
      </c>
    </row>
    <row r="996" spans="1:13" x14ac:dyDescent="0.3">
      <c r="A996" s="10">
        <v>6712</v>
      </c>
      <c r="B996" s="10">
        <v>40</v>
      </c>
      <c r="C996" s="10" t="s">
        <v>1277</v>
      </c>
      <c r="D996" s="10">
        <v>4079</v>
      </c>
      <c r="E996" s="10" t="s">
        <v>1324</v>
      </c>
      <c r="F996" s="10">
        <v>0</v>
      </c>
      <c r="G996" s="10" t="s">
        <v>343</v>
      </c>
      <c r="H996" s="10">
        <v>0</v>
      </c>
      <c r="I996" s="10" t="s">
        <v>343</v>
      </c>
      <c r="J996" s="11">
        <v>1412</v>
      </c>
      <c r="K996" s="11">
        <v>1570</v>
      </c>
      <c r="L996" s="11">
        <v>2982</v>
      </c>
      <c r="M996" s="11">
        <v>1393</v>
      </c>
    </row>
    <row r="997" spans="1:13" x14ac:dyDescent="0.3">
      <c r="A997" s="10">
        <v>6712</v>
      </c>
      <c r="B997" s="10">
        <v>40</v>
      </c>
      <c r="C997" s="10" t="s">
        <v>1277</v>
      </c>
      <c r="D997" s="10">
        <v>4080</v>
      </c>
      <c r="E997" s="10" t="s">
        <v>1325</v>
      </c>
      <c r="F997" s="10">
        <v>0</v>
      </c>
      <c r="G997" s="10" t="s">
        <v>343</v>
      </c>
      <c r="H997" s="10">
        <v>0</v>
      </c>
      <c r="I997" s="10" t="s">
        <v>343</v>
      </c>
      <c r="J997" s="11">
        <v>2441</v>
      </c>
      <c r="K997" s="11">
        <v>2627</v>
      </c>
      <c r="L997" s="11">
        <v>5068</v>
      </c>
      <c r="M997" s="11">
        <v>1874</v>
      </c>
    </row>
    <row r="998" spans="1:13" x14ac:dyDescent="0.3">
      <c r="A998" s="10">
        <v>6712</v>
      </c>
      <c r="B998" s="10">
        <v>40</v>
      </c>
      <c r="C998" s="10" t="s">
        <v>1277</v>
      </c>
      <c r="D998" s="10">
        <v>4081</v>
      </c>
      <c r="E998" s="10" t="s">
        <v>1326</v>
      </c>
      <c r="F998" s="10">
        <v>0</v>
      </c>
      <c r="G998" s="10" t="s">
        <v>343</v>
      </c>
      <c r="H998" s="10">
        <v>0</v>
      </c>
      <c r="I998" s="10" t="s">
        <v>343</v>
      </c>
      <c r="J998" s="11">
        <v>2827</v>
      </c>
      <c r="K998" s="11">
        <v>2951</v>
      </c>
      <c r="L998" s="11">
        <v>5778</v>
      </c>
      <c r="M998" s="11">
        <v>2089</v>
      </c>
    </row>
    <row r="999" spans="1:13" x14ac:dyDescent="0.3">
      <c r="A999" s="10">
        <v>6712</v>
      </c>
      <c r="B999" s="10">
        <v>40</v>
      </c>
      <c r="C999" s="10" t="s">
        <v>1277</v>
      </c>
      <c r="D999" s="10">
        <v>4082</v>
      </c>
      <c r="E999" s="10" t="s">
        <v>1327</v>
      </c>
      <c r="F999" s="10">
        <v>0</v>
      </c>
      <c r="G999" s="10" t="s">
        <v>343</v>
      </c>
      <c r="H999" s="10">
        <v>0</v>
      </c>
      <c r="I999" s="10" t="s">
        <v>343</v>
      </c>
      <c r="J999" s="11">
        <v>4555</v>
      </c>
      <c r="K999" s="11">
        <v>5022</v>
      </c>
      <c r="L999" s="11">
        <v>9577</v>
      </c>
      <c r="M999" s="11">
        <v>4677</v>
      </c>
    </row>
    <row r="1000" spans="1:13" x14ac:dyDescent="0.3">
      <c r="A1000" s="10">
        <v>6712</v>
      </c>
      <c r="B1000" s="10">
        <v>40</v>
      </c>
      <c r="C1000" s="10" t="s">
        <v>1277</v>
      </c>
      <c r="D1000" s="10">
        <v>4083</v>
      </c>
      <c r="E1000" s="10" t="s">
        <v>1328</v>
      </c>
      <c r="F1000" s="10">
        <v>0</v>
      </c>
      <c r="G1000" s="10" t="s">
        <v>343</v>
      </c>
      <c r="H1000" s="10">
        <v>0</v>
      </c>
      <c r="I1000" s="10" t="s">
        <v>343</v>
      </c>
      <c r="J1000" s="11">
        <v>1860</v>
      </c>
      <c r="K1000" s="11">
        <v>1966</v>
      </c>
      <c r="L1000" s="11">
        <v>3826</v>
      </c>
      <c r="M1000" s="11">
        <v>2138</v>
      </c>
    </row>
    <row r="1001" spans="1:13" x14ac:dyDescent="0.3">
      <c r="A1001" s="10">
        <v>6712</v>
      </c>
      <c r="B1001" s="10">
        <v>40</v>
      </c>
      <c r="C1001" s="10" t="s">
        <v>1277</v>
      </c>
      <c r="D1001" s="10">
        <v>4084</v>
      </c>
      <c r="E1001" s="10" t="s">
        <v>1329</v>
      </c>
      <c r="F1001" s="10">
        <v>0</v>
      </c>
      <c r="G1001" s="10" t="s">
        <v>343</v>
      </c>
      <c r="H1001" s="10">
        <v>0</v>
      </c>
      <c r="I1001" s="10" t="s">
        <v>343</v>
      </c>
      <c r="J1001" s="11">
        <v>2994</v>
      </c>
      <c r="K1001" s="11">
        <v>3253</v>
      </c>
      <c r="L1001" s="11">
        <v>6247</v>
      </c>
      <c r="M1001" s="11">
        <v>3029</v>
      </c>
    </row>
    <row r="1002" spans="1:13" x14ac:dyDescent="0.3">
      <c r="A1002" s="10">
        <v>6712</v>
      </c>
      <c r="B1002" s="10">
        <v>40</v>
      </c>
      <c r="C1002" s="10" t="s">
        <v>1277</v>
      </c>
      <c r="D1002" s="10">
        <v>4085</v>
      </c>
      <c r="E1002" s="10" t="s">
        <v>1330</v>
      </c>
      <c r="F1002" s="10">
        <v>0</v>
      </c>
      <c r="G1002" s="10" t="s">
        <v>343</v>
      </c>
      <c r="H1002" s="10">
        <v>0</v>
      </c>
      <c r="I1002" s="10" t="s">
        <v>343</v>
      </c>
      <c r="J1002" s="11">
        <v>2225</v>
      </c>
      <c r="K1002" s="11">
        <v>2456</v>
      </c>
      <c r="L1002" s="11">
        <v>4681</v>
      </c>
      <c r="M1002" s="11">
        <v>2489</v>
      </c>
    </row>
    <row r="1003" spans="1:13" x14ac:dyDescent="0.3">
      <c r="A1003" s="10">
        <v>6712</v>
      </c>
      <c r="B1003" s="10">
        <v>40</v>
      </c>
      <c r="C1003" s="10" t="s">
        <v>1277</v>
      </c>
      <c r="D1003" s="10">
        <v>4086</v>
      </c>
      <c r="E1003" s="10" t="s">
        <v>1331</v>
      </c>
      <c r="F1003" s="10">
        <v>0</v>
      </c>
      <c r="G1003" s="10" t="s">
        <v>343</v>
      </c>
      <c r="H1003" s="10">
        <v>0</v>
      </c>
      <c r="I1003" s="10" t="s">
        <v>343</v>
      </c>
      <c r="J1003" s="11">
        <v>1609</v>
      </c>
      <c r="K1003" s="11">
        <v>1660</v>
      </c>
      <c r="L1003" s="11">
        <v>3269</v>
      </c>
      <c r="M1003" s="11">
        <v>1603</v>
      </c>
    </row>
    <row r="1004" spans="1:13" x14ac:dyDescent="0.3">
      <c r="A1004" s="10">
        <v>6712</v>
      </c>
      <c r="B1004" s="10">
        <v>40</v>
      </c>
      <c r="C1004" s="10" t="s">
        <v>1277</v>
      </c>
      <c r="D1004" s="10">
        <v>4087</v>
      </c>
      <c r="E1004" s="10" t="s">
        <v>1332</v>
      </c>
      <c r="F1004" s="10">
        <v>0</v>
      </c>
      <c r="G1004" s="10" t="s">
        <v>343</v>
      </c>
      <c r="H1004" s="10">
        <v>0</v>
      </c>
      <c r="I1004" s="10" t="s">
        <v>343</v>
      </c>
      <c r="J1004" s="11">
        <v>2133</v>
      </c>
      <c r="K1004" s="11">
        <v>2362</v>
      </c>
      <c r="L1004" s="11">
        <v>4495</v>
      </c>
      <c r="M1004" s="11">
        <v>1571</v>
      </c>
    </row>
    <row r="1005" spans="1:13" x14ac:dyDescent="0.3">
      <c r="A1005" s="10">
        <v>6712</v>
      </c>
      <c r="B1005" s="10">
        <v>40</v>
      </c>
      <c r="C1005" s="10" t="s">
        <v>1277</v>
      </c>
      <c r="D1005" s="10">
        <v>4088</v>
      </c>
      <c r="E1005" s="10" t="s">
        <v>1333</v>
      </c>
      <c r="F1005" s="10">
        <v>0</v>
      </c>
      <c r="G1005" s="10" t="s">
        <v>343</v>
      </c>
      <c r="H1005" s="10">
        <v>0</v>
      </c>
      <c r="I1005" s="10" t="s">
        <v>343</v>
      </c>
      <c r="J1005" s="11">
        <v>2059</v>
      </c>
      <c r="K1005" s="11">
        <v>2274</v>
      </c>
      <c r="L1005" s="11">
        <v>4333</v>
      </c>
      <c r="M1005" s="11">
        <v>1370</v>
      </c>
    </row>
    <row r="1006" spans="1:13" x14ac:dyDescent="0.3">
      <c r="A1006" s="10">
        <v>6712</v>
      </c>
      <c r="B1006" s="10">
        <v>40</v>
      </c>
      <c r="C1006" s="10" t="s">
        <v>1277</v>
      </c>
      <c r="D1006" s="10">
        <v>4089</v>
      </c>
      <c r="E1006" s="10" t="s">
        <v>1334</v>
      </c>
      <c r="F1006" s="10">
        <v>0</v>
      </c>
      <c r="G1006" s="10" t="s">
        <v>343</v>
      </c>
      <c r="H1006" s="10">
        <v>0</v>
      </c>
      <c r="I1006" s="10" t="s">
        <v>343</v>
      </c>
      <c r="J1006" s="11">
        <v>2090</v>
      </c>
      <c r="K1006" s="11">
        <v>2057</v>
      </c>
      <c r="L1006" s="11">
        <v>4147</v>
      </c>
      <c r="M1006" s="11">
        <v>2287</v>
      </c>
    </row>
    <row r="1007" spans="1:13" x14ac:dyDescent="0.3">
      <c r="A1007" s="10">
        <v>6712</v>
      </c>
      <c r="B1007" s="10">
        <v>40</v>
      </c>
      <c r="C1007" s="10" t="s">
        <v>1277</v>
      </c>
      <c r="D1007" s="10">
        <v>4090</v>
      </c>
      <c r="E1007" s="10" t="s">
        <v>1335</v>
      </c>
      <c r="F1007" s="10">
        <v>0</v>
      </c>
      <c r="G1007" s="10" t="s">
        <v>343</v>
      </c>
      <c r="H1007" s="10">
        <v>0</v>
      </c>
      <c r="I1007" s="10" t="s">
        <v>343</v>
      </c>
      <c r="J1007" s="10">
        <v>680</v>
      </c>
      <c r="K1007" s="10">
        <v>675</v>
      </c>
      <c r="L1007" s="11">
        <v>1355</v>
      </c>
      <c r="M1007" s="10">
        <v>723</v>
      </c>
    </row>
    <row r="1008" spans="1:13" x14ac:dyDescent="0.3">
      <c r="A1008" s="10">
        <v>6712</v>
      </c>
      <c r="B1008" s="10">
        <v>40</v>
      </c>
      <c r="C1008" s="10" t="s">
        <v>1277</v>
      </c>
      <c r="D1008" s="10">
        <v>4091</v>
      </c>
      <c r="E1008" s="10" t="s">
        <v>1336</v>
      </c>
      <c r="F1008" s="10">
        <v>0</v>
      </c>
      <c r="G1008" s="10" t="s">
        <v>343</v>
      </c>
      <c r="H1008" s="10">
        <v>0</v>
      </c>
      <c r="I1008" s="10" t="s">
        <v>343</v>
      </c>
      <c r="J1008" s="11">
        <v>1622</v>
      </c>
      <c r="K1008" s="11">
        <v>1720</v>
      </c>
      <c r="L1008" s="11">
        <v>3342</v>
      </c>
      <c r="M1008" s="11">
        <v>1959</v>
      </c>
    </row>
    <row r="1009" spans="1:13" x14ac:dyDescent="0.3">
      <c r="A1009" s="10">
        <v>6712</v>
      </c>
      <c r="B1009" s="10">
        <v>40</v>
      </c>
      <c r="C1009" s="10" t="s">
        <v>1277</v>
      </c>
      <c r="D1009" s="10">
        <v>4092</v>
      </c>
      <c r="E1009" s="10" t="s">
        <v>1337</v>
      </c>
      <c r="F1009" s="10">
        <v>0</v>
      </c>
      <c r="G1009" s="10" t="s">
        <v>343</v>
      </c>
      <c r="H1009" s="10">
        <v>0</v>
      </c>
      <c r="I1009" s="10" t="s">
        <v>343</v>
      </c>
      <c r="J1009" s="11">
        <v>1549</v>
      </c>
      <c r="K1009" s="11">
        <v>1739</v>
      </c>
      <c r="L1009" s="11">
        <v>3288</v>
      </c>
      <c r="M1009" s="11">
        <v>1574</v>
      </c>
    </row>
    <row r="1010" spans="1:13" x14ac:dyDescent="0.3">
      <c r="A1010" s="10">
        <v>6712</v>
      </c>
      <c r="B1010" s="10">
        <v>40</v>
      </c>
      <c r="C1010" s="10" t="s">
        <v>1277</v>
      </c>
      <c r="D1010" s="10">
        <v>4093</v>
      </c>
      <c r="E1010" s="10" t="s">
        <v>1338</v>
      </c>
      <c r="F1010" s="10">
        <v>0</v>
      </c>
      <c r="G1010" s="10" t="s">
        <v>343</v>
      </c>
      <c r="H1010" s="10">
        <v>0</v>
      </c>
      <c r="I1010" s="10" t="s">
        <v>343</v>
      </c>
      <c r="J1010" s="11">
        <v>3075</v>
      </c>
      <c r="K1010" s="11">
        <v>3311</v>
      </c>
      <c r="L1010" s="11">
        <v>6386</v>
      </c>
      <c r="M1010" s="11">
        <v>2142</v>
      </c>
    </row>
    <row r="1011" spans="1:13" x14ac:dyDescent="0.3">
      <c r="A1011" s="10">
        <v>6712</v>
      </c>
      <c r="B1011" s="10">
        <v>40</v>
      </c>
      <c r="C1011" s="10" t="s">
        <v>1277</v>
      </c>
      <c r="D1011" s="10">
        <v>4094</v>
      </c>
      <c r="E1011" s="10" t="s">
        <v>1339</v>
      </c>
      <c r="F1011" s="10">
        <v>0</v>
      </c>
      <c r="G1011" s="10" t="s">
        <v>343</v>
      </c>
      <c r="H1011" s="10">
        <v>0</v>
      </c>
      <c r="I1011" s="10" t="s">
        <v>343</v>
      </c>
      <c r="J1011" s="11">
        <v>2170</v>
      </c>
      <c r="K1011" s="11">
        <v>2333</v>
      </c>
      <c r="L1011" s="11">
        <v>4503</v>
      </c>
      <c r="M1011" s="11">
        <v>1970</v>
      </c>
    </row>
    <row r="1012" spans="1:13" x14ac:dyDescent="0.3">
      <c r="A1012" s="10">
        <v>6712</v>
      </c>
      <c r="B1012" s="10">
        <v>40</v>
      </c>
      <c r="C1012" s="10" t="s">
        <v>1277</v>
      </c>
      <c r="D1012" s="10">
        <v>4095</v>
      </c>
      <c r="E1012" s="10" t="s">
        <v>1340</v>
      </c>
      <c r="F1012" s="10">
        <v>0</v>
      </c>
      <c r="G1012" s="10" t="s">
        <v>343</v>
      </c>
      <c r="H1012" s="10">
        <v>0</v>
      </c>
      <c r="I1012" s="10" t="s">
        <v>343</v>
      </c>
      <c r="J1012" s="11">
        <v>4062</v>
      </c>
      <c r="K1012" s="11">
        <v>4478</v>
      </c>
      <c r="L1012" s="11">
        <v>8540</v>
      </c>
      <c r="M1012" s="11">
        <v>4257</v>
      </c>
    </row>
    <row r="1013" spans="1:13" x14ac:dyDescent="0.3">
      <c r="A1013" s="10">
        <v>6712</v>
      </c>
      <c r="B1013" s="10">
        <v>40</v>
      </c>
      <c r="C1013" s="10" t="s">
        <v>1277</v>
      </c>
      <c r="D1013" s="10">
        <v>4096</v>
      </c>
      <c r="E1013" s="10" t="s">
        <v>1341</v>
      </c>
      <c r="F1013" s="10">
        <v>0</v>
      </c>
      <c r="G1013" s="10" t="s">
        <v>343</v>
      </c>
      <c r="H1013" s="10">
        <v>0</v>
      </c>
      <c r="I1013" s="10" t="s">
        <v>343</v>
      </c>
      <c r="J1013" s="11">
        <v>14642</v>
      </c>
      <c r="K1013" s="11">
        <v>15810</v>
      </c>
      <c r="L1013" s="11">
        <v>30452</v>
      </c>
      <c r="M1013" s="11">
        <v>16479</v>
      </c>
    </row>
    <row r="1014" spans="1:13" x14ac:dyDescent="0.3">
      <c r="A1014" s="10">
        <v>6712</v>
      </c>
      <c r="B1014" s="10">
        <v>40</v>
      </c>
      <c r="C1014" s="10" t="s">
        <v>1277</v>
      </c>
      <c r="D1014" s="10">
        <v>4097</v>
      </c>
      <c r="E1014" s="10" t="s">
        <v>1342</v>
      </c>
      <c r="F1014" s="10">
        <v>0</v>
      </c>
      <c r="G1014" s="10" t="s">
        <v>343</v>
      </c>
      <c r="H1014" s="10">
        <v>0</v>
      </c>
      <c r="I1014" s="10" t="s">
        <v>343</v>
      </c>
      <c r="J1014" s="11">
        <v>12454</v>
      </c>
      <c r="K1014" s="11">
        <v>13734</v>
      </c>
      <c r="L1014" s="11">
        <v>26188</v>
      </c>
      <c r="M1014" s="11">
        <v>13198</v>
      </c>
    </row>
    <row r="1015" spans="1:13" x14ac:dyDescent="0.3">
      <c r="A1015" s="10">
        <v>6712</v>
      </c>
      <c r="B1015" s="10">
        <v>40</v>
      </c>
      <c r="C1015" s="10" t="s">
        <v>1277</v>
      </c>
      <c r="D1015" s="10">
        <v>4098</v>
      </c>
      <c r="E1015" s="10" t="s">
        <v>1343</v>
      </c>
      <c r="F1015" s="10">
        <v>0</v>
      </c>
      <c r="G1015" s="10" t="s">
        <v>343</v>
      </c>
      <c r="H1015" s="10">
        <v>0</v>
      </c>
      <c r="I1015" s="10" t="s">
        <v>343</v>
      </c>
      <c r="J1015" s="11">
        <v>4689</v>
      </c>
      <c r="K1015" s="11">
        <v>5210</v>
      </c>
      <c r="L1015" s="11">
        <v>9899</v>
      </c>
      <c r="M1015" s="11">
        <v>5505</v>
      </c>
    </row>
    <row r="1016" spans="1:13" x14ac:dyDescent="0.3">
      <c r="A1016" s="10">
        <v>6712</v>
      </c>
      <c r="B1016" s="10">
        <v>40</v>
      </c>
      <c r="C1016" s="10" t="s">
        <v>1277</v>
      </c>
      <c r="D1016" s="10">
        <v>4099</v>
      </c>
      <c r="E1016" s="10" t="s">
        <v>1344</v>
      </c>
      <c r="F1016" s="10">
        <v>0</v>
      </c>
      <c r="G1016" s="10" t="s">
        <v>343</v>
      </c>
      <c r="H1016" s="10">
        <v>0</v>
      </c>
      <c r="I1016" s="10" t="s">
        <v>343</v>
      </c>
      <c r="J1016" s="11">
        <v>47673</v>
      </c>
      <c r="K1016" s="11">
        <v>52244</v>
      </c>
      <c r="L1016" s="11">
        <v>99917</v>
      </c>
      <c r="M1016" s="11">
        <v>69560</v>
      </c>
    </row>
    <row r="1017" spans="1:13" x14ac:dyDescent="0.3">
      <c r="A1017" s="10">
        <v>6712</v>
      </c>
      <c r="B1017" s="10">
        <v>41</v>
      </c>
      <c r="C1017" s="10" t="s">
        <v>1345</v>
      </c>
      <c r="D1017" s="10">
        <v>0</v>
      </c>
      <c r="E1017" s="10" t="s">
        <v>343</v>
      </c>
      <c r="F1017" s="10">
        <v>0</v>
      </c>
      <c r="G1017" s="10" t="s">
        <v>343</v>
      </c>
      <c r="H1017" s="10">
        <v>0</v>
      </c>
      <c r="I1017" s="10" t="s">
        <v>343</v>
      </c>
      <c r="J1017" s="11">
        <v>765475</v>
      </c>
      <c r="K1017" s="11">
        <v>786660</v>
      </c>
      <c r="L1017" s="11">
        <v>1552135</v>
      </c>
      <c r="M1017" s="11">
        <v>565876</v>
      </c>
    </row>
    <row r="1018" spans="1:13" x14ac:dyDescent="0.3">
      <c r="A1018" s="10">
        <v>6712</v>
      </c>
      <c r="B1018" s="10">
        <v>41</v>
      </c>
      <c r="C1018" s="10" t="s">
        <v>1345</v>
      </c>
      <c r="D1018" s="10">
        <v>4101</v>
      </c>
      <c r="E1018" s="10" t="s">
        <v>1346</v>
      </c>
      <c r="F1018" s="10">
        <v>0</v>
      </c>
      <c r="G1018" s="10" t="s">
        <v>343</v>
      </c>
      <c r="H1018" s="10">
        <v>0</v>
      </c>
      <c r="I1018" s="10" t="s">
        <v>343</v>
      </c>
      <c r="J1018" s="11">
        <v>90893</v>
      </c>
      <c r="K1018" s="11">
        <v>96008</v>
      </c>
      <c r="L1018" s="11">
        <v>186901</v>
      </c>
      <c r="M1018" s="11">
        <v>78300</v>
      </c>
    </row>
    <row r="1019" spans="1:13" x14ac:dyDescent="0.3">
      <c r="A1019" s="10">
        <v>6712</v>
      </c>
      <c r="B1019" s="10">
        <v>41</v>
      </c>
      <c r="C1019" s="10" t="s">
        <v>1345</v>
      </c>
      <c r="D1019" s="10">
        <v>4102</v>
      </c>
      <c r="E1019" s="10" t="s">
        <v>1347</v>
      </c>
      <c r="F1019" s="10">
        <v>0</v>
      </c>
      <c r="G1019" s="10" t="s">
        <v>343</v>
      </c>
      <c r="H1019" s="10">
        <v>0</v>
      </c>
      <c r="I1019" s="10" t="s">
        <v>343</v>
      </c>
      <c r="J1019" s="11">
        <v>21646</v>
      </c>
      <c r="K1019" s="11">
        <v>21642</v>
      </c>
      <c r="L1019" s="11">
        <v>43288</v>
      </c>
      <c r="M1019" s="11">
        <v>13871</v>
      </c>
    </row>
    <row r="1020" spans="1:13" x14ac:dyDescent="0.3">
      <c r="A1020" s="10">
        <v>6712</v>
      </c>
      <c r="B1020" s="10">
        <v>41</v>
      </c>
      <c r="C1020" s="10" t="s">
        <v>1345</v>
      </c>
      <c r="D1020" s="10">
        <v>4103</v>
      </c>
      <c r="E1020" s="10" t="s">
        <v>1348</v>
      </c>
      <c r="F1020" s="10">
        <v>0</v>
      </c>
      <c r="G1020" s="10" t="s">
        <v>343</v>
      </c>
      <c r="H1020" s="10">
        <v>0</v>
      </c>
      <c r="I1020" s="10" t="s">
        <v>343</v>
      </c>
      <c r="J1020" s="11">
        <v>22276</v>
      </c>
      <c r="K1020" s="11">
        <v>22333</v>
      </c>
      <c r="L1020" s="11">
        <v>44609</v>
      </c>
      <c r="M1020" s="11">
        <v>12386</v>
      </c>
    </row>
    <row r="1021" spans="1:13" x14ac:dyDescent="0.3">
      <c r="A1021" s="10">
        <v>6712</v>
      </c>
      <c r="B1021" s="10">
        <v>41</v>
      </c>
      <c r="C1021" s="10" t="s">
        <v>1345</v>
      </c>
      <c r="D1021" s="10">
        <v>4104</v>
      </c>
      <c r="E1021" s="10" t="s">
        <v>1349</v>
      </c>
      <c r="F1021" s="10">
        <v>0</v>
      </c>
      <c r="G1021" s="10" t="s">
        <v>343</v>
      </c>
      <c r="H1021" s="10">
        <v>0</v>
      </c>
      <c r="I1021" s="10" t="s">
        <v>343</v>
      </c>
      <c r="J1021" s="11">
        <v>36089</v>
      </c>
      <c r="K1021" s="11">
        <v>36963</v>
      </c>
      <c r="L1021" s="11">
        <v>73052</v>
      </c>
      <c r="M1021" s="11">
        <v>22764</v>
      </c>
    </row>
    <row r="1022" spans="1:13" x14ac:dyDescent="0.3">
      <c r="A1022" s="10">
        <v>6712</v>
      </c>
      <c r="B1022" s="10">
        <v>41</v>
      </c>
      <c r="C1022" s="10" t="s">
        <v>1345</v>
      </c>
      <c r="D1022" s="10">
        <v>4105</v>
      </c>
      <c r="E1022" s="10" t="s">
        <v>1350</v>
      </c>
      <c r="F1022" s="10">
        <v>0</v>
      </c>
      <c r="G1022" s="10" t="s">
        <v>343</v>
      </c>
      <c r="H1022" s="10">
        <v>0</v>
      </c>
      <c r="I1022" s="10" t="s">
        <v>343</v>
      </c>
      <c r="J1022" s="11">
        <v>22230</v>
      </c>
      <c r="K1022" s="11">
        <v>22477</v>
      </c>
      <c r="L1022" s="11">
        <v>44707</v>
      </c>
      <c r="M1022" s="11">
        <v>12530</v>
      </c>
    </row>
    <row r="1023" spans="1:13" x14ac:dyDescent="0.3">
      <c r="A1023" s="10">
        <v>6712</v>
      </c>
      <c r="B1023" s="10">
        <v>41</v>
      </c>
      <c r="C1023" s="10" t="s">
        <v>1345</v>
      </c>
      <c r="D1023" s="10">
        <v>4106</v>
      </c>
      <c r="E1023" s="10" t="s">
        <v>1351</v>
      </c>
      <c r="F1023" s="10">
        <v>0</v>
      </c>
      <c r="G1023" s="10" t="s">
        <v>343</v>
      </c>
      <c r="H1023" s="10">
        <v>0</v>
      </c>
      <c r="I1023" s="10" t="s">
        <v>343</v>
      </c>
      <c r="J1023" s="11">
        <v>43918</v>
      </c>
      <c r="K1023" s="11">
        <v>44211</v>
      </c>
      <c r="L1023" s="11">
        <v>88129</v>
      </c>
      <c r="M1023" s="11">
        <v>29081</v>
      </c>
    </row>
    <row r="1024" spans="1:13" x14ac:dyDescent="0.3">
      <c r="A1024" s="10">
        <v>6712</v>
      </c>
      <c r="B1024" s="10">
        <v>41</v>
      </c>
      <c r="C1024" s="10" t="s">
        <v>1345</v>
      </c>
      <c r="D1024" s="10">
        <v>4107</v>
      </c>
      <c r="E1024" s="10" t="s">
        <v>1352</v>
      </c>
      <c r="F1024" s="10">
        <v>0</v>
      </c>
      <c r="G1024" s="10" t="s">
        <v>343</v>
      </c>
      <c r="H1024" s="10">
        <v>0</v>
      </c>
      <c r="I1024" s="10" t="s">
        <v>343</v>
      </c>
      <c r="J1024" s="11">
        <v>12500</v>
      </c>
      <c r="K1024" s="11">
        <v>12383</v>
      </c>
      <c r="L1024" s="11">
        <v>24883</v>
      </c>
      <c r="M1024" s="11">
        <v>7636</v>
      </c>
    </row>
    <row r="1025" spans="1:13" x14ac:dyDescent="0.3">
      <c r="A1025" s="10">
        <v>6712</v>
      </c>
      <c r="B1025" s="10">
        <v>41</v>
      </c>
      <c r="C1025" s="10" t="s">
        <v>1345</v>
      </c>
      <c r="D1025" s="10">
        <v>4108</v>
      </c>
      <c r="E1025" s="10" t="s">
        <v>1353</v>
      </c>
      <c r="F1025" s="10">
        <v>0</v>
      </c>
      <c r="G1025" s="10" t="s">
        <v>343</v>
      </c>
      <c r="H1025" s="10">
        <v>0</v>
      </c>
      <c r="I1025" s="10" t="s">
        <v>343</v>
      </c>
      <c r="J1025" s="11">
        <v>11937</v>
      </c>
      <c r="K1025" s="11">
        <v>11652</v>
      </c>
      <c r="L1025" s="11">
        <v>23589</v>
      </c>
      <c r="M1025" s="11">
        <v>6573</v>
      </c>
    </row>
    <row r="1026" spans="1:13" x14ac:dyDescent="0.3">
      <c r="A1026" s="10">
        <v>6712</v>
      </c>
      <c r="B1026" s="10">
        <v>41</v>
      </c>
      <c r="C1026" s="10" t="s">
        <v>1345</v>
      </c>
      <c r="D1026" s="10">
        <v>4109</v>
      </c>
      <c r="E1026" s="10" t="s">
        <v>1354</v>
      </c>
      <c r="F1026" s="10">
        <v>0</v>
      </c>
      <c r="G1026" s="10" t="s">
        <v>343</v>
      </c>
      <c r="H1026" s="10">
        <v>0</v>
      </c>
      <c r="I1026" s="10" t="s">
        <v>343</v>
      </c>
      <c r="J1026" s="11">
        <v>11671</v>
      </c>
      <c r="K1026" s="11">
        <v>11769</v>
      </c>
      <c r="L1026" s="11">
        <v>23440</v>
      </c>
      <c r="M1026" s="11">
        <v>6905</v>
      </c>
    </row>
    <row r="1027" spans="1:13" x14ac:dyDescent="0.3">
      <c r="A1027" s="10">
        <v>6712</v>
      </c>
      <c r="B1027" s="10">
        <v>41</v>
      </c>
      <c r="C1027" s="10" t="s">
        <v>1345</v>
      </c>
      <c r="D1027" s="10">
        <v>4110</v>
      </c>
      <c r="E1027" s="10" t="s">
        <v>1355</v>
      </c>
      <c r="F1027" s="10">
        <v>0</v>
      </c>
      <c r="G1027" s="10" t="s">
        <v>343</v>
      </c>
      <c r="H1027" s="10">
        <v>0</v>
      </c>
      <c r="I1027" s="10" t="s">
        <v>343</v>
      </c>
      <c r="J1027" s="11">
        <v>15513</v>
      </c>
      <c r="K1027" s="11">
        <v>15405</v>
      </c>
      <c r="L1027" s="11">
        <v>30918</v>
      </c>
      <c r="M1027" s="11">
        <v>9183</v>
      </c>
    </row>
    <row r="1028" spans="1:13" x14ac:dyDescent="0.3">
      <c r="A1028" s="10">
        <v>6712</v>
      </c>
      <c r="B1028" s="10">
        <v>41</v>
      </c>
      <c r="C1028" s="10" t="s">
        <v>1345</v>
      </c>
      <c r="D1028" s="10">
        <v>4111</v>
      </c>
      <c r="E1028" s="10" t="s">
        <v>1356</v>
      </c>
      <c r="F1028" s="10">
        <v>0</v>
      </c>
      <c r="G1028" s="10" t="s">
        <v>343</v>
      </c>
      <c r="H1028" s="10">
        <v>0</v>
      </c>
      <c r="I1028" s="10" t="s">
        <v>343</v>
      </c>
      <c r="J1028" s="11">
        <v>55234</v>
      </c>
      <c r="K1028" s="11">
        <v>55660</v>
      </c>
      <c r="L1028" s="11">
        <v>110894</v>
      </c>
      <c r="M1028" s="11">
        <v>33997</v>
      </c>
    </row>
    <row r="1029" spans="1:13" x14ac:dyDescent="0.3">
      <c r="A1029" s="10">
        <v>6712</v>
      </c>
      <c r="B1029" s="10">
        <v>41</v>
      </c>
      <c r="C1029" s="10" t="s">
        <v>1345</v>
      </c>
      <c r="D1029" s="10">
        <v>4117</v>
      </c>
      <c r="E1029" s="10" t="s">
        <v>1357</v>
      </c>
      <c r="F1029" s="10">
        <v>0</v>
      </c>
      <c r="G1029" s="10" t="s">
        <v>343</v>
      </c>
      <c r="H1029" s="10">
        <v>0</v>
      </c>
      <c r="I1029" s="10" t="s">
        <v>343</v>
      </c>
      <c r="J1029" s="11">
        <v>50636</v>
      </c>
      <c r="K1029" s="11">
        <v>50711</v>
      </c>
      <c r="L1029" s="11">
        <v>101347</v>
      </c>
      <c r="M1029" s="11">
        <v>32736</v>
      </c>
    </row>
    <row r="1030" spans="1:13" x14ac:dyDescent="0.3">
      <c r="A1030" s="10">
        <v>6712</v>
      </c>
      <c r="B1030" s="10">
        <v>41</v>
      </c>
      <c r="C1030" s="10" t="s">
        <v>1345</v>
      </c>
      <c r="D1030" s="10">
        <v>4118</v>
      </c>
      <c r="E1030" s="10" t="s">
        <v>1358</v>
      </c>
      <c r="F1030" s="10">
        <v>0</v>
      </c>
      <c r="G1030" s="10" t="s">
        <v>343</v>
      </c>
      <c r="H1030" s="10">
        <v>0</v>
      </c>
      <c r="I1030" s="10" t="s">
        <v>343</v>
      </c>
      <c r="J1030" s="11">
        <v>20680</v>
      </c>
      <c r="K1030" s="11">
        <v>20347</v>
      </c>
      <c r="L1030" s="11">
        <v>41027</v>
      </c>
      <c r="M1030" s="11">
        <v>14033</v>
      </c>
    </row>
    <row r="1031" spans="1:13" x14ac:dyDescent="0.3">
      <c r="A1031" s="10">
        <v>6712</v>
      </c>
      <c r="B1031" s="10">
        <v>41</v>
      </c>
      <c r="C1031" s="10" t="s">
        <v>1345</v>
      </c>
      <c r="D1031" s="10">
        <v>4119</v>
      </c>
      <c r="E1031" s="10" t="s">
        <v>1359</v>
      </c>
      <c r="F1031" s="10">
        <v>0</v>
      </c>
      <c r="G1031" s="10" t="s">
        <v>343</v>
      </c>
      <c r="H1031" s="10">
        <v>0</v>
      </c>
      <c r="I1031" s="10" t="s">
        <v>343</v>
      </c>
      <c r="J1031" s="11">
        <v>48140</v>
      </c>
      <c r="K1031" s="11">
        <v>48216</v>
      </c>
      <c r="L1031" s="11">
        <v>96356</v>
      </c>
      <c r="M1031" s="11">
        <v>31107</v>
      </c>
    </row>
    <row r="1032" spans="1:13" x14ac:dyDescent="0.3">
      <c r="A1032" s="10">
        <v>6712</v>
      </c>
      <c r="B1032" s="10">
        <v>41</v>
      </c>
      <c r="C1032" s="10" t="s">
        <v>1345</v>
      </c>
      <c r="D1032" s="10">
        <v>4120</v>
      </c>
      <c r="E1032" s="10" t="s">
        <v>1360</v>
      </c>
      <c r="F1032" s="10">
        <v>0</v>
      </c>
      <c r="G1032" s="10" t="s">
        <v>343</v>
      </c>
      <c r="H1032" s="10">
        <v>0</v>
      </c>
      <c r="I1032" s="10" t="s">
        <v>343</v>
      </c>
      <c r="J1032" s="11">
        <v>10935</v>
      </c>
      <c r="K1032" s="11">
        <v>10916</v>
      </c>
      <c r="L1032" s="11">
        <v>21851</v>
      </c>
      <c r="M1032" s="11">
        <v>7010</v>
      </c>
    </row>
    <row r="1033" spans="1:13" x14ac:dyDescent="0.3">
      <c r="A1033" s="10">
        <v>6712</v>
      </c>
      <c r="B1033" s="10">
        <v>41</v>
      </c>
      <c r="C1033" s="10" t="s">
        <v>1345</v>
      </c>
      <c r="D1033" s="10">
        <v>4121</v>
      </c>
      <c r="E1033" s="10" t="s">
        <v>1361</v>
      </c>
      <c r="F1033" s="10">
        <v>0</v>
      </c>
      <c r="G1033" s="10" t="s">
        <v>343</v>
      </c>
      <c r="H1033" s="10">
        <v>0</v>
      </c>
      <c r="I1033" s="10" t="s">
        <v>343</v>
      </c>
      <c r="J1033" s="11">
        <v>11471</v>
      </c>
      <c r="K1033" s="11">
        <v>11463</v>
      </c>
      <c r="L1033" s="11">
        <v>22934</v>
      </c>
      <c r="M1033" s="11">
        <v>7203</v>
      </c>
    </row>
    <row r="1034" spans="1:13" x14ac:dyDescent="0.3">
      <c r="A1034" s="10">
        <v>6712</v>
      </c>
      <c r="B1034" s="10">
        <v>41</v>
      </c>
      <c r="C1034" s="10" t="s">
        <v>1345</v>
      </c>
      <c r="D1034" s="10">
        <v>4122</v>
      </c>
      <c r="E1034" s="10" t="s">
        <v>1362</v>
      </c>
      <c r="F1034" s="10">
        <v>0</v>
      </c>
      <c r="G1034" s="10" t="s">
        <v>343</v>
      </c>
      <c r="H1034" s="10">
        <v>0</v>
      </c>
      <c r="I1034" s="10" t="s">
        <v>343</v>
      </c>
      <c r="J1034" s="11">
        <v>14344</v>
      </c>
      <c r="K1034" s="11">
        <v>14049</v>
      </c>
      <c r="L1034" s="11">
        <v>28393</v>
      </c>
      <c r="M1034" s="11">
        <v>10205</v>
      </c>
    </row>
    <row r="1035" spans="1:13" x14ac:dyDescent="0.3">
      <c r="A1035" s="10">
        <v>6712</v>
      </c>
      <c r="B1035" s="10">
        <v>41</v>
      </c>
      <c r="C1035" s="10" t="s">
        <v>1345</v>
      </c>
      <c r="D1035" s="10">
        <v>4123</v>
      </c>
      <c r="E1035" s="10" t="s">
        <v>1363</v>
      </c>
      <c r="F1035" s="10">
        <v>0</v>
      </c>
      <c r="G1035" s="10" t="s">
        <v>343</v>
      </c>
      <c r="H1035" s="10">
        <v>0</v>
      </c>
      <c r="I1035" s="10" t="s">
        <v>343</v>
      </c>
      <c r="J1035" s="11">
        <v>12155</v>
      </c>
      <c r="K1035" s="11">
        <v>12443</v>
      </c>
      <c r="L1035" s="11">
        <v>24598</v>
      </c>
      <c r="M1035" s="11">
        <v>8991</v>
      </c>
    </row>
    <row r="1036" spans="1:13" x14ac:dyDescent="0.3">
      <c r="A1036" s="10">
        <v>6712</v>
      </c>
      <c r="B1036" s="10">
        <v>41</v>
      </c>
      <c r="C1036" s="10" t="s">
        <v>1345</v>
      </c>
      <c r="D1036" s="10">
        <v>4124</v>
      </c>
      <c r="E1036" s="10" t="s">
        <v>1364</v>
      </c>
      <c r="F1036" s="10">
        <v>0</v>
      </c>
      <c r="G1036" s="10" t="s">
        <v>343</v>
      </c>
      <c r="H1036" s="10">
        <v>0</v>
      </c>
      <c r="I1036" s="10" t="s">
        <v>343</v>
      </c>
      <c r="J1036" s="11">
        <v>10963</v>
      </c>
      <c r="K1036" s="11">
        <v>10929</v>
      </c>
      <c r="L1036" s="11">
        <v>21892</v>
      </c>
      <c r="M1036" s="11">
        <v>7293</v>
      </c>
    </row>
    <row r="1037" spans="1:13" x14ac:dyDescent="0.3">
      <c r="A1037" s="10">
        <v>6712</v>
      </c>
      <c r="B1037" s="10">
        <v>41</v>
      </c>
      <c r="C1037" s="10" t="s">
        <v>1345</v>
      </c>
      <c r="D1037" s="10">
        <v>4125</v>
      </c>
      <c r="E1037" s="10" t="s">
        <v>1365</v>
      </c>
      <c r="F1037" s="10">
        <v>0</v>
      </c>
      <c r="G1037" s="10" t="s">
        <v>343</v>
      </c>
      <c r="H1037" s="10">
        <v>0</v>
      </c>
      <c r="I1037" s="10" t="s">
        <v>343</v>
      </c>
      <c r="J1037" s="11">
        <v>12596</v>
      </c>
      <c r="K1037" s="11">
        <v>12638</v>
      </c>
      <c r="L1037" s="11">
        <v>25234</v>
      </c>
      <c r="M1037" s="11">
        <v>7710</v>
      </c>
    </row>
    <row r="1038" spans="1:13" x14ac:dyDescent="0.3">
      <c r="A1038" s="10">
        <v>6712</v>
      </c>
      <c r="B1038" s="10">
        <v>41</v>
      </c>
      <c r="C1038" s="10" t="s">
        <v>1345</v>
      </c>
      <c r="D1038" s="10">
        <v>4158</v>
      </c>
      <c r="E1038" s="10" t="s">
        <v>1366</v>
      </c>
      <c r="F1038" s="10">
        <v>0</v>
      </c>
      <c r="G1038" s="10" t="s">
        <v>343</v>
      </c>
      <c r="H1038" s="10">
        <v>0</v>
      </c>
      <c r="I1038" s="10" t="s">
        <v>343</v>
      </c>
      <c r="J1038" s="11">
        <v>4097</v>
      </c>
      <c r="K1038" s="11">
        <v>4116</v>
      </c>
      <c r="L1038" s="11">
        <v>8213</v>
      </c>
      <c r="M1038" s="11">
        <v>2112</v>
      </c>
    </row>
    <row r="1039" spans="1:13" x14ac:dyDescent="0.3">
      <c r="A1039" s="10">
        <v>6712</v>
      </c>
      <c r="B1039" s="10">
        <v>41</v>
      </c>
      <c r="C1039" s="10" t="s">
        <v>1345</v>
      </c>
      <c r="D1039" s="10">
        <v>4159</v>
      </c>
      <c r="E1039" s="10" t="s">
        <v>1367</v>
      </c>
      <c r="F1039" s="10">
        <v>0</v>
      </c>
      <c r="G1039" s="10" t="s">
        <v>343</v>
      </c>
      <c r="H1039" s="10">
        <v>0</v>
      </c>
      <c r="I1039" s="10" t="s">
        <v>343</v>
      </c>
      <c r="J1039" s="11">
        <v>5663</v>
      </c>
      <c r="K1039" s="11">
        <v>5546</v>
      </c>
      <c r="L1039" s="11">
        <v>11209</v>
      </c>
      <c r="M1039" s="11">
        <v>3311</v>
      </c>
    </row>
    <row r="1040" spans="1:13" x14ac:dyDescent="0.3">
      <c r="A1040" s="10">
        <v>6712</v>
      </c>
      <c r="B1040" s="10">
        <v>41</v>
      </c>
      <c r="C1040" s="10" t="s">
        <v>1345</v>
      </c>
      <c r="D1040" s="10">
        <v>4160</v>
      </c>
      <c r="E1040" s="10" t="s">
        <v>1368</v>
      </c>
      <c r="F1040" s="10">
        <v>0</v>
      </c>
      <c r="G1040" s="10" t="s">
        <v>343</v>
      </c>
      <c r="H1040" s="10">
        <v>0</v>
      </c>
      <c r="I1040" s="10" t="s">
        <v>343</v>
      </c>
      <c r="J1040" s="11">
        <v>7894</v>
      </c>
      <c r="K1040" s="11">
        <v>7724</v>
      </c>
      <c r="L1040" s="11">
        <v>15618</v>
      </c>
      <c r="M1040" s="11">
        <v>4926</v>
      </c>
    </row>
    <row r="1041" spans="1:13" x14ac:dyDescent="0.3">
      <c r="A1041" s="10">
        <v>6712</v>
      </c>
      <c r="B1041" s="10">
        <v>41</v>
      </c>
      <c r="C1041" s="10" t="s">
        <v>1345</v>
      </c>
      <c r="D1041" s="10">
        <v>4161</v>
      </c>
      <c r="E1041" s="10" t="s">
        <v>1369</v>
      </c>
      <c r="F1041" s="10">
        <v>0</v>
      </c>
      <c r="G1041" s="10" t="s">
        <v>343</v>
      </c>
      <c r="H1041" s="10">
        <v>0</v>
      </c>
      <c r="I1041" s="10" t="s">
        <v>343</v>
      </c>
      <c r="J1041" s="11">
        <v>3757</v>
      </c>
      <c r="K1041" s="11">
        <v>3722</v>
      </c>
      <c r="L1041" s="11">
        <v>7479</v>
      </c>
      <c r="M1041" s="11">
        <v>2002</v>
      </c>
    </row>
    <row r="1042" spans="1:13" x14ac:dyDescent="0.3">
      <c r="A1042" s="10">
        <v>6712</v>
      </c>
      <c r="B1042" s="10">
        <v>41</v>
      </c>
      <c r="C1042" s="10" t="s">
        <v>1345</v>
      </c>
      <c r="D1042" s="10">
        <v>4162</v>
      </c>
      <c r="E1042" s="10" t="s">
        <v>1370</v>
      </c>
      <c r="F1042" s="10">
        <v>0</v>
      </c>
      <c r="G1042" s="10" t="s">
        <v>343</v>
      </c>
      <c r="H1042" s="10">
        <v>0</v>
      </c>
      <c r="I1042" s="10" t="s">
        <v>343</v>
      </c>
      <c r="J1042" s="11">
        <v>4074</v>
      </c>
      <c r="K1042" s="11">
        <v>4018</v>
      </c>
      <c r="L1042" s="11">
        <v>8092</v>
      </c>
      <c r="M1042" s="11">
        <v>2235</v>
      </c>
    </row>
    <row r="1043" spans="1:13" x14ac:dyDescent="0.3">
      <c r="A1043" s="10">
        <v>6712</v>
      </c>
      <c r="B1043" s="10">
        <v>41</v>
      </c>
      <c r="C1043" s="10" t="s">
        <v>1345</v>
      </c>
      <c r="D1043" s="10">
        <v>4163</v>
      </c>
      <c r="E1043" s="10" t="s">
        <v>1371</v>
      </c>
      <c r="F1043" s="10">
        <v>0</v>
      </c>
      <c r="G1043" s="10" t="s">
        <v>343</v>
      </c>
      <c r="H1043" s="10">
        <v>0</v>
      </c>
      <c r="I1043" s="10" t="s">
        <v>343</v>
      </c>
      <c r="J1043" s="11">
        <v>3514</v>
      </c>
      <c r="K1043" s="11">
        <v>3673</v>
      </c>
      <c r="L1043" s="11">
        <v>7187</v>
      </c>
      <c r="M1043" s="11">
        <v>2842</v>
      </c>
    </row>
    <row r="1044" spans="1:13" x14ac:dyDescent="0.3">
      <c r="A1044" s="10">
        <v>6712</v>
      </c>
      <c r="B1044" s="10">
        <v>41</v>
      </c>
      <c r="C1044" s="10" t="s">
        <v>1345</v>
      </c>
      <c r="D1044" s="10">
        <v>4164</v>
      </c>
      <c r="E1044" s="10" t="s">
        <v>1372</v>
      </c>
      <c r="F1044" s="10">
        <v>0</v>
      </c>
      <c r="G1044" s="10" t="s">
        <v>343</v>
      </c>
      <c r="H1044" s="10">
        <v>0</v>
      </c>
      <c r="I1044" s="10" t="s">
        <v>343</v>
      </c>
      <c r="J1044" s="11">
        <v>8201</v>
      </c>
      <c r="K1044" s="11">
        <v>8566</v>
      </c>
      <c r="L1044" s="11">
        <v>16767</v>
      </c>
      <c r="M1044" s="11">
        <v>5405</v>
      </c>
    </row>
    <row r="1045" spans="1:13" x14ac:dyDescent="0.3">
      <c r="A1045" s="10">
        <v>6712</v>
      </c>
      <c r="B1045" s="10">
        <v>41</v>
      </c>
      <c r="C1045" s="10" t="s">
        <v>1345</v>
      </c>
      <c r="D1045" s="10">
        <v>4165</v>
      </c>
      <c r="E1045" s="10" t="s">
        <v>1373</v>
      </c>
      <c r="F1045" s="10">
        <v>0</v>
      </c>
      <c r="G1045" s="10" t="s">
        <v>343</v>
      </c>
      <c r="H1045" s="10">
        <v>0</v>
      </c>
      <c r="I1045" s="10" t="s">
        <v>343</v>
      </c>
      <c r="J1045" s="11">
        <v>5157</v>
      </c>
      <c r="K1045" s="11">
        <v>5290</v>
      </c>
      <c r="L1045" s="11">
        <v>10447</v>
      </c>
      <c r="M1045" s="11">
        <v>3361</v>
      </c>
    </row>
    <row r="1046" spans="1:13" x14ac:dyDescent="0.3">
      <c r="A1046" s="10">
        <v>6712</v>
      </c>
      <c r="B1046" s="10">
        <v>41</v>
      </c>
      <c r="C1046" s="10" t="s">
        <v>1345</v>
      </c>
      <c r="D1046" s="10">
        <v>4166</v>
      </c>
      <c r="E1046" s="10" t="s">
        <v>1374</v>
      </c>
      <c r="F1046" s="10">
        <v>0</v>
      </c>
      <c r="G1046" s="10" t="s">
        <v>343</v>
      </c>
      <c r="H1046" s="10">
        <v>0</v>
      </c>
      <c r="I1046" s="10" t="s">
        <v>343</v>
      </c>
      <c r="J1046" s="11">
        <v>2798</v>
      </c>
      <c r="K1046" s="11">
        <v>2814</v>
      </c>
      <c r="L1046" s="11">
        <v>5612</v>
      </c>
      <c r="M1046" s="11">
        <v>2173</v>
      </c>
    </row>
    <row r="1047" spans="1:13" x14ac:dyDescent="0.3">
      <c r="A1047" s="10">
        <v>6712</v>
      </c>
      <c r="B1047" s="10">
        <v>41</v>
      </c>
      <c r="C1047" s="10" t="s">
        <v>1345</v>
      </c>
      <c r="D1047" s="10">
        <v>4167</v>
      </c>
      <c r="E1047" s="10" t="s">
        <v>1375</v>
      </c>
      <c r="F1047" s="10">
        <v>0</v>
      </c>
      <c r="G1047" s="10" t="s">
        <v>343</v>
      </c>
      <c r="H1047" s="10">
        <v>0</v>
      </c>
      <c r="I1047" s="10" t="s">
        <v>343</v>
      </c>
      <c r="J1047" s="11">
        <v>4602</v>
      </c>
      <c r="K1047" s="11">
        <v>4785</v>
      </c>
      <c r="L1047" s="11">
        <v>9387</v>
      </c>
      <c r="M1047" s="11">
        <v>2879</v>
      </c>
    </row>
    <row r="1048" spans="1:13" x14ac:dyDescent="0.3">
      <c r="A1048" s="10">
        <v>6712</v>
      </c>
      <c r="B1048" s="10">
        <v>41</v>
      </c>
      <c r="C1048" s="10" t="s">
        <v>1345</v>
      </c>
      <c r="D1048" s="10">
        <v>4168</v>
      </c>
      <c r="E1048" s="10" t="s">
        <v>1375</v>
      </c>
      <c r="F1048" s="10">
        <v>0</v>
      </c>
      <c r="G1048" s="10" t="s">
        <v>343</v>
      </c>
      <c r="H1048" s="10">
        <v>0</v>
      </c>
      <c r="I1048" s="10" t="s">
        <v>343</v>
      </c>
      <c r="J1048" s="11">
        <v>4034</v>
      </c>
      <c r="K1048" s="11">
        <v>4812</v>
      </c>
      <c r="L1048" s="11">
        <v>8846</v>
      </c>
      <c r="M1048" s="11">
        <v>2909</v>
      </c>
    </row>
    <row r="1049" spans="1:13" x14ac:dyDescent="0.3">
      <c r="A1049" s="10">
        <v>6712</v>
      </c>
      <c r="B1049" s="10">
        <v>41</v>
      </c>
      <c r="C1049" s="10" t="s">
        <v>1345</v>
      </c>
      <c r="D1049" s="10">
        <v>4169</v>
      </c>
      <c r="E1049" s="10" t="s">
        <v>1376</v>
      </c>
      <c r="F1049" s="10">
        <v>0</v>
      </c>
      <c r="G1049" s="10" t="s">
        <v>343</v>
      </c>
      <c r="H1049" s="10">
        <v>0</v>
      </c>
      <c r="I1049" s="10" t="s">
        <v>343</v>
      </c>
      <c r="J1049" s="11">
        <v>5431</v>
      </c>
      <c r="K1049" s="11">
        <v>5583</v>
      </c>
      <c r="L1049" s="11">
        <v>11014</v>
      </c>
      <c r="M1049" s="11">
        <v>3558</v>
      </c>
    </row>
    <row r="1050" spans="1:13" x14ac:dyDescent="0.3">
      <c r="A1050" s="10">
        <v>6712</v>
      </c>
      <c r="B1050" s="10">
        <v>41</v>
      </c>
      <c r="C1050" s="10" t="s">
        <v>1345</v>
      </c>
      <c r="D1050" s="10">
        <v>4170</v>
      </c>
      <c r="E1050" s="10" t="s">
        <v>1377</v>
      </c>
      <c r="F1050" s="10">
        <v>0</v>
      </c>
      <c r="G1050" s="10" t="s">
        <v>343</v>
      </c>
      <c r="H1050" s="10">
        <v>0</v>
      </c>
      <c r="I1050" s="10" t="s">
        <v>343</v>
      </c>
      <c r="J1050" s="11">
        <v>1973</v>
      </c>
      <c r="K1050" s="11">
        <v>1981</v>
      </c>
      <c r="L1050" s="11">
        <v>3954</v>
      </c>
      <c r="M1050" s="11">
        <v>1007</v>
      </c>
    </row>
    <row r="1051" spans="1:13" x14ac:dyDescent="0.3">
      <c r="A1051" s="10">
        <v>6712</v>
      </c>
      <c r="B1051" s="10">
        <v>41</v>
      </c>
      <c r="C1051" s="10" t="s">
        <v>1345</v>
      </c>
      <c r="D1051" s="10">
        <v>4171</v>
      </c>
      <c r="E1051" s="10" t="s">
        <v>1378</v>
      </c>
      <c r="F1051" s="10">
        <v>0</v>
      </c>
      <c r="G1051" s="10" t="s">
        <v>343</v>
      </c>
      <c r="H1051" s="10">
        <v>0</v>
      </c>
      <c r="I1051" s="10" t="s">
        <v>343</v>
      </c>
      <c r="J1051" s="11">
        <v>1292</v>
      </c>
      <c r="K1051" s="11">
        <v>1340</v>
      </c>
      <c r="L1051" s="11">
        <v>2632</v>
      </c>
      <c r="M1051" s="11">
        <v>1674</v>
      </c>
    </row>
    <row r="1052" spans="1:13" x14ac:dyDescent="0.3">
      <c r="A1052" s="10">
        <v>6712</v>
      </c>
      <c r="B1052" s="10">
        <v>41</v>
      </c>
      <c r="C1052" s="10" t="s">
        <v>1345</v>
      </c>
      <c r="D1052" s="10">
        <v>4172</v>
      </c>
      <c r="E1052" s="10" t="s">
        <v>1379</v>
      </c>
      <c r="F1052" s="10">
        <v>0</v>
      </c>
      <c r="G1052" s="10" t="s">
        <v>343</v>
      </c>
      <c r="H1052" s="10">
        <v>0</v>
      </c>
      <c r="I1052" s="10" t="s">
        <v>343</v>
      </c>
      <c r="J1052" s="11">
        <v>4198</v>
      </c>
      <c r="K1052" s="11">
        <v>4406</v>
      </c>
      <c r="L1052" s="11">
        <v>8604</v>
      </c>
      <c r="M1052" s="11">
        <v>2673</v>
      </c>
    </row>
    <row r="1053" spans="1:13" x14ac:dyDescent="0.3">
      <c r="A1053" s="10">
        <v>6712</v>
      </c>
      <c r="B1053" s="10">
        <v>41</v>
      </c>
      <c r="C1053" s="10" t="s">
        <v>1345</v>
      </c>
      <c r="D1053" s="10">
        <v>4173</v>
      </c>
      <c r="E1053" s="10" t="s">
        <v>1380</v>
      </c>
      <c r="F1053" s="10">
        <v>0</v>
      </c>
      <c r="G1053" s="10" t="s">
        <v>343</v>
      </c>
      <c r="H1053" s="10">
        <v>0</v>
      </c>
      <c r="I1053" s="10" t="s">
        <v>343</v>
      </c>
      <c r="J1053" s="11">
        <v>4338</v>
      </c>
      <c r="K1053" s="11">
        <v>4415</v>
      </c>
      <c r="L1053" s="11">
        <v>8753</v>
      </c>
      <c r="M1053" s="11">
        <v>3569</v>
      </c>
    </row>
    <row r="1054" spans="1:13" x14ac:dyDescent="0.3">
      <c r="A1054" s="10">
        <v>6712</v>
      </c>
      <c r="B1054" s="10">
        <v>41</v>
      </c>
      <c r="C1054" s="10" t="s">
        <v>1345</v>
      </c>
      <c r="D1054" s="10">
        <v>4174</v>
      </c>
      <c r="E1054" s="10" t="s">
        <v>1381</v>
      </c>
      <c r="F1054" s="10">
        <v>0</v>
      </c>
      <c r="G1054" s="10" t="s">
        <v>343</v>
      </c>
      <c r="H1054" s="10">
        <v>0</v>
      </c>
      <c r="I1054" s="10" t="s">
        <v>343</v>
      </c>
      <c r="J1054" s="11">
        <v>3615</v>
      </c>
      <c r="K1054" s="11">
        <v>3910</v>
      </c>
      <c r="L1054" s="11">
        <v>7525</v>
      </c>
      <c r="M1054" s="11">
        <v>4343</v>
      </c>
    </row>
    <row r="1055" spans="1:13" x14ac:dyDescent="0.3">
      <c r="A1055" s="10">
        <v>6712</v>
      </c>
      <c r="B1055" s="10">
        <v>41</v>
      </c>
      <c r="C1055" s="10" t="s">
        <v>1345</v>
      </c>
      <c r="D1055" s="10">
        <v>4175</v>
      </c>
      <c r="E1055" s="10" t="s">
        <v>1382</v>
      </c>
      <c r="F1055" s="10">
        <v>0</v>
      </c>
      <c r="G1055" s="10" t="s">
        <v>343</v>
      </c>
      <c r="H1055" s="10">
        <v>0</v>
      </c>
      <c r="I1055" s="10" t="s">
        <v>343</v>
      </c>
      <c r="J1055" s="11">
        <v>7114</v>
      </c>
      <c r="K1055" s="11">
        <v>7678</v>
      </c>
      <c r="L1055" s="11">
        <v>14792</v>
      </c>
      <c r="M1055" s="11">
        <v>6671</v>
      </c>
    </row>
    <row r="1056" spans="1:13" x14ac:dyDescent="0.3">
      <c r="A1056" s="10">
        <v>6712</v>
      </c>
      <c r="B1056" s="10">
        <v>41</v>
      </c>
      <c r="C1056" s="10" t="s">
        <v>1345</v>
      </c>
      <c r="D1056" s="10">
        <v>4176</v>
      </c>
      <c r="E1056" s="10" t="s">
        <v>1383</v>
      </c>
      <c r="F1056" s="10">
        <v>0</v>
      </c>
      <c r="G1056" s="10" t="s">
        <v>343</v>
      </c>
      <c r="H1056" s="10">
        <v>0</v>
      </c>
      <c r="I1056" s="10" t="s">
        <v>343</v>
      </c>
      <c r="J1056" s="11">
        <v>2814</v>
      </c>
      <c r="K1056" s="11">
        <v>2993</v>
      </c>
      <c r="L1056" s="11">
        <v>5807</v>
      </c>
      <c r="M1056" s="11">
        <v>2958</v>
      </c>
    </row>
    <row r="1057" spans="1:13" x14ac:dyDescent="0.3">
      <c r="A1057" s="10">
        <v>6712</v>
      </c>
      <c r="B1057" s="10">
        <v>41</v>
      </c>
      <c r="C1057" s="10" t="s">
        <v>1345</v>
      </c>
      <c r="D1057" s="10">
        <v>4177</v>
      </c>
      <c r="E1057" s="10" t="s">
        <v>1384</v>
      </c>
      <c r="F1057" s="10">
        <v>0</v>
      </c>
      <c r="G1057" s="10" t="s">
        <v>343</v>
      </c>
      <c r="H1057" s="10">
        <v>0</v>
      </c>
      <c r="I1057" s="10" t="s">
        <v>343</v>
      </c>
      <c r="J1057" s="11">
        <v>2624</v>
      </c>
      <c r="K1057" s="11">
        <v>2711</v>
      </c>
      <c r="L1057" s="11">
        <v>5335</v>
      </c>
      <c r="M1057" s="11">
        <v>1970</v>
      </c>
    </row>
    <row r="1058" spans="1:13" x14ac:dyDescent="0.3">
      <c r="A1058" s="10">
        <v>6712</v>
      </c>
      <c r="B1058" s="10">
        <v>41</v>
      </c>
      <c r="C1058" s="10" t="s">
        <v>1345</v>
      </c>
      <c r="D1058" s="10">
        <v>4178</v>
      </c>
      <c r="E1058" s="10" t="s">
        <v>1385</v>
      </c>
      <c r="F1058" s="10">
        <v>0</v>
      </c>
      <c r="G1058" s="10" t="s">
        <v>343</v>
      </c>
      <c r="H1058" s="10">
        <v>0</v>
      </c>
      <c r="I1058" s="10" t="s">
        <v>343</v>
      </c>
      <c r="J1058" s="11">
        <v>3913</v>
      </c>
      <c r="K1058" s="11">
        <v>4146</v>
      </c>
      <c r="L1058" s="11">
        <v>8059</v>
      </c>
      <c r="M1058" s="11">
        <v>2575</v>
      </c>
    </row>
    <row r="1059" spans="1:13" x14ac:dyDescent="0.3">
      <c r="A1059" s="10">
        <v>6712</v>
      </c>
      <c r="B1059" s="10">
        <v>41</v>
      </c>
      <c r="C1059" s="10" t="s">
        <v>1345</v>
      </c>
      <c r="D1059" s="10">
        <v>4179</v>
      </c>
      <c r="E1059" s="10" t="s">
        <v>1386</v>
      </c>
      <c r="F1059" s="10">
        <v>0</v>
      </c>
      <c r="G1059" s="10" t="s">
        <v>343</v>
      </c>
      <c r="H1059" s="10">
        <v>0</v>
      </c>
      <c r="I1059" s="10" t="s">
        <v>343</v>
      </c>
      <c r="J1059" s="11">
        <v>3332</v>
      </c>
      <c r="K1059" s="11">
        <v>3628</v>
      </c>
      <c r="L1059" s="11">
        <v>6960</v>
      </c>
      <c r="M1059" s="11">
        <v>2308</v>
      </c>
    </row>
    <row r="1060" spans="1:13" x14ac:dyDescent="0.3">
      <c r="A1060" s="10">
        <v>6712</v>
      </c>
      <c r="B1060" s="10">
        <v>41</v>
      </c>
      <c r="C1060" s="10" t="s">
        <v>1345</v>
      </c>
      <c r="D1060" s="10">
        <v>4180</v>
      </c>
      <c r="E1060" s="10" t="s">
        <v>1387</v>
      </c>
      <c r="F1060" s="10">
        <v>0</v>
      </c>
      <c r="G1060" s="10" t="s">
        <v>343</v>
      </c>
      <c r="H1060" s="10">
        <v>0</v>
      </c>
      <c r="I1060" s="10" t="s">
        <v>343</v>
      </c>
      <c r="J1060" s="11">
        <v>1888</v>
      </c>
      <c r="K1060" s="11">
        <v>2108</v>
      </c>
      <c r="L1060" s="11">
        <v>3996</v>
      </c>
      <c r="M1060" s="11">
        <v>1926</v>
      </c>
    </row>
    <row r="1061" spans="1:13" x14ac:dyDescent="0.3">
      <c r="A1061" s="10">
        <v>6712</v>
      </c>
      <c r="B1061" s="10">
        <v>41</v>
      </c>
      <c r="C1061" s="10" t="s">
        <v>1345</v>
      </c>
      <c r="D1061" s="10">
        <v>4181</v>
      </c>
      <c r="E1061" s="10" t="s">
        <v>1388</v>
      </c>
      <c r="F1061" s="10">
        <v>0</v>
      </c>
      <c r="G1061" s="10" t="s">
        <v>343</v>
      </c>
      <c r="H1061" s="10">
        <v>0</v>
      </c>
      <c r="I1061" s="10" t="s">
        <v>343</v>
      </c>
      <c r="J1061" s="11">
        <v>4010</v>
      </c>
      <c r="K1061" s="11">
        <v>4020</v>
      </c>
      <c r="L1061" s="11">
        <v>8030</v>
      </c>
      <c r="M1061" s="11">
        <v>2371</v>
      </c>
    </row>
    <row r="1062" spans="1:13" x14ac:dyDescent="0.3">
      <c r="A1062" s="10">
        <v>6712</v>
      </c>
      <c r="B1062" s="10">
        <v>41</v>
      </c>
      <c r="C1062" s="10" t="s">
        <v>1345</v>
      </c>
      <c r="D1062" s="10">
        <v>4182</v>
      </c>
      <c r="E1062" s="10" t="s">
        <v>1389</v>
      </c>
      <c r="F1062" s="10">
        <v>0</v>
      </c>
      <c r="G1062" s="10" t="s">
        <v>343</v>
      </c>
      <c r="H1062" s="10">
        <v>0</v>
      </c>
      <c r="I1062" s="10" t="s">
        <v>343</v>
      </c>
      <c r="J1062" s="11">
        <v>2779</v>
      </c>
      <c r="K1062" s="11">
        <v>2823</v>
      </c>
      <c r="L1062" s="11">
        <v>5602</v>
      </c>
      <c r="M1062" s="11">
        <v>2047</v>
      </c>
    </row>
    <row r="1063" spans="1:13" x14ac:dyDescent="0.3">
      <c r="A1063" s="10">
        <v>6712</v>
      </c>
      <c r="B1063" s="10">
        <v>41</v>
      </c>
      <c r="C1063" s="10" t="s">
        <v>1345</v>
      </c>
      <c r="D1063" s="10">
        <v>4183</v>
      </c>
      <c r="E1063" s="10" t="s">
        <v>1390</v>
      </c>
      <c r="F1063" s="10">
        <v>0</v>
      </c>
      <c r="G1063" s="10" t="s">
        <v>343</v>
      </c>
      <c r="H1063" s="10">
        <v>0</v>
      </c>
      <c r="I1063" s="10" t="s">
        <v>343</v>
      </c>
      <c r="J1063" s="11">
        <v>2065</v>
      </c>
      <c r="K1063" s="11">
        <v>2198</v>
      </c>
      <c r="L1063" s="11">
        <v>4263</v>
      </c>
      <c r="M1063" s="11">
        <v>1801</v>
      </c>
    </row>
    <row r="1064" spans="1:13" x14ac:dyDescent="0.3">
      <c r="A1064" s="10">
        <v>6712</v>
      </c>
      <c r="B1064" s="10">
        <v>41</v>
      </c>
      <c r="C1064" s="10" t="s">
        <v>1345</v>
      </c>
      <c r="D1064" s="10">
        <v>4184</v>
      </c>
      <c r="E1064" s="10" t="s">
        <v>1391</v>
      </c>
      <c r="F1064" s="10">
        <v>0</v>
      </c>
      <c r="G1064" s="10" t="s">
        <v>343</v>
      </c>
      <c r="H1064" s="10">
        <v>0</v>
      </c>
      <c r="I1064" s="10" t="s">
        <v>343</v>
      </c>
      <c r="J1064" s="11">
        <v>2468</v>
      </c>
      <c r="K1064" s="11">
        <v>2578</v>
      </c>
      <c r="L1064" s="11">
        <v>5046</v>
      </c>
      <c r="M1064" s="11">
        <v>1760</v>
      </c>
    </row>
    <row r="1065" spans="1:13" x14ac:dyDescent="0.3">
      <c r="A1065" s="10">
        <v>6712</v>
      </c>
      <c r="B1065" s="10">
        <v>41</v>
      </c>
      <c r="C1065" s="10" t="s">
        <v>1345</v>
      </c>
      <c r="D1065" s="10">
        <v>4185</v>
      </c>
      <c r="E1065" s="10" t="s">
        <v>1392</v>
      </c>
      <c r="F1065" s="10">
        <v>0</v>
      </c>
      <c r="G1065" s="10" t="s">
        <v>343</v>
      </c>
      <c r="H1065" s="10">
        <v>0</v>
      </c>
      <c r="I1065" s="10" t="s">
        <v>343</v>
      </c>
      <c r="J1065" s="11">
        <v>2517</v>
      </c>
      <c r="K1065" s="11">
        <v>2787</v>
      </c>
      <c r="L1065" s="11">
        <v>5304</v>
      </c>
      <c r="M1065" s="11">
        <v>2752</v>
      </c>
    </row>
    <row r="1066" spans="1:13" x14ac:dyDescent="0.3">
      <c r="A1066" s="10">
        <v>6712</v>
      </c>
      <c r="B1066" s="10">
        <v>41</v>
      </c>
      <c r="C1066" s="10" t="s">
        <v>1345</v>
      </c>
      <c r="D1066" s="10">
        <v>4186</v>
      </c>
      <c r="E1066" s="10" t="s">
        <v>1393</v>
      </c>
      <c r="F1066" s="10">
        <v>0</v>
      </c>
      <c r="G1066" s="10" t="s">
        <v>343</v>
      </c>
      <c r="H1066" s="10">
        <v>0</v>
      </c>
      <c r="I1066" s="10" t="s">
        <v>343</v>
      </c>
      <c r="J1066" s="11">
        <v>3703</v>
      </c>
      <c r="K1066" s="11">
        <v>4026</v>
      </c>
      <c r="L1066" s="11">
        <v>7729</v>
      </c>
      <c r="M1066" s="11">
        <v>4609</v>
      </c>
    </row>
    <row r="1067" spans="1:13" x14ac:dyDescent="0.3">
      <c r="A1067" s="10">
        <v>6712</v>
      </c>
      <c r="B1067" s="10">
        <v>41</v>
      </c>
      <c r="C1067" s="10" t="s">
        <v>1345</v>
      </c>
      <c r="D1067" s="10">
        <v>4187</v>
      </c>
      <c r="E1067" s="10" t="s">
        <v>1394</v>
      </c>
      <c r="F1067" s="10">
        <v>0</v>
      </c>
      <c r="G1067" s="10" t="s">
        <v>343</v>
      </c>
      <c r="H1067" s="10">
        <v>0</v>
      </c>
      <c r="I1067" s="10" t="s">
        <v>343</v>
      </c>
      <c r="J1067" s="11">
        <v>3713</v>
      </c>
      <c r="K1067" s="11">
        <v>3942</v>
      </c>
      <c r="L1067" s="11">
        <v>7655</v>
      </c>
      <c r="M1067" s="11">
        <v>2421</v>
      </c>
    </row>
    <row r="1068" spans="1:13" x14ac:dyDescent="0.3">
      <c r="A1068" s="10">
        <v>6712</v>
      </c>
      <c r="B1068" s="10">
        <v>41</v>
      </c>
      <c r="C1068" s="10" t="s">
        <v>1345</v>
      </c>
      <c r="D1068" s="10">
        <v>4188</v>
      </c>
      <c r="E1068" s="10" t="s">
        <v>1395</v>
      </c>
      <c r="F1068" s="10">
        <v>0</v>
      </c>
      <c r="G1068" s="10" t="s">
        <v>343</v>
      </c>
      <c r="H1068" s="10">
        <v>0</v>
      </c>
      <c r="I1068" s="10" t="s">
        <v>343</v>
      </c>
      <c r="J1068" s="11">
        <v>4569</v>
      </c>
      <c r="K1068" s="11">
        <v>4803</v>
      </c>
      <c r="L1068" s="11">
        <v>9372</v>
      </c>
      <c r="M1068" s="11">
        <v>3045</v>
      </c>
    </row>
    <row r="1069" spans="1:13" x14ac:dyDescent="0.3">
      <c r="A1069" s="10">
        <v>6712</v>
      </c>
      <c r="B1069" s="10">
        <v>41</v>
      </c>
      <c r="C1069" s="10" t="s">
        <v>1345</v>
      </c>
      <c r="D1069" s="10">
        <v>4189</v>
      </c>
      <c r="E1069" s="10" t="s">
        <v>1396</v>
      </c>
      <c r="F1069" s="10">
        <v>0</v>
      </c>
      <c r="G1069" s="10" t="s">
        <v>343</v>
      </c>
      <c r="H1069" s="10">
        <v>0</v>
      </c>
      <c r="I1069" s="10" t="s">
        <v>343</v>
      </c>
      <c r="J1069" s="11">
        <v>1918</v>
      </c>
      <c r="K1069" s="11">
        <v>1944</v>
      </c>
      <c r="L1069" s="11">
        <v>3862</v>
      </c>
      <c r="M1069" s="11">
        <v>1121</v>
      </c>
    </row>
    <row r="1070" spans="1:13" x14ac:dyDescent="0.3">
      <c r="A1070" s="10">
        <v>6712</v>
      </c>
      <c r="B1070" s="10">
        <v>41</v>
      </c>
      <c r="C1070" s="10" t="s">
        <v>1345</v>
      </c>
      <c r="D1070" s="10">
        <v>4190</v>
      </c>
      <c r="E1070" s="10" t="s">
        <v>1397</v>
      </c>
      <c r="F1070" s="10">
        <v>0</v>
      </c>
      <c r="G1070" s="10" t="s">
        <v>343</v>
      </c>
      <c r="H1070" s="10">
        <v>0</v>
      </c>
      <c r="I1070" s="10" t="s">
        <v>343</v>
      </c>
      <c r="J1070" s="11">
        <v>1819</v>
      </c>
      <c r="K1070" s="11">
        <v>1843</v>
      </c>
      <c r="L1070" s="11">
        <v>3662</v>
      </c>
      <c r="M1070" s="10">
        <v>917</v>
      </c>
    </row>
    <row r="1071" spans="1:13" x14ac:dyDescent="0.3">
      <c r="A1071" s="10">
        <v>6712</v>
      </c>
      <c r="B1071" s="10">
        <v>41</v>
      </c>
      <c r="C1071" s="10" t="s">
        <v>1345</v>
      </c>
      <c r="D1071" s="10">
        <v>4191</v>
      </c>
      <c r="E1071" s="10" t="s">
        <v>1398</v>
      </c>
      <c r="F1071" s="10">
        <v>0</v>
      </c>
      <c r="G1071" s="10" t="s">
        <v>343</v>
      </c>
      <c r="H1071" s="10">
        <v>0</v>
      </c>
      <c r="I1071" s="10" t="s">
        <v>343</v>
      </c>
      <c r="J1071" s="11">
        <v>1968</v>
      </c>
      <c r="K1071" s="11">
        <v>2013</v>
      </c>
      <c r="L1071" s="11">
        <v>3981</v>
      </c>
      <c r="M1071" s="11">
        <v>1235</v>
      </c>
    </row>
    <row r="1072" spans="1:13" x14ac:dyDescent="0.3">
      <c r="A1072" s="10">
        <v>6712</v>
      </c>
      <c r="B1072" s="10">
        <v>41</v>
      </c>
      <c r="C1072" s="10" t="s">
        <v>1345</v>
      </c>
      <c r="D1072" s="10">
        <v>4192</v>
      </c>
      <c r="E1072" s="10" t="s">
        <v>1399</v>
      </c>
      <c r="F1072" s="10">
        <v>0</v>
      </c>
      <c r="G1072" s="10" t="s">
        <v>343</v>
      </c>
      <c r="H1072" s="10">
        <v>0</v>
      </c>
      <c r="I1072" s="10" t="s">
        <v>343</v>
      </c>
      <c r="J1072" s="11">
        <v>4797</v>
      </c>
      <c r="K1072" s="11">
        <v>5135</v>
      </c>
      <c r="L1072" s="11">
        <v>9932</v>
      </c>
      <c r="M1072" s="11">
        <v>4132</v>
      </c>
    </row>
    <row r="1073" spans="1:13" x14ac:dyDescent="0.3">
      <c r="A1073" s="10">
        <v>6712</v>
      </c>
      <c r="B1073" s="10">
        <v>41</v>
      </c>
      <c r="C1073" s="10" t="s">
        <v>1345</v>
      </c>
      <c r="D1073" s="10">
        <v>4193</v>
      </c>
      <c r="E1073" s="10" t="s">
        <v>760</v>
      </c>
      <c r="F1073" s="10">
        <v>0</v>
      </c>
      <c r="G1073" s="10" t="s">
        <v>343</v>
      </c>
      <c r="H1073" s="10">
        <v>0</v>
      </c>
      <c r="I1073" s="10" t="s">
        <v>343</v>
      </c>
      <c r="J1073" s="11">
        <v>15766</v>
      </c>
      <c r="K1073" s="11">
        <v>17646</v>
      </c>
      <c r="L1073" s="11">
        <v>33412</v>
      </c>
      <c r="M1073" s="11">
        <v>17663</v>
      </c>
    </row>
    <row r="1074" spans="1:13" x14ac:dyDescent="0.3">
      <c r="A1074" s="10">
        <v>6712</v>
      </c>
      <c r="B1074" s="10">
        <v>41</v>
      </c>
      <c r="C1074" s="10" t="s">
        <v>1345</v>
      </c>
      <c r="D1074" s="10">
        <v>4194</v>
      </c>
      <c r="E1074" s="10" t="s">
        <v>1400</v>
      </c>
      <c r="F1074" s="10">
        <v>0</v>
      </c>
      <c r="G1074" s="10" t="s">
        <v>343</v>
      </c>
      <c r="H1074" s="10">
        <v>0</v>
      </c>
      <c r="I1074" s="10" t="s">
        <v>343</v>
      </c>
      <c r="J1074" s="11">
        <v>14551</v>
      </c>
      <c r="K1074" s="11">
        <v>15928</v>
      </c>
      <c r="L1074" s="11">
        <v>30479</v>
      </c>
      <c r="M1074" s="11">
        <v>16400</v>
      </c>
    </row>
    <row r="1075" spans="1:13" x14ac:dyDescent="0.3">
      <c r="A1075" s="10">
        <v>6712</v>
      </c>
      <c r="B1075" s="10">
        <v>41</v>
      </c>
      <c r="C1075" s="10" t="s">
        <v>1345</v>
      </c>
      <c r="D1075" s="10">
        <v>4195</v>
      </c>
      <c r="E1075" s="10" t="s">
        <v>1401</v>
      </c>
      <c r="F1075" s="10">
        <v>0</v>
      </c>
      <c r="G1075" s="10" t="s">
        <v>343</v>
      </c>
      <c r="H1075" s="10">
        <v>0</v>
      </c>
      <c r="I1075" s="10" t="s">
        <v>343</v>
      </c>
      <c r="J1075" s="11">
        <v>3245</v>
      </c>
      <c r="K1075" s="11">
        <v>3901</v>
      </c>
      <c r="L1075" s="11">
        <v>7146</v>
      </c>
      <c r="M1075" s="11">
        <v>3719</v>
      </c>
    </row>
    <row r="1076" spans="1:13" x14ac:dyDescent="0.3">
      <c r="A1076" s="10">
        <v>6712</v>
      </c>
      <c r="B1076" s="10">
        <v>41</v>
      </c>
      <c r="C1076" s="10" t="s">
        <v>1345</v>
      </c>
      <c r="D1076" s="10">
        <v>4196</v>
      </c>
      <c r="E1076" s="10" t="s">
        <v>1402</v>
      </c>
      <c r="F1076" s="10">
        <v>0</v>
      </c>
      <c r="G1076" s="10" t="s">
        <v>343</v>
      </c>
      <c r="H1076" s="10">
        <v>0</v>
      </c>
      <c r="I1076" s="10" t="s">
        <v>343</v>
      </c>
      <c r="J1076" s="11">
        <v>4521</v>
      </c>
      <c r="K1076" s="11">
        <v>3866</v>
      </c>
      <c r="L1076" s="11">
        <v>8387</v>
      </c>
      <c r="M1076" s="11">
        <v>3678</v>
      </c>
    </row>
    <row r="1077" spans="1:13" x14ac:dyDescent="0.3">
      <c r="A1077" s="10">
        <v>6712</v>
      </c>
      <c r="B1077" s="10">
        <v>41</v>
      </c>
      <c r="C1077" s="10" t="s">
        <v>1345</v>
      </c>
      <c r="D1077" s="10">
        <v>4197</v>
      </c>
      <c r="E1077" s="10" t="s">
        <v>1403</v>
      </c>
      <c r="F1077" s="10">
        <v>0</v>
      </c>
      <c r="G1077" s="10" t="s">
        <v>343</v>
      </c>
      <c r="H1077" s="10">
        <v>0</v>
      </c>
      <c r="I1077" s="10" t="s">
        <v>343</v>
      </c>
      <c r="J1077" s="11">
        <v>1762</v>
      </c>
      <c r="K1077" s="11">
        <v>1895</v>
      </c>
      <c r="L1077" s="11">
        <v>3657</v>
      </c>
      <c r="M1077" s="11">
        <v>1382</v>
      </c>
    </row>
    <row r="1078" spans="1:13" x14ac:dyDescent="0.3">
      <c r="A1078" s="10">
        <v>6712</v>
      </c>
      <c r="B1078" s="10">
        <v>41</v>
      </c>
      <c r="C1078" s="10" t="s">
        <v>1345</v>
      </c>
      <c r="D1078" s="10">
        <v>4198</v>
      </c>
      <c r="E1078" s="10" t="s">
        <v>1404</v>
      </c>
      <c r="F1078" s="10">
        <v>0</v>
      </c>
      <c r="G1078" s="10" t="s">
        <v>343</v>
      </c>
      <c r="H1078" s="10">
        <v>0</v>
      </c>
      <c r="I1078" s="10" t="s">
        <v>343</v>
      </c>
      <c r="J1078" s="11">
        <v>3055</v>
      </c>
      <c r="K1078" s="11">
        <v>3271</v>
      </c>
      <c r="L1078" s="11">
        <v>6326</v>
      </c>
      <c r="M1078" s="11">
        <v>2759</v>
      </c>
    </row>
    <row r="1079" spans="1:13" x14ac:dyDescent="0.3">
      <c r="A1079" s="10">
        <v>6712</v>
      </c>
      <c r="B1079" s="10">
        <v>41</v>
      </c>
      <c r="C1079" s="10" t="s">
        <v>1345</v>
      </c>
      <c r="D1079" s="10">
        <v>4199</v>
      </c>
      <c r="E1079" s="10" t="s">
        <v>1405</v>
      </c>
      <c r="F1079" s="10">
        <v>0</v>
      </c>
      <c r="G1079" s="10" t="s">
        <v>343</v>
      </c>
      <c r="H1079" s="10">
        <v>0</v>
      </c>
      <c r="I1079" s="10" t="s">
        <v>343</v>
      </c>
      <c r="J1079" s="11">
        <v>54099</v>
      </c>
      <c r="K1079" s="11">
        <v>59861</v>
      </c>
      <c r="L1079" s="11">
        <v>113960</v>
      </c>
      <c r="M1079" s="11">
        <v>63163</v>
      </c>
    </row>
    <row r="1080" spans="1:13" x14ac:dyDescent="0.3">
      <c r="A1080" s="10">
        <v>6712</v>
      </c>
      <c r="B1080" s="10">
        <v>42</v>
      </c>
      <c r="C1080" s="10" t="s">
        <v>1406</v>
      </c>
      <c r="D1080" s="10">
        <v>0</v>
      </c>
      <c r="E1080" s="10" t="s">
        <v>343</v>
      </c>
      <c r="F1080" s="10">
        <v>0</v>
      </c>
      <c r="G1080" s="10" t="s">
        <v>343</v>
      </c>
      <c r="H1080" s="10">
        <v>0</v>
      </c>
      <c r="I1080" s="10" t="s">
        <v>343</v>
      </c>
      <c r="J1080" s="11">
        <v>315871</v>
      </c>
      <c r="K1080" s="11">
        <v>316316</v>
      </c>
      <c r="L1080" s="11">
        <v>632187</v>
      </c>
      <c r="M1080" s="11">
        <v>240382</v>
      </c>
    </row>
    <row r="1081" spans="1:13" x14ac:dyDescent="0.3">
      <c r="A1081" s="10">
        <v>6712</v>
      </c>
      <c r="B1081" s="10">
        <v>42</v>
      </c>
      <c r="C1081" s="10" t="s">
        <v>1406</v>
      </c>
      <c r="D1081" s="10">
        <v>4201</v>
      </c>
      <c r="E1081" s="10" t="s">
        <v>1407</v>
      </c>
      <c r="F1081" s="10">
        <v>0</v>
      </c>
      <c r="G1081" s="10" t="s">
        <v>343</v>
      </c>
      <c r="H1081" s="10">
        <v>0</v>
      </c>
      <c r="I1081" s="10" t="s">
        <v>343</v>
      </c>
      <c r="J1081" s="11">
        <v>29973</v>
      </c>
      <c r="K1081" s="11">
        <v>29366</v>
      </c>
      <c r="L1081" s="11">
        <v>59339</v>
      </c>
      <c r="M1081" s="11">
        <v>25177</v>
      </c>
    </row>
    <row r="1082" spans="1:13" x14ac:dyDescent="0.3">
      <c r="A1082" s="10">
        <v>6712</v>
      </c>
      <c r="B1082" s="10">
        <v>42</v>
      </c>
      <c r="C1082" s="10" t="s">
        <v>1406</v>
      </c>
      <c r="D1082" s="10">
        <v>4202</v>
      </c>
      <c r="E1082" s="10" t="s">
        <v>1408</v>
      </c>
      <c r="F1082" s="10">
        <v>0</v>
      </c>
      <c r="G1082" s="10" t="s">
        <v>343</v>
      </c>
      <c r="H1082" s="10">
        <v>0</v>
      </c>
      <c r="I1082" s="10" t="s">
        <v>343</v>
      </c>
      <c r="J1082" s="11">
        <v>4940</v>
      </c>
      <c r="K1082" s="11">
        <v>4864</v>
      </c>
      <c r="L1082" s="11">
        <v>9804</v>
      </c>
      <c r="M1082" s="11">
        <v>3846</v>
      </c>
    </row>
    <row r="1083" spans="1:13" x14ac:dyDescent="0.3">
      <c r="A1083" s="10">
        <v>6712</v>
      </c>
      <c r="B1083" s="10">
        <v>42</v>
      </c>
      <c r="C1083" s="10" t="s">
        <v>1406</v>
      </c>
      <c r="D1083" s="10">
        <v>4203</v>
      </c>
      <c r="E1083" s="10" t="s">
        <v>1409</v>
      </c>
      <c r="F1083" s="10">
        <v>0</v>
      </c>
      <c r="G1083" s="10" t="s">
        <v>343</v>
      </c>
      <c r="H1083" s="10">
        <v>0</v>
      </c>
      <c r="I1083" s="10" t="s">
        <v>343</v>
      </c>
      <c r="J1083" s="11">
        <v>18803</v>
      </c>
      <c r="K1083" s="11">
        <v>19059</v>
      </c>
      <c r="L1083" s="11">
        <v>37862</v>
      </c>
      <c r="M1083" s="11">
        <v>14890</v>
      </c>
    </row>
    <row r="1084" spans="1:13" x14ac:dyDescent="0.3">
      <c r="A1084" s="10">
        <v>6712</v>
      </c>
      <c r="B1084" s="10">
        <v>42</v>
      </c>
      <c r="C1084" s="10" t="s">
        <v>1406</v>
      </c>
      <c r="D1084" s="10">
        <v>4204</v>
      </c>
      <c r="E1084" s="10" t="s">
        <v>1410</v>
      </c>
      <c r="F1084" s="10">
        <v>0</v>
      </c>
      <c r="G1084" s="10" t="s">
        <v>343</v>
      </c>
      <c r="H1084" s="10">
        <v>0</v>
      </c>
      <c r="I1084" s="10" t="s">
        <v>343</v>
      </c>
      <c r="J1084" s="11">
        <v>17023</v>
      </c>
      <c r="K1084" s="11">
        <v>16527</v>
      </c>
      <c r="L1084" s="11">
        <v>33550</v>
      </c>
      <c r="M1084" s="11">
        <v>11815</v>
      </c>
    </row>
    <row r="1085" spans="1:13" x14ac:dyDescent="0.3">
      <c r="A1085" s="10">
        <v>6712</v>
      </c>
      <c r="B1085" s="10">
        <v>42</v>
      </c>
      <c r="C1085" s="10" t="s">
        <v>1406</v>
      </c>
      <c r="D1085" s="10">
        <v>4205</v>
      </c>
      <c r="E1085" s="10" t="s">
        <v>1411</v>
      </c>
      <c r="F1085" s="10">
        <v>0</v>
      </c>
      <c r="G1085" s="10" t="s">
        <v>343</v>
      </c>
      <c r="H1085" s="10">
        <v>0</v>
      </c>
      <c r="I1085" s="10" t="s">
        <v>343</v>
      </c>
      <c r="J1085" s="11">
        <v>24326</v>
      </c>
      <c r="K1085" s="11">
        <v>23797</v>
      </c>
      <c r="L1085" s="11">
        <v>48123</v>
      </c>
      <c r="M1085" s="11">
        <v>16959</v>
      </c>
    </row>
    <row r="1086" spans="1:13" x14ac:dyDescent="0.3">
      <c r="A1086" s="10">
        <v>6712</v>
      </c>
      <c r="B1086" s="10">
        <v>42</v>
      </c>
      <c r="C1086" s="10" t="s">
        <v>1406</v>
      </c>
      <c r="D1086" s="10">
        <v>4206</v>
      </c>
      <c r="E1086" s="10" t="s">
        <v>1412</v>
      </c>
      <c r="F1086" s="10">
        <v>0</v>
      </c>
      <c r="G1086" s="10" t="s">
        <v>343</v>
      </c>
      <c r="H1086" s="10">
        <v>0</v>
      </c>
      <c r="I1086" s="10" t="s">
        <v>343</v>
      </c>
      <c r="J1086" s="11">
        <v>4847</v>
      </c>
      <c r="K1086" s="11">
        <v>4802</v>
      </c>
      <c r="L1086" s="11">
        <v>9649</v>
      </c>
      <c r="M1086" s="11">
        <v>3255</v>
      </c>
    </row>
    <row r="1087" spans="1:13" x14ac:dyDescent="0.3">
      <c r="A1087" s="10">
        <v>6712</v>
      </c>
      <c r="B1087" s="10">
        <v>42</v>
      </c>
      <c r="C1087" s="10" t="s">
        <v>1406</v>
      </c>
      <c r="D1087" s="10">
        <v>4207</v>
      </c>
      <c r="E1087" s="10" t="s">
        <v>1413</v>
      </c>
      <c r="F1087" s="10">
        <v>0</v>
      </c>
      <c r="G1087" s="10" t="s">
        <v>343</v>
      </c>
      <c r="H1087" s="10">
        <v>0</v>
      </c>
      <c r="I1087" s="10" t="s">
        <v>343</v>
      </c>
      <c r="J1087" s="11">
        <v>10028</v>
      </c>
      <c r="K1087" s="11">
        <v>9674</v>
      </c>
      <c r="L1087" s="11">
        <v>19702</v>
      </c>
      <c r="M1087" s="11">
        <v>7713</v>
      </c>
    </row>
    <row r="1088" spans="1:13" x14ac:dyDescent="0.3">
      <c r="A1088" s="10">
        <v>6712</v>
      </c>
      <c r="B1088" s="10">
        <v>42</v>
      </c>
      <c r="C1088" s="10" t="s">
        <v>1406</v>
      </c>
      <c r="D1088" s="10">
        <v>4208</v>
      </c>
      <c r="E1088" s="10" t="s">
        <v>1414</v>
      </c>
      <c r="F1088" s="10">
        <v>0</v>
      </c>
      <c r="G1088" s="10" t="s">
        <v>343</v>
      </c>
      <c r="H1088" s="10">
        <v>0</v>
      </c>
      <c r="I1088" s="10" t="s">
        <v>343</v>
      </c>
      <c r="J1088" s="11">
        <v>12829</v>
      </c>
      <c r="K1088" s="11">
        <v>12861</v>
      </c>
      <c r="L1088" s="11">
        <v>25690</v>
      </c>
      <c r="M1088" s="11">
        <v>10443</v>
      </c>
    </row>
    <row r="1089" spans="1:13" x14ac:dyDescent="0.3">
      <c r="A1089" s="10">
        <v>6712</v>
      </c>
      <c r="B1089" s="10">
        <v>42</v>
      </c>
      <c r="C1089" s="10" t="s">
        <v>1406</v>
      </c>
      <c r="D1089" s="10">
        <v>4209</v>
      </c>
      <c r="E1089" s="10" t="s">
        <v>1415</v>
      </c>
      <c r="F1089" s="10">
        <v>0</v>
      </c>
      <c r="G1089" s="10" t="s">
        <v>343</v>
      </c>
      <c r="H1089" s="10">
        <v>0</v>
      </c>
      <c r="I1089" s="10" t="s">
        <v>343</v>
      </c>
      <c r="J1089" s="11">
        <v>49244</v>
      </c>
      <c r="K1089" s="11">
        <v>49928</v>
      </c>
      <c r="L1089" s="11">
        <v>99172</v>
      </c>
      <c r="M1089" s="11">
        <v>35939</v>
      </c>
    </row>
    <row r="1090" spans="1:13" x14ac:dyDescent="0.3">
      <c r="A1090" s="10">
        <v>6712</v>
      </c>
      <c r="B1090" s="10">
        <v>42</v>
      </c>
      <c r="C1090" s="10" t="s">
        <v>1406</v>
      </c>
      <c r="D1090" s="10">
        <v>4210</v>
      </c>
      <c r="E1090" s="10" t="s">
        <v>1416</v>
      </c>
      <c r="F1090" s="10">
        <v>0</v>
      </c>
      <c r="G1090" s="10" t="s">
        <v>343</v>
      </c>
      <c r="H1090" s="10">
        <v>0</v>
      </c>
      <c r="I1090" s="10" t="s">
        <v>343</v>
      </c>
      <c r="J1090" s="11">
        <v>13638</v>
      </c>
      <c r="K1090" s="11">
        <v>13526</v>
      </c>
      <c r="L1090" s="11">
        <v>27164</v>
      </c>
      <c r="M1090" s="11">
        <v>9273</v>
      </c>
    </row>
    <row r="1091" spans="1:13" x14ac:dyDescent="0.3">
      <c r="A1091" s="10">
        <v>6712</v>
      </c>
      <c r="B1091" s="10">
        <v>42</v>
      </c>
      <c r="C1091" s="10" t="s">
        <v>1406</v>
      </c>
      <c r="D1091" s="10">
        <v>4211</v>
      </c>
      <c r="E1091" s="10" t="s">
        <v>1417</v>
      </c>
      <c r="F1091" s="10">
        <v>0</v>
      </c>
      <c r="G1091" s="10" t="s">
        <v>343</v>
      </c>
      <c r="H1091" s="10">
        <v>0</v>
      </c>
      <c r="I1091" s="10" t="s">
        <v>343</v>
      </c>
      <c r="J1091" s="11">
        <v>12513</v>
      </c>
      <c r="K1091" s="11">
        <v>12285</v>
      </c>
      <c r="L1091" s="11">
        <v>24798</v>
      </c>
      <c r="M1091" s="11">
        <v>8147</v>
      </c>
    </row>
    <row r="1092" spans="1:13" x14ac:dyDescent="0.3">
      <c r="A1092" s="10">
        <v>6712</v>
      </c>
      <c r="B1092" s="10">
        <v>42</v>
      </c>
      <c r="C1092" s="10" t="s">
        <v>1406</v>
      </c>
      <c r="D1092" s="10">
        <v>4212</v>
      </c>
      <c r="E1092" s="10" t="s">
        <v>1418</v>
      </c>
      <c r="F1092" s="10">
        <v>0</v>
      </c>
      <c r="G1092" s="10" t="s">
        <v>343</v>
      </c>
      <c r="H1092" s="10">
        <v>0</v>
      </c>
      <c r="I1092" s="10" t="s">
        <v>343</v>
      </c>
      <c r="J1092" s="11">
        <v>15313</v>
      </c>
      <c r="K1092" s="11">
        <v>15285</v>
      </c>
      <c r="L1092" s="11">
        <v>30598</v>
      </c>
      <c r="M1092" s="11">
        <v>8801</v>
      </c>
    </row>
    <row r="1093" spans="1:13" x14ac:dyDescent="0.3">
      <c r="A1093" s="10">
        <v>6712</v>
      </c>
      <c r="B1093" s="10">
        <v>42</v>
      </c>
      <c r="C1093" s="10" t="s">
        <v>1406</v>
      </c>
      <c r="D1093" s="10">
        <v>4213</v>
      </c>
      <c r="E1093" s="10" t="s">
        <v>1419</v>
      </c>
      <c r="F1093" s="10">
        <v>0</v>
      </c>
      <c r="G1093" s="10" t="s">
        <v>343</v>
      </c>
      <c r="H1093" s="10">
        <v>0</v>
      </c>
      <c r="I1093" s="10" t="s">
        <v>343</v>
      </c>
      <c r="J1093" s="11">
        <v>16771</v>
      </c>
      <c r="K1093" s="11">
        <v>16881</v>
      </c>
      <c r="L1093" s="11">
        <v>33652</v>
      </c>
      <c r="M1093" s="11">
        <v>11926</v>
      </c>
    </row>
    <row r="1094" spans="1:13" x14ac:dyDescent="0.3">
      <c r="A1094" s="10">
        <v>6712</v>
      </c>
      <c r="B1094" s="10">
        <v>42</v>
      </c>
      <c r="C1094" s="10" t="s">
        <v>1406</v>
      </c>
      <c r="D1094" s="10">
        <v>4214</v>
      </c>
      <c r="E1094" s="10" t="s">
        <v>1420</v>
      </c>
      <c r="F1094" s="10">
        <v>0</v>
      </c>
      <c r="G1094" s="10" t="s">
        <v>343</v>
      </c>
      <c r="H1094" s="10">
        <v>0</v>
      </c>
      <c r="I1094" s="10" t="s">
        <v>343</v>
      </c>
      <c r="J1094" s="11">
        <v>10352</v>
      </c>
      <c r="K1094" s="11">
        <v>10192</v>
      </c>
      <c r="L1094" s="11">
        <v>20544</v>
      </c>
      <c r="M1094" s="11">
        <v>6434</v>
      </c>
    </row>
    <row r="1095" spans="1:13" x14ac:dyDescent="0.3">
      <c r="A1095" s="10">
        <v>6712</v>
      </c>
      <c r="B1095" s="10">
        <v>42</v>
      </c>
      <c r="C1095" s="10" t="s">
        <v>1406</v>
      </c>
      <c r="D1095" s="10">
        <v>4279</v>
      </c>
      <c r="E1095" s="10" t="s">
        <v>1421</v>
      </c>
      <c r="F1095" s="10">
        <v>0</v>
      </c>
      <c r="G1095" s="10" t="s">
        <v>343</v>
      </c>
      <c r="H1095" s="10">
        <v>0</v>
      </c>
      <c r="I1095" s="10" t="s">
        <v>343</v>
      </c>
      <c r="J1095" s="11">
        <v>5495</v>
      </c>
      <c r="K1095" s="11">
        <v>5486</v>
      </c>
      <c r="L1095" s="11">
        <v>10981</v>
      </c>
      <c r="M1095" s="11">
        <v>3630</v>
      </c>
    </row>
    <row r="1096" spans="1:13" x14ac:dyDescent="0.3">
      <c r="A1096" s="10">
        <v>6712</v>
      </c>
      <c r="B1096" s="10">
        <v>42</v>
      </c>
      <c r="C1096" s="10" t="s">
        <v>1406</v>
      </c>
      <c r="D1096" s="10">
        <v>4280</v>
      </c>
      <c r="E1096" s="10" t="s">
        <v>1422</v>
      </c>
      <c r="F1096" s="10">
        <v>0</v>
      </c>
      <c r="G1096" s="10" t="s">
        <v>343</v>
      </c>
      <c r="H1096" s="10">
        <v>0</v>
      </c>
      <c r="I1096" s="10" t="s">
        <v>343</v>
      </c>
      <c r="J1096" s="11">
        <v>4976</v>
      </c>
      <c r="K1096" s="11">
        <v>4841</v>
      </c>
      <c r="L1096" s="11">
        <v>9817</v>
      </c>
      <c r="M1096" s="11">
        <v>3041</v>
      </c>
    </row>
    <row r="1097" spans="1:13" x14ac:dyDescent="0.3">
      <c r="A1097" s="10">
        <v>6712</v>
      </c>
      <c r="B1097" s="10">
        <v>42</v>
      </c>
      <c r="C1097" s="10" t="s">
        <v>1406</v>
      </c>
      <c r="D1097" s="10">
        <v>4281</v>
      </c>
      <c r="E1097" s="10" t="s">
        <v>1423</v>
      </c>
      <c r="F1097" s="10">
        <v>0</v>
      </c>
      <c r="G1097" s="10" t="s">
        <v>343</v>
      </c>
      <c r="H1097" s="10">
        <v>0</v>
      </c>
      <c r="I1097" s="10" t="s">
        <v>343</v>
      </c>
      <c r="J1097" s="11">
        <v>4723</v>
      </c>
      <c r="K1097" s="11">
        <v>4830</v>
      </c>
      <c r="L1097" s="11">
        <v>9553</v>
      </c>
      <c r="M1097" s="11">
        <v>3557</v>
      </c>
    </row>
    <row r="1098" spans="1:13" x14ac:dyDescent="0.3">
      <c r="A1098" s="10">
        <v>6712</v>
      </c>
      <c r="B1098" s="10">
        <v>42</v>
      </c>
      <c r="C1098" s="10" t="s">
        <v>1406</v>
      </c>
      <c r="D1098" s="10">
        <v>4282</v>
      </c>
      <c r="E1098" s="10" t="s">
        <v>1424</v>
      </c>
      <c r="F1098" s="10">
        <v>0</v>
      </c>
      <c r="G1098" s="10" t="s">
        <v>343</v>
      </c>
      <c r="H1098" s="10">
        <v>0</v>
      </c>
      <c r="I1098" s="10" t="s">
        <v>343</v>
      </c>
      <c r="J1098" s="11">
        <v>5346</v>
      </c>
      <c r="K1098" s="11">
        <v>5312</v>
      </c>
      <c r="L1098" s="11">
        <v>10658</v>
      </c>
      <c r="M1098" s="11">
        <v>3846</v>
      </c>
    </row>
    <row r="1099" spans="1:13" x14ac:dyDescent="0.3">
      <c r="A1099" s="10">
        <v>6712</v>
      </c>
      <c r="B1099" s="10">
        <v>42</v>
      </c>
      <c r="C1099" s="10" t="s">
        <v>1406</v>
      </c>
      <c r="D1099" s="10">
        <v>4283</v>
      </c>
      <c r="E1099" s="10" t="s">
        <v>1425</v>
      </c>
      <c r="F1099" s="10">
        <v>0</v>
      </c>
      <c r="G1099" s="10" t="s">
        <v>343</v>
      </c>
      <c r="H1099" s="10">
        <v>0</v>
      </c>
      <c r="I1099" s="10" t="s">
        <v>343</v>
      </c>
      <c r="J1099" s="11">
        <v>5107</v>
      </c>
      <c r="K1099" s="11">
        <v>5185</v>
      </c>
      <c r="L1099" s="11">
        <v>10292</v>
      </c>
      <c r="M1099" s="11">
        <v>3679</v>
      </c>
    </row>
    <row r="1100" spans="1:13" x14ac:dyDescent="0.3">
      <c r="A1100" s="10">
        <v>6712</v>
      </c>
      <c r="B1100" s="10">
        <v>42</v>
      </c>
      <c r="C1100" s="10" t="s">
        <v>1406</v>
      </c>
      <c r="D1100" s="10">
        <v>4284</v>
      </c>
      <c r="E1100" s="10" t="s">
        <v>1426</v>
      </c>
      <c r="F1100" s="10">
        <v>0</v>
      </c>
      <c r="G1100" s="10" t="s">
        <v>343</v>
      </c>
      <c r="H1100" s="10">
        <v>0</v>
      </c>
      <c r="I1100" s="10" t="s">
        <v>343</v>
      </c>
      <c r="J1100" s="11">
        <v>6494</v>
      </c>
      <c r="K1100" s="11">
        <v>6787</v>
      </c>
      <c r="L1100" s="11">
        <v>13281</v>
      </c>
      <c r="M1100" s="11">
        <v>6516</v>
      </c>
    </row>
    <row r="1101" spans="1:13" x14ac:dyDescent="0.3">
      <c r="A1101" s="10">
        <v>6712</v>
      </c>
      <c r="B1101" s="10">
        <v>42</v>
      </c>
      <c r="C1101" s="10" t="s">
        <v>1406</v>
      </c>
      <c r="D1101" s="10">
        <v>4285</v>
      </c>
      <c r="E1101" s="10" t="s">
        <v>1427</v>
      </c>
      <c r="F1101" s="10">
        <v>0</v>
      </c>
      <c r="G1101" s="10" t="s">
        <v>343</v>
      </c>
      <c r="H1101" s="10">
        <v>0</v>
      </c>
      <c r="I1101" s="10" t="s">
        <v>343</v>
      </c>
      <c r="J1101" s="11">
        <v>3859</v>
      </c>
      <c r="K1101" s="11">
        <v>3835</v>
      </c>
      <c r="L1101" s="11">
        <v>7694</v>
      </c>
      <c r="M1101" s="11">
        <v>2250</v>
      </c>
    </row>
    <row r="1102" spans="1:13" x14ac:dyDescent="0.3">
      <c r="A1102" s="10">
        <v>6712</v>
      </c>
      <c r="B1102" s="10">
        <v>42</v>
      </c>
      <c r="C1102" s="10" t="s">
        <v>1406</v>
      </c>
      <c r="D1102" s="10">
        <v>4286</v>
      </c>
      <c r="E1102" s="10" t="s">
        <v>1428</v>
      </c>
      <c r="F1102" s="10">
        <v>0</v>
      </c>
      <c r="G1102" s="10" t="s">
        <v>343</v>
      </c>
      <c r="H1102" s="10">
        <v>0</v>
      </c>
      <c r="I1102" s="10" t="s">
        <v>343</v>
      </c>
      <c r="J1102" s="11">
        <v>2099</v>
      </c>
      <c r="K1102" s="11">
        <v>2229</v>
      </c>
      <c r="L1102" s="11">
        <v>4328</v>
      </c>
      <c r="M1102" s="11">
        <v>2163</v>
      </c>
    </row>
    <row r="1103" spans="1:13" x14ac:dyDescent="0.3">
      <c r="A1103" s="10">
        <v>6712</v>
      </c>
      <c r="B1103" s="10">
        <v>42</v>
      </c>
      <c r="C1103" s="10" t="s">
        <v>1406</v>
      </c>
      <c r="D1103" s="10">
        <v>4287</v>
      </c>
      <c r="E1103" s="10" t="s">
        <v>1429</v>
      </c>
      <c r="F1103" s="10">
        <v>0</v>
      </c>
      <c r="G1103" s="10" t="s">
        <v>343</v>
      </c>
      <c r="H1103" s="10">
        <v>0</v>
      </c>
      <c r="I1103" s="10" t="s">
        <v>343</v>
      </c>
      <c r="J1103" s="11">
        <v>3416</v>
      </c>
      <c r="K1103" s="11">
        <v>3508</v>
      </c>
      <c r="L1103" s="11">
        <v>6924</v>
      </c>
      <c r="M1103" s="11">
        <v>2834</v>
      </c>
    </row>
    <row r="1104" spans="1:13" x14ac:dyDescent="0.3">
      <c r="A1104" s="10">
        <v>6712</v>
      </c>
      <c r="B1104" s="10">
        <v>42</v>
      </c>
      <c r="C1104" s="10" t="s">
        <v>1406</v>
      </c>
      <c r="D1104" s="10">
        <v>4288</v>
      </c>
      <c r="E1104" s="10" t="s">
        <v>1430</v>
      </c>
      <c r="F1104" s="10">
        <v>0</v>
      </c>
      <c r="G1104" s="10" t="s">
        <v>343</v>
      </c>
      <c r="H1104" s="10">
        <v>0</v>
      </c>
      <c r="I1104" s="10" t="s">
        <v>343</v>
      </c>
      <c r="J1104" s="11">
        <v>4937</v>
      </c>
      <c r="K1104" s="11">
        <v>5401</v>
      </c>
      <c r="L1104" s="11">
        <v>10338</v>
      </c>
      <c r="M1104" s="11">
        <v>4736</v>
      </c>
    </row>
    <row r="1105" spans="1:13" x14ac:dyDescent="0.3">
      <c r="A1105" s="10">
        <v>6712</v>
      </c>
      <c r="B1105" s="10">
        <v>42</v>
      </c>
      <c r="C1105" s="10" t="s">
        <v>1406</v>
      </c>
      <c r="D1105" s="10">
        <v>4289</v>
      </c>
      <c r="E1105" s="10" t="s">
        <v>1431</v>
      </c>
      <c r="F1105" s="10">
        <v>0</v>
      </c>
      <c r="G1105" s="10" t="s">
        <v>343</v>
      </c>
      <c r="H1105" s="10">
        <v>0</v>
      </c>
      <c r="I1105" s="10" t="s">
        <v>343</v>
      </c>
      <c r="J1105" s="10">
        <v>825</v>
      </c>
      <c r="K1105" s="10">
        <v>901</v>
      </c>
      <c r="L1105" s="11">
        <v>1726</v>
      </c>
      <c r="M1105" s="10">
        <v>836</v>
      </c>
    </row>
    <row r="1106" spans="1:13" x14ac:dyDescent="0.3">
      <c r="A1106" s="10">
        <v>6712</v>
      </c>
      <c r="B1106" s="10">
        <v>42</v>
      </c>
      <c r="C1106" s="10" t="s">
        <v>1406</v>
      </c>
      <c r="D1106" s="10">
        <v>4290</v>
      </c>
      <c r="E1106" s="10" t="s">
        <v>1432</v>
      </c>
      <c r="F1106" s="10">
        <v>0</v>
      </c>
      <c r="G1106" s="10" t="s">
        <v>343</v>
      </c>
      <c r="H1106" s="10">
        <v>0</v>
      </c>
      <c r="I1106" s="10" t="s">
        <v>343</v>
      </c>
      <c r="J1106" s="11">
        <v>1337</v>
      </c>
      <c r="K1106" s="11">
        <v>1377</v>
      </c>
      <c r="L1106" s="11">
        <v>2714</v>
      </c>
      <c r="M1106" s="11">
        <v>1627</v>
      </c>
    </row>
    <row r="1107" spans="1:13" x14ac:dyDescent="0.3">
      <c r="A1107" s="10">
        <v>6712</v>
      </c>
      <c r="B1107" s="10">
        <v>42</v>
      </c>
      <c r="C1107" s="10" t="s">
        <v>1406</v>
      </c>
      <c r="D1107" s="10">
        <v>4291</v>
      </c>
      <c r="E1107" s="10" t="s">
        <v>1433</v>
      </c>
      <c r="F1107" s="10">
        <v>0</v>
      </c>
      <c r="G1107" s="10" t="s">
        <v>343</v>
      </c>
      <c r="H1107" s="10">
        <v>0</v>
      </c>
      <c r="I1107" s="10" t="s">
        <v>343</v>
      </c>
      <c r="J1107" s="11">
        <v>1035</v>
      </c>
      <c r="K1107" s="11">
        <v>1002</v>
      </c>
      <c r="L1107" s="11">
        <v>2037</v>
      </c>
      <c r="M1107" s="10">
        <v>965</v>
      </c>
    </row>
    <row r="1108" spans="1:13" x14ac:dyDescent="0.3">
      <c r="A1108" s="10">
        <v>6712</v>
      </c>
      <c r="B1108" s="10">
        <v>42</v>
      </c>
      <c r="C1108" s="10" t="s">
        <v>1406</v>
      </c>
      <c r="D1108" s="10">
        <v>4292</v>
      </c>
      <c r="E1108" s="10" t="s">
        <v>1434</v>
      </c>
      <c r="F1108" s="10">
        <v>0</v>
      </c>
      <c r="G1108" s="10" t="s">
        <v>343</v>
      </c>
      <c r="H1108" s="10">
        <v>0</v>
      </c>
      <c r="I1108" s="10" t="s">
        <v>343</v>
      </c>
      <c r="J1108" s="11">
        <v>1569</v>
      </c>
      <c r="K1108" s="11">
        <v>1657</v>
      </c>
      <c r="L1108" s="11">
        <v>3226</v>
      </c>
      <c r="M1108" s="11">
        <v>2048</v>
      </c>
    </row>
    <row r="1109" spans="1:13" x14ac:dyDescent="0.3">
      <c r="A1109" s="10">
        <v>6712</v>
      </c>
      <c r="B1109" s="10">
        <v>42</v>
      </c>
      <c r="C1109" s="10" t="s">
        <v>1406</v>
      </c>
      <c r="D1109" s="10">
        <v>4293</v>
      </c>
      <c r="E1109" s="10" t="s">
        <v>1435</v>
      </c>
      <c r="F1109" s="10">
        <v>0</v>
      </c>
      <c r="G1109" s="10" t="s">
        <v>343</v>
      </c>
      <c r="H1109" s="10">
        <v>0</v>
      </c>
      <c r="I1109" s="10" t="s">
        <v>343</v>
      </c>
      <c r="J1109" s="11">
        <v>1637</v>
      </c>
      <c r="K1109" s="11">
        <v>1729</v>
      </c>
      <c r="L1109" s="11">
        <v>3366</v>
      </c>
      <c r="M1109" s="11">
        <v>1637</v>
      </c>
    </row>
    <row r="1110" spans="1:13" x14ac:dyDescent="0.3">
      <c r="A1110" s="10">
        <v>6712</v>
      </c>
      <c r="B1110" s="10">
        <v>42</v>
      </c>
      <c r="C1110" s="10" t="s">
        <v>1406</v>
      </c>
      <c r="D1110" s="10">
        <v>4294</v>
      </c>
      <c r="E1110" s="10" t="s">
        <v>1436</v>
      </c>
      <c r="F1110" s="10">
        <v>0</v>
      </c>
      <c r="G1110" s="10" t="s">
        <v>343</v>
      </c>
      <c r="H1110" s="10">
        <v>0</v>
      </c>
      <c r="I1110" s="10" t="s">
        <v>343</v>
      </c>
      <c r="J1110" s="11">
        <v>2525</v>
      </c>
      <c r="K1110" s="11">
        <v>2584</v>
      </c>
      <c r="L1110" s="11">
        <v>5109</v>
      </c>
      <c r="M1110" s="11">
        <v>1715</v>
      </c>
    </row>
    <row r="1111" spans="1:13" x14ac:dyDescent="0.3">
      <c r="A1111" s="10">
        <v>6712</v>
      </c>
      <c r="B1111" s="10">
        <v>42</v>
      </c>
      <c r="C1111" s="10" t="s">
        <v>1406</v>
      </c>
      <c r="D1111" s="10">
        <v>4295</v>
      </c>
      <c r="E1111" s="10" t="s">
        <v>1437</v>
      </c>
      <c r="F1111" s="10">
        <v>0</v>
      </c>
      <c r="G1111" s="10" t="s">
        <v>343</v>
      </c>
      <c r="H1111" s="10">
        <v>0</v>
      </c>
      <c r="I1111" s="10" t="s">
        <v>343</v>
      </c>
      <c r="J1111" s="11">
        <v>2360</v>
      </c>
      <c r="K1111" s="11">
        <v>2559</v>
      </c>
      <c r="L1111" s="11">
        <v>4919</v>
      </c>
      <c r="M1111" s="11">
        <v>2895</v>
      </c>
    </row>
    <row r="1112" spans="1:13" x14ac:dyDescent="0.3">
      <c r="A1112" s="10">
        <v>6712</v>
      </c>
      <c r="B1112" s="10">
        <v>42</v>
      </c>
      <c r="C1112" s="10" t="s">
        <v>1406</v>
      </c>
      <c r="D1112" s="10">
        <v>4296</v>
      </c>
      <c r="E1112" s="10" t="s">
        <v>1438</v>
      </c>
      <c r="F1112" s="10">
        <v>0</v>
      </c>
      <c r="G1112" s="10" t="s">
        <v>343</v>
      </c>
      <c r="H1112" s="10">
        <v>0</v>
      </c>
      <c r="I1112" s="10" t="s">
        <v>343</v>
      </c>
      <c r="J1112" s="11">
        <v>3188</v>
      </c>
      <c r="K1112" s="11">
        <v>3228</v>
      </c>
      <c r="L1112" s="11">
        <v>6416</v>
      </c>
      <c r="M1112" s="11">
        <v>2461</v>
      </c>
    </row>
    <row r="1113" spans="1:13" x14ac:dyDescent="0.3">
      <c r="A1113" s="10">
        <v>6712</v>
      </c>
      <c r="B1113" s="10">
        <v>42</v>
      </c>
      <c r="C1113" s="10" t="s">
        <v>1406</v>
      </c>
      <c r="D1113" s="10">
        <v>4297</v>
      </c>
      <c r="E1113" s="10" t="s">
        <v>1439</v>
      </c>
      <c r="F1113" s="10">
        <v>0</v>
      </c>
      <c r="G1113" s="10" t="s">
        <v>343</v>
      </c>
      <c r="H1113" s="10">
        <v>0</v>
      </c>
      <c r="I1113" s="10" t="s">
        <v>343</v>
      </c>
      <c r="J1113" s="11">
        <v>1746</v>
      </c>
      <c r="K1113" s="11">
        <v>1804</v>
      </c>
      <c r="L1113" s="11">
        <v>3550</v>
      </c>
      <c r="M1113" s="11">
        <v>1274</v>
      </c>
    </row>
    <row r="1114" spans="1:13" x14ac:dyDescent="0.3">
      <c r="A1114" s="10">
        <v>6712</v>
      </c>
      <c r="B1114" s="10">
        <v>42</v>
      </c>
      <c r="C1114" s="10" t="s">
        <v>1406</v>
      </c>
      <c r="D1114" s="10">
        <v>4298</v>
      </c>
      <c r="E1114" s="10" t="s">
        <v>1440</v>
      </c>
      <c r="F1114" s="10">
        <v>0</v>
      </c>
      <c r="G1114" s="10" t="s">
        <v>343</v>
      </c>
      <c r="H1114" s="10">
        <v>0</v>
      </c>
      <c r="I1114" s="10" t="s">
        <v>343</v>
      </c>
      <c r="J1114" s="11">
        <v>2938</v>
      </c>
      <c r="K1114" s="11">
        <v>3054</v>
      </c>
      <c r="L1114" s="11">
        <v>5992</v>
      </c>
      <c r="M1114" s="11">
        <v>2416</v>
      </c>
    </row>
    <row r="1115" spans="1:13" x14ac:dyDescent="0.3">
      <c r="A1115" s="10">
        <v>6712</v>
      </c>
      <c r="B1115" s="10">
        <v>42</v>
      </c>
      <c r="C1115" s="10" t="s">
        <v>1406</v>
      </c>
      <c r="D1115" s="10">
        <v>4299</v>
      </c>
      <c r="E1115" s="10" t="s">
        <v>1441</v>
      </c>
      <c r="F1115" s="10">
        <v>0</v>
      </c>
      <c r="G1115" s="10" t="s">
        <v>343</v>
      </c>
      <c r="H1115" s="10">
        <v>0</v>
      </c>
      <c r="I1115" s="10" t="s">
        <v>343</v>
      </c>
      <c r="J1115" s="11">
        <v>9659</v>
      </c>
      <c r="K1115" s="11">
        <v>9960</v>
      </c>
      <c r="L1115" s="11">
        <v>19619</v>
      </c>
      <c r="M1115" s="11">
        <v>11638</v>
      </c>
    </row>
    <row r="1116" spans="1:13" x14ac:dyDescent="0.3">
      <c r="A1116" s="10">
        <v>6712</v>
      </c>
      <c r="B1116" s="10">
        <v>43</v>
      </c>
      <c r="C1116" s="10" t="s">
        <v>1442</v>
      </c>
      <c r="D1116" s="10">
        <v>0</v>
      </c>
      <c r="E1116" s="10" t="s">
        <v>343</v>
      </c>
      <c r="F1116" s="10">
        <v>0</v>
      </c>
      <c r="G1116" s="10" t="s">
        <v>343</v>
      </c>
      <c r="H1116" s="10">
        <v>0</v>
      </c>
      <c r="I1116" s="10" t="s">
        <v>343</v>
      </c>
      <c r="J1116" s="11">
        <v>253194</v>
      </c>
      <c r="K1116" s="11">
        <v>258512</v>
      </c>
      <c r="L1116" s="11">
        <v>511706</v>
      </c>
      <c r="M1116" s="11">
        <v>190025</v>
      </c>
    </row>
    <row r="1117" spans="1:13" x14ac:dyDescent="0.3">
      <c r="A1117" s="10">
        <v>6712</v>
      </c>
      <c r="B1117" s="10">
        <v>43</v>
      </c>
      <c r="C1117" s="10" t="s">
        <v>1442</v>
      </c>
      <c r="D1117" s="10">
        <v>4301</v>
      </c>
      <c r="E1117" s="10" t="s">
        <v>1443</v>
      </c>
      <c r="F1117" s="10">
        <v>0</v>
      </c>
      <c r="G1117" s="10" t="s">
        <v>343</v>
      </c>
      <c r="H1117" s="10">
        <v>0</v>
      </c>
      <c r="I1117" s="10" t="s">
        <v>343</v>
      </c>
      <c r="J1117" s="11">
        <v>37043</v>
      </c>
      <c r="K1117" s="11">
        <v>37750</v>
      </c>
      <c r="L1117" s="11">
        <v>74793</v>
      </c>
      <c r="M1117" s="11">
        <v>26094</v>
      </c>
    </row>
    <row r="1118" spans="1:13" x14ac:dyDescent="0.3">
      <c r="A1118" s="10">
        <v>6712</v>
      </c>
      <c r="B1118" s="10">
        <v>43</v>
      </c>
      <c r="C1118" s="10" t="s">
        <v>1442</v>
      </c>
      <c r="D1118" s="10">
        <v>4302</v>
      </c>
      <c r="E1118" s="10" t="s">
        <v>1444</v>
      </c>
      <c r="F1118" s="10">
        <v>0</v>
      </c>
      <c r="G1118" s="10" t="s">
        <v>343</v>
      </c>
      <c r="H1118" s="10">
        <v>0</v>
      </c>
      <c r="I1118" s="10" t="s">
        <v>343</v>
      </c>
      <c r="J1118" s="11">
        <v>29989</v>
      </c>
      <c r="K1118" s="11">
        <v>30856</v>
      </c>
      <c r="L1118" s="11">
        <v>60845</v>
      </c>
      <c r="M1118" s="11">
        <v>19666</v>
      </c>
    </row>
    <row r="1119" spans="1:13" x14ac:dyDescent="0.3">
      <c r="A1119" s="10">
        <v>6712</v>
      </c>
      <c r="B1119" s="10">
        <v>43</v>
      </c>
      <c r="C1119" s="10" t="s">
        <v>1442</v>
      </c>
      <c r="D1119" s="10">
        <v>4305</v>
      </c>
      <c r="E1119" s="10" t="s">
        <v>1445</v>
      </c>
      <c r="F1119" s="10">
        <v>0</v>
      </c>
      <c r="G1119" s="10" t="s">
        <v>343</v>
      </c>
      <c r="H1119" s="10">
        <v>0</v>
      </c>
      <c r="I1119" s="10" t="s">
        <v>343</v>
      </c>
      <c r="J1119" s="11">
        <v>47087</v>
      </c>
      <c r="K1119" s="11">
        <v>47704</v>
      </c>
      <c r="L1119" s="11">
        <v>94791</v>
      </c>
      <c r="M1119" s="11">
        <v>33367</v>
      </c>
    </row>
    <row r="1120" spans="1:13" x14ac:dyDescent="0.3">
      <c r="A1120" s="10">
        <v>6712</v>
      </c>
      <c r="B1120" s="10">
        <v>43</v>
      </c>
      <c r="C1120" s="10" t="s">
        <v>1442</v>
      </c>
      <c r="D1120" s="10">
        <v>4307</v>
      </c>
      <c r="E1120" s="10" t="s">
        <v>1446</v>
      </c>
      <c r="F1120" s="10">
        <v>0</v>
      </c>
      <c r="G1120" s="10" t="s">
        <v>343</v>
      </c>
      <c r="H1120" s="10">
        <v>0</v>
      </c>
      <c r="I1120" s="10" t="s">
        <v>343</v>
      </c>
      <c r="J1120" s="11">
        <v>11402</v>
      </c>
      <c r="K1120" s="11">
        <v>11770</v>
      </c>
      <c r="L1120" s="11">
        <v>23172</v>
      </c>
      <c r="M1120" s="11">
        <v>7800</v>
      </c>
    </row>
    <row r="1121" spans="1:13" x14ac:dyDescent="0.3">
      <c r="A1121" s="10">
        <v>6712</v>
      </c>
      <c r="B1121" s="10">
        <v>43</v>
      </c>
      <c r="C1121" s="10" t="s">
        <v>1442</v>
      </c>
      <c r="D1121" s="10">
        <v>4308</v>
      </c>
      <c r="E1121" s="10" t="s">
        <v>1447</v>
      </c>
      <c r="F1121" s="10">
        <v>0</v>
      </c>
      <c r="G1121" s="10" t="s">
        <v>343</v>
      </c>
      <c r="H1121" s="10">
        <v>0</v>
      </c>
      <c r="I1121" s="10" t="s">
        <v>343</v>
      </c>
      <c r="J1121" s="11">
        <v>11212</v>
      </c>
      <c r="K1121" s="11">
        <v>10995</v>
      </c>
      <c r="L1121" s="11">
        <v>22207</v>
      </c>
      <c r="M1121" s="11">
        <v>7631</v>
      </c>
    </row>
    <row r="1122" spans="1:13" x14ac:dyDescent="0.3">
      <c r="A1122" s="10">
        <v>6712</v>
      </c>
      <c r="B1122" s="10">
        <v>43</v>
      </c>
      <c r="C1122" s="10" t="s">
        <v>1442</v>
      </c>
      <c r="D1122" s="10">
        <v>4314</v>
      </c>
      <c r="E1122" s="10" t="s">
        <v>1448</v>
      </c>
      <c r="F1122" s="10">
        <v>0</v>
      </c>
      <c r="G1122" s="10" t="s">
        <v>343</v>
      </c>
      <c r="H1122" s="10">
        <v>0</v>
      </c>
      <c r="I1122" s="10" t="s">
        <v>343</v>
      </c>
      <c r="J1122" s="11">
        <v>13296</v>
      </c>
      <c r="K1122" s="11">
        <v>13192</v>
      </c>
      <c r="L1122" s="11">
        <v>26488</v>
      </c>
      <c r="M1122" s="11">
        <v>8997</v>
      </c>
    </row>
    <row r="1123" spans="1:13" x14ac:dyDescent="0.3">
      <c r="A1123" s="10">
        <v>6712</v>
      </c>
      <c r="B1123" s="10">
        <v>43</v>
      </c>
      <c r="C1123" s="10" t="s">
        <v>1442</v>
      </c>
      <c r="D1123" s="10">
        <v>4315</v>
      </c>
      <c r="E1123" s="10" t="s">
        <v>1449</v>
      </c>
      <c r="F1123" s="10">
        <v>0</v>
      </c>
      <c r="G1123" s="10" t="s">
        <v>343</v>
      </c>
      <c r="H1123" s="10">
        <v>0</v>
      </c>
      <c r="I1123" s="10" t="s">
        <v>343</v>
      </c>
      <c r="J1123" s="11">
        <v>19768</v>
      </c>
      <c r="K1123" s="11">
        <v>19801</v>
      </c>
      <c r="L1123" s="11">
        <v>39569</v>
      </c>
      <c r="M1123" s="11">
        <v>11852</v>
      </c>
    </row>
    <row r="1124" spans="1:13" x14ac:dyDescent="0.3">
      <c r="A1124" s="10">
        <v>6712</v>
      </c>
      <c r="B1124" s="10">
        <v>43</v>
      </c>
      <c r="C1124" s="10" t="s">
        <v>1442</v>
      </c>
      <c r="D1124" s="10">
        <v>4316</v>
      </c>
      <c r="E1124" s="10" t="s">
        <v>1450</v>
      </c>
      <c r="F1124" s="10">
        <v>0</v>
      </c>
      <c r="G1124" s="10" t="s">
        <v>343</v>
      </c>
      <c r="H1124" s="10">
        <v>0</v>
      </c>
      <c r="I1124" s="10" t="s">
        <v>343</v>
      </c>
      <c r="J1124" s="11">
        <v>18767</v>
      </c>
      <c r="K1124" s="11">
        <v>18760</v>
      </c>
      <c r="L1124" s="11">
        <v>37527</v>
      </c>
      <c r="M1124" s="11">
        <v>13604</v>
      </c>
    </row>
    <row r="1125" spans="1:13" x14ac:dyDescent="0.3">
      <c r="A1125" s="10">
        <v>6712</v>
      </c>
      <c r="B1125" s="10">
        <v>43</v>
      </c>
      <c r="C1125" s="10" t="s">
        <v>1442</v>
      </c>
      <c r="D1125" s="10">
        <v>4317</v>
      </c>
      <c r="E1125" s="10" t="s">
        <v>1451</v>
      </c>
      <c r="F1125" s="10">
        <v>0</v>
      </c>
      <c r="G1125" s="10" t="s">
        <v>343</v>
      </c>
      <c r="H1125" s="10">
        <v>0</v>
      </c>
      <c r="I1125" s="10" t="s">
        <v>343</v>
      </c>
      <c r="J1125" s="11">
        <v>7503</v>
      </c>
      <c r="K1125" s="11">
        <v>7572</v>
      </c>
      <c r="L1125" s="11">
        <v>15075</v>
      </c>
      <c r="M1125" s="11">
        <v>5369</v>
      </c>
    </row>
    <row r="1126" spans="1:13" x14ac:dyDescent="0.3">
      <c r="A1126" s="10">
        <v>6712</v>
      </c>
      <c r="B1126" s="10">
        <v>43</v>
      </c>
      <c r="C1126" s="10" t="s">
        <v>1442</v>
      </c>
      <c r="D1126" s="10">
        <v>4378</v>
      </c>
      <c r="E1126" s="10" t="s">
        <v>1452</v>
      </c>
      <c r="F1126" s="10">
        <v>0</v>
      </c>
      <c r="G1126" s="10" t="s">
        <v>343</v>
      </c>
      <c r="H1126" s="10">
        <v>0</v>
      </c>
      <c r="I1126" s="10" t="s">
        <v>343</v>
      </c>
      <c r="J1126" s="11">
        <v>5437</v>
      </c>
      <c r="K1126" s="11">
        <v>5500</v>
      </c>
      <c r="L1126" s="11">
        <v>10937</v>
      </c>
      <c r="M1126" s="11">
        <v>4222</v>
      </c>
    </row>
    <row r="1127" spans="1:13" x14ac:dyDescent="0.3">
      <c r="A1127" s="10">
        <v>6712</v>
      </c>
      <c r="B1127" s="10">
        <v>43</v>
      </c>
      <c r="C1127" s="10" t="s">
        <v>1442</v>
      </c>
      <c r="D1127" s="10">
        <v>4381</v>
      </c>
      <c r="E1127" s="10" t="s">
        <v>1453</v>
      </c>
      <c r="F1127" s="10">
        <v>0</v>
      </c>
      <c r="G1127" s="10" t="s">
        <v>343</v>
      </c>
      <c r="H1127" s="10">
        <v>0</v>
      </c>
      <c r="I1127" s="10" t="s">
        <v>343</v>
      </c>
      <c r="J1127" s="11">
        <v>3959</v>
      </c>
      <c r="K1127" s="11">
        <v>4229</v>
      </c>
      <c r="L1127" s="11">
        <v>8188</v>
      </c>
      <c r="M1127" s="11">
        <v>4106</v>
      </c>
    </row>
    <row r="1128" spans="1:13" x14ac:dyDescent="0.3">
      <c r="A1128" s="10">
        <v>6712</v>
      </c>
      <c r="B1128" s="10">
        <v>43</v>
      </c>
      <c r="C1128" s="10" t="s">
        <v>1442</v>
      </c>
      <c r="D1128" s="10">
        <v>4382</v>
      </c>
      <c r="E1128" s="10" t="s">
        <v>1454</v>
      </c>
      <c r="F1128" s="10">
        <v>0</v>
      </c>
      <c r="G1128" s="10" t="s">
        <v>343</v>
      </c>
      <c r="H1128" s="10">
        <v>0</v>
      </c>
      <c r="I1128" s="10" t="s">
        <v>343</v>
      </c>
      <c r="J1128" s="11">
        <v>4691</v>
      </c>
      <c r="K1128" s="11">
        <v>4883</v>
      </c>
      <c r="L1128" s="11">
        <v>9574</v>
      </c>
      <c r="M1128" s="11">
        <v>3177</v>
      </c>
    </row>
    <row r="1129" spans="1:13" x14ac:dyDescent="0.3">
      <c r="A1129" s="10">
        <v>6712</v>
      </c>
      <c r="B1129" s="10">
        <v>43</v>
      </c>
      <c r="C1129" s="10" t="s">
        <v>1442</v>
      </c>
      <c r="D1129" s="10">
        <v>4388</v>
      </c>
      <c r="E1129" s="10" t="s">
        <v>1455</v>
      </c>
      <c r="F1129" s="10">
        <v>0</v>
      </c>
      <c r="G1129" s="10" t="s">
        <v>343</v>
      </c>
      <c r="H1129" s="10">
        <v>0</v>
      </c>
      <c r="I1129" s="10" t="s">
        <v>343</v>
      </c>
      <c r="J1129" s="11">
        <v>1581</v>
      </c>
      <c r="K1129" s="11">
        <v>1661</v>
      </c>
      <c r="L1129" s="11">
        <v>3242</v>
      </c>
      <c r="M1129" s="11">
        <v>1531</v>
      </c>
    </row>
    <row r="1130" spans="1:13" x14ac:dyDescent="0.3">
      <c r="A1130" s="10">
        <v>6712</v>
      </c>
      <c r="B1130" s="10">
        <v>43</v>
      </c>
      <c r="C1130" s="10" t="s">
        <v>1442</v>
      </c>
      <c r="D1130" s="10">
        <v>4389</v>
      </c>
      <c r="E1130" s="10" t="s">
        <v>1456</v>
      </c>
      <c r="F1130" s="10">
        <v>0</v>
      </c>
      <c r="G1130" s="10" t="s">
        <v>343</v>
      </c>
      <c r="H1130" s="10">
        <v>0</v>
      </c>
      <c r="I1130" s="10" t="s">
        <v>343</v>
      </c>
      <c r="J1130" s="11">
        <v>2961</v>
      </c>
      <c r="K1130" s="11">
        <v>3110</v>
      </c>
      <c r="L1130" s="11">
        <v>6071</v>
      </c>
      <c r="M1130" s="11">
        <v>2964</v>
      </c>
    </row>
    <row r="1131" spans="1:13" x14ac:dyDescent="0.3">
      <c r="A1131" s="10">
        <v>6712</v>
      </c>
      <c r="B1131" s="10">
        <v>43</v>
      </c>
      <c r="C1131" s="10" t="s">
        <v>1442</v>
      </c>
      <c r="D1131" s="10">
        <v>4391</v>
      </c>
      <c r="E1131" s="10" t="s">
        <v>1457</v>
      </c>
      <c r="F1131" s="10">
        <v>0</v>
      </c>
      <c r="G1131" s="10" t="s">
        <v>343</v>
      </c>
      <c r="H1131" s="10">
        <v>0</v>
      </c>
      <c r="I1131" s="10" t="s">
        <v>343</v>
      </c>
      <c r="J1131" s="11">
        <v>1260</v>
      </c>
      <c r="K1131" s="11">
        <v>1246</v>
      </c>
      <c r="L1131" s="11">
        <v>2506</v>
      </c>
      <c r="M1131" s="11">
        <v>1258</v>
      </c>
    </row>
    <row r="1132" spans="1:13" x14ac:dyDescent="0.3">
      <c r="A1132" s="10">
        <v>6712</v>
      </c>
      <c r="B1132" s="10">
        <v>43</v>
      </c>
      <c r="C1132" s="10" t="s">
        <v>1442</v>
      </c>
      <c r="D1132" s="10">
        <v>4395</v>
      </c>
      <c r="E1132" s="10" t="s">
        <v>1458</v>
      </c>
      <c r="F1132" s="10">
        <v>0</v>
      </c>
      <c r="G1132" s="10" t="s">
        <v>343</v>
      </c>
      <c r="H1132" s="10">
        <v>0</v>
      </c>
      <c r="I1132" s="10" t="s">
        <v>343</v>
      </c>
      <c r="J1132" s="11">
        <v>1702</v>
      </c>
      <c r="K1132" s="11">
        <v>1933</v>
      </c>
      <c r="L1132" s="11">
        <v>3635</v>
      </c>
      <c r="M1132" s="11">
        <v>1178</v>
      </c>
    </row>
    <row r="1133" spans="1:13" x14ac:dyDescent="0.3">
      <c r="A1133" s="10">
        <v>6712</v>
      </c>
      <c r="B1133" s="10">
        <v>43</v>
      </c>
      <c r="C1133" s="10" t="s">
        <v>1442</v>
      </c>
      <c r="D1133" s="10">
        <v>4396</v>
      </c>
      <c r="E1133" s="10" t="s">
        <v>1459</v>
      </c>
      <c r="F1133" s="10">
        <v>0</v>
      </c>
      <c r="G1133" s="10" t="s">
        <v>343</v>
      </c>
      <c r="H1133" s="10">
        <v>0</v>
      </c>
      <c r="I1133" s="10" t="s">
        <v>343</v>
      </c>
      <c r="J1133" s="11">
        <v>8168</v>
      </c>
      <c r="K1133" s="11">
        <v>8626</v>
      </c>
      <c r="L1133" s="11">
        <v>16794</v>
      </c>
      <c r="M1133" s="11">
        <v>7626</v>
      </c>
    </row>
    <row r="1134" spans="1:13" x14ac:dyDescent="0.3">
      <c r="A1134" s="10">
        <v>6712</v>
      </c>
      <c r="B1134" s="10">
        <v>43</v>
      </c>
      <c r="C1134" s="10" t="s">
        <v>1442</v>
      </c>
      <c r="D1134" s="10">
        <v>4397</v>
      </c>
      <c r="E1134" s="10" t="s">
        <v>1323</v>
      </c>
      <c r="F1134" s="10">
        <v>0</v>
      </c>
      <c r="G1134" s="10" t="s">
        <v>343</v>
      </c>
      <c r="H1134" s="10">
        <v>0</v>
      </c>
      <c r="I1134" s="10" t="s">
        <v>343</v>
      </c>
      <c r="J1134" s="11">
        <v>2531</v>
      </c>
      <c r="K1134" s="11">
        <v>2573</v>
      </c>
      <c r="L1134" s="11">
        <v>5104</v>
      </c>
      <c r="M1134" s="11">
        <v>2168</v>
      </c>
    </row>
    <row r="1135" spans="1:13" x14ac:dyDescent="0.3">
      <c r="A1135" s="10">
        <v>6712</v>
      </c>
      <c r="B1135" s="10">
        <v>43</v>
      </c>
      <c r="C1135" s="10" t="s">
        <v>1442</v>
      </c>
      <c r="D1135" s="10">
        <v>4398</v>
      </c>
      <c r="E1135" s="10" t="s">
        <v>1460</v>
      </c>
      <c r="F1135" s="10">
        <v>0</v>
      </c>
      <c r="G1135" s="10" t="s">
        <v>343</v>
      </c>
      <c r="H1135" s="10">
        <v>0</v>
      </c>
      <c r="I1135" s="10" t="s">
        <v>343</v>
      </c>
      <c r="J1135" s="11">
        <v>2737</v>
      </c>
      <c r="K1135" s="11">
        <v>3011</v>
      </c>
      <c r="L1135" s="11">
        <v>5748</v>
      </c>
      <c r="M1135" s="11">
        <v>1960</v>
      </c>
    </row>
    <row r="1136" spans="1:13" x14ac:dyDescent="0.3">
      <c r="A1136" s="10">
        <v>6712</v>
      </c>
      <c r="B1136" s="10">
        <v>43</v>
      </c>
      <c r="C1136" s="10" t="s">
        <v>1442</v>
      </c>
      <c r="D1136" s="10">
        <v>4399</v>
      </c>
      <c r="E1136" s="10" t="s">
        <v>1461</v>
      </c>
      <c r="F1136" s="10">
        <v>0</v>
      </c>
      <c r="G1136" s="10" t="s">
        <v>343</v>
      </c>
      <c r="H1136" s="10">
        <v>0</v>
      </c>
      <c r="I1136" s="10" t="s">
        <v>343</v>
      </c>
      <c r="J1136" s="11">
        <v>22100</v>
      </c>
      <c r="K1136" s="11">
        <v>23340</v>
      </c>
      <c r="L1136" s="11">
        <v>45440</v>
      </c>
      <c r="M1136" s="11">
        <v>25455</v>
      </c>
    </row>
    <row r="1137" spans="1:13" x14ac:dyDescent="0.3">
      <c r="A1137" s="10">
        <v>6712</v>
      </c>
      <c r="B1137" s="10">
        <v>44</v>
      </c>
      <c r="C1137" s="10" t="s">
        <v>1462</v>
      </c>
      <c r="D1137" s="10">
        <v>0</v>
      </c>
      <c r="E1137" s="10" t="s">
        <v>343</v>
      </c>
      <c r="F1137" s="10">
        <v>0</v>
      </c>
      <c r="G1137" s="10" t="s">
        <v>343</v>
      </c>
      <c r="H1137" s="10">
        <v>0</v>
      </c>
      <c r="I1137" s="10" t="s">
        <v>343</v>
      </c>
      <c r="J1137" s="11">
        <v>456246</v>
      </c>
      <c r="K1137" s="11">
        <v>473706</v>
      </c>
      <c r="L1137" s="11">
        <v>929952</v>
      </c>
      <c r="M1137" s="11">
        <v>321366</v>
      </c>
    </row>
    <row r="1138" spans="1:13" x14ac:dyDescent="0.3">
      <c r="A1138" s="10">
        <v>6712</v>
      </c>
      <c r="B1138" s="10">
        <v>44</v>
      </c>
      <c r="C1138" s="10" t="s">
        <v>1462</v>
      </c>
      <c r="D1138" s="10">
        <v>4401</v>
      </c>
      <c r="E1138" s="10" t="s">
        <v>1463</v>
      </c>
      <c r="F1138" s="10">
        <v>0</v>
      </c>
      <c r="G1138" s="10" t="s">
        <v>343</v>
      </c>
      <c r="H1138" s="10">
        <v>0</v>
      </c>
      <c r="I1138" s="10" t="s">
        <v>343</v>
      </c>
      <c r="J1138" s="11">
        <v>49819</v>
      </c>
      <c r="K1138" s="11">
        <v>52236</v>
      </c>
      <c r="L1138" s="11">
        <v>102055</v>
      </c>
      <c r="M1138" s="11">
        <v>38380</v>
      </c>
    </row>
    <row r="1139" spans="1:13" x14ac:dyDescent="0.3">
      <c r="A1139" s="10">
        <v>6712</v>
      </c>
      <c r="B1139" s="10">
        <v>44</v>
      </c>
      <c r="C1139" s="10" t="s">
        <v>1462</v>
      </c>
      <c r="D1139" s="10">
        <v>4402</v>
      </c>
      <c r="E1139" s="10" t="s">
        <v>1464</v>
      </c>
      <c r="F1139" s="10">
        <v>0</v>
      </c>
      <c r="G1139" s="10" t="s">
        <v>343</v>
      </c>
      <c r="H1139" s="10">
        <v>0</v>
      </c>
      <c r="I1139" s="10" t="s">
        <v>343</v>
      </c>
      <c r="J1139" s="11">
        <v>12138</v>
      </c>
      <c r="K1139" s="11">
        <v>12101</v>
      </c>
      <c r="L1139" s="11">
        <v>24239</v>
      </c>
      <c r="M1139" s="11">
        <v>6792</v>
      </c>
    </row>
    <row r="1140" spans="1:13" x14ac:dyDescent="0.3">
      <c r="A1140" s="10">
        <v>6712</v>
      </c>
      <c r="B1140" s="10">
        <v>44</v>
      </c>
      <c r="C1140" s="10" t="s">
        <v>1462</v>
      </c>
      <c r="D1140" s="10">
        <v>4403</v>
      </c>
      <c r="E1140" s="10" t="s">
        <v>1465</v>
      </c>
      <c r="F1140" s="10">
        <v>0</v>
      </c>
      <c r="G1140" s="10" t="s">
        <v>343</v>
      </c>
      <c r="H1140" s="10">
        <v>0</v>
      </c>
      <c r="I1140" s="10" t="s">
        <v>343</v>
      </c>
      <c r="J1140" s="11">
        <v>53150</v>
      </c>
      <c r="K1140" s="11">
        <v>54933</v>
      </c>
      <c r="L1140" s="11">
        <v>108083</v>
      </c>
      <c r="M1140" s="11">
        <v>32897</v>
      </c>
    </row>
    <row r="1141" spans="1:13" x14ac:dyDescent="0.3">
      <c r="A1141" s="10">
        <v>6712</v>
      </c>
      <c r="B1141" s="10">
        <v>44</v>
      </c>
      <c r="C1141" s="10" t="s">
        <v>1462</v>
      </c>
      <c r="D1141" s="10">
        <v>4404</v>
      </c>
      <c r="E1141" s="10" t="s">
        <v>1466</v>
      </c>
      <c r="F1141" s="10">
        <v>0</v>
      </c>
      <c r="G1141" s="10" t="s">
        <v>343</v>
      </c>
      <c r="H1141" s="10">
        <v>0</v>
      </c>
      <c r="I1141" s="10" t="s">
        <v>343</v>
      </c>
      <c r="J1141" s="11">
        <v>26783</v>
      </c>
      <c r="K1141" s="11">
        <v>27982</v>
      </c>
      <c r="L1141" s="11">
        <v>54765</v>
      </c>
      <c r="M1141" s="11">
        <v>17194</v>
      </c>
    </row>
    <row r="1142" spans="1:13" x14ac:dyDescent="0.3">
      <c r="A1142" s="10">
        <v>6712</v>
      </c>
      <c r="B1142" s="10">
        <v>44</v>
      </c>
      <c r="C1142" s="10" t="s">
        <v>1462</v>
      </c>
      <c r="D1142" s="10">
        <v>4405</v>
      </c>
      <c r="E1142" s="10" t="s">
        <v>1467</v>
      </c>
      <c r="F1142" s="10">
        <v>0</v>
      </c>
      <c r="G1142" s="10" t="s">
        <v>343</v>
      </c>
      <c r="H1142" s="10">
        <v>0</v>
      </c>
      <c r="I1142" s="10" t="s">
        <v>343</v>
      </c>
      <c r="J1142" s="11">
        <v>26966</v>
      </c>
      <c r="K1142" s="11">
        <v>28004</v>
      </c>
      <c r="L1142" s="11">
        <v>54970</v>
      </c>
      <c r="M1142" s="11">
        <v>18898</v>
      </c>
    </row>
    <row r="1143" spans="1:13" x14ac:dyDescent="0.3">
      <c r="A1143" s="10">
        <v>6712</v>
      </c>
      <c r="B1143" s="10">
        <v>44</v>
      </c>
      <c r="C1143" s="10" t="s">
        <v>1462</v>
      </c>
      <c r="D1143" s="10">
        <v>4406</v>
      </c>
      <c r="E1143" s="10" t="s">
        <v>1468</v>
      </c>
      <c r="F1143" s="10">
        <v>0</v>
      </c>
      <c r="G1143" s="10" t="s">
        <v>343</v>
      </c>
      <c r="H1143" s="10">
        <v>0</v>
      </c>
      <c r="I1143" s="10" t="s">
        <v>343</v>
      </c>
      <c r="J1143" s="11">
        <v>49969</v>
      </c>
      <c r="K1143" s="11">
        <v>50334</v>
      </c>
      <c r="L1143" s="11">
        <v>100303</v>
      </c>
      <c r="M1143" s="11">
        <v>35471</v>
      </c>
    </row>
    <row r="1144" spans="1:13" x14ac:dyDescent="0.3">
      <c r="A1144" s="10">
        <v>6712</v>
      </c>
      <c r="B1144" s="10">
        <v>44</v>
      </c>
      <c r="C1144" s="10" t="s">
        <v>1462</v>
      </c>
      <c r="D1144" s="10">
        <v>4407</v>
      </c>
      <c r="E1144" s="10" t="s">
        <v>1469</v>
      </c>
      <c r="F1144" s="10">
        <v>0</v>
      </c>
      <c r="G1144" s="10" t="s">
        <v>343</v>
      </c>
      <c r="H1144" s="10">
        <v>0</v>
      </c>
      <c r="I1144" s="10" t="s">
        <v>343</v>
      </c>
      <c r="J1144" s="11">
        <v>28114</v>
      </c>
      <c r="K1144" s="11">
        <v>28508</v>
      </c>
      <c r="L1144" s="11">
        <v>56622</v>
      </c>
      <c r="M1144" s="11">
        <v>18164</v>
      </c>
    </row>
    <row r="1145" spans="1:13" x14ac:dyDescent="0.3">
      <c r="A1145" s="10">
        <v>6712</v>
      </c>
      <c r="B1145" s="10">
        <v>44</v>
      </c>
      <c r="C1145" s="10" t="s">
        <v>1462</v>
      </c>
      <c r="D1145" s="10">
        <v>4408</v>
      </c>
      <c r="E1145" s="10" t="s">
        <v>1470</v>
      </c>
      <c r="F1145" s="10">
        <v>0</v>
      </c>
      <c r="G1145" s="10" t="s">
        <v>343</v>
      </c>
      <c r="H1145" s="10">
        <v>0</v>
      </c>
      <c r="I1145" s="10" t="s">
        <v>343</v>
      </c>
      <c r="J1145" s="11">
        <v>39005</v>
      </c>
      <c r="K1145" s="11">
        <v>39632</v>
      </c>
      <c r="L1145" s="11">
        <v>78637</v>
      </c>
      <c r="M1145" s="11">
        <v>23095</v>
      </c>
    </row>
    <row r="1146" spans="1:13" x14ac:dyDescent="0.3">
      <c r="A1146" s="10">
        <v>6712</v>
      </c>
      <c r="B1146" s="10">
        <v>44</v>
      </c>
      <c r="C1146" s="10" t="s">
        <v>1462</v>
      </c>
      <c r="D1146" s="10">
        <v>4409</v>
      </c>
      <c r="E1146" s="10" t="s">
        <v>1471</v>
      </c>
      <c r="F1146" s="10">
        <v>0</v>
      </c>
      <c r="G1146" s="10" t="s">
        <v>343</v>
      </c>
      <c r="H1146" s="10">
        <v>0</v>
      </c>
      <c r="I1146" s="10" t="s">
        <v>343</v>
      </c>
      <c r="J1146" s="11">
        <v>52713</v>
      </c>
      <c r="K1146" s="11">
        <v>53615</v>
      </c>
      <c r="L1146" s="11">
        <v>106328</v>
      </c>
      <c r="M1146" s="11">
        <v>31602</v>
      </c>
    </row>
    <row r="1147" spans="1:13" x14ac:dyDescent="0.3">
      <c r="A1147" s="10">
        <v>6712</v>
      </c>
      <c r="B1147" s="10">
        <v>44</v>
      </c>
      <c r="C1147" s="10" t="s">
        <v>1462</v>
      </c>
      <c r="D1147" s="10">
        <v>4410</v>
      </c>
      <c r="E1147" s="10" t="s">
        <v>1472</v>
      </c>
      <c r="F1147" s="10">
        <v>0</v>
      </c>
      <c r="G1147" s="10" t="s">
        <v>343</v>
      </c>
      <c r="H1147" s="10">
        <v>0</v>
      </c>
      <c r="I1147" s="10" t="s">
        <v>343</v>
      </c>
      <c r="J1147" s="11">
        <v>16036</v>
      </c>
      <c r="K1147" s="11">
        <v>16271</v>
      </c>
      <c r="L1147" s="11">
        <v>32307</v>
      </c>
      <c r="M1147" s="11">
        <v>8999</v>
      </c>
    </row>
    <row r="1148" spans="1:13" x14ac:dyDescent="0.3">
      <c r="A1148" s="10">
        <v>6712</v>
      </c>
      <c r="B1148" s="10">
        <v>44</v>
      </c>
      <c r="C1148" s="10" t="s">
        <v>1462</v>
      </c>
      <c r="D1148" s="10">
        <v>4411</v>
      </c>
      <c r="E1148" s="10" t="s">
        <v>1473</v>
      </c>
      <c r="F1148" s="10">
        <v>0</v>
      </c>
      <c r="G1148" s="10" t="s">
        <v>343</v>
      </c>
      <c r="H1148" s="10">
        <v>0</v>
      </c>
      <c r="I1148" s="10" t="s">
        <v>343</v>
      </c>
      <c r="J1148" s="11">
        <v>17114</v>
      </c>
      <c r="K1148" s="11">
        <v>17301</v>
      </c>
      <c r="L1148" s="11">
        <v>34415</v>
      </c>
      <c r="M1148" s="11">
        <v>10234</v>
      </c>
    </row>
    <row r="1149" spans="1:13" x14ac:dyDescent="0.3">
      <c r="A1149" s="10">
        <v>6712</v>
      </c>
      <c r="B1149" s="10">
        <v>44</v>
      </c>
      <c r="C1149" s="10" t="s">
        <v>1462</v>
      </c>
      <c r="D1149" s="10">
        <v>4412</v>
      </c>
      <c r="E1149" s="10" t="s">
        <v>1474</v>
      </c>
      <c r="F1149" s="10">
        <v>0</v>
      </c>
      <c r="G1149" s="10" t="s">
        <v>343</v>
      </c>
      <c r="H1149" s="10">
        <v>0</v>
      </c>
      <c r="I1149" s="10" t="s">
        <v>343</v>
      </c>
      <c r="J1149" s="11">
        <v>18434</v>
      </c>
      <c r="K1149" s="11">
        <v>18291</v>
      </c>
      <c r="L1149" s="11">
        <v>36725</v>
      </c>
      <c r="M1149" s="11">
        <v>11062</v>
      </c>
    </row>
    <row r="1150" spans="1:13" x14ac:dyDescent="0.3">
      <c r="A1150" s="10">
        <v>6712</v>
      </c>
      <c r="B1150" s="10">
        <v>44</v>
      </c>
      <c r="C1150" s="10" t="s">
        <v>1462</v>
      </c>
      <c r="D1150" s="10">
        <v>4413</v>
      </c>
      <c r="E1150" s="10" t="s">
        <v>1475</v>
      </c>
      <c r="F1150" s="10">
        <v>0</v>
      </c>
      <c r="G1150" s="10" t="s">
        <v>343</v>
      </c>
      <c r="H1150" s="10">
        <v>0</v>
      </c>
      <c r="I1150" s="10" t="s">
        <v>343</v>
      </c>
      <c r="J1150" s="11">
        <v>11903</v>
      </c>
      <c r="K1150" s="11">
        <v>12394</v>
      </c>
      <c r="L1150" s="11">
        <v>24297</v>
      </c>
      <c r="M1150" s="11">
        <v>7263</v>
      </c>
    </row>
    <row r="1151" spans="1:13" x14ac:dyDescent="0.3">
      <c r="A1151" s="10">
        <v>6712</v>
      </c>
      <c r="B1151" s="10">
        <v>44</v>
      </c>
      <c r="C1151" s="10" t="s">
        <v>1462</v>
      </c>
      <c r="D1151" s="10">
        <v>4487</v>
      </c>
      <c r="E1151" s="10" t="s">
        <v>1476</v>
      </c>
      <c r="F1151" s="10">
        <v>0</v>
      </c>
      <c r="G1151" s="10" t="s">
        <v>343</v>
      </c>
      <c r="H1151" s="10">
        <v>0</v>
      </c>
      <c r="I1151" s="10" t="s">
        <v>343</v>
      </c>
      <c r="J1151" s="11">
        <v>5185</v>
      </c>
      <c r="K1151" s="11">
        <v>6473</v>
      </c>
      <c r="L1151" s="11">
        <v>11658</v>
      </c>
      <c r="M1151" s="11">
        <v>6032</v>
      </c>
    </row>
    <row r="1152" spans="1:13" x14ac:dyDescent="0.3">
      <c r="A1152" s="10">
        <v>6712</v>
      </c>
      <c r="B1152" s="10">
        <v>44</v>
      </c>
      <c r="C1152" s="10" t="s">
        <v>1462</v>
      </c>
      <c r="D1152" s="10">
        <v>4488</v>
      </c>
      <c r="E1152" s="10" t="s">
        <v>1477</v>
      </c>
      <c r="F1152" s="10">
        <v>0</v>
      </c>
      <c r="G1152" s="10" t="s">
        <v>343</v>
      </c>
      <c r="H1152" s="10">
        <v>0</v>
      </c>
      <c r="I1152" s="10" t="s">
        <v>343</v>
      </c>
      <c r="J1152" s="11">
        <v>4277</v>
      </c>
      <c r="K1152" s="11">
        <v>4595</v>
      </c>
      <c r="L1152" s="11">
        <v>8872</v>
      </c>
      <c r="M1152" s="11">
        <v>6995</v>
      </c>
    </row>
    <row r="1153" spans="1:13" x14ac:dyDescent="0.3">
      <c r="A1153" s="10">
        <v>6712</v>
      </c>
      <c r="B1153" s="10">
        <v>44</v>
      </c>
      <c r="C1153" s="10" t="s">
        <v>1462</v>
      </c>
      <c r="D1153" s="10">
        <v>4489</v>
      </c>
      <c r="E1153" s="10" t="s">
        <v>1478</v>
      </c>
      <c r="F1153" s="10">
        <v>0</v>
      </c>
      <c r="G1153" s="10" t="s">
        <v>343</v>
      </c>
      <c r="H1153" s="10">
        <v>0</v>
      </c>
      <c r="I1153" s="10" t="s">
        <v>343</v>
      </c>
      <c r="J1153" s="11">
        <v>2358</v>
      </c>
      <c r="K1153" s="11">
        <v>2319</v>
      </c>
      <c r="L1153" s="11">
        <v>4677</v>
      </c>
      <c r="M1153" s="11">
        <v>1932</v>
      </c>
    </row>
    <row r="1154" spans="1:13" x14ac:dyDescent="0.3">
      <c r="A1154" s="10">
        <v>6712</v>
      </c>
      <c r="B1154" s="10">
        <v>44</v>
      </c>
      <c r="C1154" s="10" t="s">
        <v>1462</v>
      </c>
      <c r="D1154" s="10">
        <v>4490</v>
      </c>
      <c r="E1154" s="10" t="s">
        <v>1479</v>
      </c>
      <c r="F1154" s="10">
        <v>0</v>
      </c>
      <c r="G1154" s="10" t="s">
        <v>343</v>
      </c>
      <c r="H1154" s="10">
        <v>0</v>
      </c>
      <c r="I1154" s="10" t="s">
        <v>343</v>
      </c>
      <c r="J1154" s="11">
        <v>2142</v>
      </c>
      <c r="K1154" s="11">
        <v>2375</v>
      </c>
      <c r="L1154" s="11">
        <v>4517</v>
      </c>
      <c r="M1154" s="11">
        <v>2474</v>
      </c>
    </row>
    <row r="1155" spans="1:13" x14ac:dyDescent="0.3">
      <c r="A1155" s="10">
        <v>6712</v>
      </c>
      <c r="B1155" s="10">
        <v>44</v>
      </c>
      <c r="C1155" s="10" t="s">
        <v>1462</v>
      </c>
      <c r="D1155" s="10">
        <v>4491</v>
      </c>
      <c r="E1155" s="10" t="s">
        <v>1480</v>
      </c>
      <c r="F1155" s="10">
        <v>0</v>
      </c>
      <c r="G1155" s="10" t="s">
        <v>343</v>
      </c>
      <c r="H1155" s="10">
        <v>0</v>
      </c>
      <c r="I1155" s="10" t="s">
        <v>343</v>
      </c>
      <c r="J1155" s="11">
        <v>3748</v>
      </c>
      <c r="K1155" s="11">
        <v>4187</v>
      </c>
      <c r="L1155" s="11">
        <v>7935</v>
      </c>
      <c r="M1155" s="11">
        <v>4471</v>
      </c>
    </row>
    <row r="1156" spans="1:13" x14ac:dyDescent="0.3">
      <c r="A1156" s="10">
        <v>6712</v>
      </c>
      <c r="B1156" s="10">
        <v>44</v>
      </c>
      <c r="C1156" s="10" t="s">
        <v>1462</v>
      </c>
      <c r="D1156" s="10">
        <v>4492</v>
      </c>
      <c r="E1156" s="10" t="s">
        <v>1481</v>
      </c>
      <c r="F1156" s="10">
        <v>0</v>
      </c>
      <c r="G1156" s="10" t="s">
        <v>343</v>
      </c>
      <c r="H1156" s="10">
        <v>0</v>
      </c>
      <c r="I1156" s="10" t="s">
        <v>343</v>
      </c>
      <c r="J1156" s="11">
        <v>1771</v>
      </c>
      <c r="K1156" s="11">
        <v>1893</v>
      </c>
      <c r="L1156" s="11">
        <v>3664</v>
      </c>
      <c r="M1156" s="11">
        <v>2210</v>
      </c>
    </row>
    <row r="1157" spans="1:13" x14ac:dyDescent="0.3">
      <c r="A1157" s="10">
        <v>6712</v>
      </c>
      <c r="B1157" s="10">
        <v>44</v>
      </c>
      <c r="C1157" s="10" t="s">
        <v>1462</v>
      </c>
      <c r="D1157" s="10">
        <v>4493</v>
      </c>
      <c r="E1157" s="10" t="s">
        <v>1482</v>
      </c>
      <c r="F1157" s="10">
        <v>0</v>
      </c>
      <c r="G1157" s="10" t="s">
        <v>343</v>
      </c>
      <c r="H1157" s="10">
        <v>0</v>
      </c>
      <c r="I1157" s="10" t="s">
        <v>343</v>
      </c>
      <c r="J1157" s="11">
        <v>2389</v>
      </c>
      <c r="K1157" s="11">
        <v>2890</v>
      </c>
      <c r="L1157" s="11">
        <v>5279</v>
      </c>
      <c r="M1157" s="11">
        <v>2431</v>
      </c>
    </row>
    <row r="1158" spans="1:13" x14ac:dyDescent="0.3">
      <c r="A1158" s="10">
        <v>6712</v>
      </c>
      <c r="B1158" s="10">
        <v>44</v>
      </c>
      <c r="C1158" s="10" t="s">
        <v>1462</v>
      </c>
      <c r="D1158" s="10">
        <v>4494</v>
      </c>
      <c r="E1158" s="10" t="s">
        <v>1483</v>
      </c>
      <c r="F1158" s="10">
        <v>0</v>
      </c>
      <c r="G1158" s="10" t="s">
        <v>343</v>
      </c>
      <c r="H1158" s="10">
        <v>0</v>
      </c>
      <c r="I1158" s="10" t="s">
        <v>343</v>
      </c>
      <c r="J1158" s="11">
        <v>2152</v>
      </c>
      <c r="K1158" s="11">
        <v>2329</v>
      </c>
      <c r="L1158" s="11">
        <v>4481</v>
      </c>
      <c r="M1158" s="11">
        <v>2483</v>
      </c>
    </row>
    <row r="1159" spans="1:13" x14ac:dyDescent="0.3">
      <c r="A1159" s="10">
        <v>6712</v>
      </c>
      <c r="B1159" s="10">
        <v>44</v>
      </c>
      <c r="C1159" s="10" t="s">
        <v>1462</v>
      </c>
      <c r="D1159" s="10">
        <v>4495</v>
      </c>
      <c r="E1159" s="10" t="s">
        <v>1484</v>
      </c>
      <c r="F1159" s="10">
        <v>0</v>
      </c>
      <c r="G1159" s="10" t="s">
        <v>343</v>
      </c>
      <c r="H1159" s="10">
        <v>0</v>
      </c>
      <c r="I1159" s="10" t="s">
        <v>343</v>
      </c>
      <c r="J1159" s="11">
        <v>1525</v>
      </c>
      <c r="K1159" s="11">
        <v>1753</v>
      </c>
      <c r="L1159" s="11">
        <v>3278</v>
      </c>
      <c r="M1159" s="11">
        <v>1551</v>
      </c>
    </row>
    <row r="1160" spans="1:13" x14ac:dyDescent="0.3">
      <c r="A1160" s="10">
        <v>6712</v>
      </c>
      <c r="B1160" s="10">
        <v>44</v>
      </c>
      <c r="C1160" s="10" t="s">
        <v>1462</v>
      </c>
      <c r="D1160" s="10">
        <v>4496</v>
      </c>
      <c r="E1160" s="10" t="s">
        <v>1485</v>
      </c>
      <c r="F1160" s="10">
        <v>0</v>
      </c>
      <c r="G1160" s="10" t="s">
        <v>343</v>
      </c>
      <c r="H1160" s="10">
        <v>0</v>
      </c>
      <c r="I1160" s="10" t="s">
        <v>343</v>
      </c>
      <c r="J1160" s="11">
        <v>4210</v>
      </c>
      <c r="K1160" s="11">
        <v>4624</v>
      </c>
      <c r="L1160" s="11">
        <v>8834</v>
      </c>
      <c r="M1160" s="11">
        <v>4491</v>
      </c>
    </row>
    <row r="1161" spans="1:13" x14ac:dyDescent="0.3">
      <c r="A1161" s="10">
        <v>6712</v>
      </c>
      <c r="B1161" s="10">
        <v>44</v>
      </c>
      <c r="C1161" s="10" t="s">
        <v>1462</v>
      </c>
      <c r="D1161" s="10">
        <v>4497</v>
      </c>
      <c r="E1161" s="10" t="s">
        <v>1486</v>
      </c>
      <c r="F1161" s="10">
        <v>0</v>
      </c>
      <c r="G1161" s="10" t="s">
        <v>343</v>
      </c>
      <c r="H1161" s="10">
        <v>0</v>
      </c>
      <c r="I1161" s="10" t="s">
        <v>343</v>
      </c>
      <c r="J1161" s="11">
        <v>2621</v>
      </c>
      <c r="K1161" s="11">
        <v>2621</v>
      </c>
      <c r="L1161" s="11">
        <v>5242</v>
      </c>
      <c r="M1161" s="11">
        <v>1751</v>
      </c>
    </row>
    <row r="1162" spans="1:13" x14ac:dyDescent="0.3">
      <c r="A1162" s="10">
        <v>6712</v>
      </c>
      <c r="B1162" s="10">
        <v>44</v>
      </c>
      <c r="C1162" s="10" t="s">
        <v>1462</v>
      </c>
      <c r="D1162" s="10">
        <v>4498</v>
      </c>
      <c r="E1162" s="10" t="s">
        <v>1487</v>
      </c>
      <c r="F1162" s="10">
        <v>0</v>
      </c>
      <c r="G1162" s="10" t="s">
        <v>343</v>
      </c>
      <c r="H1162" s="10">
        <v>0</v>
      </c>
      <c r="I1162" s="10" t="s">
        <v>343</v>
      </c>
      <c r="J1162" s="11">
        <v>2738</v>
      </c>
      <c r="K1162" s="11">
        <v>2917</v>
      </c>
      <c r="L1162" s="11">
        <v>5655</v>
      </c>
      <c r="M1162" s="11">
        <v>2350</v>
      </c>
    </row>
    <row r="1163" spans="1:13" x14ac:dyDescent="0.3">
      <c r="A1163" s="10">
        <v>6712</v>
      </c>
      <c r="B1163" s="10">
        <v>44</v>
      </c>
      <c r="C1163" s="10" t="s">
        <v>1462</v>
      </c>
      <c r="D1163" s="10">
        <v>4499</v>
      </c>
      <c r="E1163" s="10" t="s">
        <v>1488</v>
      </c>
      <c r="F1163" s="10">
        <v>0</v>
      </c>
      <c r="G1163" s="10" t="s">
        <v>343</v>
      </c>
      <c r="H1163" s="10">
        <v>0</v>
      </c>
      <c r="I1163" s="10" t="s">
        <v>343</v>
      </c>
      <c r="J1163" s="11">
        <v>18986</v>
      </c>
      <c r="K1163" s="11">
        <v>23128</v>
      </c>
      <c r="L1163" s="11">
        <v>42114</v>
      </c>
      <c r="M1163" s="11">
        <v>22144</v>
      </c>
    </row>
    <row r="1164" spans="1:13" x14ac:dyDescent="0.3">
      <c r="A1164" s="10">
        <v>6712</v>
      </c>
      <c r="B1164" s="10">
        <v>45</v>
      </c>
      <c r="C1164" s="10" t="s">
        <v>1489</v>
      </c>
      <c r="D1164" s="10">
        <v>0</v>
      </c>
      <c r="E1164" s="10" t="s">
        <v>343</v>
      </c>
      <c r="F1164" s="10">
        <v>0</v>
      </c>
      <c r="G1164" s="10" t="s">
        <v>343</v>
      </c>
      <c r="H1164" s="10">
        <v>0</v>
      </c>
      <c r="I1164" s="10" t="s">
        <v>343</v>
      </c>
      <c r="J1164" s="11">
        <v>629825</v>
      </c>
      <c r="K1164" s="11">
        <v>645694</v>
      </c>
      <c r="L1164" s="11">
        <v>1275519</v>
      </c>
      <c r="M1164" s="11">
        <v>417865</v>
      </c>
    </row>
    <row r="1165" spans="1:13" x14ac:dyDescent="0.3">
      <c r="A1165" s="10">
        <v>6712</v>
      </c>
      <c r="B1165" s="10">
        <v>45</v>
      </c>
      <c r="C1165" s="10" t="s">
        <v>1489</v>
      </c>
      <c r="D1165" s="10">
        <v>4501</v>
      </c>
      <c r="E1165" s="10" t="s">
        <v>1490</v>
      </c>
      <c r="F1165" s="10">
        <v>0</v>
      </c>
      <c r="G1165" s="10" t="s">
        <v>343</v>
      </c>
      <c r="H1165" s="10">
        <v>0</v>
      </c>
      <c r="I1165" s="10" t="s">
        <v>343</v>
      </c>
      <c r="J1165" s="11">
        <v>53908</v>
      </c>
      <c r="K1165" s="11">
        <v>56696</v>
      </c>
      <c r="L1165" s="11">
        <v>110604</v>
      </c>
      <c r="M1165" s="11">
        <v>44294</v>
      </c>
    </row>
    <row r="1166" spans="1:13" x14ac:dyDescent="0.3">
      <c r="A1166" s="10">
        <v>6712</v>
      </c>
      <c r="B1166" s="10">
        <v>45</v>
      </c>
      <c r="C1166" s="10" t="s">
        <v>1489</v>
      </c>
      <c r="D1166" s="10">
        <v>4502</v>
      </c>
      <c r="E1166" s="10" t="s">
        <v>1491</v>
      </c>
      <c r="F1166" s="10">
        <v>0</v>
      </c>
      <c r="G1166" s="10" t="s">
        <v>343</v>
      </c>
      <c r="H1166" s="10">
        <v>0</v>
      </c>
      <c r="I1166" s="10" t="s">
        <v>343</v>
      </c>
      <c r="J1166" s="11">
        <v>36269</v>
      </c>
      <c r="K1166" s="11">
        <v>36362</v>
      </c>
      <c r="L1166" s="11">
        <v>72631</v>
      </c>
      <c r="M1166" s="11">
        <v>21979</v>
      </c>
    </row>
    <row r="1167" spans="1:13" x14ac:dyDescent="0.3">
      <c r="A1167" s="10">
        <v>6712</v>
      </c>
      <c r="B1167" s="10">
        <v>45</v>
      </c>
      <c r="C1167" s="10" t="s">
        <v>1489</v>
      </c>
      <c r="D1167" s="10">
        <v>4503</v>
      </c>
      <c r="E1167" s="10" t="s">
        <v>1492</v>
      </c>
      <c r="F1167" s="10">
        <v>0</v>
      </c>
      <c r="G1167" s="10" t="s">
        <v>343</v>
      </c>
      <c r="H1167" s="10">
        <v>0</v>
      </c>
      <c r="I1167" s="10" t="s">
        <v>343</v>
      </c>
      <c r="J1167" s="11">
        <v>23097</v>
      </c>
      <c r="K1167" s="11">
        <v>23642</v>
      </c>
      <c r="L1167" s="11">
        <v>46739</v>
      </c>
      <c r="M1167" s="11">
        <v>13458</v>
      </c>
    </row>
    <row r="1168" spans="1:13" x14ac:dyDescent="0.3">
      <c r="A1168" s="10">
        <v>6712</v>
      </c>
      <c r="B1168" s="10">
        <v>45</v>
      </c>
      <c r="C1168" s="10" t="s">
        <v>1489</v>
      </c>
      <c r="D1168" s="10">
        <v>4504</v>
      </c>
      <c r="E1168" s="10" t="s">
        <v>1493</v>
      </c>
      <c r="F1168" s="10">
        <v>0</v>
      </c>
      <c r="G1168" s="10" t="s">
        <v>343</v>
      </c>
      <c r="H1168" s="10">
        <v>0</v>
      </c>
      <c r="I1168" s="10" t="s">
        <v>343</v>
      </c>
      <c r="J1168" s="11">
        <v>24867</v>
      </c>
      <c r="K1168" s="11">
        <v>25302</v>
      </c>
      <c r="L1168" s="11">
        <v>50169</v>
      </c>
      <c r="M1168" s="11">
        <v>14400</v>
      </c>
    </row>
    <row r="1169" spans="1:13" x14ac:dyDescent="0.3">
      <c r="A1169" s="10">
        <v>6712</v>
      </c>
      <c r="B1169" s="10">
        <v>45</v>
      </c>
      <c r="C1169" s="10" t="s">
        <v>1489</v>
      </c>
      <c r="D1169" s="10">
        <v>4505</v>
      </c>
      <c r="E1169" s="10" t="s">
        <v>1494</v>
      </c>
      <c r="F1169" s="10">
        <v>0</v>
      </c>
      <c r="G1169" s="10" t="s">
        <v>343</v>
      </c>
      <c r="H1169" s="10">
        <v>0</v>
      </c>
      <c r="I1169" s="10" t="s">
        <v>343</v>
      </c>
      <c r="J1169" s="11">
        <v>18446</v>
      </c>
      <c r="K1169" s="11">
        <v>18495</v>
      </c>
      <c r="L1169" s="11">
        <v>36941</v>
      </c>
      <c r="M1169" s="11">
        <v>11878</v>
      </c>
    </row>
    <row r="1170" spans="1:13" x14ac:dyDescent="0.3">
      <c r="A1170" s="10">
        <v>6712</v>
      </c>
      <c r="B1170" s="10">
        <v>45</v>
      </c>
      <c r="C1170" s="10" t="s">
        <v>1489</v>
      </c>
      <c r="D1170" s="10">
        <v>4506</v>
      </c>
      <c r="E1170" s="10" t="s">
        <v>1495</v>
      </c>
      <c r="F1170" s="10">
        <v>0</v>
      </c>
      <c r="G1170" s="10" t="s">
        <v>343</v>
      </c>
      <c r="H1170" s="10">
        <v>0</v>
      </c>
      <c r="I1170" s="10" t="s">
        <v>343</v>
      </c>
      <c r="J1170" s="11">
        <v>29234</v>
      </c>
      <c r="K1170" s="11">
        <v>29554</v>
      </c>
      <c r="L1170" s="11">
        <v>58788</v>
      </c>
      <c r="M1170" s="11">
        <v>18626</v>
      </c>
    </row>
    <row r="1171" spans="1:13" x14ac:dyDescent="0.3">
      <c r="A1171" s="10">
        <v>6712</v>
      </c>
      <c r="B1171" s="10">
        <v>45</v>
      </c>
      <c r="C1171" s="10" t="s">
        <v>1489</v>
      </c>
      <c r="D1171" s="10">
        <v>4507</v>
      </c>
      <c r="E1171" s="10" t="s">
        <v>1496</v>
      </c>
      <c r="F1171" s="10">
        <v>0</v>
      </c>
      <c r="G1171" s="10" t="s">
        <v>343</v>
      </c>
      <c r="H1171" s="10">
        <v>0</v>
      </c>
      <c r="I1171" s="10" t="s">
        <v>343</v>
      </c>
      <c r="J1171" s="11">
        <v>47594</v>
      </c>
      <c r="K1171" s="11">
        <v>48209</v>
      </c>
      <c r="L1171" s="11">
        <v>95803</v>
      </c>
      <c r="M1171" s="11">
        <v>30249</v>
      </c>
    </row>
    <row r="1172" spans="1:13" x14ac:dyDescent="0.3">
      <c r="A1172" s="10">
        <v>6712</v>
      </c>
      <c r="B1172" s="10">
        <v>45</v>
      </c>
      <c r="C1172" s="10" t="s">
        <v>1489</v>
      </c>
      <c r="D1172" s="10">
        <v>4508</v>
      </c>
      <c r="E1172" s="10" t="s">
        <v>1497</v>
      </c>
      <c r="F1172" s="10">
        <v>0</v>
      </c>
      <c r="G1172" s="10" t="s">
        <v>343</v>
      </c>
      <c r="H1172" s="10">
        <v>0</v>
      </c>
      <c r="I1172" s="10" t="s">
        <v>343</v>
      </c>
      <c r="J1172" s="11">
        <v>13319</v>
      </c>
      <c r="K1172" s="11">
        <v>13555</v>
      </c>
      <c r="L1172" s="11">
        <v>26874</v>
      </c>
      <c r="M1172" s="11">
        <v>8007</v>
      </c>
    </row>
    <row r="1173" spans="1:13" x14ac:dyDescent="0.3">
      <c r="A1173" s="10">
        <v>6712</v>
      </c>
      <c r="B1173" s="10">
        <v>45</v>
      </c>
      <c r="C1173" s="10" t="s">
        <v>1489</v>
      </c>
      <c r="D1173" s="10">
        <v>4509</v>
      </c>
      <c r="E1173" s="10" t="s">
        <v>1498</v>
      </c>
      <c r="F1173" s="10">
        <v>0</v>
      </c>
      <c r="G1173" s="10" t="s">
        <v>343</v>
      </c>
      <c r="H1173" s="10">
        <v>0</v>
      </c>
      <c r="I1173" s="10" t="s">
        <v>343</v>
      </c>
      <c r="J1173" s="11">
        <v>29781</v>
      </c>
      <c r="K1173" s="11">
        <v>29705</v>
      </c>
      <c r="L1173" s="11">
        <v>59486</v>
      </c>
      <c r="M1173" s="11">
        <v>17321</v>
      </c>
    </row>
    <row r="1174" spans="1:13" x14ac:dyDescent="0.3">
      <c r="A1174" s="10">
        <v>6712</v>
      </c>
      <c r="B1174" s="10">
        <v>45</v>
      </c>
      <c r="C1174" s="10" t="s">
        <v>1489</v>
      </c>
      <c r="D1174" s="10">
        <v>4510</v>
      </c>
      <c r="E1174" s="10" t="s">
        <v>1499</v>
      </c>
      <c r="F1174" s="10">
        <v>0</v>
      </c>
      <c r="G1174" s="10" t="s">
        <v>343</v>
      </c>
      <c r="H1174" s="10">
        <v>0</v>
      </c>
      <c r="I1174" s="10" t="s">
        <v>343</v>
      </c>
      <c r="J1174" s="11">
        <v>43910</v>
      </c>
      <c r="K1174" s="11">
        <v>44789</v>
      </c>
      <c r="L1174" s="11">
        <v>88699</v>
      </c>
      <c r="M1174" s="11">
        <v>26076</v>
      </c>
    </row>
    <row r="1175" spans="1:13" x14ac:dyDescent="0.3">
      <c r="A1175" s="10">
        <v>6712</v>
      </c>
      <c r="B1175" s="10">
        <v>45</v>
      </c>
      <c r="C1175" s="10" t="s">
        <v>1489</v>
      </c>
      <c r="D1175" s="10">
        <v>4511</v>
      </c>
      <c r="E1175" s="10" t="s">
        <v>1500</v>
      </c>
      <c r="F1175" s="10">
        <v>0</v>
      </c>
      <c r="G1175" s="10" t="s">
        <v>343</v>
      </c>
      <c r="H1175" s="10">
        <v>0</v>
      </c>
      <c r="I1175" s="10" t="s">
        <v>343</v>
      </c>
      <c r="J1175" s="11">
        <v>51319</v>
      </c>
      <c r="K1175" s="11">
        <v>52259</v>
      </c>
      <c r="L1175" s="11">
        <v>103578</v>
      </c>
      <c r="M1175" s="11">
        <v>31239</v>
      </c>
    </row>
    <row r="1176" spans="1:13" x14ac:dyDescent="0.3">
      <c r="A1176" s="10">
        <v>6712</v>
      </c>
      <c r="B1176" s="10">
        <v>45</v>
      </c>
      <c r="C1176" s="10" t="s">
        <v>1489</v>
      </c>
      <c r="D1176" s="10">
        <v>4512</v>
      </c>
      <c r="E1176" s="10" t="s">
        <v>1501</v>
      </c>
      <c r="F1176" s="10">
        <v>0</v>
      </c>
      <c r="G1176" s="10" t="s">
        <v>343</v>
      </c>
      <c r="H1176" s="10">
        <v>0</v>
      </c>
      <c r="I1176" s="10" t="s">
        <v>343</v>
      </c>
      <c r="J1176" s="11">
        <v>6686</v>
      </c>
      <c r="K1176" s="11">
        <v>6755</v>
      </c>
      <c r="L1176" s="11">
        <v>13441</v>
      </c>
      <c r="M1176" s="11">
        <v>3927</v>
      </c>
    </row>
    <row r="1177" spans="1:13" x14ac:dyDescent="0.3">
      <c r="A1177" s="10">
        <v>6712</v>
      </c>
      <c r="B1177" s="10">
        <v>45</v>
      </c>
      <c r="C1177" s="10" t="s">
        <v>1489</v>
      </c>
      <c r="D1177" s="10">
        <v>4513</v>
      </c>
      <c r="E1177" s="10" t="s">
        <v>1502</v>
      </c>
      <c r="F1177" s="10">
        <v>0</v>
      </c>
      <c r="G1177" s="10" t="s">
        <v>343</v>
      </c>
      <c r="H1177" s="10">
        <v>0</v>
      </c>
      <c r="I1177" s="10" t="s">
        <v>343</v>
      </c>
      <c r="J1177" s="11">
        <v>10938</v>
      </c>
      <c r="K1177" s="11">
        <v>11037</v>
      </c>
      <c r="L1177" s="11">
        <v>21975</v>
      </c>
      <c r="M1177" s="11">
        <v>5374</v>
      </c>
    </row>
    <row r="1178" spans="1:13" x14ac:dyDescent="0.3">
      <c r="A1178" s="10">
        <v>6712</v>
      </c>
      <c r="B1178" s="10">
        <v>45</v>
      </c>
      <c r="C1178" s="10" t="s">
        <v>1489</v>
      </c>
      <c r="D1178" s="10">
        <v>4514</v>
      </c>
      <c r="E1178" s="10" t="s">
        <v>1503</v>
      </c>
      <c r="F1178" s="10">
        <v>0</v>
      </c>
      <c r="G1178" s="10" t="s">
        <v>343</v>
      </c>
      <c r="H1178" s="10">
        <v>0</v>
      </c>
      <c r="I1178" s="10" t="s">
        <v>343</v>
      </c>
      <c r="J1178" s="11">
        <v>34157</v>
      </c>
      <c r="K1178" s="11">
        <v>34400</v>
      </c>
      <c r="L1178" s="11">
        <v>68557</v>
      </c>
      <c r="M1178" s="11">
        <v>19783</v>
      </c>
    </row>
    <row r="1179" spans="1:13" x14ac:dyDescent="0.3">
      <c r="A1179" s="10">
        <v>6712</v>
      </c>
      <c r="B1179" s="10">
        <v>45</v>
      </c>
      <c r="C1179" s="10" t="s">
        <v>1489</v>
      </c>
      <c r="D1179" s="10">
        <v>4515</v>
      </c>
      <c r="E1179" s="10" t="s">
        <v>1504</v>
      </c>
      <c r="F1179" s="10">
        <v>0</v>
      </c>
      <c r="G1179" s="10" t="s">
        <v>343</v>
      </c>
      <c r="H1179" s="10">
        <v>0</v>
      </c>
      <c r="I1179" s="10" t="s">
        <v>343</v>
      </c>
      <c r="J1179" s="11">
        <v>11254</v>
      </c>
      <c r="K1179" s="11">
        <v>11550</v>
      </c>
      <c r="L1179" s="11">
        <v>22804</v>
      </c>
      <c r="M1179" s="11">
        <v>7235</v>
      </c>
    </row>
    <row r="1180" spans="1:13" x14ac:dyDescent="0.3">
      <c r="A1180" s="10">
        <v>6712</v>
      </c>
      <c r="B1180" s="10">
        <v>45</v>
      </c>
      <c r="C1180" s="10" t="s">
        <v>1489</v>
      </c>
      <c r="D1180" s="10">
        <v>4516</v>
      </c>
      <c r="E1180" s="10" t="s">
        <v>1505</v>
      </c>
      <c r="F1180" s="10">
        <v>0</v>
      </c>
      <c r="G1180" s="10" t="s">
        <v>343</v>
      </c>
      <c r="H1180" s="10">
        <v>0</v>
      </c>
      <c r="I1180" s="10" t="s">
        <v>343</v>
      </c>
      <c r="J1180" s="11">
        <v>18110</v>
      </c>
      <c r="K1180" s="11">
        <v>17255</v>
      </c>
      <c r="L1180" s="11">
        <v>35365</v>
      </c>
      <c r="M1180" s="11">
        <v>11609</v>
      </c>
    </row>
    <row r="1181" spans="1:13" x14ac:dyDescent="0.3">
      <c r="A1181" s="10">
        <v>6712</v>
      </c>
      <c r="B1181" s="10">
        <v>45</v>
      </c>
      <c r="C1181" s="10" t="s">
        <v>1489</v>
      </c>
      <c r="D1181" s="10">
        <v>4517</v>
      </c>
      <c r="E1181" s="10" t="s">
        <v>1506</v>
      </c>
      <c r="F1181" s="10">
        <v>0</v>
      </c>
      <c r="G1181" s="10" t="s">
        <v>343</v>
      </c>
      <c r="H1181" s="10">
        <v>0</v>
      </c>
      <c r="I1181" s="10" t="s">
        <v>343</v>
      </c>
      <c r="J1181" s="11">
        <v>18647</v>
      </c>
      <c r="K1181" s="11">
        <v>19432</v>
      </c>
      <c r="L1181" s="11">
        <v>38079</v>
      </c>
      <c r="M1181" s="11">
        <v>12698</v>
      </c>
    </row>
    <row r="1182" spans="1:13" x14ac:dyDescent="0.3">
      <c r="A1182" s="10">
        <v>6712</v>
      </c>
      <c r="B1182" s="10">
        <v>45</v>
      </c>
      <c r="C1182" s="10" t="s">
        <v>1489</v>
      </c>
      <c r="D1182" s="10">
        <v>4518</v>
      </c>
      <c r="E1182" s="10" t="s">
        <v>1507</v>
      </c>
      <c r="F1182" s="10">
        <v>0</v>
      </c>
      <c r="G1182" s="10" t="s">
        <v>343</v>
      </c>
      <c r="H1182" s="10">
        <v>0</v>
      </c>
      <c r="I1182" s="10" t="s">
        <v>343</v>
      </c>
      <c r="J1182" s="11">
        <v>13133</v>
      </c>
      <c r="K1182" s="11">
        <v>13678</v>
      </c>
      <c r="L1182" s="11">
        <v>26811</v>
      </c>
      <c r="M1182" s="11">
        <v>8624</v>
      </c>
    </row>
    <row r="1183" spans="1:13" x14ac:dyDescent="0.3">
      <c r="A1183" s="10">
        <v>6712</v>
      </c>
      <c r="B1183" s="10">
        <v>45</v>
      </c>
      <c r="C1183" s="10" t="s">
        <v>1489</v>
      </c>
      <c r="D1183" s="10">
        <v>4519</v>
      </c>
      <c r="E1183" s="10" t="s">
        <v>1508</v>
      </c>
      <c r="F1183" s="10">
        <v>0</v>
      </c>
      <c r="G1183" s="10" t="s">
        <v>343</v>
      </c>
      <c r="H1183" s="10">
        <v>0</v>
      </c>
      <c r="I1183" s="10" t="s">
        <v>343</v>
      </c>
      <c r="J1183" s="11">
        <v>11825</v>
      </c>
      <c r="K1183" s="11">
        <v>11983</v>
      </c>
      <c r="L1183" s="11">
        <v>23808</v>
      </c>
      <c r="M1183" s="11">
        <v>6788</v>
      </c>
    </row>
    <row r="1184" spans="1:13" x14ac:dyDescent="0.3">
      <c r="A1184" s="10">
        <v>6712</v>
      </c>
      <c r="B1184" s="10">
        <v>45</v>
      </c>
      <c r="C1184" s="10" t="s">
        <v>1489</v>
      </c>
      <c r="D1184" s="10">
        <v>4520</v>
      </c>
      <c r="E1184" s="10" t="s">
        <v>1509</v>
      </c>
      <c r="F1184" s="10">
        <v>0</v>
      </c>
      <c r="G1184" s="10" t="s">
        <v>343</v>
      </c>
      <c r="H1184" s="10">
        <v>0</v>
      </c>
      <c r="I1184" s="10" t="s">
        <v>343</v>
      </c>
      <c r="J1184" s="11">
        <v>11253</v>
      </c>
      <c r="K1184" s="11">
        <v>11537</v>
      </c>
      <c r="L1184" s="11">
        <v>22790</v>
      </c>
      <c r="M1184" s="11">
        <v>6745</v>
      </c>
    </row>
    <row r="1185" spans="1:13" x14ac:dyDescent="0.3">
      <c r="A1185" s="10">
        <v>6712</v>
      </c>
      <c r="B1185" s="10">
        <v>45</v>
      </c>
      <c r="C1185" s="10" t="s">
        <v>1489</v>
      </c>
      <c r="D1185" s="10">
        <v>4565</v>
      </c>
      <c r="E1185" s="10" t="s">
        <v>1510</v>
      </c>
      <c r="F1185" s="10">
        <v>0</v>
      </c>
      <c r="G1185" s="10" t="s">
        <v>343</v>
      </c>
      <c r="H1185" s="10">
        <v>0</v>
      </c>
      <c r="I1185" s="10" t="s">
        <v>343</v>
      </c>
      <c r="J1185" s="11">
        <v>3384</v>
      </c>
      <c r="K1185" s="11">
        <v>3443</v>
      </c>
      <c r="L1185" s="11">
        <v>6827</v>
      </c>
      <c r="M1185" s="11">
        <v>3349</v>
      </c>
    </row>
    <row r="1186" spans="1:13" x14ac:dyDescent="0.3">
      <c r="A1186" s="10">
        <v>6712</v>
      </c>
      <c r="B1186" s="10">
        <v>45</v>
      </c>
      <c r="C1186" s="10" t="s">
        <v>1489</v>
      </c>
      <c r="D1186" s="10">
        <v>4566</v>
      </c>
      <c r="E1186" s="10" t="s">
        <v>1511</v>
      </c>
      <c r="F1186" s="10">
        <v>0</v>
      </c>
      <c r="G1186" s="10" t="s">
        <v>343</v>
      </c>
      <c r="H1186" s="10">
        <v>0</v>
      </c>
      <c r="I1186" s="10" t="s">
        <v>343</v>
      </c>
      <c r="J1186" s="11">
        <v>2578</v>
      </c>
      <c r="K1186" s="11">
        <v>2740</v>
      </c>
      <c r="L1186" s="11">
        <v>5318</v>
      </c>
      <c r="M1186" s="11">
        <v>2223</v>
      </c>
    </row>
    <row r="1187" spans="1:13" x14ac:dyDescent="0.3">
      <c r="A1187" s="10">
        <v>6712</v>
      </c>
      <c r="B1187" s="10">
        <v>45</v>
      </c>
      <c r="C1187" s="10" t="s">
        <v>1489</v>
      </c>
      <c r="D1187" s="10">
        <v>4569</v>
      </c>
      <c r="E1187" s="10" t="s">
        <v>1453</v>
      </c>
      <c r="F1187" s="10">
        <v>0</v>
      </c>
      <c r="G1187" s="10" t="s">
        <v>343</v>
      </c>
      <c r="H1187" s="10">
        <v>0</v>
      </c>
      <c r="I1187" s="10" t="s">
        <v>343</v>
      </c>
      <c r="J1187" s="11">
        <v>3225</v>
      </c>
      <c r="K1187" s="11">
        <v>3270</v>
      </c>
      <c r="L1187" s="11">
        <v>6495</v>
      </c>
      <c r="M1187" s="11">
        <v>1815</v>
      </c>
    </row>
    <row r="1188" spans="1:13" x14ac:dyDescent="0.3">
      <c r="A1188" s="10">
        <v>6712</v>
      </c>
      <c r="B1188" s="10">
        <v>45</v>
      </c>
      <c r="C1188" s="10" t="s">
        <v>1489</v>
      </c>
      <c r="D1188" s="10">
        <v>4570</v>
      </c>
      <c r="E1188" s="10" t="s">
        <v>1512</v>
      </c>
      <c r="F1188" s="10">
        <v>0</v>
      </c>
      <c r="G1188" s="10" t="s">
        <v>343</v>
      </c>
      <c r="H1188" s="10">
        <v>0</v>
      </c>
      <c r="I1188" s="10" t="s">
        <v>343</v>
      </c>
      <c r="J1188" s="11">
        <v>3266</v>
      </c>
      <c r="K1188" s="11">
        <v>3414</v>
      </c>
      <c r="L1188" s="11">
        <v>6680</v>
      </c>
      <c r="M1188" s="11">
        <v>2073</v>
      </c>
    </row>
    <row r="1189" spans="1:13" x14ac:dyDescent="0.3">
      <c r="A1189" s="10">
        <v>6712</v>
      </c>
      <c r="B1189" s="10">
        <v>45</v>
      </c>
      <c r="C1189" s="10" t="s">
        <v>1489</v>
      </c>
      <c r="D1189" s="10">
        <v>4571</v>
      </c>
      <c r="E1189" s="10" t="s">
        <v>1513</v>
      </c>
      <c r="F1189" s="10">
        <v>0</v>
      </c>
      <c r="G1189" s="10" t="s">
        <v>343</v>
      </c>
      <c r="H1189" s="10">
        <v>0</v>
      </c>
      <c r="I1189" s="10" t="s">
        <v>343</v>
      </c>
      <c r="J1189" s="11">
        <v>3134</v>
      </c>
      <c r="K1189" s="11">
        <v>3031</v>
      </c>
      <c r="L1189" s="11">
        <v>6165</v>
      </c>
      <c r="M1189" s="11">
        <v>1659</v>
      </c>
    </row>
    <row r="1190" spans="1:13" x14ac:dyDescent="0.3">
      <c r="A1190" s="10">
        <v>6712</v>
      </c>
      <c r="B1190" s="10">
        <v>45</v>
      </c>
      <c r="C1190" s="10" t="s">
        <v>1489</v>
      </c>
      <c r="D1190" s="10">
        <v>4572</v>
      </c>
      <c r="E1190" s="10" t="s">
        <v>1514</v>
      </c>
      <c r="F1190" s="10">
        <v>0</v>
      </c>
      <c r="G1190" s="10" t="s">
        <v>343</v>
      </c>
      <c r="H1190" s="10">
        <v>0</v>
      </c>
      <c r="I1190" s="10" t="s">
        <v>343</v>
      </c>
      <c r="J1190" s="11">
        <v>4222</v>
      </c>
      <c r="K1190" s="11">
        <v>4463</v>
      </c>
      <c r="L1190" s="11">
        <v>8685</v>
      </c>
      <c r="M1190" s="11">
        <v>2269</v>
      </c>
    </row>
    <row r="1191" spans="1:13" x14ac:dyDescent="0.3">
      <c r="A1191" s="10">
        <v>6712</v>
      </c>
      <c r="B1191" s="10">
        <v>45</v>
      </c>
      <c r="C1191" s="10" t="s">
        <v>1489</v>
      </c>
      <c r="D1191" s="10">
        <v>4573</v>
      </c>
      <c r="E1191" s="10" t="s">
        <v>1515</v>
      </c>
      <c r="F1191" s="10">
        <v>0</v>
      </c>
      <c r="G1191" s="10" t="s">
        <v>343</v>
      </c>
      <c r="H1191" s="10">
        <v>0</v>
      </c>
      <c r="I1191" s="10" t="s">
        <v>343</v>
      </c>
      <c r="J1191" s="11">
        <v>4208</v>
      </c>
      <c r="K1191" s="11">
        <v>4419</v>
      </c>
      <c r="L1191" s="11">
        <v>8627</v>
      </c>
      <c r="M1191" s="11">
        <v>2515</v>
      </c>
    </row>
    <row r="1192" spans="1:13" x14ac:dyDescent="0.3">
      <c r="A1192" s="10">
        <v>6712</v>
      </c>
      <c r="B1192" s="10">
        <v>45</v>
      </c>
      <c r="C1192" s="10" t="s">
        <v>1489</v>
      </c>
      <c r="D1192" s="10">
        <v>4574</v>
      </c>
      <c r="E1192" s="10" t="s">
        <v>1516</v>
      </c>
      <c r="F1192" s="10">
        <v>0</v>
      </c>
      <c r="G1192" s="10" t="s">
        <v>343</v>
      </c>
      <c r="H1192" s="10">
        <v>0</v>
      </c>
      <c r="I1192" s="10" t="s">
        <v>343</v>
      </c>
      <c r="J1192" s="11">
        <v>3566</v>
      </c>
      <c r="K1192" s="11">
        <v>3682</v>
      </c>
      <c r="L1192" s="11">
        <v>7248</v>
      </c>
      <c r="M1192" s="11">
        <v>2178</v>
      </c>
    </row>
    <row r="1193" spans="1:13" x14ac:dyDescent="0.3">
      <c r="A1193" s="10">
        <v>6712</v>
      </c>
      <c r="B1193" s="10">
        <v>45</v>
      </c>
      <c r="C1193" s="10" t="s">
        <v>1489</v>
      </c>
      <c r="D1193" s="10">
        <v>4575</v>
      </c>
      <c r="E1193" s="10" t="s">
        <v>1517</v>
      </c>
      <c r="F1193" s="10">
        <v>0</v>
      </c>
      <c r="G1193" s="10" t="s">
        <v>343</v>
      </c>
      <c r="H1193" s="10">
        <v>0</v>
      </c>
      <c r="I1193" s="10" t="s">
        <v>343</v>
      </c>
      <c r="J1193" s="11">
        <v>3935</v>
      </c>
      <c r="K1193" s="11">
        <v>4182</v>
      </c>
      <c r="L1193" s="11">
        <v>8117</v>
      </c>
      <c r="M1193" s="11">
        <v>2842</v>
      </c>
    </row>
    <row r="1194" spans="1:13" x14ac:dyDescent="0.3">
      <c r="A1194" s="10">
        <v>6712</v>
      </c>
      <c r="B1194" s="10">
        <v>45</v>
      </c>
      <c r="C1194" s="10" t="s">
        <v>1489</v>
      </c>
      <c r="D1194" s="10">
        <v>4576</v>
      </c>
      <c r="E1194" s="10" t="s">
        <v>1518</v>
      </c>
      <c r="F1194" s="10">
        <v>0</v>
      </c>
      <c r="G1194" s="10" t="s">
        <v>343</v>
      </c>
      <c r="H1194" s="10">
        <v>0</v>
      </c>
      <c r="I1194" s="10" t="s">
        <v>343</v>
      </c>
      <c r="J1194" s="11">
        <v>3528</v>
      </c>
      <c r="K1194" s="11">
        <v>3664</v>
      </c>
      <c r="L1194" s="11">
        <v>7192</v>
      </c>
      <c r="M1194" s="11">
        <v>2124</v>
      </c>
    </row>
    <row r="1195" spans="1:13" x14ac:dyDescent="0.3">
      <c r="A1195" s="10">
        <v>6712</v>
      </c>
      <c r="B1195" s="10">
        <v>45</v>
      </c>
      <c r="C1195" s="10" t="s">
        <v>1489</v>
      </c>
      <c r="D1195" s="10">
        <v>4577</v>
      </c>
      <c r="E1195" s="10" t="s">
        <v>1519</v>
      </c>
      <c r="F1195" s="10">
        <v>0</v>
      </c>
      <c r="G1195" s="10" t="s">
        <v>343</v>
      </c>
      <c r="H1195" s="10">
        <v>0</v>
      </c>
      <c r="I1195" s="10" t="s">
        <v>343</v>
      </c>
      <c r="J1195" s="11">
        <v>3426</v>
      </c>
      <c r="K1195" s="11">
        <v>3758</v>
      </c>
      <c r="L1195" s="11">
        <v>7184</v>
      </c>
      <c r="M1195" s="11">
        <v>2547</v>
      </c>
    </row>
    <row r="1196" spans="1:13" x14ac:dyDescent="0.3">
      <c r="A1196" s="10">
        <v>6712</v>
      </c>
      <c r="B1196" s="10">
        <v>45</v>
      </c>
      <c r="C1196" s="10" t="s">
        <v>1489</v>
      </c>
      <c r="D1196" s="10">
        <v>4578</v>
      </c>
      <c r="E1196" s="10" t="s">
        <v>1520</v>
      </c>
      <c r="F1196" s="10">
        <v>0</v>
      </c>
      <c r="G1196" s="10" t="s">
        <v>343</v>
      </c>
      <c r="H1196" s="10">
        <v>0</v>
      </c>
      <c r="I1196" s="10" t="s">
        <v>343</v>
      </c>
      <c r="J1196" s="11">
        <v>4048</v>
      </c>
      <c r="K1196" s="11">
        <v>4225</v>
      </c>
      <c r="L1196" s="11">
        <v>8273</v>
      </c>
      <c r="M1196" s="11">
        <v>2917</v>
      </c>
    </row>
    <row r="1197" spans="1:13" x14ac:dyDescent="0.3">
      <c r="A1197" s="10">
        <v>6712</v>
      </c>
      <c r="B1197" s="10">
        <v>45</v>
      </c>
      <c r="C1197" s="10" t="s">
        <v>1489</v>
      </c>
      <c r="D1197" s="10">
        <v>4579</v>
      </c>
      <c r="E1197" s="10" t="s">
        <v>1521</v>
      </c>
      <c r="F1197" s="10">
        <v>0</v>
      </c>
      <c r="G1197" s="10" t="s">
        <v>343</v>
      </c>
      <c r="H1197" s="10">
        <v>0</v>
      </c>
      <c r="I1197" s="10" t="s">
        <v>343</v>
      </c>
      <c r="J1197" s="11">
        <v>4625</v>
      </c>
      <c r="K1197" s="11">
        <v>4521</v>
      </c>
      <c r="L1197" s="11">
        <v>9146</v>
      </c>
      <c r="M1197" s="11">
        <v>2770</v>
      </c>
    </row>
    <row r="1198" spans="1:13" x14ac:dyDescent="0.3">
      <c r="A1198" s="10">
        <v>6712</v>
      </c>
      <c r="B1198" s="10">
        <v>45</v>
      </c>
      <c r="C1198" s="10" t="s">
        <v>1489</v>
      </c>
      <c r="D1198" s="10">
        <v>4580</v>
      </c>
      <c r="E1198" s="10" t="s">
        <v>1522</v>
      </c>
      <c r="F1198" s="10">
        <v>0</v>
      </c>
      <c r="G1198" s="10" t="s">
        <v>343</v>
      </c>
      <c r="H1198" s="10">
        <v>0</v>
      </c>
      <c r="I1198" s="10" t="s">
        <v>343</v>
      </c>
      <c r="J1198" s="11">
        <v>4067</v>
      </c>
      <c r="K1198" s="11">
        <v>4076</v>
      </c>
      <c r="L1198" s="11">
        <v>8143</v>
      </c>
      <c r="M1198" s="11">
        <v>2209</v>
      </c>
    </row>
    <row r="1199" spans="1:13" x14ac:dyDescent="0.3">
      <c r="A1199" s="10">
        <v>6712</v>
      </c>
      <c r="B1199" s="10">
        <v>45</v>
      </c>
      <c r="C1199" s="10" t="s">
        <v>1489</v>
      </c>
      <c r="D1199" s="10">
        <v>4581</v>
      </c>
      <c r="E1199" s="10" t="s">
        <v>1523</v>
      </c>
      <c r="F1199" s="10">
        <v>0</v>
      </c>
      <c r="G1199" s="10" t="s">
        <v>343</v>
      </c>
      <c r="H1199" s="10">
        <v>0</v>
      </c>
      <c r="I1199" s="10" t="s">
        <v>343</v>
      </c>
      <c r="J1199" s="11">
        <v>2633</v>
      </c>
      <c r="K1199" s="11">
        <v>2660</v>
      </c>
      <c r="L1199" s="11">
        <v>5293</v>
      </c>
      <c r="M1199" s="11">
        <v>1553</v>
      </c>
    </row>
    <row r="1200" spans="1:13" x14ac:dyDescent="0.3">
      <c r="A1200" s="10">
        <v>6712</v>
      </c>
      <c r="B1200" s="10">
        <v>45</v>
      </c>
      <c r="C1200" s="10" t="s">
        <v>1489</v>
      </c>
      <c r="D1200" s="10">
        <v>4583</v>
      </c>
      <c r="E1200" s="10" t="s">
        <v>1524</v>
      </c>
      <c r="F1200" s="10">
        <v>0</v>
      </c>
      <c r="G1200" s="10" t="s">
        <v>343</v>
      </c>
      <c r="H1200" s="10">
        <v>0</v>
      </c>
      <c r="I1200" s="10" t="s">
        <v>343</v>
      </c>
      <c r="J1200" s="11">
        <v>1893</v>
      </c>
      <c r="K1200" s="11">
        <v>2020</v>
      </c>
      <c r="L1200" s="11">
        <v>3913</v>
      </c>
      <c r="M1200" s="11">
        <v>1868</v>
      </c>
    </row>
    <row r="1201" spans="1:13" x14ac:dyDescent="0.3">
      <c r="A1201" s="10">
        <v>6712</v>
      </c>
      <c r="B1201" s="10">
        <v>45</v>
      </c>
      <c r="C1201" s="10" t="s">
        <v>1489</v>
      </c>
      <c r="D1201" s="10">
        <v>4584</v>
      </c>
      <c r="E1201" s="10" t="s">
        <v>1525</v>
      </c>
      <c r="F1201" s="10">
        <v>0</v>
      </c>
      <c r="G1201" s="10" t="s">
        <v>343</v>
      </c>
      <c r="H1201" s="10">
        <v>0</v>
      </c>
      <c r="I1201" s="10" t="s">
        <v>343</v>
      </c>
      <c r="J1201" s="11">
        <v>2727</v>
      </c>
      <c r="K1201" s="11">
        <v>2819</v>
      </c>
      <c r="L1201" s="11">
        <v>5546</v>
      </c>
      <c r="M1201" s="11">
        <v>2159</v>
      </c>
    </row>
    <row r="1202" spans="1:13" x14ac:dyDescent="0.3">
      <c r="A1202" s="10">
        <v>6712</v>
      </c>
      <c r="B1202" s="10">
        <v>45</v>
      </c>
      <c r="C1202" s="10" t="s">
        <v>1489</v>
      </c>
      <c r="D1202" s="10">
        <v>4585</v>
      </c>
      <c r="E1202" s="10" t="s">
        <v>1526</v>
      </c>
      <c r="F1202" s="10">
        <v>0</v>
      </c>
      <c r="G1202" s="10" t="s">
        <v>343</v>
      </c>
      <c r="H1202" s="10">
        <v>0</v>
      </c>
      <c r="I1202" s="10" t="s">
        <v>343</v>
      </c>
      <c r="J1202" s="11">
        <v>4633</v>
      </c>
      <c r="K1202" s="11">
        <v>4787</v>
      </c>
      <c r="L1202" s="11">
        <v>9420</v>
      </c>
      <c r="M1202" s="11">
        <v>3049</v>
      </c>
    </row>
    <row r="1203" spans="1:13" x14ac:dyDescent="0.3">
      <c r="A1203" s="10">
        <v>6712</v>
      </c>
      <c r="B1203" s="10">
        <v>45</v>
      </c>
      <c r="C1203" s="10" t="s">
        <v>1489</v>
      </c>
      <c r="D1203" s="10">
        <v>4586</v>
      </c>
      <c r="E1203" s="10" t="s">
        <v>1527</v>
      </c>
      <c r="F1203" s="10">
        <v>0</v>
      </c>
      <c r="G1203" s="10" t="s">
        <v>343</v>
      </c>
      <c r="H1203" s="10">
        <v>0</v>
      </c>
      <c r="I1203" s="10" t="s">
        <v>343</v>
      </c>
      <c r="J1203" s="11">
        <v>4091</v>
      </c>
      <c r="K1203" s="11">
        <v>4605</v>
      </c>
      <c r="L1203" s="11">
        <v>8696</v>
      </c>
      <c r="M1203" s="11">
        <v>4399</v>
      </c>
    </row>
    <row r="1204" spans="1:13" x14ac:dyDescent="0.3">
      <c r="A1204" s="10">
        <v>6712</v>
      </c>
      <c r="B1204" s="10">
        <v>45</v>
      </c>
      <c r="C1204" s="10" t="s">
        <v>1489</v>
      </c>
      <c r="D1204" s="10">
        <v>4587</v>
      </c>
      <c r="E1204" s="10" t="s">
        <v>1528</v>
      </c>
      <c r="F1204" s="10">
        <v>0</v>
      </c>
      <c r="G1204" s="10" t="s">
        <v>343</v>
      </c>
      <c r="H1204" s="10">
        <v>0</v>
      </c>
      <c r="I1204" s="10" t="s">
        <v>343</v>
      </c>
      <c r="J1204" s="11">
        <v>6113</v>
      </c>
      <c r="K1204" s="11">
        <v>6569</v>
      </c>
      <c r="L1204" s="11">
        <v>12682</v>
      </c>
      <c r="M1204" s="11">
        <v>5289</v>
      </c>
    </row>
    <row r="1205" spans="1:13" x14ac:dyDescent="0.3">
      <c r="A1205" s="10">
        <v>6712</v>
      </c>
      <c r="B1205" s="10">
        <v>45</v>
      </c>
      <c r="C1205" s="10" t="s">
        <v>1489</v>
      </c>
      <c r="D1205" s="10">
        <v>4588</v>
      </c>
      <c r="E1205" s="10" t="s">
        <v>1529</v>
      </c>
      <c r="F1205" s="10">
        <v>0</v>
      </c>
      <c r="G1205" s="10" t="s">
        <v>343</v>
      </c>
      <c r="H1205" s="10">
        <v>0</v>
      </c>
      <c r="I1205" s="10" t="s">
        <v>343</v>
      </c>
      <c r="J1205" s="11">
        <v>3064</v>
      </c>
      <c r="K1205" s="11">
        <v>3221</v>
      </c>
      <c r="L1205" s="11">
        <v>6285</v>
      </c>
      <c r="M1205" s="11">
        <v>2841</v>
      </c>
    </row>
    <row r="1206" spans="1:13" x14ac:dyDescent="0.3">
      <c r="A1206" s="10">
        <v>6712</v>
      </c>
      <c r="B1206" s="10">
        <v>45</v>
      </c>
      <c r="C1206" s="10" t="s">
        <v>1489</v>
      </c>
      <c r="D1206" s="10">
        <v>4589</v>
      </c>
      <c r="E1206" s="10" t="s">
        <v>1530</v>
      </c>
      <c r="F1206" s="10">
        <v>0</v>
      </c>
      <c r="G1206" s="10" t="s">
        <v>343</v>
      </c>
      <c r="H1206" s="10">
        <v>0</v>
      </c>
      <c r="I1206" s="10" t="s">
        <v>343</v>
      </c>
      <c r="J1206" s="11">
        <v>3980</v>
      </c>
      <c r="K1206" s="11">
        <v>4141</v>
      </c>
      <c r="L1206" s="11">
        <v>8121</v>
      </c>
      <c r="M1206" s="11">
        <v>2587</v>
      </c>
    </row>
    <row r="1207" spans="1:13" x14ac:dyDescent="0.3">
      <c r="A1207" s="10">
        <v>6712</v>
      </c>
      <c r="B1207" s="10">
        <v>45</v>
      </c>
      <c r="C1207" s="10" t="s">
        <v>1489</v>
      </c>
      <c r="D1207" s="10">
        <v>4590</v>
      </c>
      <c r="E1207" s="10" t="s">
        <v>1531</v>
      </c>
      <c r="F1207" s="10">
        <v>0</v>
      </c>
      <c r="G1207" s="10" t="s">
        <v>343</v>
      </c>
      <c r="H1207" s="10">
        <v>0</v>
      </c>
      <c r="I1207" s="10" t="s">
        <v>343</v>
      </c>
      <c r="J1207" s="11">
        <v>2541</v>
      </c>
      <c r="K1207" s="11">
        <v>2640</v>
      </c>
      <c r="L1207" s="11">
        <v>5181</v>
      </c>
      <c r="M1207" s="11">
        <v>1634</v>
      </c>
    </row>
    <row r="1208" spans="1:13" x14ac:dyDescent="0.3">
      <c r="A1208" s="10">
        <v>6712</v>
      </c>
      <c r="B1208" s="10">
        <v>45</v>
      </c>
      <c r="C1208" s="10" t="s">
        <v>1489</v>
      </c>
      <c r="D1208" s="10">
        <v>4591</v>
      </c>
      <c r="E1208" s="10" t="s">
        <v>1532</v>
      </c>
      <c r="F1208" s="10">
        <v>0</v>
      </c>
      <c r="G1208" s="10" t="s">
        <v>343</v>
      </c>
      <c r="H1208" s="10">
        <v>0</v>
      </c>
      <c r="I1208" s="10" t="s">
        <v>343</v>
      </c>
      <c r="J1208" s="11">
        <v>5427</v>
      </c>
      <c r="K1208" s="11">
        <v>5688</v>
      </c>
      <c r="L1208" s="11">
        <v>11115</v>
      </c>
      <c r="M1208" s="11">
        <v>5430</v>
      </c>
    </row>
    <row r="1209" spans="1:13" x14ac:dyDescent="0.3">
      <c r="A1209" s="10">
        <v>6712</v>
      </c>
      <c r="B1209" s="10">
        <v>45</v>
      </c>
      <c r="C1209" s="10" t="s">
        <v>1489</v>
      </c>
      <c r="D1209" s="10">
        <v>4592</v>
      </c>
      <c r="E1209" s="10" t="s">
        <v>1533</v>
      </c>
      <c r="F1209" s="10">
        <v>0</v>
      </c>
      <c r="G1209" s="10" t="s">
        <v>343</v>
      </c>
      <c r="H1209" s="10">
        <v>0</v>
      </c>
      <c r="I1209" s="10" t="s">
        <v>343</v>
      </c>
      <c r="J1209" s="11">
        <v>1905</v>
      </c>
      <c r="K1209" s="11">
        <v>2055</v>
      </c>
      <c r="L1209" s="11">
        <v>3960</v>
      </c>
      <c r="M1209" s="11">
        <v>1851</v>
      </c>
    </row>
    <row r="1210" spans="1:13" x14ac:dyDescent="0.3">
      <c r="A1210" s="10">
        <v>6712</v>
      </c>
      <c r="B1210" s="10">
        <v>45</v>
      </c>
      <c r="C1210" s="10" t="s">
        <v>1489</v>
      </c>
      <c r="D1210" s="10">
        <v>4593</v>
      </c>
      <c r="E1210" s="10" t="s">
        <v>1534</v>
      </c>
      <c r="F1210" s="10">
        <v>0</v>
      </c>
      <c r="G1210" s="10" t="s">
        <v>343</v>
      </c>
      <c r="H1210" s="10">
        <v>0</v>
      </c>
      <c r="I1210" s="10" t="s">
        <v>343</v>
      </c>
      <c r="J1210" s="11">
        <v>1164</v>
      </c>
      <c r="K1210" s="11">
        <v>1310</v>
      </c>
      <c r="L1210" s="11">
        <v>2474</v>
      </c>
      <c r="M1210" s="11">
        <v>1215</v>
      </c>
    </row>
    <row r="1211" spans="1:13" x14ac:dyDescent="0.3">
      <c r="A1211" s="10">
        <v>6712</v>
      </c>
      <c r="B1211" s="10">
        <v>45</v>
      </c>
      <c r="C1211" s="10" t="s">
        <v>1489</v>
      </c>
      <c r="D1211" s="10">
        <v>4594</v>
      </c>
      <c r="E1211" s="10" t="s">
        <v>1535</v>
      </c>
      <c r="F1211" s="10">
        <v>0</v>
      </c>
      <c r="G1211" s="10" t="s">
        <v>343</v>
      </c>
      <c r="H1211" s="10">
        <v>0</v>
      </c>
      <c r="I1211" s="10" t="s">
        <v>343</v>
      </c>
      <c r="J1211" s="11">
        <v>3652</v>
      </c>
      <c r="K1211" s="11">
        <v>3916</v>
      </c>
      <c r="L1211" s="11">
        <v>7568</v>
      </c>
      <c r="M1211" s="11">
        <v>2652</v>
      </c>
    </row>
    <row r="1212" spans="1:13" x14ac:dyDescent="0.3">
      <c r="A1212" s="10">
        <v>6712</v>
      </c>
      <c r="B1212" s="10">
        <v>45</v>
      </c>
      <c r="C1212" s="10" t="s">
        <v>1489</v>
      </c>
      <c r="D1212" s="10">
        <v>4595</v>
      </c>
      <c r="E1212" s="10" t="s">
        <v>1536</v>
      </c>
      <c r="F1212" s="10">
        <v>0</v>
      </c>
      <c r="G1212" s="10" t="s">
        <v>343</v>
      </c>
      <c r="H1212" s="10">
        <v>0</v>
      </c>
      <c r="I1212" s="10" t="s">
        <v>343</v>
      </c>
      <c r="J1212" s="11">
        <v>1752</v>
      </c>
      <c r="K1212" s="11">
        <v>1973</v>
      </c>
      <c r="L1212" s="11">
        <v>3725</v>
      </c>
      <c r="M1212" s="11">
        <v>1654</v>
      </c>
    </row>
    <row r="1213" spans="1:13" x14ac:dyDescent="0.3">
      <c r="A1213" s="10">
        <v>6712</v>
      </c>
      <c r="B1213" s="10">
        <v>45</v>
      </c>
      <c r="C1213" s="10" t="s">
        <v>1489</v>
      </c>
      <c r="D1213" s="10">
        <v>4596</v>
      </c>
      <c r="E1213" s="10" t="s">
        <v>1537</v>
      </c>
      <c r="F1213" s="10">
        <v>0</v>
      </c>
      <c r="G1213" s="10" t="s">
        <v>343</v>
      </c>
      <c r="H1213" s="10">
        <v>0</v>
      </c>
      <c r="I1213" s="10" t="s">
        <v>343</v>
      </c>
      <c r="J1213" s="11">
        <v>3040</v>
      </c>
      <c r="K1213" s="11">
        <v>3221</v>
      </c>
      <c r="L1213" s="11">
        <v>6261</v>
      </c>
      <c r="M1213" s="11">
        <v>2230</v>
      </c>
    </row>
    <row r="1214" spans="1:13" x14ac:dyDescent="0.3">
      <c r="A1214" s="10">
        <v>6712</v>
      </c>
      <c r="B1214" s="10">
        <v>45</v>
      </c>
      <c r="C1214" s="10" t="s">
        <v>1489</v>
      </c>
      <c r="D1214" s="10">
        <v>4597</v>
      </c>
      <c r="E1214" s="10" t="s">
        <v>1538</v>
      </c>
      <c r="F1214" s="10">
        <v>0</v>
      </c>
      <c r="G1214" s="10" t="s">
        <v>343</v>
      </c>
      <c r="H1214" s="10">
        <v>0</v>
      </c>
      <c r="I1214" s="10" t="s">
        <v>343</v>
      </c>
      <c r="J1214" s="11">
        <v>5039</v>
      </c>
      <c r="K1214" s="11">
        <v>5481</v>
      </c>
      <c r="L1214" s="11">
        <v>10520</v>
      </c>
      <c r="M1214" s="11">
        <v>5011</v>
      </c>
    </row>
    <row r="1215" spans="1:13" x14ac:dyDescent="0.3">
      <c r="A1215" s="10">
        <v>6712</v>
      </c>
      <c r="B1215" s="10">
        <v>45</v>
      </c>
      <c r="C1215" s="10" t="s">
        <v>1489</v>
      </c>
      <c r="D1215" s="10">
        <v>4598</v>
      </c>
      <c r="E1215" s="10" t="s">
        <v>1539</v>
      </c>
      <c r="F1215" s="10">
        <v>0</v>
      </c>
      <c r="G1215" s="10" t="s">
        <v>343</v>
      </c>
      <c r="H1215" s="10">
        <v>0</v>
      </c>
      <c r="I1215" s="10" t="s">
        <v>343</v>
      </c>
      <c r="J1215" s="11">
        <v>2174</v>
      </c>
      <c r="K1215" s="11">
        <v>2289</v>
      </c>
      <c r="L1215" s="11">
        <v>4463</v>
      </c>
      <c r="M1215" s="11">
        <v>1666</v>
      </c>
    </row>
    <row r="1216" spans="1:13" x14ac:dyDescent="0.3">
      <c r="A1216" s="10">
        <v>6712</v>
      </c>
      <c r="B1216" s="10">
        <v>45</v>
      </c>
      <c r="C1216" s="10" t="s">
        <v>1489</v>
      </c>
      <c r="D1216" s="10">
        <v>4599</v>
      </c>
      <c r="E1216" s="10" t="s">
        <v>1540</v>
      </c>
      <c r="F1216" s="10">
        <v>0</v>
      </c>
      <c r="G1216" s="10" t="s">
        <v>343</v>
      </c>
      <c r="H1216" s="10">
        <v>0</v>
      </c>
      <c r="I1216" s="10" t="s">
        <v>343</v>
      </c>
      <c r="J1216" s="11">
        <v>15038</v>
      </c>
      <c r="K1216" s="11">
        <v>17216</v>
      </c>
      <c r="L1216" s="11">
        <v>32254</v>
      </c>
      <c r="M1216" s="11">
        <v>16977</v>
      </c>
    </row>
    <row r="1217" spans="1:13" x14ac:dyDescent="0.3">
      <c r="A1217" s="10">
        <v>6712</v>
      </c>
      <c r="B1217" s="10">
        <v>46</v>
      </c>
      <c r="C1217" s="10" t="s">
        <v>1541</v>
      </c>
      <c r="D1217" s="10">
        <v>0</v>
      </c>
      <c r="E1217" s="10" t="s">
        <v>343</v>
      </c>
      <c r="F1217" s="10">
        <v>0</v>
      </c>
      <c r="G1217" s="10" t="s">
        <v>343</v>
      </c>
      <c r="H1217" s="10">
        <v>0</v>
      </c>
      <c r="I1217" s="10" t="s">
        <v>343</v>
      </c>
      <c r="J1217" s="11">
        <v>474533</v>
      </c>
      <c r="K1217" s="11">
        <v>487911</v>
      </c>
      <c r="L1217" s="11">
        <v>962444</v>
      </c>
      <c r="M1217" s="11">
        <v>331891</v>
      </c>
    </row>
    <row r="1218" spans="1:13" x14ac:dyDescent="0.3">
      <c r="A1218" s="10">
        <v>6712</v>
      </c>
      <c r="B1218" s="10">
        <v>46</v>
      </c>
      <c r="C1218" s="10" t="s">
        <v>1541</v>
      </c>
      <c r="D1218" s="10">
        <v>4601</v>
      </c>
      <c r="E1218" s="10" t="s">
        <v>1542</v>
      </c>
      <c r="F1218" s="10">
        <v>0</v>
      </c>
      <c r="G1218" s="10" t="s">
        <v>343</v>
      </c>
      <c r="H1218" s="10">
        <v>0</v>
      </c>
      <c r="I1218" s="10" t="s">
        <v>343</v>
      </c>
      <c r="J1218" s="11">
        <v>39537</v>
      </c>
      <c r="K1218" s="11">
        <v>41042</v>
      </c>
      <c r="L1218" s="11">
        <v>80579</v>
      </c>
      <c r="M1218" s="11">
        <v>27572</v>
      </c>
    </row>
    <row r="1219" spans="1:13" x14ac:dyDescent="0.3">
      <c r="A1219" s="10">
        <v>6712</v>
      </c>
      <c r="B1219" s="10">
        <v>46</v>
      </c>
      <c r="C1219" s="10" t="s">
        <v>1541</v>
      </c>
      <c r="D1219" s="10">
        <v>4602</v>
      </c>
      <c r="E1219" s="10" t="s">
        <v>1543</v>
      </c>
      <c r="F1219" s="10">
        <v>0</v>
      </c>
      <c r="G1219" s="10" t="s">
        <v>343</v>
      </c>
      <c r="H1219" s="10">
        <v>0</v>
      </c>
      <c r="I1219" s="10" t="s">
        <v>343</v>
      </c>
      <c r="J1219" s="11">
        <v>14490</v>
      </c>
      <c r="K1219" s="11">
        <v>14768</v>
      </c>
      <c r="L1219" s="11">
        <v>29258</v>
      </c>
      <c r="M1219" s="11">
        <v>9963</v>
      </c>
    </row>
    <row r="1220" spans="1:13" x14ac:dyDescent="0.3">
      <c r="A1220" s="10">
        <v>6712</v>
      </c>
      <c r="B1220" s="10">
        <v>46</v>
      </c>
      <c r="C1220" s="10" t="s">
        <v>1541</v>
      </c>
      <c r="D1220" s="10">
        <v>4603</v>
      </c>
      <c r="E1220" s="10" t="s">
        <v>1544</v>
      </c>
      <c r="F1220" s="10">
        <v>0</v>
      </c>
      <c r="G1220" s="10" t="s">
        <v>343</v>
      </c>
      <c r="H1220" s="10">
        <v>0</v>
      </c>
      <c r="I1220" s="10" t="s">
        <v>343</v>
      </c>
      <c r="J1220" s="11">
        <v>21825</v>
      </c>
      <c r="K1220" s="11">
        <v>22899</v>
      </c>
      <c r="L1220" s="11">
        <v>44724</v>
      </c>
      <c r="M1220" s="11">
        <v>12994</v>
      </c>
    </row>
    <row r="1221" spans="1:13" x14ac:dyDescent="0.3">
      <c r="A1221" s="10">
        <v>6712</v>
      </c>
      <c r="B1221" s="10">
        <v>46</v>
      </c>
      <c r="C1221" s="10" t="s">
        <v>1541</v>
      </c>
      <c r="D1221" s="10">
        <v>4604</v>
      </c>
      <c r="E1221" s="10" t="s">
        <v>1545</v>
      </c>
      <c r="F1221" s="10">
        <v>0</v>
      </c>
      <c r="G1221" s="10" t="s">
        <v>343</v>
      </c>
      <c r="H1221" s="10">
        <v>0</v>
      </c>
      <c r="I1221" s="10" t="s">
        <v>343</v>
      </c>
      <c r="J1221" s="11">
        <v>5089</v>
      </c>
      <c r="K1221" s="11">
        <v>5258</v>
      </c>
      <c r="L1221" s="11">
        <v>10347</v>
      </c>
      <c r="M1221" s="11">
        <v>3432</v>
      </c>
    </row>
    <row r="1222" spans="1:13" x14ac:dyDescent="0.3">
      <c r="A1222" s="10">
        <v>6712</v>
      </c>
      <c r="B1222" s="10">
        <v>46</v>
      </c>
      <c r="C1222" s="10" t="s">
        <v>1541</v>
      </c>
      <c r="D1222" s="10">
        <v>4605</v>
      </c>
      <c r="E1222" s="10" t="s">
        <v>1546</v>
      </c>
      <c r="F1222" s="10">
        <v>0</v>
      </c>
      <c r="G1222" s="10" t="s">
        <v>343</v>
      </c>
      <c r="H1222" s="10">
        <v>0</v>
      </c>
      <c r="I1222" s="10" t="s">
        <v>343</v>
      </c>
      <c r="J1222" s="11">
        <v>30590</v>
      </c>
      <c r="K1222" s="11">
        <v>30623</v>
      </c>
      <c r="L1222" s="11">
        <v>61213</v>
      </c>
      <c r="M1222" s="11">
        <v>22454</v>
      </c>
    </row>
    <row r="1223" spans="1:13" x14ac:dyDescent="0.3">
      <c r="A1223" s="10">
        <v>6712</v>
      </c>
      <c r="B1223" s="10">
        <v>46</v>
      </c>
      <c r="C1223" s="10" t="s">
        <v>1541</v>
      </c>
      <c r="D1223" s="10">
        <v>4606</v>
      </c>
      <c r="E1223" s="10" t="s">
        <v>1547</v>
      </c>
      <c r="F1223" s="10">
        <v>0</v>
      </c>
      <c r="G1223" s="10" t="s">
        <v>343</v>
      </c>
      <c r="H1223" s="10">
        <v>0</v>
      </c>
      <c r="I1223" s="10" t="s">
        <v>343</v>
      </c>
      <c r="J1223" s="11">
        <v>10265</v>
      </c>
      <c r="K1223" s="11">
        <v>10490</v>
      </c>
      <c r="L1223" s="11">
        <v>20755</v>
      </c>
      <c r="M1223" s="11">
        <v>9138</v>
      </c>
    </row>
    <row r="1224" spans="1:13" x14ac:dyDescent="0.3">
      <c r="A1224" s="10">
        <v>6712</v>
      </c>
      <c r="B1224" s="10">
        <v>46</v>
      </c>
      <c r="C1224" s="10" t="s">
        <v>1541</v>
      </c>
      <c r="D1224" s="10">
        <v>4607</v>
      </c>
      <c r="E1224" s="10" t="s">
        <v>1548</v>
      </c>
      <c r="F1224" s="10">
        <v>0</v>
      </c>
      <c r="G1224" s="10" t="s">
        <v>343</v>
      </c>
      <c r="H1224" s="10">
        <v>0</v>
      </c>
      <c r="I1224" s="10" t="s">
        <v>343</v>
      </c>
      <c r="J1224" s="11">
        <v>39400</v>
      </c>
      <c r="K1224" s="11">
        <v>41087</v>
      </c>
      <c r="L1224" s="11">
        <v>80487</v>
      </c>
      <c r="M1224" s="11">
        <v>25343</v>
      </c>
    </row>
    <row r="1225" spans="1:13" x14ac:dyDescent="0.3">
      <c r="A1225" s="10">
        <v>6712</v>
      </c>
      <c r="B1225" s="10">
        <v>46</v>
      </c>
      <c r="C1225" s="10" t="s">
        <v>1541</v>
      </c>
      <c r="D1225" s="10">
        <v>4608</v>
      </c>
      <c r="E1225" s="10" t="s">
        <v>1549</v>
      </c>
      <c r="F1225" s="10">
        <v>0</v>
      </c>
      <c r="G1225" s="10" t="s">
        <v>343</v>
      </c>
      <c r="H1225" s="10">
        <v>0</v>
      </c>
      <c r="I1225" s="10" t="s">
        <v>343</v>
      </c>
      <c r="J1225" s="11">
        <v>19955</v>
      </c>
      <c r="K1225" s="11">
        <v>19845</v>
      </c>
      <c r="L1225" s="11">
        <v>39800</v>
      </c>
      <c r="M1225" s="11">
        <v>12831</v>
      </c>
    </row>
    <row r="1226" spans="1:13" x14ac:dyDescent="0.3">
      <c r="A1226" s="10">
        <v>6712</v>
      </c>
      <c r="B1226" s="10">
        <v>46</v>
      </c>
      <c r="C1226" s="10" t="s">
        <v>1541</v>
      </c>
      <c r="D1226" s="10">
        <v>4609</v>
      </c>
      <c r="E1226" s="10" t="s">
        <v>1550</v>
      </c>
      <c r="F1226" s="10">
        <v>0</v>
      </c>
      <c r="G1226" s="10" t="s">
        <v>343</v>
      </c>
      <c r="H1226" s="10">
        <v>0</v>
      </c>
      <c r="I1226" s="10" t="s">
        <v>343</v>
      </c>
      <c r="J1226" s="11">
        <v>18506</v>
      </c>
      <c r="K1226" s="11">
        <v>18584</v>
      </c>
      <c r="L1226" s="11">
        <v>37090</v>
      </c>
      <c r="M1226" s="11">
        <v>11850</v>
      </c>
    </row>
    <row r="1227" spans="1:13" x14ac:dyDescent="0.3">
      <c r="A1227" s="10">
        <v>6712</v>
      </c>
      <c r="B1227" s="10">
        <v>46</v>
      </c>
      <c r="C1227" s="10" t="s">
        <v>1541</v>
      </c>
      <c r="D1227" s="10">
        <v>4610</v>
      </c>
      <c r="E1227" s="10" t="s">
        <v>1551</v>
      </c>
      <c r="F1227" s="10">
        <v>0</v>
      </c>
      <c r="G1227" s="10" t="s">
        <v>343</v>
      </c>
      <c r="H1227" s="10">
        <v>0</v>
      </c>
      <c r="I1227" s="10" t="s">
        <v>343</v>
      </c>
      <c r="J1227" s="11">
        <v>13287</v>
      </c>
      <c r="K1227" s="11">
        <v>13314</v>
      </c>
      <c r="L1227" s="11">
        <v>26601</v>
      </c>
      <c r="M1227" s="11">
        <v>7737</v>
      </c>
    </row>
    <row r="1228" spans="1:13" x14ac:dyDescent="0.3">
      <c r="A1228" s="10">
        <v>6712</v>
      </c>
      <c r="B1228" s="10">
        <v>46</v>
      </c>
      <c r="C1228" s="10" t="s">
        <v>1541</v>
      </c>
      <c r="D1228" s="10">
        <v>4611</v>
      </c>
      <c r="E1228" s="10" t="s">
        <v>1552</v>
      </c>
      <c r="F1228" s="10">
        <v>0</v>
      </c>
      <c r="G1228" s="10" t="s">
        <v>343</v>
      </c>
      <c r="H1228" s="10">
        <v>0</v>
      </c>
      <c r="I1228" s="10" t="s">
        <v>343</v>
      </c>
      <c r="J1228" s="11">
        <v>14181</v>
      </c>
      <c r="K1228" s="11">
        <v>14311</v>
      </c>
      <c r="L1228" s="11">
        <v>28492</v>
      </c>
      <c r="M1228" s="11">
        <v>8493</v>
      </c>
    </row>
    <row r="1229" spans="1:13" x14ac:dyDescent="0.3">
      <c r="A1229" s="10">
        <v>6712</v>
      </c>
      <c r="B1229" s="10">
        <v>46</v>
      </c>
      <c r="C1229" s="10" t="s">
        <v>1541</v>
      </c>
      <c r="D1229" s="10">
        <v>4612</v>
      </c>
      <c r="E1229" s="10" t="s">
        <v>1553</v>
      </c>
      <c r="F1229" s="10">
        <v>0</v>
      </c>
      <c r="G1229" s="10" t="s">
        <v>343</v>
      </c>
      <c r="H1229" s="10">
        <v>0</v>
      </c>
      <c r="I1229" s="10" t="s">
        <v>343</v>
      </c>
      <c r="J1229" s="11">
        <v>25391</v>
      </c>
      <c r="K1229" s="11">
        <v>25520</v>
      </c>
      <c r="L1229" s="11">
        <v>50911</v>
      </c>
      <c r="M1229" s="11">
        <v>16104</v>
      </c>
    </row>
    <row r="1230" spans="1:13" x14ac:dyDescent="0.3">
      <c r="A1230" s="10">
        <v>6712</v>
      </c>
      <c r="B1230" s="10">
        <v>46</v>
      </c>
      <c r="C1230" s="10" t="s">
        <v>1541</v>
      </c>
      <c r="D1230" s="10">
        <v>4613</v>
      </c>
      <c r="E1230" s="10" t="s">
        <v>1554</v>
      </c>
      <c r="F1230" s="10">
        <v>0</v>
      </c>
      <c r="G1230" s="10" t="s">
        <v>343</v>
      </c>
      <c r="H1230" s="10">
        <v>0</v>
      </c>
      <c r="I1230" s="10" t="s">
        <v>343</v>
      </c>
      <c r="J1230" s="11">
        <v>26992</v>
      </c>
      <c r="K1230" s="11">
        <v>27629</v>
      </c>
      <c r="L1230" s="11">
        <v>54621</v>
      </c>
      <c r="M1230" s="11">
        <v>19156</v>
      </c>
    </row>
    <row r="1231" spans="1:13" x14ac:dyDescent="0.3">
      <c r="A1231" s="10">
        <v>6712</v>
      </c>
      <c r="B1231" s="10">
        <v>46</v>
      </c>
      <c r="C1231" s="10" t="s">
        <v>1541</v>
      </c>
      <c r="D1231" s="10">
        <v>4614</v>
      </c>
      <c r="E1231" s="10" t="s">
        <v>1555</v>
      </c>
      <c r="F1231" s="10">
        <v>0</v>
      </c>
      <c r="G1231" s="10" t="s">
        <v>343</v>
      </c>
      <c r="H1231" s="10">
        <v>0</v>
      </c>
      <c r="I1231" s="10" t="s">
        <v>343</v>
      </c>
      <c r="J1231" s="11">
        <v>6853</v>
      </c>
      <c r="K1231" s="11">
        <v>7048</v>
      </c>
      <c r="L1231" s="11">
        <v>13901</v>
      </c>
      <c r="M1231" s="11">
        <v>4189</v>
      </c>
    </row>
    <row r="1232" spans="1:13" x14ac:dyDescent="0.3">
      <c r="A1232" s="10">
        <v>6712</v>
      </c>
      <c r="B1232" s="10">
        <v>46</v>
      </c>
      <c r="C1232" s="10" t="s">
        <v>1541</v>
      </c>
      <c r="D1232" s="10">
        <v>4615</v>
      </c>
      <c r="E1232" s="10" t="s">
        <v>1556</v>
      </c>
      <c r="F1232" s="10">
        <v>0</v>
      </c>
      <c r="G1232" s="10" t="s">
        <v>343</v>
      </c>
      <c r="H1232" s="10">
        <v>0</v>
      </c>
      <c r="I1232" s="10" t="s">
        <v>343</v>
      </c>
      <c r="J1232" s="11">
        <v>12711</v>
      </c>
      <c r="K1232" s="11">
        <v>12387</v>
      </c>
      <c r="L1232" s="11">
        <v>25098</v>
      </c>
      <c r="M1232" s="11">
        <v>8084</v>
      </c>
    </row>
    <row r="1233" spans="1:13" x14ac:dyDescent="0.3">
      <c r="A1233" s="10">
        <v>6712</v>
      </c>
      <c r="B1233" s="10">
        <v>46</v>
      </c>
      <c r="C1233" s="10" t="s">
        <v>1541</v>
      </c>
      <c r="D1233" s="10">
        <v>4616</v>
      </c>
      <c r="E1233" s="10" t="s">
        <v>1557</v>
      </c>
      <c r="F1233" s="10">
        <v>0</v>
      </c>
      <c r="G1233" s="10" t="s">
        <v>343</v>
      </c>
      <c r="H1233" s="10">
        <v>0</v>
      </c>
      <c r="I1233" s="10" t="s">
        <v>343</v>
      </c>
      <c r="J1233" s="11">
        <v>12647</v>
      </c>
      <c r="K1233" s="11">
        <v>12621</v>
      </c>
      <c r="L1233" s="11">
        <v>25268</v>
      </c>
      <c r="M1233" s="11">
        <v>8694</v>
      </c>
    </row>
    <row r="1234" spans="1:13" x14ac:dyDescent="0.3">
      <c r="A1234" s="10">
        <v>6712</v>
      </c>
      <c r="B1234" s="10">
        <v>46</v>
      </c>
      <c r="C1234" s="10" t="s">
        <v>1541</v>
      </c>
      <c r="D1234" s="10">
        <v>4617</v>
      </c>
      <c r="E1234" s="10" t="s">
        <v>1558</v>
      </c>
      <c r="F1234" s="10">
        <v>0</v>
      </c>
      <c r="G1234" s="10" t="s">
        <v>343</v>
      </c>
      <c r="H1234" s="10">
        <v>0</v>
      </c>
      <c r="I1234" s="10" t="s">
        <v>343</v>
      </c>
      <c r="J1234" s="11">
        <v>12832</v>
      </c>
      <c r="K1234" s="11">
        <v>13054</v>
      </c>
      <c r="L1234" s="11">
        <v>25886</v>
      </c>
      <c r="M1234" s="11">
        <v>8587</v>
      </c>
    </row>
    <row r="1235" spans="1:13" x14ac:dyDescent="0.3">
      <c r="A1235" s="10">
        <v>6712</v>
      </c>
      <c r="B1235" s="10">
        <v>46</v>
      </c>
      <c r="C1235" s="10" t="s">
        <v>1541</v>
      </c>
      <c r="D1235" s="10">
        <v>4618</v>
      </c>
      <c r="E1235" s="10" t="s">
        <v>1559</v>
      </c>
      <c r="F1235" s="10">
        <v>0</v>
      </c>
      <c r="G1235" s="10" t="s">
        <v>343</v>
      </c>
      <c r="H1235" s="10">
        <v>0</v>
      </c>
      <c r="I1235" s="10" t="s">
        <v>343</v>
      </c>
      <c r="J1235" s="11">
        <v>12962</v>
      </c>
      <c r="K1235" s="11">
        <v>13270</v>
      </c>
      <c r="L1235" s="11">
        <v>26232</v>
      </c>
      <c r="M1235" s="11">
        <v>7936</v>
      </c>
    </row>
    <row r="1236" spans="1:13" x14ac:dyDescent="0.3">
      <c r="A1236" s="10">
        <v>6712</v>
      </c>
      <c r="B1236" s="10">
        <v>46</v>
      </c>
      <c r="C1236" s="10" t="s">
        <v>1541</v>
      </c>
      <c r="D1236" s="10">
        <v>4665</v>
      </c>
      <c r="E1236" s="10" t="s">
        <v>1560</v>
      </c>
      <c r="F1236" s="10">
        <v>0</v>
      </c>
      <c r="G1236" s="10" t="s">
        <v>343</v>
      </c>
      <c r="H1236" s="10">
        <v>0</v>
      </c>
      <c r="I1236" s="10" t="s">
        <v>343</v>
      </c>
      <c r="J1236" s="11">
        <v>4715</v>
      </c>
      <c r="K1236" s="11">
        <v>4747</v>
      </c>
      <c r="L1236" s="11">
        <v>9462</v>
      </c>
      <c r="M1236" s="11">
        <v>2628</v>
      </c>
    </row>
    <row r="1237" spans="1:13" x14ac:dyDescent="0.3">
      <c r="A1237" s="10">
        <v>6712</v>
      </c>
      <c r="B1237" s="10">
        <v>46</v>
      </c>
      <c r="C1237" s="10" t="s">
        <v>1541</v>
      </c>
      <c r="D1237" s="10">
        <v>4666</v>
      </c>
      <c r="E1237" s="10" t="s">
        <v>1561</v>
      </c>
      <c r="F1237" s="10">
        <v>0</v>
      </c>
      <c r="G1237" s="10" t="s">
        <v>343</v>
      </c>
      <c r="H1237" s="10">
        <v>0</v>
      </c>
      <c r="I1237" s="10" t="s">
        <v>343</v>
      </c>
      <c r="J1237" s="11">
        <v>7138</v>
      </c>
      <c r="K1237" s="11">
        <v>6992</v>
      </c>
      <c r="L1237" s="11">
        <v>14130</v>
      </c>
      <c r="M1237" s="11">
        <v>3851</v>
      </c>
    </row>
    <row r="1238" spans="1:13" x14ac:dyDescent="0.3">
      <c r="A1238" s="10">
        <v>6712</v>
      </c>
      <c r="B1238" s="10">
        <v>46</v>
      </c>
      <c r="C1238" s="10" t="s">
        <v>1541</v>
      </c>
      <c r="D1238" s="10">
        <v>4667</v>
      </c>
      <c r="E1238" s="10" t="s">
        <v>1562</v>
      </c>
      <c r="F1238" s="10">
        <v>0</v>
      </c>
      <c r="G1238" s="10" t="s">
        <v>343</v>
      </c>
      <c r="H1238" s="10">
        <v>0</v>
      </c>
      <c r="I1238" s="10" t="s">
        <v>343</v>
      </c>
      <c r="J1238" s="11">
        <v>4162</v>
      </c>
      <c r="K1238" s="11">
        <v>4374</v>
      </c>
      <c r="L1238" s="11">
        <v>8536</v>
      </c>
      <c r="M1238" s="11">
        <v>2606</v>
      </c>
    </row>
    <row r="1239" spans="1:13" x14ac:dyDescent="0.3">
      <c r="A1239" s="10">
        <v>6712</v>
      </c>
      <c r="B1239" s="10">
        <v>46</v>
      </c>
      <c r="C1239" s="10" t="s">
        <v>1541</v>
      </c>
      <c r="D1239" s="10">
        <v>4669</v>
      </c>
      <c r="E1239" s="10" t="s">
        <v>1367</v>
      </c>
      <c r="F1239" s="10">
        <v>0</v>
      </c>
      <c r="G1239" s="10" t="s">
        <v>343</v>
      </c>
      <c r="H1239" s="10">
        <v>0</v>
      </c>
      <c r="I1239" s="10" t="s">
        <v>343</v>
      </c>
      <c r="J1239" s="11">
        <v>5966</v>
      </c>
      <c r="K1239" s="11">
        <v>6272</v>
      </c>
      <c r="L1239" s="11">
        <v>12238</v>
      </c>
      <c r="M1239" s="11">
        <v>3899</v>
      </c>
    </row>
    <row r="1240" spans="1:13" x14ac:dyDescent="0.3">
      <c r="A1240" s="10">
        <v>6712</v>
      </c>
      <c r="B1240" s="10">
        <v>46</v>
      </c>
      <c r="C1240" s="10" t="s">
        <v>1541</v>
      </c>
      <c r="D1240" s="10">
        <v>4670</v>
      </c>
      <c r="E1240" s="10" t="s">
        <v>1563</v>
      </c>
      <c r="F1240" s="10">
        <v>0</v>
      </c>
      <c r="G1240" s="10" t="s">
        <v>343</v>
      </c>
      <c r="H1240" s="10">
        <v>0</v>
      </c>
      <c r="I1240" s="10" t="s">
        <v>343</v>
      </c>
      <c r="J1240" s="11">
        <v>6182</v>
      </c>
      <c r="K1240" s="11">
        <v>6546</v>
      </c>
      <c r="L1240" s="11">
        <v>12728</v>
      </c>
      <c r="M1240" s="11">
        <v>4621</v>
      </c>
    </row>
    <row r="1241" spans="1:13" x14ac:dyDescent="0.3">
      <c r="A1241" s="10">
        <v>6712</v>
      </c>
      <c r="B1241" s="10">
        <v>46</v>
      </c>
      <c r="C1241" s="10" t="s">
        <v>1541</v>
      </c>
      <c r="D1241" s="10">
        <v>4671</v>
      </c>
      <c r="E1241" s="10" t="s">
        <v>1564</v>
      </c>
      <c r="F1241" s="10">
        <v>0</v>
      </c>
      <c r="G1241" s="10" t="s">
        <v>343</v>
      </c>
      <c r="H1241" s="10">
        <v>0</v>
      </c>
      <c r="I1241" s="10" t="s">
        <v>343</v>
      </c>
      <c r="J1241" s="11">
        <v>6413</v>
      </c>
      <c r="K1241" s="11">
        <v>6523</v>
      </c>
      <c r="L1241" s="11">
        <v>12936</v>
      </c>
      <c r="M1241" s="11">
        <v>3554</v>
      </c>
    </row>
    <row r="1242" spans="1:13" x14ac:dyDescent="0.3">
      <c r="A1242" s="10">
        <v>6712</v>
      </c>
      <c r="B1242" s="10">
        <v>46</v>
      </c>
      <c r="C1242" s="10" t="s">
        <v>1541</v>
      </c>
      <c r="D1242" s="10">
        <v>4672</v>
      </c>
      <c r="E1242" s="10" t="s">
        <v>1565</v>
      </c>
      <c r="F1242" s="10">
        <v>0</v>
      </c>
      <c r="G1242" s="10" t="s">
        <v>343</v>
      </c>
      <c r="H1242" s="10">
        <v>0</v>
      </c>
      <c r="I1242" s="10" t="s">
        <v>343</v>
      </c>
      <c r="J1242" s="11">
        <v>2040</v>
      </c>
      <c r="K1242" s="11">
        <v>2190</v>
      </c>
      <c r="L1242" s="11">
        <v>4230</v>
      </c>
      <c r="M1242" s="11">
        <v>1388</v>
      </c>
    </row>
    <row r="1243" spans="1:13" x14ac:dyDescent="0.3">
      <c r="A1243" s="10">
        <v>6712</v>
      </c>
      <c r="B1243" s="10">
        <v>46</v>
      </c>
      <c r="C1243" s="10" t="s">
        <v>1541</v>
      </c>
      <c r="D1243" s="10">
        <v>4673</v>
      </c>
      <c r="E1243" s="10" t="s">
        <v>1566</v>
      </c>
      <c r="F1243" s="10">
        <v>0</v>
      </c>
      <c r="G1243" s="10" t="s">
        <v>343</v>
      </c>
      <c r="H1243" s="10">
        <v>0</v>
      </c>
      <c r="I1243" s="10" t="s">
        <v>343</v>
      </c>
      <c r="J1243" s="11">
        <v>5151</v>
      </c>
      <c r="K1243" s="11">
        <v>5132</v>
      </c>
      <c r="L1243" s="11">
        <v>10283</v>
      </c>
      <c r="M1243" s="11">
        <v>3131</v>
      </c>
    </row>
    <row r="1244" spans="1:13" x14ac:dyDescent="0.3">
      <c r="A1244" s="10">
        <v>6712</v>
      </c>
      <c r="B1244" s="10">
        <v>46</v>
      </c>
      <c r="C1244" s="10" t="s">
        <v>1541</v>
      </c>
      <c r="D1244" s="10">
        <v>4674</v>
      </c>
      <c r="E1244" s="10" t="s">
        <v>1567</v>
      </c>
      <c r="F1244" s="10">
        <v>0</v>
      </c>
      <c r="G1244" s="10" t="s">
        <v>343</v>
      </c>
      <c r="H1244" s="10">
        <v>0</v>
      </c>
      <c r="I1244" s="10" t="s">
        <v>343</v>
      </c>
      <c r="J1244" s="11">
        <v>1350</v>
      </c>
      <c r="K1244" s="11">
        <v>1359</v>
      </c>
      <c r="L1244" s="11">
        <v>2709</v>
      </c>
      <c r="M1244" s="11">
        <v>1043</v>
      </c>
    </row>
    <row r="1245" spans="1:13" x14ac:dyDescent="0.3">
      <c r="A1245" s="10">
        <v>6712</v>
      </c>
      <c r="B1245" s="10">
        <v>46</v>
      </c>
      <c r="C1245" s="10" t="s">
        <v>1541</v>
      </c>
      <c r="D1245" s="10">
        <v>4675</v>
      </c>
      <c r="E1245" s="10" t="s">
        <v>1568</v>
      </c>
      <c r="F1245" s="10">
        <v>0</v>
      </c>
      <c r="G1245" s="10" t="s">
        <v>343</v>
      </c>
      <c r="H1245" s="10">
        <v>0</v>
      </c>
      <c r="I1245" s="10" t="s">
        <v>343</v>
      </c>
      <c r="J1245" s="11">
        <v>5730</v>
      </c>
      <c r="K1245" s="11">
        <v>5895</v>
      </c>
      <c r="L1245" s="11">
        <v>11625</v>
      </c>
      <c r="M1245" s="11">
        <v>3554</v>
      </c>
    </row>
    <row r="1246" spans="1:13" x14ac:dyDescent="0.3">
      <c r="A1246" s="10">
        <v>6712</v>
      </c>
      <c r="B1246" s="10">
        <v>46</v>
      </c>
      <c r="C1246" s="10" t="s">
        <v>1541</v>
      </c>
      <c r="D1246" s="10">
        <v>4676</v>
      </c>
      <c r="E1246" s="10" t="s">
        <v>1569</v>
      </c>
      <c r="F1246" s="10">
        <v>0</v>
      </c>
      <c r="G1246" s="10" t="s">
        <v>343</v>
      </c>
      <c r="H1246" s="10">
        <v>0</v>
      </c>
      <c r="I1246" s="10" t="s">
        <v>343</v>
      </c>
      <c r="J1246" s="11">
        <v>2430</v>
      </c>
      <c r="K1246" s="11">
        <v>2675</v>
      </c>
      <c r="L1246" s="11">
        <v>5105</v>
      </c>
      <c r="M1246" s="11">
        <v>1995</v>
      </c>
    </row>
    <row r="1247" spans="1:13" x14ac:dyDescent="0.3">
      <c r="A1247" s="10">
        <v>6712</v>
      </c>
      <c r="B1247" s="10">
        <v>46</v>
      </c>
      <c r="C1247" s="10" t="s">
        <v>1541</v>
      </c>
      <c r="D1247" s="10">
        <v>4677</v>
      </c>
      <c r="E1247" s="10" t="s">
        <v>1570</v>
      </c>
      <c r="F1247" s="10">
        <v>0</v>
      </c>
      <c r="G1247" s="10" t="s">
        <v>343</v>
      </c>
      <c r="H1247" s="10">
        <v>0</v>
      </c>
      <c r="I1247" s="10" t="s">
        <v>343</v>
      </c>
      <c r="J1247" s="11">
        <v>2716</v>
      </c>
      <c r="K1247" s="11">
        <v>2862</v>
      </c>
      <c r="L1247" s="11">
        <v>5578</v>
      </c>
      <c r="M1247" s="11">
        <v>2352</v>
      </c>
    </row>
    <row r="1248" spans="1:13" x14ac:dyDescent="0.3">
      <c r="A1248" s="10">
        <v>6712</v>
      </c>
      <c r="B1248" s="10">
        <v>46</v>
      </c>
      <c r="C1248" s="10" t="s">
        <v>1541</v>
      </c>
      <c r="D1248" s="10">
        <v>4678</v>
      </c>
      <c r="E1248" s="10" t="s">
        <v>1571</v>
      </c>
      <c r="F1248" s="10">
        <v>0</v>
      </c>
      <c r="G1248" s="10" t="s">
        <v>343</v>
      </c>
      <c r="H1248" s="10">
        <v>0</v>
      </c>
      <c r="I1248" s="10" t="s">
        <v>343</v>
      </c>
      <c r="J1248" s="11">
        <v>3138</v>
      </c>
      <c r="K1248" s="11">
        <v>3393</v>
      </c>
      <c r="L1248" s="11">
        <v>6531</v>
      </c>
      <c r="M1248" s="11">
        <v>3490</v>
      </c>
    </row>
    <row r="1249" spans="1:13" x14ac:dyDescent="0.3">
      <c r="A1249" s="10">
        <v>6712</v>
      </c>
      <c r="B1249" s="10">
        <v>46</v>
      </c>
      <c r="C1249" s="10" t="s">
        <v>1541</v>
      </c>
      <c r="D1249" s="10">
        <v>4679</v>
      </c>
      <c r="E1249" s="10" t="s">
        <v>1428</v>
      </c>
      <c r="F1249" s="10">
        <v>0</v>
      </c>
      <c r="G1249" s="10" t="s">
        <v>343</v>
      </c>
      <c r="H1249" s="10">
        <v>0</v>
      </c>
      <c r="I1249" s="10" t="s">
        <v>343</v>
      </c>
      <c r="J1249" s="11">
        <v>2607</v>
      </c>
      <c r="K1249" s="11">
        <v>2666</v>
      </c>
      <c r="L1249" s="11">
        <v>5273</v>
      </c>
      <c r="M1249" s="11">
        <v>1697</v>
      </c>
    </row>
    <row r="1250" spans="1:13" x14ac:dyDescent="0.3">
      <c r="A1250" s="10">
        <v>6712</v>
      </c>
      <c r="B1250" s="10">
        <v>46</v>
      </c>
      <c r="C1250" s="10" t="s">
        <v>1541</v>
      </c>
      <c r="D1250" s="10">
        <v>4680</v>
      </c>
      <c r="E1250" s="10" t="s">
        <v>1572</v>
      </c>
      <c r="F1250" s="10">
        <v>0</v>
      </c>
      <c r="G1250" s="10" t="s">
        <v>343</v>
      </c>
      <c r="H1250" s="10">
        <v>0</v>
      </c>
      <c r="I1250" s="10" t="s">
        <v>343</v>
      </c>
      <c r="J1250" s="11">
        <v>4288</v>
      </c>
      <c r="K1250" s="11">
        <v>4449</v>
      </c>
      <c r="L1250" s="11">
        <v>8737</v>
      </c>
      <c r="M1250" s="11">
        <v>3586</v>
      </c>
    </row>
    <row r="1251" spans="1:13" x14ac:dyDescent="0.3">
      <c r="A1251" s="10">
        <v>6712</v>
      </c>
      <c r="B1251" s="10">
        <v>46</v>
      </c>
      <c r="C1251" s="10" t="s">
        <v>1541</v>
      </c>
      <c r="D1251" s="10">
        <v>4681</v>
      </c>
      <c r="E1251" s="10" t="s">
        <v>1573</v>
      </c>
      <c r="F1251" s="10">
        <v>0</v>
      </c>
      <c r="G1251" s="10" t="s">
        <v>343</v>
      </c>
      <c r="H1251" s="10">
        <v>0</v>
      </c>
      <c r="I1251" s="10" t="s">
        <v>343</v>
      </c>
      <c r="J1251" s="11">
        <v>4414</v>
      </c>
      <c r="K1251" s="11">
        <v>4586</v>
      </c>
      <c r="L1251" s="11">
        <v>9000</v>
      </c>
      <c r="M1251" s="11">
        <v>3096</v>
      </c>
    </row>
    <row r="1252" spans="1:13" x14ac:dyDescent="0.3">
      <c r="A1252" s="10">
        <v>6712</v>
      </c>
      <c r="B1252" s="10">
        <v>46</v>
      </c>
      <c r="C1252" s="10" t="s">
        <v>1541</v>
      </c>
      <c r="D1252" s="10">
        <v>4682</v>
      </c>
      <c r="E1252" s="10" t="s">
        <v>1574</v>
      </c>
      <c r="F1252" s="10">
        <v>0</v>
      </c>
      <c r="G1252" s="10" t="s">
        <v>343</v>
      </c>
      <c r="H1252" s="10">
        <v>0</v>
      </c>
      <c r="I1252" s="10" t="s">
        <v>343</v>
      </c>
      <c r="J1252" s="11">
        <v>1847</v>
      </c>
      <c r="K1252" s="11">
        <v>1875</v>
      </c>
      <c r="L1252" s="11">
        <v>3722</v>
      </c>
      <c r="M1252" s="11">
        <v>1145</v>
      </c>
    </row>
    <row r="1253" spans="1:13" x14ac:dyDescent="0.3">
      <c r="A1253" s="10">
        <v>6712</v>
      </c>
      <c r="B1253" s="10">
        <v>46</v>
      </c>
      <c r="C1253" s="10" t="s">
        <v>1541</v>
      </c>
      <c r="D1253" s="10">
        <v>4683</v>
      </c>
      <c r="E1253" s="10" t="s">
        <v>1575</v>
      </c>
      <c r="F1253" s="10">
        <v>0</v>
      </c>
      <c r="G1253" s="10" t="s">
        <v>343</v>
      </c>
      <c r="H1253" s="10">
        <v>0</v>
      </c>
      <c r="I1253" s="10" t="s">
        <v>343</v>
      </c>
      <c r="J1253" s="11">
        <v>1915</v>
      </c>
      <c r="K1253" s="11">
        <v>1962</v>
      </c>
      <c r="L1253" s="11">
        <v>3877</v>
      </c>
      <c r="M1253" s="11">
        <v>1798</v>
      </c>
    </row>
    <row r="1254" spans="1:13" x14ac:dyDescent="0.3">
      <c r="A1254" s="10">
        <v>6712</v>
      </c>
      <c r="B1254" s="10">
        <v>46</v>
      </c>
      <c r="C1254" s="10" t="s">
        <v>1541</v>
      </c>
      <c r="D1254" s="10">
        <v>4684</v>
      </c>
      <c r="E1254" s="10" t="s">
        <v>1576</v>
      </c>
      <c r="F1254" s="10">
        <v>0</v>
      </c>
      <c r="G1254" s="10" t="s">
        <v>343</v>
      </c>
      <c r="H1254" s="10">
        <v>0</v>
      </c>
      <c r="I1254" s="10" t="s">
        <v>343</v>
      </c>
      <c r="J1254" s="11">
        <v>2401</v>
      </c>
      <c r="K1254" s="11">
        <v>2652</v>
      </c>
      <c r="L1254" s="11">
        <v>5053</v>
      </c>
      <c r="M1254" s="11">
        <v>2130</v>
      </c>
    </row>
    <row r="1255" spans="1:13" x14ac:dyDescent="0.3">
      <c r="A1255" s="10">
        <v>6712</v>
      </c>
      <c r="B1255" s="10">
        <v>46</v>
      </c>
      <c r="C1255" s="10" t="s">
        <v>1541</v>
      </c>
      <c r="D1255" s="10">
        <v>4685</v>
      </c>
      <c r="E1255" s="10" t="s">
        <v>1577</v>
      </c>
      <c r="F1255" s="10">
        <v>0</v>
      </c>
      <c r="G1255" s="10" t="s">
        <v>343</v>
      </c>
      <c r="H1255" s="10">
        <v>0</v>
      </c>
      <c r="I1255" s="10" t="s">
        <v>343</v>
      </c>
      <c r="J1255" s="11">
        <v>2711</v>
      </c>
      <c r="K1255" s="11">
        <v>2852</v>
      </c>
      <c r="L1255" s="11">
        <v>5563</v>
      </c>
      <c r="M1255" s="11">
        <v>2352</v>
      </c>
    </row>
    <row r="1256" spans="1:13" x14ac:dyDescent="0.3">
      <c r="A1256" s="10">
        <v>6712</v>
      </c>
      <c r="B1256" s="10">
        <v>46</v>
      </c>
      <c r="C1256" s="10" t="s">
        <v>1541</v>
      </c>
      <c r="D1256" s="10">
        <v>4686</v>
      </c>
      <c r="E1256" s="10" t="s">
        <v>1578</v>
      </c>
      <c r="F1256" s="10">
        <v>0</v>
      </c>
      <c r="G1256" s="10" t="s">
        <v>343</v>
      </c>
      <c r="H1256" s="10">
        <v>0</v>
      </c>
      <c r="I1256" s="10" t="s">
        <v>343</v>
      </c>
      <c r="J1256" s="11">
        <v>2426</v>
      </c>
      <c r="K1256" s="11">
        <v>2491</v>
      </c>
      <c r="L1256" s="11">
        <v>4917</v>
      </c>
      <c r="M1256" s="11">
        <v>1695</v>
      </c>
    </row>
    <row r="1257" spans="1:13" x14ac:dyDescent="0.3">
      <c r="A1257" s="10">
        <v>6712</v>
      </c>
      <c r="B1257" s="10">
        <v>46</v>
      </c>
      <c r="C1257" s="10" t="s">
        <v>1541</v>
      </c>
      <c r="D1257" s="10">
        <v>4687</v>
      </c>
      <c r="E1257" s="10" t="s">
        <v>1579</v>
      </c>
      <c r="F1257" s="10">
        <v>0</v>
      </c>
      <c r="G1257" s="10" t="s">
        <v>343</v>
      </c>
      <c r="H1257" s="10">
        <v>0</v>
      </c>
      <c r="I1257" s="10" t="s">
        <v>343</v>
      </c>
      <c r="J1257" s="11">
        <v>3800</v>
      </c>
      <c r="K1257" s="11">
        <v>4311</v>
      </c>
      <c r="L1257" s="11">
        <v>8111</v>
      </c>
      <c r="M1257" s="11">
        <v>3962</v>
      </c>
    </row>
    <row r="1258" spans="1:13" x14ac:dyDescent="0.3">
      <c r="A1258" s="10">
        <v>6712</v>
      </c>
      <c r="B1258" s="10">
        <v>46</v>
      </c>
      <c r="C1258" s="10" t="s">
        <v>1541</v>
      </c>
      <c r="D1258" s="10">
        <v>4688</v>
      </c>
      <c r="E1258" s="10" t="s">
        <v>1580</v>
      </c>
      <c r="F1258" s="10">
        <v>0</v>
      </c>
      <c r="G1258" s="10" t="s">
        <v>343</v>
      </c>
      <c r="H1258" s="10">
        <v>0</v>
      </c>
      <c r="I1258" s="10" t="s">
        <v>343</v>
      </c>
      <c r="J1258" s="11">
        <v>1509</v>
      </c>
      <c r="K1258" s="11">
        <v>1624</v>
      </c>
      <c r="L1258" s="11">
        <v>3133</v>
      </c>
      <c r="M1258" s="11">
        <v>1341</v>
      </c>
    </row>
    <row r="1259" spans="1:13" x14ac:dyDescent="0.3">
      <c r="A1259" s="10">
        <v>6712</v>
      </c>
      <c r="B1259" s="10">
        <v>46</v>
      </c>
      <c r="C1259" s="10" t="s">
        <v>1541</v>
      </c>
      <c r="D1259" s="10">
        <v>4689</v>
      </c>
      <c r="E1259" s="10" t="s">
        <v>1581</v>
      </c>
      <c r="F1259" s="10">
        <v>0</v>
      </c>
      <c r="G1259" s="10" t="s">
        <v>343</v>
      </c>
      <c r="H1259" s="10">
        <v>0</v>
      </c>
      <c r="I1259" s="10" t="s">
        <v>343</v>
      </c>
      <c r="J1259" s="11">
        <v>4768</v>
      </c>
      <c r="K1259" s="11">
        <v>4998</v>
      </c>
      <c r="L1259" s="11">
        <v>9766</v>
      </c>
      <c r="M1259" s="11">
        <v>4661</v>
      </c>
    </row>
    <row r="1260" spans="1:13" x14ac:dyDescent="0.3">
      <c r="A1260" s="10">
        <v>6712</v>
      </c>
      <c r="B1260" s="10">
        <v>46</v>
      </c>
      <c r="C1260" s="10" t="s">
        <v>1541</v>
      </c>
      <c r="D1260" s="10">
        <v>4690</v>
      </c>
      <c r="E1260" s="10" t="s">
        <v>1582</v>
      </c>
      <c r="F1260" s="10">
        <v>0</v>
      </c>
      <c r="G1260" s="10" t="s">
        <v>343</v>
      </c>
      <c r="H1260" s="10">
        <v>0</v>
      </c>
      <c r="I1260" s="10" t="s">
        <v>343</v>
      </c>
      <c r="J1260" s="11">
        <v>5407</v>
      </c>
      <c r="K1260" s="11">
        <v>5662</v>
      </c>
      <c r="L1260" s="11">
        <v>11069</v>
      </c>
      <c r="M1260" s="11">
        <v>5147</v>
      </c>
    </row>
    <row r="1261" spans="1:13" x14ac:dyDescent="0.3">
      <c r="A1261" s="10">
        <v>6712</v>
      </c>
      <c r="B1261" s="10">
        <v>46</v>
      </c>
      <c r="C1261" s="10" t="s">
        <v>1541</v>
      </c>
      <c r="D1261" s="10">
        <v>4691</v>
      </c>
      <c r="E1261" s="10" t="s">
        <v>1583</v>
      </c>
      <c r="F1261" s="10">
        <v>0</v>
      </c>
      <c r="G1261" s="10" t="s">
        <v>343</v>
      </c>
      <c r="H1261" s="10">
        <v>0</v>
      </c>
      <c r="I1261" s="10" t="s">
        <v>343</v>
      </c>
      <c r="J1261" s="11">
        <v>2457</v>
      </c>
      <c r="K1261" s="11">
        <v>2686</v>
      </c>
      <c r="L1261" s="11">
        <v>5143</v>
      </c>
      <c r="M1261" s="11">
        <v>2132</v>
      </c>
    </row>
    <row r="1262" spans="1:13" x14ac:dyDescent="0.3">
      <c r="A1262" s="10">
        <v>6712</v>
      </c>
      <c r="B1262" s="10">
        <v>46</v>
      </c>
      <c r="C1262" s="10" t="s">
        <v>1541</v>
      </c>
      <c r="D1262" s="10">
        <v>4692</v>
      </c>
      <c r="E1262" s="10" t="s">
        <v>1584</v>
      </c>
      <c r="F1262" s="10">
        <v>0</v>
      </c>
      <c r="G1262" s="10" t="s">
        <v>343</v>
      </c>
      <c r="H1262" s="10">
        <v>0</v>
      </c>
      <c r="I1262" s="10" t="s">
        <v>343</v>
      </c>
      <c r="J1262" s="11">
        <v>2893</v>
      </c>
      <c r="K1262" s="11">
        <v>3059</v>
      </c>
      <c r="L1262" s="11">
        <v>5952</v>
      </c>
      <c r="M1262" s="11">
        <v>2340</v>
      </c>
    </row>
    <row r="1263" spans="1:13" x14ac:dyDescent="0.3">
      <c r="A1263" s="10">
        <v>6712</v>
      </c>
      <c r="B1263" s="10">
        <v>46</v>
      </c>
      <c r="C1263" s="10" t="s">
        <v>1541</v>
      </c>
      <c r="D1263" s="10">
        <v>4693</v>
      </c>
      <c r="E1263" s="10" t="s">
        <v>1585</v>
      </c>
      <c r="F1263" s="10">
        <v>0</v>
      </c>
      <c r="G1263" s="10" t="s">
        <v>343</v>
      </c>
      <c r="H1263" s="10">
        <v>0</v>
      </c>
      <c r="I1263" s="10" t="s">
        <v>343</v>
      </c>
      <c r="J1263" s="11">
        <v>3212</v>
      </c>
      <c r="K1263" s="11">
        <v>3518</v>
      </c>
      <c r="L1263" s="11">
        <v>6730</v>
      </c>
      <c r="M1263" s="11">
        <v>2294</v>
      </c>
    </row>
    <row r="1264" spans="1:13" x14ac:dyDescent="0.3">
      <c r="A1264" s="10">
        <v>6712</v>
      </c>
      <c r="B1264" s="10">
        <v>46</v>
      </c>
      <c r="C1264" s="10" t="s">
        <v>1541</v>
      </c>
      <c r="D1264" s="10">
        <v>4694</v>
      </c>
      <c r="E1264" s="10" t="s">
        <v>1586</v>
      </c>
      <c r="F1264" s="10">
        <v>0</v>
      </c>
      <c r="G1264" s="10" t="s">
        <v>343</v>
      </c>
      <c r="H1264" s="10">
        <v>0</v>
      </c>
      <c r="I1264" s="10" t="s">
        <v>343</v>
      </c>
      <c r="J1264" s="11">
        <v>3059</v>
      </c>
      <c r="K1264" s="11">
        <v>3155</v>
      </c>
      <c r="L1264" s="11">
        <v>6214</v>
      </c>
      <c r="M1264" s="11">
        <v>1767</v>
      </c>
    </row>
    <row r="1265" spans="1:13" x14ac:dyDescent="0.3">
      <c r="A1265" s="10">
        <v>6712</v>
      </c>
      <c r="B1265" s="10">
        <v>46</v>
      </c>
      <c r="C1265" s="10" t="s">
        <v>1541</v>
      </c>
      <c r="D1265" s="10">
        <v>4695</v>
      </c>
      <c r="E1265" s="10" t="s">
        <v>1587</v>
      </c>
      <c r="F1265" s="10">
        <v>0</v>
      </c>
      <c r="G1265" s="10" t="s">
        <v>343</v>
      </c>
      <c r="H1265" s="10">
        <v>0</v>
      </c>
      <c r="I1265" s="10" t="s">
        <v>343</v>
      </c>
      <c r="J1265" s="11">
        <v>4496</v>
      </c>
      <c r="K1265" s="11">
        <v>5049</v>
      </c>
      <c r="L1265" s="11">
        <v>9545</v>
      </c>
      <c r="M1265" s="11">
        <v>3826</v>
      </c>
    </row>
    <row r="1266" spans="1:13" x14ac:dyDescent="0.3">
      <c r="A1266" s="10">
        <v>6712</v>
      </c>
      <c r="B1266" s="10">
        <v>46</v>
      </c>
      <c r="C1266" s="10" t="s">
        <v>1541</v>
      </c>
      <c r="D1266" s="10">
        <v>4696</v>
      </c>
      <c r="E1266" s="10" t="s">
        <v>1588</v>
      </c>
      <c r="F1266" s="10">
        <v>0</v>
      </c>
      <c r="G1266" s="10" t="s">
        <v>343</v>
      </c>
      <c r="H1266" s="10">
        <v>0</v>
      </c>
      <c r="I1266" s="10" t="s">
        <v>343</v>
      </c>
      <c r="J1266" s="11">
        <v>3366</v>
      </c>
      <c r="K1266" s="11">
        <v>3414</v>
      </c>
      <c r="L1266" s="11">
        <v>6780</v>
      </c>
      <c r="M1266" s="11">
        <v>2473</v>
      </c>
    </row>
    <row r="1267" spans="1:13" x14ac:dyDescent="0.3">
      <c r="A1267" s="10">
        <v>6712</v>
      </c>
      <c r="B1267" s="10">
        <v>46</v>
      </c>
      <c r="C1267" s="10" t="s">
        <v>1541</v>
      </c>
      <c r="D1267" s="10">
        <v>4697</v>
      </c>
      <c r="E1267" s="10" t="s">
        <v>1589</v>
      </c>
      <c r="F1267" s="10">
        <v>0</v>
      </c>
      <c r="G1267" s="10" t="s">
        <v>343</v>
      </c>
      <c r="H1267" s="10">
        <v>0</v>
      </c>
      <c r="I1267" s="10" t="s">
        <v>343</v>
      </c>
      <c r="J1267" s="11">
        <v>3459</v>
      </c>
      <c r="K1267" s="11">
        <v>3756</v>
      </c>
      <c r="L1267" s="11">
        <v>7215</v>
      </c>
      <c r="M1267" s="11">
        <v>2412</v>
      </c>
    </row>
    <row r="1268" spans="1:13" x14ac:dyDescent="0.3">
      <c r="A1268" s="10">
        <v>6712</v>
      </c>
      <c r="B1268" s="10">
        <v>46</v>
      </c>
      <c r="C1268" s="10" t="s">
        <v>1541</v>
      </c>
      <c r="D1268" s="10">
        <v>4698</v>
      </c>
      <c r="E1268" s="10" t="s">
        <v>1590</v>
      </c>
      <c r="F1268" s="10">
        <v>0</v>
      </c>
      <c r="G1268" s="10" t="s">
        <v>343</v>
      </c>
      <c r="H1268" s="10">
        <v>0</v>
      </c>
      <c r="I1268" s="10" t="s">
        <v>343</v>
      </c>
      <c r="J1268" s="11">
        <v>4160</v>
      </c>
      <c r="K1268" s="11">
        <v>4170</v>
      </c>
      <c r="L1268" s="11">
        <v>8330</v>
      </c>
      <c r="M1268" s="11">
        <v>2626</v>
      </c>
    </row>
    <row r="1269" spans="1:13" x14ac:dyDescent="0.3">
      <c r="A1269" s="10">
        <v>6712</v>
      </c>
      <c r="B1269" s="10">
        <v>46</v>
      </c>
      <c r="C1269" s="10" t="s">
        <v>1541</v>
      </c>
      <c r="D1269" s="10">
        <v>4699</v>
      </c>
      <c r="E1269" s="10" t="s">
        <v>1591</v>
      </c>
      <c r="F1269" s="10">
        <v>0</v>
      </c>
      <c r="G1269" s="10" t="s">
        <v>343</v>
      </c>
      <c r="H1269" s="10">
        <v>0</v>
      </c>
      <c r="I1269" s="10" t="s">
        <v>343</v>
      </c>
      <c r="J1269" s="11">
        <v>14694</v>
      </c>
      <c r="K1269" s="11">
        <v>16266</v>
      </c>
      <c r="L1269" s="11">
        <v>30960</v>
      </c>
      <c r="M1269" s="11">
        <v>16742</v>
      </c>
    </row>
    <row r="1270" spans="1:13" x14ac:dyDescent="0.3">
      <c r="A1270" s="10">
        <v>6712</v>
      </c>
      <c r="B1270" s="10">
        <v>47</v>
      </c>
      <c r="C1270" s="10" t="s">
        <v>1592</v>
      </c>
      <c r="D1270" s="10">
        <v>0</v>
      </c>
      <c r="E1270" s="10" t="s">
        <v>343</v>
      </c>
      <c r="F1270" s="10">
        <v>0</v>
      </c>
      <c r="G1270" s="10" t="s">
        <v>343</v>
      </c>
      <c r="H1270" s="10">
        <v>0</v>
      </c>
      <c r="I1270" s="10" t="s">
        <v>343</v>
      </c>
      <c r="J1270" s="11">
        <v>564205</v>
      </c>
      <c r="K1270" s="11">
        <v>573567</v>
      </c>
      <c r="L1270" s="11">
        <v>1137772</v>
      </c>
      <c r="M1270" s="11">
        <v>411116</v>
      </c>
    </row>
    <row r="1271" spans="1:13" x14ac:dyDescent="0.3">
      <c r="A1271" s="10">
        <v>6712</v>
      </c>
      <c r="B1271" s="10">
        <v>47</v>
      </c>
      <c r="C1271" s="10" t="s">
        <v>1592</v>
      </c>
      <c r="D1271" s="10">
        <v>4701</v>
      </c>
      <c r="E1271" s="10" t="s">
        <v>1593</v>
      </c>
      <c r="F1271" s="10">
        <v>0</v>
      </c>
      <c r="G1271" s="10" t="s">
        <v>343</v>
      </c>
      <c r="H1271" s="10">
        <v>0</v>
      </c>
      <c r="I1271" s="10" t="s">
        <v>343</v>
      </c>
      <c r="J1271" s="11">
        <v>56605</v>
      </c>
      <c r="K1271" s="11">
        <v>58341</v>
      </c>
      <c r="L1271" s="11">
        <v>114946</v>
      </c>
      <c r="M1271" s="11">
        <v>45179</v>
      </c>
    </row>
    <row r="1272" spans="1:13" x14ac:dyDescent="0.3">
      <c r="A1272" s="10">
        <v>6712</v>
      </c>
      <c r="B1272" s="10">
        <v>47</v>
      </c>
      <c r="C1272" s="10" t="s">
        <v>1592</v>
      </c>
      <c r="D1272" s="10">
        <v>4702</v>
      </c>
      <c r="E1272" s="10" t="s">
        <v>1594</v>
      </c>
      <c r="F1272" s="10">
        <v>0</v>
      </c>
      <c r="G1272" s="10" t="s">
        <v>343</v>
      </c>
      <c r="H1272" s="10">
        <v>0</v>
      </c>
      <c r="I1272" s="10" t="s">
        <v>343</v>
      </c>
      <c r="J1272" s="11">
        <v>21714</v>
      </c>
      <c r="K1272" s="11">
        <v>21904</v>
      </c>
      <c r="L1272" s="11">
        <v>43618</v>
      </c>
      <c r="M1272" s="11">
        <v>14689</v>
      </c>
    </row>
    <row r="1273" spans="1:13" x14ac:dyDescent="0.3">
      <c r="A1273" s="10">
        <v>6712</v>
      </c>
      <c r="B1273" s="10">
        <v>47</v>
      </c>
      <c r="C1273" s="10" t="s">
        <v>1592</v>
      </c>
      <c r="D1273" s="10">
        <v>4703</v>
      </c>
      <c r="E1273" s="10" t="s">
        <v>1595</v>
      </c>
      <c r="F1273" s="10">
        <v>0</v>
      </c>
      <c r="G1273" s="10" t="s">
        <v>343</v>
      </c>
      <c r="H1273" s="10">
        <v>0</v>
      </c>
      <c r="I1273" s="10" t="s">
        <v>343</v>
      </c>
      <c r="J1273" s="11">
        <v>13816</v>
      </c>
      <c r="K1273" s="11">
        <v>13576</v>
      </c>
      <c r="L1273" s="11">
        <v>27392</v>
      </c>
      <c r="M1273" s="11">
        <v>9629</v>
      </c>
    </row>
    <row r="1274" spans="1:13" x14ac:dyDescent="0.3">
      <c r="A1274" s="10">
        <v>6712</v>
      </c>
      <c r="B1274" s="10">
        <v>47</v>
      </c>
      <c r="C1274" s="10" t="s">
        <v>1592</v>
      </c>
      <c r="D1274" s="10">
        <v>4704</v>
      </c>
      <c r="E1274" s="10" t="s">
        <v>1596</v>
      </c>
      <c r="F1274" s="10">
        <v>0</v>
      </c>
      <c r="G1274" s="10" t="s">
        <v>343</v>
      </c>
      <c r="H1274" s="10">
        <v>0</v>
      </c>
      <c r="I1274" s="10" t="s">
        <v>343</v>
      </c>
      <c r="J1274" s="11">
        <v>38210</v>
      </c>
      <c r="K1274" s="11">
        <v>38876</v>
      </c>
      <c r="L1274" s="11">
        <v>77086</v>
      </c>
      <c r="M1274" s="11">
        <v>28270</v>
      </c>
    </row>
    <row r="1275" spans="1:13" x14ac:dyDescent="0.3">
      <c r="A1275" s="10">
        <v>6712</v>
      </c>
      <c r="B1275" s="10">
        <v>47</v>
      </c>
      <c r="C1275" s="10" t="s">
        <v>1592</v>
      </c>
      <c r="D1275" s="10">
        <v>4705</v>
      </c>
      <c r="E1275" s="10" t="s">
        <v>1597</v>
      </c>
      <c r="F1275" s="10">
        <v>0</v>
      </c>
      <c r="G1275" s="10" t="s">
        <v>343</v>
      </c>
      <c r="H1275" s="10">
        <v>0</v>
      </c>
      <c r="I1275" s="10" t="s">
        <v>343</v>
      </c>
      <c r="J1275" s="11">
        <v>22483</v>
      </c>
      <c r="K1275" s="11">
        <v>23170</v>
      </c>
      <c r="L1275" s="11">
        <v>45653</v>
      </c>
      <c r="M1275" s="11">
        <v>18386</v>
      </c>
    </row>
    <row r="1276" spans="1:13" x14ac:dyDescent="0.3">
      <c r="A1276" s="10">
        <v>6712</v>
      </c>
      <c r="B1276" s="10">
        <v>47</v>
      </c>
      <c r="C1276" s="10" t="s">
        <v>1592</v>
      </c>
      <c r="D1276" s="10">
        <v>4706</v>
      </c>
      <c r="E1276" s="10" t="s">
        <v>1598</v>
      </c>
      <c r="F1276" s="10">
        <v>0</v>
      </c>
      <c r="G1276" s="10" t="s">
        <v>343</v>
      </c>
      <c r="H1276" s="10">
        <v>0</v>
      </c>
      <c r="I1276" s="10" t="s">
        <v>343</v>
      </c>
      <c r="J1276" s="11">
        <v>17538</v>
      </c>
      <c r="K1276" s="11">
        <v>18103</v>
      </c>
      <c r="L1276" s="11">
        <v>35641</v>
      </c>
      <c r="M1276" s="11">
        <v>12935</v>
      </c>
    </row>
    <row r="1277" spans="1:13" x14ac:dyDescent="0.3">
      <c r="A1277" s="10">
        <v>6712</v>
      </c>
      <c r="B1277" s="10">
        <v>47</v>
      </c>
      <c r="C1277" s="10" t="s">
        <v>1592</v>
      </c>
      <c r="D1277" s="10">
        <v>4707</v>
      </c>
      <c r="E1277" s="10" t="s">
        <v>1599</v>
      </c>
      <c r="F1277" s="10">
        <v>0</v>
      </c>
      <c r="G1277" s="10" t="s">
        <v>343</v>
      </c>
      <c r="H1277" s="10">
        <v>0</v>
      </c>
      <c r="I1277" s="10" t="s">
        <v>343</v>
      </c>
      <c r="J1277" s="11">
        <v>7361</v>
      </c>
      <c r="K1277" s="11">
        <v>7365</v>
      </c>
      <c r="L1277" s="11">
        <v>14726</v>
      </c>
      <c r="M1277" s="11">
        <v>4786</v>
      </c>
    </row>
    <row r="1278" spans="1:13" x14ac:dyDescent="0.3">
      <c r="A1278" s="10">
        <v>6712</v>
      </c>
      <c r="B1278" s="10">
        <v>47</v>
      </c>
      <c r="C1278" s="10" t="s">
        <v>1592</v>
      </c>
      <c r="D1278" s="10">
        <v>4708</v>
      </c>
      <c r="E1278" s="10" t="s">
        <v>1600</v>
      </c>
      <c r="F1278" s="10">
        <v>0</v>
      </c>
      <c r="G1278" s="10" t="s">
        <v>343</v>
      </c>
      <c r="H1278" s="10">
        <v>0</v>
      </c>
      <c r="I1278" s="10" t="s">
        <v>343</v>
      </c>
      <c r="J1278" s="11">
        <v>59827</v>
      </c>
      <c r="K1278" s="11">
        <v>60504</v>
      </c>
      <c r="L1278" s="11">
        <v>120331</v>
      </c>
      <c r="M1278" s="11">
        <v>36508</v>
      </c>
    </row>
    <row r="1279" spans="1:13" x14ac:dyDescent="0.3">
      <c r="A1279" s="10">
        <v>6712</v>
      </c>
      <c r="B1279" s="10">
        <v>47</v>
      </c>
      <c r="C1279" s="10" t="s">
        <v>1592</v>
      </c>
      <c r="D1279" s="10">
        <v>4709</v>
      </c>
      <c r="E1279" s="10" t="s">
        <v>1601</v>
      </c>
      <c r="F1279" s="10">
        <v>0</v>
      </c>
      <c r="G1279" s="10" t="s">
        <v>343</v>
      </c>
      <c r="H1279" s="10">
        <v>0</v>
      </c>
      <c r="I1279" s="10" t="s">
        <v>343</v>
      </c>
      <c r="J1279" s="11">
        <v>16255</v>
      </c>
      <c r="K1279" s="11">
        <v>16485</v>
      </c>
      <c r="L1279" s="11">
        <v>32740</v>
      </c>
      <c r="M1279" s="11">
        <v>12145</v>
      </c>
    </row>
    <row r="1280" spans="1:13" x14ac:dyDescent="0.3">
      <c r="A1280" s="10">
        <v>6712</v>
      </c>
      <c r="B1280" s="10">
        <v>47</v>
      </c>
      <c r="C1280" s="10" t="s">
        <v>1592</v>
      </c>
      <c r="D1280" s="10">
        <v>4710</v>
      </c>
      <c r="E1280" s="10" t="s">
        <v>1602</v>
      </c>
      <c r="F1280" s="10">
        <v>0</v>
      </c>
      <c r="G1280" s="10" t="s">
        <v>343</v>
      </c>
      <c r="H1280" s="10">
        <v>0</v>
      </c>
      <c r="I1280" s="10" t="s">
        <v>343</v>
      </c>
      <c r="J1280" s="11">
        <v>33664</v>
      </c>
      <c r="K1280" s="11">
        <v>33223</v>
      </c>
      <c r="L1280" s="11">
        <v>66887</v>
      </c>
      <c r="M1280" s="11">
        <v>21145</v>
      </c>
    </row>
    <row r="1281" spans="1:13" x14ac:dyDescent="0.3">
      <c r="A1281" s="10">
        <v>6712</v>
      </c>
      <c r="B1281" s="10">
        <v>47</v>
      </c>
      <c r="C1281" s="10" t="s">
        <v>1592</v>
      </c>
      <c r="D1281" s="10">
        <v>4711</v>
      </c>
      <c r="E1281" s="10" t="s">
        <v>1603</v>
      </c>
      <c r="F1281" s="10">
        <v>0</v>
      </c>
      <c r="G1281" s="10" t="s">
        <v>343</v>
      </c>
      <c r="H1281" s="10">
        <v>0</v>
      </c>
      <c r="I1281" s="10" t="s">
        <v>343</v>
      </c>
      <c r="J1281" s="11">
        <v>27010</v>
      </c>
      <c r="K1281" s="11">
        <v>26846</v>
      </c>
      <c r="L1281" s="11">
        <v>53856</v>
      </c>
      <c r="M1281" s="11">
        <v>20277</v>
      </c>
    </row>
    <row r="1282" spans="1:13" x14ac:dyDescent="0.3">
      <c r="A1282" s="10">
        <v>6712</v>
      </c>
      <c r="B1282" s="10">
        <v>47</v>
      </c>
      <c r="C1282" s="10" t="s">
        <v>1592</v>
      </c>
      <c r="D1282" s="10">
        <v>4712</v>
      </c>
      <c r="E1282" s="10" t="s">
        <v>1604</v>
      </c>
      <c r="F1282" s="10">
        <v>0</v>
      </c>
      <c r="G1282" s="10" t="s">
        <v>343</v>
      </c>
      <c r="H1282" s="10">
        <v>0</v>
      </c>
      <c r="I1282" s="10" t="s">
        <v>343</v>
      </c>
      <c r="J1282" s="11">
        <v>62920</v>
      </c>
      <c r="K1282" s="11">
        <v>63953</v>
      </c>
      <c r="L1282" s="11">
        <v>126873</v>
      </c>
      <c r="M1282" s="11">
        <v>39010</v>
      </c>
    </row>
    <row r="1283" spans="1:13" x14ac:dyDescent="0.3">
      <c r="A1283" s="10">
        <v>6712</v>
      </c>
      <c r="B1283" s="10">
        <v>47</v>
      </c>
      <c r="C1283" s="10" t="s">
        <v>1592</v>
      </c>
      <c r="D1283" s="10">
        <v>4713</v>
      </c>
      <c r="E1283" s="10" t="s">
        <v>1605</v>
      </c>
      <c r="F1283" s="10">
        <v>0</v>
      </c>
      <c r="G1283" s="10" t="s">
        <v>343</v>
      </c>
      <c r="H1283" s="10">
        <v>0</v>
      </c>
      <c r="I1283" s="10" t="s">
        <v>343</v>
      </c>
      <c r="J1283" s="11">
        <v>14980</v>
      </c>
      <c r="K1283" s="11">
        <v>14580</v>
      </c>
      <c r="L1283" s="11">
        <v>29560</v>
      </c>
      <c r="M1283" s="11">
        <v>7993</v>
      </c>
    </row>
    <row r="1284" spans="1:13" x14ac:dyDescent="0.3">
      <c r="A1284" s="10">
        <v>6712</v>
      </c>
      <c r="B1284" s="10">
        <v>47</v>
      </c>
      <c r="C1284" s="10" t="s">
        <v>1592</v>
      </c>
      <c r="D1284" s="10">
        <v>4714</v>
      </c>
      <c r="E1284" s="10" t="s">
        <v>1606</v>
      </c>
      <c r="F1284" s="10">
        <v>0</v>
      </c>
      <c r="G1284" s="10" t="s">
        <v>343</v>
      </c>
      <c r="H1284" s="10">
        <v>0</v>
      </c>
      <c r="I1284" s="10" t="s">
        <v>343</v>
      </c>
      <c r="J1284" s="11">
        <v>12045</v>
      </c>
      <c r="K1284" s="11">
        <v>11997</v>
      </c>
      <c r="L1284" s="11">
        <v>24042</v>
      </c>
      <c r="M1284" s="11">
        <v>9216</v>
      </c>
    </row>
    <row r="1285" spans="1:13" x14ac:dyDescent="0.3">
      <c r="A1285" s="10">
        <v>6712</v>
      </c>
      <c r="B1285" s="10">
        <v>47</v>
      </c>
      <c r="C1285" s="10" t="s">
        <v>1592</v>
      </c>
      <c r="D1285" s="10">
        <v>4715</v>
      </c>
      <c r="E1285" s="10" t="s">
        <v>1607</v>
      </c>
      <c r="F1285" s="10">
        <v>0</v>
      </c>
      <c r="G1285" s="10" t="s">
        <v>343</v>
      </c>
      <c r="H1285" s="10">
        <v>0</v>
      </c>
      <c r="I1285" s="10" t="s">
        <v>343</v>
      </c>
      <c r="J1285" s="11">
        <v>10730</v>
      </c>
      <c r="K1285" s="11">
        <v>10882</v>
      </c>
      <c r="L1285" s="11">
        <v>21612</v>
      </c>
      <c r="M1285" s="11">
        <v>7997</v>
      </c>
    </row>
    <row r="1286" spans="1:13" x14ac:dyDescent="0.3">
      <c r="A1286" s="10">
        <v>6712</v>
      </c>
      <c r="B1286" s="10">
        <v>47</v>
      </c>
      <c r="C1286" s="10" t="s">
        <v>1592</v>
      </c>
      <c r="D1286" s="10">
        <v>4716</v>
      </c>
      <c r="E1286" s="10" t="s">
        <v>1608</v>
      </c>
      <c r="F1286" s="10">
        <v>0</v>
      </c>
      <c r="G1286" s="10" t="s">
        <v>343</v>
      </c>
      <c r="H1286" s="10">
        <v>0</v>
      </c>
      <c r="I1286" s="10" t="s">
        <v>343</v>
      </c>
      <c r="J1286" s="11">
        <v>19173</v>
      </c>
      <c r="K1286" s="11">
        <v>19036</v>
      </c>
      <c r="L1286" s="11">
        <v>38209</v>
      </c>
      <c r="M1286" s="11">
        <v>11178</v>
      </c>
    </row>
    <row r="1287" spans="1:13" x14ac:dyDescent="0.3">
      <c r="A1287" s="10">
        <v>6712</v>
      </c>
      <c r="B1287" s="10">
        <v>47</v>
      </c>
      <c r="C1287" s="10" t="s">
        <v>1592</v>
      </c>
      <c r="D1287" s="10">
        <v>4717</v>
      </c>
      <c r="E1287" s="10" t="s">
        <v>1609</v>
      </c>
      <c r="F1287" s="10">
        <v>0</v>
      </c>
      <c r="G1287" s="10" t="s">
        <v>343</v>
      </c>
      <c r="H1287" s="10">
        <v>0</v>
      </c>
      <c r="I1287" s="10" t="s">
        <v>343</v>
      </c>
      <c r="J1287" s="11">
        <v>18407</v>
      </c>
      <c r="K1287" s="11">
        <v>18398</v>
      </c>
      <c r="L1287" s="11">
        <v>36805</v>
      </c>
      <c r="M1287" s="11">
        <v>12397</v>
      </c>
    </row>
    <row r="1288" spans="1:13" x14ac:dyDescent="0.3">
      <c r="A1288" s="10">
        <v>6712</v>
      </c>
      <c r="B1288" s="10">
        <v>47</v>
      </c>
      <c r="C1288" s="10" t="s">
        <v>1592</v>
      </c>
      <c r="D1288" s="10">
        <v>4718</v>
      </c>
      <c r="E1288" s="10" t="s">
        <v>1610</v>
      </c>
      <c r="F1288" s="10">
        <v>0</v>
      </c>
      <c r="G1288" s="10" t="s">
        <v>343</v>
      </c>
      <c r="H1288" s="10">
        <v>0</v>
      </c>
      <c r="I1288" s="10" t="s">
        <v>343</v>
      </c>
      <c r="J1288" s="11">
        <v>18012</v>
      </c>
      <c r="K1288" s="11">
        <v>17707</v>
      </c>
      <c r="L1288" s="11">
        <v>35719</v>
      </c>
      <c r="M1288" s="11">
        <v>11003</v>
      </c>
    </row>
    <row r="1289" spans="1:13" x14ac:dyDescent="0.3">
      <c r="A1289" s="10">
        <v>6712</v>
      </c>
      <c r="B1289" s="10">
        <v>47</v>
      </c>
      <c r="C1289" s="10" t="s">
        <v>1592</v>
      </c>
      <c r="D1289" s="10">
        <v>4779</v>
      </c>
      <c r="E1289" s="10" t="s">
        <v>1611</v>
      </c>
      <c r="F1289" s="10">
        <v>0</v>
      </c>
      <c r="G1289" s="10" t="s">
        <v>343</v>
      </c>
      <c r="H1289" s="10">
        <v>0</v>
      </c>
      <c r="I1289" s="10" t="s">
        <v>343</v>
      </c>
      <c r="J1289" s="11">
        <v>6720</v>
      </c>
      <c r="K1289" s="11">
        <v>6914</v>
      </c>
      <c r="L1289" s="11">
        <v>13634</v>
      </c>
      <c r="M1289" s="11">
        <v>4320</v>
      </c>
    </row>
    <row r="1290" spans="1:13" x14ac:dyDescent="0.3">
      <c r="A1290" s="10">
        <v>6712</v>
      </c>
      <c r="B1290" s="10">
        <v>47</v>
      </c>
      <c r="C1290" s="10" t="s">
        <v>1592</v>
      </c>
      <c r="D1290" s="10">
        <v>4780</v>
      </c>
      <c r="E1290" s="10" t="s">
        <v>1612</v>
      </c>
      <c r="F1290" s="10">
        <v>0</v>
      </c>
      <c r="G1290" s="10" t="s">
        <v>343</v>
      </c>
      <c r="H1290" s="10">
        <v>0</v>
      </c>
      <c r="I1290" s="10" t="s">
        <v>343</v>
      </c>
      <c r="J1290" s="11">
        <v>6224</v>
      </c>
      <c r="K1290" s="11">
        <v>6419</v>
      </c>
      <c r="L1290" s="11">
        <v>12643</v>
      </c>
      <c r="M1290" s="11">
        <v>6006</v>
      </c>
    </row>
    <row r="1291" spans="1:13" x14ac:dyDescent="0.3">
      <c r="A1291" s="10">
        <v>6712</v>
      </c>
      <c r="B1291" s="10">
        <v>47</v>
      </c>
      <c r="C1291" s="10" t="s">
        <v>1592</v>
      </c>
      <c r="D1291" s="10">
        <v>4781</v>
      </c>
      <c r="E1291" s="10" t="s">
        <v>1613</v>
      </c>
      <c r="F1291" s="10">
        <v>0</v>
      </c>
      <c r="G1291" s="10" t="s">
        <v>343</v>
      </c>
      <c r="H1291" s="10">
        <v>0</v>
      </c>
      <c r="I1291" s="10" t="s">
        <v>343</v>
      </c>
      <c r="J1291" s="11">
        <v>5090</v>
      </c>
      <c r="K1291" s="11">
        <v>5031</v>
      </c>
      <c r="L1291" s="11">
        <v>10121</v>
      </c>
      <c r="M1291" s="11">
        <v>3151</v>
      </c>
    </row>
    <row r="1292" spans="1:13" x14ac:dyDescent="0.3">
      <c r="A1292" s="10">
        <v>6712</v>
      </c>
      <c r="B1292" s="10">
        <v>47</v>
      </c>
      <c r="C1292" s="10" t="s">
        <v>1592</v>
      </c>
      <c r="D1292" s="10">
        <v>4782</v>
      </c>
      <c r="E1292" s="10" t="s">
        <v>1614</v>
      </c>
      <c r="F1292" s="10">
        <v>0</v>
      </c>
      <c r="G1292" s="10" t="s">
        <v>343</v>
      </c>
      <c r="H1292" s="10">
        <v>0</v>
      </c>
      <c r="I1292" s="10" t="s">
        <v>343</v>
      </c>
      <c r="J1292" s="11">
        <v>4457</v>
      </c>
      <c r="K1292" s="11">
        <v>4512</v>
      </c>
      <c r="L1292" s="11">
        <v>8969</v>
      </c>
      <c r="M1292" s="11">
        <v>2531</v>
      </c>
    </row>
    <row r="1293" spans="1:13" x14ac:dyDescent="0.3">
      <c r="A1293" s="10">
        <v>6712</v>
      </c>
      <c r="B1293" s="10">
        <v>47</v>
      </c>
      <c r="C1293" s="10" t="s">
        <v>1592</v>
      </c>
      <c r="D1293" s="10">
        <v>4783</v>
      </c>
      <c r="E1293" s="10" t="s">
        <v>1615</v>
      </c>
      <c r="F1293" s="10">
        <v>0</v>
      </c>
      <c r="G1293" s="10" t="s">
        <v>343</v>
      </c>
      <c r="H1293" s="10">
        <v>0</v>
      </c>
      <c r="I1293" s="10" t="s">
        <v>343</v>
      </c>
      <c r="J1293" s="11">
        <v>7893</v>
      </c>
      <c r="K1293" s="11">
        <v>8157</v>
      </c>
      <c r="L1293" s="11">
        <v>16050</v>
      </c>
      <c r="M1293" s="11">
        <v>6418</v>
      </c>
    </row>
    <row r="1294" spans="1:13" x14ac:dyDescent="0.3">
      <c r="A1294" s="10">
        <v>6712</v>
      </c>
      <c r="B1294" s="10">
        <v>47</v>
      </c>
      <c r="C1294" s="10" t="s">
        <v>1592</v>
      </c>
      <c r="D1294" s="10">
        <v>4784</v>
      </c>
      <c r="E1294" s="10" t="s">
        <v>1616</v>
      </c>
      <c r="F1294" s="10">
        <v>0</v>
      </c>
      <c r="G1294" s="10" t="s">
        <v>343</v>
      </c>
      <c r="H1294" s="10">
        <v>0</v>
      </c>
      <c r="I1294" s="10" t="s">
        <v>343</v>
      </c>
      <c r="J1294" s="11">
        <v>3275</v>
      </c>
      <c r="K1294" s="11">
        <v>3433</v>
      </c>
      <c r="L1294" s="11">
        <v>6708</v>
      </c>
      <c r="M1294" s="11">
        <v>2427</v>
      </c>
    </row>
    <row r="1295" spans="1:13" x14ac:dyDescent="0.3">
      <c r="A1295" s="10">
        <v>6712</v>
      </c>
      <c r="B1295" s="10">
        <v>47</v>
      </c>
      <c r="C1295" s="10" t="s">
        <v>1592</v>
      </c>
      <c r="D1295" s="10">
        <v>4785</v>
      </c>
      <c r="E1295" s="10" t="s">
        <v>1617</v>
      </c>
      <c r="F1295" s="10">
        <v>0</v>
      </c>
      <c r="G1295" s="10" t="s">
        <v>343</v>
      </c>
      <c r="H1295" s="10">
        <v>0</v>
      </c>
      <c r="I1295" s="10" t="s">
        <v>343</v>
      </c>
      <c r="J1295" s="11">
        <v>2431</v>
      </c>
      <c r="K1295" s="11">
        <v>2443</v>
      </c>
      <c r="L1295" s="11">
        <v>4874</v>
      </c>
      <c r="M1295" s="11">
        <v>1702</v>
      </c>
    </row>
    <row r="1296" spans="1:13" x14ac:dyDescent="0.3">
      <c r="A1296" s="10">
        <v>6712</v>
      </c>
      <c r="B1296" s="10">
        <v>47</v>
      </c>
      <c r="C1296" s="10" t="s">
        <v>1592</v>
      </c>
      <c r="D1296" s="10">
        <v>4786</v>
      </c>
      <c r="E1296" s="10" t="s">
        <v>1618</v>
      </c>
      <c r="F1296" s="10">
        <v>0</v>
      </c>
      <c r="G1296" s="10" t="s">
        <v>343</v>
      </c>
      <c r="H1296" s="10">
        <v>0</v>
      </c>
      <c r="I1296" s="10" t="s">
        <v>343</v>
      </c>
      <c r="J1296" s="11">
        <v>3819</v>
      </c>
      <c r="K1296" s="11">
        <v>4177</v>
      </c>
      <c r="L1296" s="11">
        <v>7996</v>
      </c>
      <c r="M1296" s="11">
        <v>5077</v>
      </c>
    </row>
    <row r="1297" spans="1:13" x14ac:dyDescent="0.3">
      <c r="A1297" s="10">
        <v>6712</v>
      </c>
      <c r="B1297" s="10">
        <v>47</v>
      </c>
      <c r="C1297" s="10" t="s">
        <v>1592</v>
      </c>
      <c r="D1297" s="10">
        <v>4787</v>
      </c>
      <c r="E1297" s="10" t="s">
        <v>1619</v>
      </c>
      <c r="F1297" s="10">
        <v>0</v>
      </c>
      <c r="G1297" s="10" t="s">
        <v>343</v>
      </c>
      <c r="H1297" s="10">
        <v>0</v>
      </c>
      <c r="I1297" s="10" t="s">
        <v>343</v>
      </c>
      <c r="J1297" s="11">
        <v>2006</v>
      </c>
      <c r="K1297" s="11">
        <v>2074</v>
      </c>
      <c r="L1297" s="11">
        <v>4080</v>
      </c>
      <c r="M1297" s="11">
        <v>1339</v>
      </c>
    </row>
    <row r="1298" spans="1:13" x14ac:dyDescent="0.3">
      <c r="A1298" s="10">
        <v>6712</v>
      </c>
      <c r="B1298" s="10">
        <v>47</v>
      </c>
      <c r="C1298" s="10" t="s">
        <v>1592</v>
      </c>
      <c r="D1298" s="10">
        <v>4788</v>
      </c>
      <c r="E1298" s="10" t="s">
        <v>1620</v>
      </c>
      <c r="F1298" s="10">
        <v>0</v>
      </c>
      <c r="G1298" s="10" t="s">
        <v>343</v>
      </c>
      <c r="H1298" s="10">
        <v>0</v>
      </c>
      <c r="I1298" s="10" t="s">
        <v>343</v>
      </c>
      <c r="J1298" s="11">
        <v>4260</v>
      </c>
      <c r="K1298" s="11">
        <v>4488</v>
      </c>
      <c r="L1298" s="11">
        <v>8748</v>
      </c>
      <c r="M1298" s="11">
        <v>3147</v>
      </c>
    </row>
    <row r="1299" spans="1:13" x14ac:dyDescent="0.3">
      <c r="A1299" s="10">
        <v>6712</v>
      </c>
      <c r="B1299" s="10">
        <v>47</v>
      </c>
      <c r="C1299" s="10" t="s">
        <v>1592</v>
      </c>
      <c r="D1299" s="10">
        <v>4789</v>
      </c>
      <c r="E1299" s="10" t="s">
        <v>1621</v>
      </c>
      <c r="F1299" s="10">
        <v>0</v>
      </c>
      <c r="G1299" s="10" t="s">
        <v>343</v>
      </c>
      <c r="H1299" s="10">
        <v>0</v>
      </c>
      <c r="I1299" s="10" t="s">
        <v>343</v>
      </c>
      <c r="J1299" s="11">
        <v>1671</v>
      </c>
      <c r="K1299" s="11">
        <v>1815</v>
      </c>
      <c r="L1299" s="11">
        <v>3486</v>
      </c>
      <c r="M1299" s="11">
        <v>1573</v>
      </c>
    </row>
    <row r="1300" spans="1:13" x14ac:dyDescent="0.3">
      <c r="A1300" s="10">
        <v>6712</v>
      </c>
      <c r="B1300" s="10">
        <v>47</v>
      </c>
      <c r="C1300" s="10" t="s">
        <v>1592</v>
      </c>
      <c r="D1300" s="10">
        <v>4790</v>
      </c>
      <c r="E1300" s="10" t="s">
        <v>1622</v>
      </c>
      <c r="F1300" s="10">
        <v>0</v>
      </c>
      <c r="G1300" s="10" t="s">
        <v>343</v>
      </c>
      <c r="H1300" s="10">
        <v>0</v>
      </c>
      <c r="I1300" s="10" t="s">
        <v>343</v>
      </c>
      <c r="J1300" s="11">
        <v>3459</v>
      </c>
      <c r="K1300" s="11">
        <v>3572</v>
      </c>
      <c r="L1300" s="11">
        <v>7031</v>
      </c>
      <c r="M1300" s="11">
        <v>2406</v>
      </c>
    </row>
    <row r="1301" spans="1:13" x14ac:dyDescent="0.3">
      <c r="A1301" s="10">
        <v>6712</v>
      </c>
      <c r="B1301" s="10">
        <v>47</v>
      </c>
      <c r="C1301" s="10" t="s">
        <v>1592</v>
      </c>
      <c r="D1301" s="10">
        <v>4791</v>
      </c>
      <c r="E1301" s="10" t="s">
        <v>1623</v>
      </c>
      <c r="F1301" s="10">
        <v>0</v>
      </c>
      <c r="G1301" s="10" t="s">
        <v>343</v>
      </c>
      <c r="H1301" s="10">
        <v>0</v>
      </c>
      <c r="I1301" s="10" t="s">
        <v>343</v>
      </c>
      <c r="J1301" s="11">
        <v>2611</v>
      </c>
      <c r="K1301" s="11">
        <v>2887</v>
      </c>
      <c r="L1301" s="11">
        <v>5498</v>
      </c>
      <c r="M1301" s="11">
        <v>2421</v>
      </c>
    </row>
    <row r="1302" spans="1:13" x14ac:dyDescent="0.3">
      <c r="A1302" s="10">
        <v>6712</v>
      </c>
      <c r="B1302" s="10">
        <v>47</v>
      </c>
      <c r="C1302" s="10" t="s">
        <v>1592</v>
      </c>
      <c r="D1302" s="10">
        <v>4792</v>
      </c>
      <c r="E1302" s="10" t="s">
        <v>1624</v>
      </c>
      <c r="F1302" s="10">
        <v>0</v>
      </c>
      <c r="G1302" s="10" t="s">
        <v>343</v>
      </c>
      <c r="H1302" s="10">
        <v>0</v>
      </c>
      <c r="I1302" s="10" t="s">
        <v>343</v>
      </c>
      <c r="J1302" s="11">
        <v>1286</v>
      </c>
      <c r="K1302" s="11">
        <v>1339</v>
      </c>
      <c r="L1302" s="11">
        <v>2625</v>
      </c>
      <c r="M1302" s="11">
        <v>1416</v>
      </c>
    </row>
    <row r="1303" spans="1:13" x14ac:dyDescent="0.3">
      <c r="A1303" s="10">
        <v>6712</v>
      </c>
      <c r="B1303" s="10">
        <v>47</v>
      </c>
      <c r="C1303" s="10" t="s">
        <v>1592</v>
      </c>
      <c r="D1303" s="10">
        <v>4793</v>
      </c>
      <c r="E1303" s="10" t="s">
        <v>1625</v>
      </c>
      <c r="F1303" s="10">
        <v>0</v>
      </c>
      <c r="G1303" s="10" t="s">
        <v>343</v>
      </c>
      <c r="H1303" s="10">
        <v>0</v>
      </c>
      <c r="I1303" s="10" t="s">
        <v>343</v>
      </c>
      <c r="J1303" s="11">
        <v>3087</v>
      </c>
      <c r="K1303" s="11">
        <v>3240</v>
      </c>
      <c r="L1303" s="11">
        <v>6327</v>
      </c>
      <c r="M1303" s="11">
        <v>4187</v>
      </c>
    </row>
    <row r="1304" spans="1:13" x14ac:dyDescent="0.3">
      <c r="A1304" s="10">
        <v>6712</v>
      </c>
      <c r="B1304" s="10">
        <v>47</v>
      </c>
      <c r="C1304" s="10" t="s">
        <v>1592</v>
      </c>
      <c r="D1304" s="10">
        <v>4794</v>
      </c>
      <c r="E1304" s="10" t="s">
        <v>1626</v>
      </c>
      <c r="F1304" s="10">
        <v>0</v>
      </c>
      <c r="G1304" s="10" t="s">
        <v>343</v>
      </c>
      <c r="H1304" s="10">
        <v>0</v>
      </c>
      <c r="I1304" s="10" t="s">
        <v>343</v>
      </c>
      <c r="J1304" s="11">
        <v>1117</v>
      </c>
      <c r="K1304" s="11">
        <v>1256</v>
      </c>
      <c r="L1304" s="11">
        <v>2373</v>
      </c>
      <c r="M1304" s="11">
        <v>1499</v>
      </c>
    </row>
    <row r="1305" spans="1:13" x14ac:dyDescent="0.3">
      <c r="A1305" s="10">
        <v>6712</v>
      </c>
      <c r="B1305" s="10">
        <v>47</v>
      </c>
      <c r="C1305" s="10" t="s">
        <v>1592</v>
      </c>
      <c r="D1305" s="10">
        <v>4795</v>
      </c>
      <c r="E1305" s="10" t="s">
        <v>1627</v>
      </c>
      <c r="F1305" s="10">
        <v>0</v>
      </c>
      <c r="G1305" s="10" t="s">
        <v>343</v>
      </c>
      <c r="H1305" s="10">
        <v>0</v>
      </c>
      <c r="I1305" s="10" t="s">
        <v>343</v>
      </c>
      <c r="J1305" s="11">
        <v>2465</v>
      </c>
      <c r="K1305" s="11">
        <v>2589</v>
      </c>
      <c r="L1305" s="11">
        <v>5054</v>
      </c>
      <c r="M1305" s="11">
        <v>1995</v>
      </c>
    </row>
    <row r="1306" spans="1:13" x14ac:dyDescent="0.3">
      <c r="A1306" s="10">
        <v>6712</v>
      </c>
      <c r="B1306" s="10">
        <v>47</v>
      </c>
      <c r="C1306" s="10" t="s">
        <v>1592</v>
      </c>
      <c r="D1306" s="10">
        <v>4796</v>
      </c>
      <c r="E1306" s="10" t="s">
        <v>1628</v>
      </c>
      <c r="F1306" s="10">
        <v>0</v>
      </c>
      <c r="G1306" s="10" t="s">
        <v>343</v>
      </c>
      <c r="H1306" s="10">
        <v>0</v>
      </c>
      <c r="I1306" s="10" t="s">
        <v>343</v>
      </c>
      <c r="J1306" s="11">
        <v>1921</v>
      </c>
      <c r="K1306" s="11">
        <v>2062</v>
      </c>
      <c r="L1306" s="11">
        <v>3983</v>
      </c>
      <c r="M1306" s="11">
        <v>1791</v>
      </c>
    </row>
    <row r="1307" spans="1:13" x14ac:dyDescent="0.3">
      <c r="A1307" s="10">
        <v>6712</v>
      </c>
      <c r="B1307" s="10">
        <v>47</v>
      </c>
      <c r="C1307" s="10" t="s">
        <v>1592</v>
      </c>
      <c r="D1307" s="10">
        <v>4797</v>
      </c>
      <c r="E1307" s="10" t="s">
        <v>1629</v>
      </c>
      <c r="F1307" s="10">
        <v>0</v>
      </c>
      <c r="G1307" s="10" t="s">
        <v>343</v>
      </c>
      <c r="H1307" s="10">
        <v>0</v>
      </c>
      <c r="I1307" s="10" t="s">
        <v>343</v>
      </c>
      <c r="J1307" s="11">
        <v>3039</v>
      </c>
      <c r="K1307" s="11">
        <v>3321</v>
      </c>
      <c r="L1307" s="11">
        <v>6360</v>
      </c>
      <c r="M1307" s="11">
        <v>2368</v>
      </c>
    </row>
    <row r="1308" spans="1:13" x14ac:dyDescent="0.3">
      <c r="A1308" s="10">
        <v>6712</v>
      </c>
      <c r="B1308" s="10">
        <v>47</v>
      </c>
      <c r="C1308" s="10" t="s">
        <v>1592</v>
      </c>
      <c r="D1308" s="10">
        <v>4798</v>
      </c>
      <c r="E1308" s="10" t="s">
        <v>1630</v>
      </c>
      <c r="F1308" s="10">
        <v>0</v>
      </c>
      <c r="G1308" s="10" t="s">
        <v>343</v>
      </c>
      <c r="H1308" s="10">
        <v>0</v>
      </c>
      <c r="I1308" s="10" t="s">
        <v>343</v>
      </c>
      <c r="J1308" s="11">
        <v>2714</v>
      </c>
      <c r="K1308" s="11">
        <v>3050</v>
      </c>
      <c r="L1308" s="11">
        <v>5764</v>
      </c>
      <c r="M1308" s="11">
        <v>2344</v>
      </c>
    </row>
    <row r="1309" spans="1:13" x14ac:dyDescent="0.3">
      <c r="A1309" s="10">
        <v>6712</v>
      </c>
      <c r="B1309" s="10">
        <v>47</v>
      </c>
      <c r="C1309" s="10" t="s">
        <v>1592</v>
      </c>
      <c r="D1309" s="10">
        <v>4799</v>
      </c>
      <c r="E1309" s="10" t="s">
        <v>1631</v>
      </c>
      <c r="F1309" s="10">
        <v>0</v>
      </c>
      <c r="G1309" s="10" t="s">
        <v>343</v>
      </c>
      <c r="H1309" s="10">
        <v>0</v>
      </c>
      <c r="I1309" s="10" t="s">
        <v>343</v>
      </c>
      <c r="J1309" s="11">
        <v>23910</v>
      </c>
      <c r="K1309" s="11">
        <v>25842</v>
      </c>
      <c r="L1309" s="11">
        <v>49752</v>
      </c>
      <c r="M1309" s="11">
        <v>30255</v>
      </c>
    </row>
    <row r="1310" spans="1:13" x14ac:dyDescent="0.3">
      <c r="A1310" s="10">
        <v>6712</v>
      </c>
      <c r="B1310" s="10">
        <v>48</v>
      </c>
      <c r="C1310" s="10" t="s">
        <v>1632</v>
      </c>
      <c r="D1310" s="10">
        <v>0</v>
      </c>
      <c r="E1310" s="10" t="s">
        <v>343</v>
      </c>
      <c r="F1310" s="10">
        <v>0</v>
      </c>
      <c r="G1310" s="10" t="s">
        <v>343</v>
      </c>
      <c r="H1310" s="10">
        <v>0</v>
      </c>
      <c r="I1310" s="10" t="s">
        <v>343</v>
      </c>
      <c r="J1310" s="11">
        <v>353531</v>
      </c>
      <c r="K1310" s="11">
        <v>357209</v>
      </c>
      <c r="L1310" s="11">
        <v>710740</v>
      </c>
      <c r="M1310" s="11">
        <v>246183</v>
      </c>
    </row>
    <row r="1311" spans="1:13" x14ac:dyDescent="0.3">
      <c r="A1311" s="10">
        <v>6712</v>
      </c>
      <c r="B1311" s="10">
        <v>48</v>
      </c>
      <c r="C1311" s="10" t="s">
        <v>1632</v>
      </c>
      <c r="D1311" s="10">
        <v>4801</v>
      </c>
      <c r="E1311" s="10" t="s">
        <v>1633</v>
      </c>
      <c r="F1311" s="10">
        <v>0</v>
      </c>
      <c r="G1311" s="10" t="s">
        <v>343</v>
      </c>
      <c r="H1311" s="10">
        <v>0</v>
      </c>
      <c r="I1311" s="10" t="s">
        <v>343</v>
      </c>
      <c r="J1311" s="11">
        <v>58238</v>
      </c>
      <c r="K1311" s="11">
        <v>58085</v>
      </c>
      <c r="L1311" s="11">
        <v>116323</v>
      </c>
      <c r="M1311" s="11">
        <v>38292</v>
      </c>
    </row>
    <row r="1312" spans="1:13" x14ac:dyDescent="0.3">
      <c r="A1312" s="10">
        <v>6712</v>
      </c>
      <c r="B1312" s="10">
        <v>48</v>
      </c>
      <c r="C1312" s="10" t="s">
        <v>1632</v>
      </c>
      <c r="D1312" s="10">
        <v>4802</v>
      </c>
      <c r="E1312" s="10" t="s">
        <v>1634</v>
      </c>
      <c r="F1312" s="10">
        <v>0</v>
      </c>
      <c r="G1312" s="10" t="s">
        <v>343</v>
      </c>
      <c r="H1312" s="10">
        <v>0</v>
      </c>
      <c r="I1312" s="10" t="s">
        <v>343</v>
      </c>
      <c r="J1312" s="11">
        <v>25314</v>
      </c>
      <c r="K1312" s="11">
        <v>24974</v>
      </c>
      <c r="L1312" s="11">
        <v>50288</v>
      </c>
      <c r="M1312" s="11">
        <v>16998</v>
      </c>
    </row>
    <row r="1313" spans="1:13" x14ac:dyDescent="0.3">
      <c r="A1313" s="10">
        <v>6712</v>
      </c>
      <c r="B1313" s="10">
        <v>48</v>
      </c>
      <c r="C1313" s="10" t="s">
        <v>1632</v>
      </c>
      <c r="D1313" s="10">
        <v>4803</v>
      </c>
      <c r="E1313" s="10" t="s">
        <v>1635</v>
      </c>
      <c r="F1313" s="10">
        <v>0</v>
      </c>
      <c r="G1313" s="10" t="s">
        <v>343</v>
      </c>
      <c r="H1313" s="10">
        <v>0</v>
      </c>
      <c r="I1313" s="10" t="s">
        <v>343</v>
      </c>
      <c r="J1313" s="11">
        <v>27372</v>
      </c>
      <c r="K1313" s="11">
        <v>27076</v>
      </c>
      <c r="L1313" s="11">
        <v>54448</v>
      </c>
      <c r="M1313" s="11">
        <v>16593</v>
      </c>
    </row>
    <row r="1314" spans="1:13" x14ac:dyDescent="0.3">
      <c r="A1314" s="10">
        <v>6712</v>
      </c>
      <c r="B1314" s="10">
        <v>48</v>
      </c>
      <c r="C1314" s="10" t="s">
        <v>1632</v>
      </c>
      <c r="D1314" s="10">
        <v>4804</v>
      </c>
      <c r="E1314" s="10" t="s">
        <v>1636</v>
      </c>
      <c r="F1314" s="10">
        <v>0</v>
      </c>
      <c r="G1314" s="10" t="s">
        <v>343</v>
      </c>
      <c r="H1314" s="10">
        <v>0</v>
      </c>
      <c r="I1314" s="10" t="s">
        <v>343</v>
      </c>
      <c r="J1314" s="11">
        <v>13259</v>
      </c>
      <c r="K1314" s="11">
        <v>13154</v>
      </c>
      <c r="L1314" s="11">
        <v>26413</v>
      </c>
      <c r="M1314" s="11">
        <v>8719</v>
      </c>
    </row>
    <row r="1315" spans="1:13" x14ac:dyDescent="0.3">
      <c r="A1315" s="10">
        <v>6712</v>
      </c>
      <c r="B1315" s="10">
        <v>48</v>
      </c>
      <c r="C1315" s="10" t="s">
        <v>1632</v>
      </c>
      <c r="D1315" s="10">
        <v>4805</v>
      </c>
      <c r="E1315" s="10" t="s">
        <v>1637</v>
      </c>
      <c r="F1315" s="10">
        <v>0</v>
      </c>
      <c r="G1315" s="10" t="s">
        <v>343</v>
      </c>
      <c r="H1315" s="10">
        <v>0</v>
      </c>
      <c r="I1315" s="10" t="s">
        <v>343</v>
      </c>
      <c r="J1315" s="11">
        <v>35289</v>
      </c>
      <c r="K1315" s="11">
        <v>35882</v>
      </c>
      <c r="L1315" s="11">
        <v>71171</v>
      </c>
      <c r="M1315" s="11">
        <v>23042</v>
      </c>
    </row>
    <row r="1316" spans="1:13" x14ac:dyDescent="0.3">
      <c r="A1316" s="10">
        <v>6712</v>
      </c>
      <c r="B1316" s="10">
        <v>48</v>
      </c>
      <c r="C1316" s="10" t="s">
        <v>1632</v>
      </c>
      <c r="D1316" s="10">
        <v>4806</v>
      </c>
      <c r="E1316" s="10" t="s">
        <v>1638</v>
      </c>
      <c r="F1316" s="10">
        <v>0</v>
      </c>
      <c r="G1316" s="10" t="s">
        <v>343</v>
      </c>
      <c r="H1316" s="10">
        <v>0</v>
      </c>
      <c r="I1316" s="10" t="s">
        <v>343</v>
      </c>
      <c r="J1316" s="11">
        <v>20526</v>
      </c>
      <c r="K1316" s="11">
        <v>20541</v>
      </c>
      <c r="L1316" s="11">
        <v>41067</v>
      </c>
      <c r="M1316" s="11">
        <v>13624</v>
      </c>
    </row>
    <row r="1317" spans="1:13" x14ac:dyDescent="0.3">
      <c r="A1317" s="10">
        <v>6712</v>
      </c>
      <c r="B1317" s="10">
        <v>48</v>
      </c>
      <c r="C1317" s="10" t="s">
        <v>1632</v>
      </c>
      <c r="D1317" s="10">
        <v>4807</v>
      </c>
      <c r="E1317" s="10" t="s">
        <v>1639</v>
      </c>
      <c r="F1317" s="10">
        <v>0</v>
      </c>
      <c r="G1317" s="10" t="s">
        <v>343</v>
      </c>
      <c r="H1317" s="10">
        <v>0</v>
      </c>
      <c r="I1317" s="10" t="s">
        <v>343</v>
      </c>
      <c r="J1317" s="11">
        <v>35610</v>
      </c>
      <c r="K1317" s="11">
        <v>36127</v>
      </c>
      <c r="L1317" s="11">
        <v>71737</v>
      </c>
      <c r="M1317" s="11">
        <v>22679</v>
      </c>
    </row>
    <row r="1318" spans="1:13" x14ac:dyDescent="0.3">
      <c r="A1318" s="10">
        <v>6712</v>
      </c>
      <c r="B1318" s="10">
        <v>48</v>
      </c>
      <c r="C1318" s="10" t="s">
        <v>1632</v>
      </c>
      <c r="D1318" s="10">
        <v>4808</v>
      </c>
      <c r="E1318" s="10" t="s">
        <v>1640</v>
      </c>
      <c r="F1318" s="10">
        <v>0</v>
      </c>
      <c r="G1318" s="10" t="s">
        <v>343</v>
      </c>
      <c r="H1318" s="10">
        <v>0</v>
      </c>
      <c r="I1318" s="10" t="s">
        <v>343</v>
      </c>
      <c r="J1318" s="11">
        <v>31907</v>
      </c>
      <c r="K1318" s="11">
        <v>32302</v>
      </c>
      <c r="L1318" s="11">
        <v>64209</v>
      </c>
      <c r="M1318" s="11">
        <v>20234</v>
      </c>
    </row>
    <row r="1319" spans="1:13" x14ac:dyDescent="0.3">
      <c r="A1319" s="10">
        <v>6712</v>
      </c>
      <c r="B1319" s="10">
        <v>48</v>
      </c>
      <c r="C1319" s="10" t="s">
        <v>1632</v>
      </c>
      <c r="D1319" s="10">
        <v>4809</v>
      </c>
      <c r="E1319" s="10" t="s">
        <v>1641</v>
      </c>
      <c r="F1319" s="10">
        <v>0</v>
      </c>
      <c r="G1319" s="10" t="s">
        <v>343</v>
      </c>
      <c r="H1319" s="10">
        <v>0</v>
      </c>
      <c r="I1319" s="10" t="s">
        <v>343</v>
      </c>
      <c r="J1319" s="11">
        <v>19847</v>
      </c>
      <c r="K1319" s="11">
        <v>19810</v>
      </c>
      <c r="L1319" s="11">
        <v>39657</v>
      </c>
      <c r="M1319" s="11">
        <v>14034</v>
      </c>
    </row>
    <row r="1320" spans="1:13" x14ac:dyDescent="0.3">
      <c r="A1320" s="10">
        <v>6712</v>
      </c>
      <c r="B1320" s="10">
        <v>48</v>
      </c>
      <c r="C1320" s="10" t="s">
        <v>1632</v>
      </c>
      <c r="D1320" s="10">
        <v>4810</v>
      </c>
      <c r="E1320" s="10" t="s">
        <v>1642</v>
      </c>
      <c r="F1320" s="10">
        <v>0</v>
      </c>
      <c r="G1320" s="10" t="s">
        <v>343</v>
      </c>
      <c r="H1320" s="10">
        <v>0</v>
      </c>
      <c r="I1320" s="10" t="s">
        <v>343</v>
      </c>
      <c r="J1320" s="11">
        <v>26255</v>
      </c>
      <c r="K1320" s="11">
        <v>26346</v>
      </c>
      <c r="L1320" s="11">
        <v>52601</v>
      </c>
      <c r="M1320" s="11">
        <v>17720</v>
      </c>
    </row>
    <row r="1321" spans="1:13" x14ac:dyDescent="0.3">
      <c r="A1321" s="10">
        <v>6712</v>
      </c>
      <c r="B1321" s="10">
        <v>48</v>
      </c>
      <c r="C1321" s="10" t="s">
        <v>1632</v>
      </c>
      <c r="D1321" s="10">
        <v>4811</v>
      </c>
      <c r="E1321" s="10" t="s">
        <v>1643</v>
      </c>
      <c r="F1321" s="10">
        <v>0</v>
      </c>
      <c r="G1321" s="10" t="s">
        <v>343</v>
      </c>
      <c r="H1321" s="10">
        <v>0</v>
      </c>
      <c r="I1321" s="10" t="s">
        <v>343</v>
      </c>
      <c r="J1321" s="11">
        <v>11815</v>
      </c>
      <c r="K1321" s="11">
        <v>11793</v>
      </c>
      <c r="L1321" s="11">
        <v>23608</v>
      </c>
      <c r="M1321" s="11">
        <v>7983</v>
      </c>
    </row>
    <row r="1322" spans="1:13" x14ac:dyDescent="0.3">
      <c r="A1322" s="10">
        <v>6712</v>
      </c>
      <c r="B1322" s="10">
        <v>48</v>
      </c>
      <c r="C1322" s="10" t="s">
        <v>1632</v>
      </c>
      <c r="D1322" s="10">
        <v>4812</v>
      </c>
      <c r="E1322" s="10" t="s">
        <v>1644</v>
      </c>
      <c r="F1322" s="10">
        <v>0</v>
      </c>
      <c r="G1322" s="10" t="s">
        <v>343</v>
      </c>
      <c r="H1322" s="10">
        <v>0</v>
      </c>
      <c r="I1322" s="10" t="s">
        <v>343</v>
      </c>
      <c r="J1322" s="11">
        <v>7932</v>
      </c>
      <c r="K1322" s="11">
        <v>7732</v>
      </c>
      <c r="L1322" s="11">
        <v>15664</v>
      </c>
      <c r="M1322" s="11">
        <v>5021</v>
      </c>
    </row>
    <row r="1323" spans="1:13" x14ac:dyDescent="0.3">
      <c r="A1323" s="10">
        <v>6712</v>
      </c>
      <c r="B1323" s="10">
        <v>48</v>
      </c>
      <c r="C1323" s="10" t="s">
        <v>1632</v>
      </c>
      <c r="D1323" s="10">
        <v>4890</v>
      </c>
      <c r="E1323" s="10" t="s">
        <v>1645</v>
      </c>
      <c r="F1323" s="10">
        <v>0</v>
      </c>
      <c r="G1323" s="10" t="s">
        <v>343</v>
      </c>
      <c r="H1323" s="10">
        <v>0</v>
      </c>
      <c r="I1323" s="10" t="s">
        <v>343</v>
      </c>
      <c r="J1323" s="11">
        <v>1871</v>
      </c>
      <c r="K1323" s="11">
        <v>2000</v>
      </c>
      <c r="L1323" s="11">
        <v>3871</v>
      </c>
      <c r="M1323" s="11">
        <v>1674</v>
      </c>
    </row>
    <row r="1324" spans="1:13" x14ac:dyDescent="0.3">
      <c r="A1324" s="10">
        <v>6712</v>
      </c>
      <c r="B1324" s="10">
        <v>48</v>
      </c>
      <c r="C1324" s="10" t="s">
        <v>1632</v>
      </c>
      <c r="D1324" s="10">
        <v>4891</v>
      </c>
      <c r="E1324" s="10" t="s">
        <v>1646</v>
      </c>
      <c r="F1324" s="10">
        <v>0</v>
      </c>
      <c r="G1324" s="10" t="s">
        <v>343</v>
      </c>
      <c r="H1324" s="10">
        <v>0</v>
      </c>
      <c r="I1324" s="10" t="s">
        <v>343</v>
      </c>
      <c r="J1324" s="11">
        <v>2631</v>
      </c>
      <c r="K1324" s="11">
        <v>2674</v>
      </c>
      <c r="L1324" s="11">
        <v>5305</v>
      </c>
      <c r="M1324" s="11">
        <v>1945</v>
      </c>
    </row>
    <row r="1325" spans="1:13" x14ac:dyDescent="0.3">
      <c r="A1325" s="10">
        <v>6712</v>
      </c>
      <c r="B1325" s="10">
        <v>48</v>
      </c>
      <c r="C1325" s="10" t="s">
        <v>1632</v>
      </c>
      <c r="D1325" s="10">
        <v>4892</v>
      </c>
      <c r="E1325" s="10" t="s">
        <v>1647</v>
      </c>
      <c r="F1325" s="10">
        <v>0</v>
      </c>
      <c r="G1325" s="10" t="s">
        <v>343</v>
      </c>
      <c r="H1325" s="10">
        <v>0</v>
      </c>
      <c r="I1325" s="10" t="s">
        <v>343</v>
      </c>
      <c r="J1325" s="11">
        <v>5915</v>
      </c>
      <c r="K1325" s="11">
        <v>6101</v>
      </c>
      <c r="L1325" s="11">
        <v>12016</v>
      </c>
      <c r="M1325" s="11">
        <v>4452</v>
      </c>
    </row>
    <row r="1326" spans="1:13" x14ac:dyDescent="0.3">
      <c r="A1326" s="10">
        <v>6712</v>
      </c>
      <c r="B1326" s="10">
        <v>48</v>
      </c>
      <c r="C1326" s="10" t="s">
        <v>1632</v>
      </c>
      <c r="D1326" s="10">
        <v>4893</v>
      </c>
      <c r="E1326" s="10" t="s">
        <v>1648</v>
      </c>
      <c r="F1326" s="10">
        <v>0</v>
      </c>
      <c r="G1326" s="10" t="s">
        <v>343</v>
      </c>
      <c r="H1326" s="10">
        <v>0</v>
      </c>
      <c r="I1326" s="10" t="s">
        <v>343</v>
      </c>
      <c r="J1326" s="11">
        <v>2403</v>
      </c>
      <c r="K1326" s="11">
        <v>2513</v>
      </c>
      <c r="L1326" s="11">
        <v>4916</v>
      </c>
      <c r="M1326" s="11">
        <v>2713</v>
      </c>
    </row>
    <row r="1327" spans="1:13" x14ac:dyDescent="0.3">
      <c r="A1327" s="10">
        <v>6712</v>
      </c>
      <c r="B1327" s="10">
        <v>48</v>
      </c>
      <c r="C1327" s="10" t="s">
        <v>1632</v>
      </c>
      <c r="D1327" s="10">
        <v>4894</v>
      </c>
      <c r="E1327" s="10" t="s">
        <v>1649</v>
      </c>
      <c r="F1327" s="10">
        <v>0</v>
      </c>
      <c r="G1327" s="10" t="s">
        <v>343</v>
      </c>
      <c r="H1327" s="10">
        <v>0</v>
      </c>
      <c r="I1327" s="10" t="s">
        <v>343</v>
      </c>
      <c r="J1327" s="11">
        <v>1959</v>
      </c>
      <c r="K1327" s="11">
        <v>2195</v>
      </c>
      <c r="L1327" s="11">
        <v>4154</v>
      </c>
      <c r="M1327" s="11">
        <v>2396</v>
      </c>
    </row>
    <row r="1328" spans="1:13" x14ac:dyDescent="0.3">
      <c r="A1328" s="10">
        <v>6712</v>
      </c>
      <c r="B1328" s="10">
        <v>48</v>
      </c>
      <c r="C1328" s="10" t="s">
        <v>1632</v>
      </c>
      <c r="D1328" s="10">
        <v>4895</v>
      </c>
      <c r="E1328" s="10" t="s">
        <v>1650</v>
      </c>
      <c r="F1328" s="10">
        <v>0</v>
      </c>
      <c r="G1328" s="10" t="s">
        <v>343</v>
      </c>
      <c r="H1328" s="10">
        <v>0</v>
      </c>
      <c r="I1328" s="10" t="s">
        <v>343</v>
      </c>
      <c r="J1328" s="11">
        <v>2031</v>
      </c>
      <c r="K1328" s="11">
        <v>2280</v>
      </c>
      <c r="L1328" s="11">
        <v>4311</v>
      </c>
      <c r="M1328" s="11">
        <v>1753</v>
      </c>
    </row>
    <row r="1329" spans="1:13" x14ac:dyDescent="0.3">
      <c r="A1329" s="10">
        <v>6712</v>
      </c>
      <c r="B1329" s="10">
        <v>48</v>
      </c>
      <c r="C1329" s="10" t="s">
        <v>1632</v>
      </c>
      <c r="D1329" s="10">
        <v>4896</v>
      </c>
      <c r="E1329" s="10" t="s">
        <v>1651</v>
      </c>
      <c r="F1329" s="10">
        <v>0</v>
      </c>
      <c r="G1329" s="10" t="s">
        <v>343</v>
      </c>
      <c r="H1329" s="10">
        <v>0</v>
      </c>
      <c r="I1329" s="10" t="s">
        <v>343</v>
      </c>
      <c r="J1329" s="11">
        <v>4675</v>
      </c>
      <c r="K1329" s="11">
        <v>4961</v>
      </c>
      <c r="L1329" s="11">
        <v>9636</v>
      </c>
      <c r="M1329" s="11">
        <v>4236</v>
      </c>
    </row>
    <row r="1330" spans="1:13" x14ac:dyDescent="0.3">
      <c r="A1330" s="10">
        <v>6712</v>
      </c>
      <c r="B1330" s="10">
        <v>48</v>
      </c>
      <c r="C1330" s="10" t="s">
        <v>1632</v>
      </c>
      <c r="D1330" s="10">
        <v>4897</v>
      </c>
      <c r="E1330" s="10" t="s">
        <v>1652</v>
      </c>
      <c r="F1330" s="10">
        <v>0</v>
      </c>
      <c r="G1330" s="10" t="s">
        <v>343</v>
      </c>
      <c r="H1330" s="10">
        <v>0</v>
      </c>
      <c r="I1330" s="10" t="s">
        <v>343</v>
      </c>
      <c r="J1330" s="11">
        <v>4232</v>
      </c>
      <c r="K1330" s="11">
        <v>4379</v>
      </c>
      <c r="L1330" s="11">
        <v>8611</v>
      </c>
      <c r="M1330" s="11">
        <v>3866</v>
      </c>
    </row>
    <row r="1331" spans="1:13" x14ac:dyDescent="0.3">
      <c r="A1331" s="10">
        <v>6712</v>
      </c>
      <c r="B1331" s="10">
        <v>48</v>
      </c>
      <c r="C1331" s="10" t="s">
        <v>1632</v>
      </c>
      <c r="D1331" s="10">
        <v>4898</v>
      </c>
      <c r="E1331" s="10" t="s">
        <v>1653</v>
      </c>
      <c r="F1331" s="10">
        <v>0</v>
      </c>
      <c r="G1331" s="10" t="s">
        <v>343</v>
      </c>
      <c r="H1331" s="10">
        <v>0</v>
      </c>
      <c r="I1331" s="10" t="s">
        <v>343</v>
      </c>
      <c r="J1331" s="11">
        <v>2278</v>
      </c>
      <c r="K1331" s="11">
        <v>2409</v>
      </c>
      <c r="L1331" s="11">
        <v>4687</v>
      </c>
      <c r="M1331" s="11">
        <v>2057</v>
      </c>
    </row>
    <row r="1332" spans="1:13" x14ac:dyDescent="0.3">
      <c r="A1332" s="10">
        <v>6712</v>
      </c>
      <c r="B1332" s="10">
        <v>48</v>
      </c>
      <c r="C1332" s="10" t="s">
        <v>1632</v>
      </c>
      <c r="D1332" s="10">
        <v>4899</v>
      </c>
      <c r="E1332" s="10" t="s">
        <v>1654</v>
      </c>
      <c r="F1332" s="10">
        <v>0</v>
      </c>
      <c r="G1332" s="10" t="s">
        <v>343</v>
      </c>
      <c r="H1332" s="10">
        <v>0</v>
      </c>
      <c r="I1332" s="10" t="s">
        <v>343</v>
      </c>
      <c r="J1332" s="11">
        <v>12172</v>
      </c>
      <c r="K1332" s="11">
        <v>13875</v>
      </c>
      <c r="L1332" s="11">
        <v>26047</v>
      </c>
      <c r="M1332" s="11">
        <v>16152</v>
      </c>
    </row>
    <row r="1333" spans="1:13" x14ac:dyDescent="0.3">
      <c r="A1333" s="10">
        <v>6712</v>
      </c>
      <c r="B1333" s="10">
        <v>49</v>
      </c>
      <c r="C1333" s="10" t="s">
        <v>1655</v>
      </c>
      <c r="D1333" s="10">
        <v>0</v>
      </c>
      <c r="E1333" s="10" t="s">
        <v>343</v>
      </c>
      <c r="F1333" s="10">
        <v>0</v>
      </c>
      <c r="G1333" s="10" t="s">
        <v>343</v>
      </c>
      <c r="H1333" s="10">
        <v>0</v>
      </c>
      <c r="I1333" s="10" t="s">
        <v>343</v>
      </c>
      <c r="J1333" s="11">
        <v>174977</v>
      </c>
      <c r="K1333" s="11">
        <v>175533</v>
      </c>
      <c r="L1333" s="11">
        <v>350510</v>
      </c>
      <c r="M1333" s="11">
        <v>126326</v>
      </c>
    </row>
    <row r="1334" spans="1:13" x14ac:dyDescent="0.3">
      <c r="A1334" s="10">
        <v>6712</v>
      </c>
      <c r="B1334" s="10">
        <v>49</v>
      </c>
      <c r="C1334" s="10" t="s">
        <v>1655</v>
      </c>
      <c r="D1334" s="10">
        <v>4901</v>
      </c>
      <c r="E1334" s="10" t="s">
        <v>1656</v>
      </c>
      <c r="F1334" s="10">
        <v>0</v>
      </c>
      <c r="G1334" s="10" t="s">
        <v>343</v>
      </c>
      <c r="H1334" s="10">
        <v>0</v>
      </c>
      <c r="I1334" s="10" t="s">
        <v>343</v>
      </c>
      <c r="J1334" s="11">
        <v>40311</v>
      </c>
      <c r="K1334" s="11">
        <v>39830</v>
      </c>
      <c r="L1334" s="11">
        <v>80141</v>
      </c>
      <c r="M1334" s="11">
        <v>28489</v>
      </c>
    </row>
    <row r="1335" spans="1:13" x14ac:dyDescent="0.3">
      <c r="A1335" s="10">
        <v>6712</v>
      </c>
      <c r="B1335" s="10">
        <v>49</v>
      </c>
      <c r="C1335" s="10" t="s">
        <v>1655</v>
      </c>
      <c r="D1335" s="10">
        <v>4902</v>
      </c>
      <c r="E1335" s="10" t="s">
        <v>1657</v>
      </c>
      <c r="F1335" s="10">
        <v>0</v>
      </c>
      <c r="G1335" s="10" t="s">
        <v>343</v>
      </c>
      <c r="H1335" s="10">
        <v>0</v>
      </c>
      <c r="I1335" s="10" t="s">
        <v>343</v>
      </c>
      <c r="J1335" s="11">
        <v>16930</v>
      </c>
      <c r="K1335" s="11">
        <v>17041</v>
      </c>
      <c r="L1335" s="11">
        <v>33971</v>
      </c>
      <c r="M1335" s="11">
        <v>10666</v>
      </c>
    </row>
    <row r="1336" spans="1:13" x14ac:dyDescent="0.3">
      <c r="A1336" s="10">
        <v>6712</v>
      </c>
      <c r="B1336" s="10">
        <v>49</v>
      </c>
      <c r="C1336" s="10" t="s">
        <v>1655</v>
      </c>
      <c r="D1336" s="10">
        <v>4903</v>
      </c>
      <c r="E1336" s="10" t="s">
        <v>1658</v>
      </c>
      <c r="F1336" s="10">
        <v>0</v>
      </c>
      <c r="G1336" s="10" t="s">
        <v>343</v>
      </c>
      <c r="H1336" s="10">
        <v>0</v>
      </c>
      <c r="I1336" s="10" t="s">
        <v>343</v>
      </c>
      <c r="J1336" s="11">
        <v>19484</v>
      </c>
      <c r="K1336" s="11">
        <v>19276</v>
      </c>
      <c r="L1336" s="11">
        <v>38760</v>
      </c>
      <c r="M1336" s="11">
        <v>12387</v>
      </c>
    </row>
    <row r="1337" spans="1:13" x14ac:dyDescent="0.3">
      <c r="A1337" s="10">
        <v>6712</v>
      </c>
      <c r="B1337" s="10">
        <v>49</v>
      </c>
      <c r="C1337" s="10" t="s">
        <v>1655</v>
      </c>
      <c r="D1337" s="10">
        <v>4904</v>
      </c>
      <c r="E1337" s="10" t="s">
        <v>1659</v>
      </c>
      <c r="F1337" s="10">
        <v>0</v>
      </c>
      <c r="G1337" s="10" t="s">
        <v>343</v>
      </c>
      <c r="H1337" s="10">
        <v>0</v>
      </c>
      <c r="I1337" s="10" t="s">
        <v>343</v>
      </c>
      <c r="J1337" s="11">
        <v>19725</v>
      </c>
      <c r="K1337" s="11">
        <v>19361</v>
      </c>
      <c r="L1337" s="11">
        <v>39086</v>
      </c>
      <c r="M1337" s="11">
        <v>12797</v>
      </c>
    </row>
    <row r="1338" spans="1:13" x14ac:dyDescent="0.3">
      <c r="A1338" s="10">
        <v>6712</v>
      </c>
      <c r="B1338" s="10">
        <v>49</v>
      </c>
      <c r="C1338" s="10" t="s">
        <v>1655</v>
      </c>
      <c r="D1338" s="10">
        <v>4905</v>
      </c>
      <c r="E1338" s="10" t="s">
        <v>1660</v>
      </c>
      <c r="F1338" s="10">
        <v>0</v>
      </c>
      <c r="G1338" s="10" t="s">
        <v>343</v>
      </c>
      <c r="H1338" s="10">
        <v>0</v>
      </c>
      <c r="I1338" s="10" t="s">
        <v>343</v>
      </c>
      <c r="J1338" s="11">
        <v>21920</v>
      </c>
      <c r="K1338" s="11">
        <v>21985</v>
      </c>
      <c r="L1338" s="11">
        <v>43905</v>
      </c>
      <c r="M1338" s="11">
        <v>15234</v>
      </c>
    </row>
    <row r="1339" spans="1:13" x14ac:dyDescent="0.3">
      <c r="A1339" s="10">
        <v>6712</v>
      </c>
      <c r="B1339" s="10">
        <v>49</v>
      </c>
      <c r="C1339" s="10" t="s">
        <v>1655</v>
      </c>
      <c r="D1339" s="10">
        <v>4906</v>
      </c>
      <c r="E1339" s="10" t="s">
        <v>1661</v>
      </c>
      <c r="F1339" s="10">
        <v>0</v>
      </c>
      <c r="G1339" s="10" t="s">
        <v>343</v>
      </c>
      <c r="H1339" s="10">
        <v>0</v>
      </c>
      <c r="I1339" s="10" t="s">
        <v>343</v>
      </c>
      <c r="J1339" s="11">
        <v>10068</v>
      </c>
      <c r="K1339" s="11">
        <v>10146</v>
      </c>
      <c r="L1339" s="11">
        <v>20214</v>
      </c>
      <c r="M1339" s="11">
        <v>6806</v>
      </c>
    </row>
    <row r="1340" spans="1:13" x14ac:dyDescent="0.3">
      <c r="A1340" s="10">
        <v>6712</v>
      </c>
      <c r="B1340" s="10">
        <v>49</v>
      </c>
      <c r="C1340" s="10" t="s">
        <v>1655</v>
      </c>
      <c r="D1340" s="10">
        <v>4907</v>
      </c>
      <c r="E1340" s="10" t="s">
        <v>1662</v>
      </c>
      <c r="F1340" s="10">
        <v>0</v>
      </c>
      <c r="G1340" s="10" t="s">
        <v>343</v>
      </c>
      <c r="H1340" s="10">
        <v>0</v>
      </c>
      <c r="I1340" s="10" t="s">
        <v>343</v>
      </c>
      <c r="J1340" s="11">
        <v>10214</v>
      </c>
      <c r="K1340" s="11">
        <v>10290</v>
      </c>
      <c r="L1340" s="11">
        <v>20504</v>
      </c>
      <c r="M1340" s="11">
        <v>7795</v>
      </c>
    </row>
    <row r="1341" spans="1:13" x14ac:dyDescent="0.3">
      <c r="A1341" s="10">
        <v>6712</v>
      </c>
      <c r="B1341" s="10">
        <v>49</v>
      </c>
      <c r="C1341" s="10" t="s">
        <v>1655</v>
      </c>
      <c r="D1341" s="10">
        <v>4989</v>
      </c>
      <c r="E1341" s="10" t="s">
        <v>1663</v>
      </c>
      <c r="F1341" s="10">
        <v>0</v>
      </c>
      <c r="G1341" s="10" t="s">
        <v>343</v>
      </c>
      <c r="H1341" s="10">
        <v>0</v>
      </c>
      <c r="I1341" s="10" t="s">
        <v>343</v>
      </c>
      <c r="J1341" s="11">
        <v>1699</v>
      </c>
      <c r="K1341" s="11">
        <v>1622</v>
      </c>
      <c r="L1341" s="11">
        <v>3321</v>
      </c>
      <c r="M1341" s="11">
        <v>1114</v>
      </c>
    </row>
    <row r="1342" spans="1:13" x14ac:dyDescent="0.3">
      <c r="A1342" s="10">
        <v>6712</v>
      </c>
      <c r="B1342" s="10">
        <v>49</v>
      </c>
      <c r="C1342" s="10" t="s">
        <v>1655</v>
      </c>
      <c r="D1342" s="10">
        <v>4993</v>
      </c>
      <c r="E1342" s="10" t="s">
        <v>1664</v>
      </c>
      <c r="F1342" s="10">
        <v>0</v>
      </c>
      <c r="G1342" s="10" t="s">
        <v>343</v>
      </c>
      <c r="H1342" s="10">
        <v>0</v>
      </c>
      <c r="I1342" s="10" t="s">
        <v>343</v>
      </c>
      <c r="J1342" s="11">
        <v>1530</v>
      </c>
      <c r="K1342" s="11">
        <v>1553</v>
      </c>
      <c r="L1342" s="11">
        <v>3083</v>
      </c>
      <c r="M1342" s="11">
        <v>1041</v>
      </c>
    </row>
    <row r="1343" spans="1:13" x14ac:dyDescent="0.3">
      <c r="A1343" s="10">
        <v>6712</v>
      </c>
      <c r="B1343" s="10">
        <v>49</v>
      </c>
      <c r="C1343" s="10" t="s">
        <v>1655</v>
      </c>
      <c r="D1343" s="10">
        <v>4994</v>
      </c>
      <c r="E1343" s="10" t="s">
        <v>1665</v>
      </c>
      <c r="F1343" s="10">
        <v>0</v>
      </c>
      <c r="G1343" s="10" t="s">
        <v>343</v>
      </c>
      <c r="H1343" s="10">
        <v>0</v>
      </c>
      <c r="I1343" s="10" t="s">
        <v>343</v>
      </c>
      <c r="J1343" s="11">
        <v>6547</v>
      </c>
      <c r="K1343" s="11">
        <v>6449</v>
      </c>
      <c r="L1343" s="11">
        <v>12996</v>
      </c>
      <c r="M1343" s="11">
        <v>5108</v>
      </c>
    </row>
    <row r="1344" spans="1:13" x14ac:dyDescent="0.3">
      <c r="A1344" s="10">
        <v>6712</v>
      </c>
      <c r="B1344" s="10">
        <v>49</v>
      </c>
      <c r="C1344" s="10" t="s">
        <v>1655</v>
      </c>
      <c r="D1344" s="10">
        <v>4995</v>
      </c>
      <c r="E1344" s="10" t="s">
        <v>1666</v>
      </c>
      <c r="F1344" s="10">
        <v>0</v>
      </c>
      <c r="G1344" s="10" t="s">
        <v>343</v>
      </c>
      <c r="H1344" s="10">
        <v>0</v>
      </c>
      <c r="I1344" s="10" t="s">
        <v>343</v>
      </c>
      <c r="J1344" s="11">
        <v>5488</v>
      </c>
      <c r="K1344" s="11">
        <v>5273</v>
      </c>
      <c r="L1344" s="11">
        <v>10761</v>
      </c>
      <c r="M1344" s="11">
        <v>3202</v>
      </c>
    </row>
    <row r="1345" spans="1:13" x14ac:dyDescent="0.3">
      <c r="A1345" s="10">
        <v>6712</v>
      </c>
      <c r="B1345" s="10">
        <v>49</v>
      </c>
      <c r="C1345" s="10" t="s">
        <v>1655</v>
      </c>
      <c r="D1345" s="10">
        <v>4996</v>
      </c>
      <c r="E1345" s="10" t="s">
        <v>1667</v>
      </c>
      <c r="F1345" s="10">
        <v>0</v>
      </c>
      <c r="G1345" s="10" t="s">
        <v>343</v>
      </c>
      <c r="H1345" s="10">
        <v>0</v>
      </c>
      <c r="I1345" s="10" t="s">
        <v>343</v>
      </c>
      <c r="J1345" s="11">
        <v>1131</v>
      </c>
      <c r="K1345" s="11">
        <v>1146</v>
      </c>
      <c r="L1345" s="11">
        <v>2277</v>
      </c>
      <c r="M1345" s="11">
        <v>1156</v>
      </c>
    </row>
    <row r="1346" spans="1:13" x14ac:dyDescent="0.3">
      <c r="A1346" s="10">
        <v>6712</v>
      </c>
      <c r="B1346" s="10">
        <v>49</v>
      </c>
      <c r="C1346" s="10" t="s">
        <v>1655</v>
      </c>
      <c r="D1346" s="10">
        <v>4997</v>
      </c>
      <c r="E1346" s="10" t="s">
        <v>1668</v>
      </c>
      <c r="F1346" s="10">
        <v>0</v>
      </c>
      <c r="G1346" s="10" t="s">
        <v>343</v>
      </c>
      <c r="H1346" s="10">
        <v>0</v>
      </c>
      <c r="I1346" s="10" t="s">
        <v>343</v>
      </c>
      <c r="J1346" s="11">
        <v>1128</v>
      </c>
      <c r="K1346" s="11">
        <v>1295</v>
      </c>
      <c r="L1346" s="11">
        <v>2423</v>
      </c>
      <c r="M1346" s="11">
        <v>1003</v>
      </c>
    </row>
    <row r="1347" spans="1:13" x14ac:dyDescent="0.3">
      <c r="A1347" s="10">
        <v>6712</v>
      </c>
      <c r="B1347" s="10">
        <v>49</v>
      </c>
      <c r="C1347" s="10" t="s">
        <v>1655</v>
      </c>
      <c r="D1347" s="10">
        <v>4998</v>
      </c>
      <c r="E1347" s="10" t="s">
        <v>1669</v>
      </c>
      <c r="F1347" s="10">
        <v>0</v>
      </c>
      <c r="G1347" s="10" t="s">
        <v>343</v>
      </c>
      <c r="H1347" s="10">
        <v>0</v>
      </c>
      <c r="I1347" s="10" t="s">
        <v>343</v>
      </c>
      <c r="J1347" s="11">
        <v>2948</v>
      </c>
      <c r="K1347" s="11">
        <v>3125</v>
      </c>
      <c r="L1347" s="11">
        <v>6073</v>
      </c>
      <c r="M1347" s="11">
        <v>2465</v>
      </c>
    </row>
    <row r="1348" spans="1:13" x14ac:dyDescent="0.3">
      <c r="A1348" s="10">
        <v>6712</v>
      </c>
      <c r="B1348" s="10">
        <v>49</v>
      </c>
      <c r="C1348" s="10" t="s">
        <v>1655</v>
      </c>
      <c r="D1348" s="10">
        <v>4999</v>
      </c>
      <c r="E1348" s="10" t="s">
        <v>1670</v>
      </c>
      <c r="F1348" s="10">
        <v>0</v>
      </c>
      <c r="G1348" s="10" t="s">
        <v>343</v>
      </c>
      <c r="H1348" s="10">
        <v>0</v>
      </c>
      <c r="I1348" s="10" t="s">
        <v>343</v>
      </c>
      <c r="J1348" s="11">
        <v>15854</v>
      </c>
      <c r="K1348" s="11">
        <v>17141</v>
      </c>
      <c r="L1348" s="11">
        <v>32995</v>
      </c>
      <c r="M1348" s="11">
        <v>17063</v>
      </c>
    </row>
    <row r="1349" spans="1:13" x14ac:dyDescent="0.3">
      <c r="A1349" s="10">
        <v>6712</v>
      </c>
      <c r="B1349" s="10">
        <v>50</v>
      </c>
      <c r="C1349" s="10" t="s">
        <v>1671</v>
      </c>
      <c r="D1349" s="10">
        <v>0</v>
      </c>
      <c r="E1349" s="10" t="s">
        <v>343</v>
      </c>
      <c r="F1349" s="10">
        <v>0</v>
      </c>
      <c r="G1349" s="10" t="s">
        <v>343</v>
      </c>
      <c r="H1349" s="10">
        <v>0</v>
      </c>
      <c r="I1349" s="10" t="s">
        <v>343</v>
      </c>
      <c r="J1349" s="11">
        <v>865486</v>
      </c>
      <c r="K1349" s="11">
        <v>933533</v>
      </c>
      <c r="L1349" s="11">
        <v>1799019</v>
      </c>
      <c r="M1349" s="11">
        <v>900484</v>
      </c>
    </row>
    <row r="1350" spans="1:13" x14ac:dyDescent="0.3">
      <c r="A1350" s="10">
        <v>6712</v>
      </c>
      <c r="B1350" s="10">
        <v>50</v>
      </c>
      <c r="C1350" s="10" t="s">
        <v>1671</v>
      </c>
      <c r="D1350" s="10">
        <v>5001</v>
      </c>
      <c r="E1350" s="10" t="s">
        <v>1672</v>
      </c>
      <c r="F1350" s="10">
        <v>0</v>
      </c>
      <c r="G1350" s="10" t="s">
        <v>343</v>
      </c>
      <c r="H1350" s="10">
        <v>0</v>
      </c>
      <c r="I1350" s="10" t="s">
        <v>343</v>
      </c>
      <c r="J1350" s="11">
        <v>7069</v>
      </c>
      <c r="K1350" s="11">
        <v>8007</v>
      </c>
      <c r="L1350" s="11">
        <v>15076</v>
      </c>
      <c r="M1350" s="11">
        <v>12110</v>
      </c>
    </row>
    <row r="1351" spans="1:13" x14ac:dyDescent="0.3">
      <c r="A1351" s="10">
        <v>6712</v>
      </c>
      <c r="B1351" s="10">
        <v>50</v>
      </c>
      <c r="C1351" s="10" t="s">
        <v>1671</v>
      </c>
      <c r="D1351" s="10">
        <v>5002</v>
      </c>
      <c r="E1351" s="10" t="s">
        <v>1673</v>
      </c>
      <c r="F1351" s="10">
        <v>0</v>
      </c>
      <c r="G1351" s="10" t="s">
        <v>343</v>
      </c>
      <c r="H1351" s="10">
        <v>0</v>
      </c>
      <c r="I1351" s="10" t="s">
        <v>343</v>
      </c>
      <c r="J1351" s="11">
        <v>27631</v>
      </c>
      <c r="K1351" s="11">
        <v>28893</v>
      </c>
      <c r="L1351" s="11">
        <v>56524</v>
      </c>
      <c r="M1351" s="11">
        <v>21254</v>
      </c>
    </row>
    <row r="1352" spans="1:13" x14ac:dyDescent="0.3">
      <c r="A1352" s="10">
        <v>6712</v>
      </c>
      <c r="B1352" s="10">
        <v>50</v>
      </c>
      <c r="C1352" s="10" t="s">
        <v>1671</v>
      </c>
      <c r="D1352" s="10">
        <v>5003</v>
      </c>
      <c r="E1352" s="10" t="s">
        <v>1674</v>
      </c>
      <c r="F1352" s="10">
        <v>0</v>
      </c>
      <c r="G1352" s="10" t="s">
        <v>343</v>
      </c>
      <c r="H1352" s="10">
        <v>0</v>
      </c>
      <c r="I1352" s="10" t="s">
        <v>343</v>
      </c>
      <c r="J1352" s="11">
        <v>29447</v>
      </c>
      <c r="K1352" s="11">
        <v>28544</v>
      </c>
      <c r="L1352" s="11">
        <v>57991</v>
      </c>
      <c r="M1352" s="11">
        <v>19448</v>
      </c>
    </row>
    <row r="1353" spans="1:13" x14ac:dyDescent="0.3">
      <c r="A1353" s="10">
        <v>6712</v>
      </c>
      <c r="B1353" s="10">
        <v>50</v>
      </c>
      <c r="C1353" s="10" t="s">
        <v>1671</v>
      </c>
      <c r="D1353" s="10">
        <v>5004</v>
      </c>
      <c r="E1353" s="10" t="s">
        <v>1675</v>
      </c>
      <c r="F1353" s="10">
        <v>0</v>
      </c>
      <c r="G1353" s="10" t="s">
        <v>343</v>
      </c>
      <c r="H1353" s="10">
        <v>0</v>
      </c>
      <c r="I1353" s="10" t="s">
        <v>343</v>
      </c>
      <c r="J1353" s="11">
        <v>13835</v>
      </c>
      <c r="K1353" s="11">
        <v>14392</v>
      </c>
      <c r="L1353" s="11">
        <v>28227</v>
      </c>
      <c r="M1353" s="11">
        <v>12238</v>
      </c>
    </row>
    <row r="1354" spans="1:13" x14ac:dyDescent="0.3">
      <c r="A1354" s="10">
        <v>6712</v>
      </c>
      <c r="B1354" s="10">
        <v>50</v>
      </c>
      <c r="C1354" s="10" t="s">
        <v>1671</v>
      </c>
      <c r="D1354" s="10">
        <v>5005</v>
      </c>
      <c r="E1354" s="10" t="s">
        <v>1676</v>
      </c>
      <c r="F1354" s="10">
        <v>0</v>
      </c>
      <c r="G1354" s="10" t="s">
        <v>343</v>
      </c>
      <c r="H1354" s="10">
        <v>0</v>
      </c>
      <c r="I1354" s="10" t="s">
        <v>343</v>
      </c>
      <c r="J1354" s="11">
        <v>22787</v>
      </c>
      <c r="K1354" s="11">
        <v>25424</v>
      </c>
      <c r="L1354" s="11">
        <v>48211</v>
      </c>
      <c r="M1354" s="11">
        <v>25360</v>
      </c>
    </row>
    <row r="1355" spans="1:13" x14ac:dyDescent="0.3">
      <c r="A1355" s="10">
        <v>6712</v>
      </c>
      <c r="B1355" s="10">
        <v>50</v>
      </c>
      <c r="C1355" s="10" t="s">
        <v>1671</v>
      </c>
      <c r="D1355" s="10">
        <v>5006</v>
      </c>
      <c r="E1355" s="10" t="s">
        <v>1677</v>
      </c>
      <c r="F1355" s="10">
        <v>0</v>
      </c>
      <c r="G1355" s="10" t="s">
        <v>343</v>
      </c>
      <c r="H1355" s="10">
        <v>0</v>
      </c>
      <c r="I1355" s="10" t="s">
        <v>343</v>
      </c>
      <c r="J1355" s="11">
        <v>29530</v>
      </c>
      <c r="K1355" s="11">
        <v>30077</v>
      </c>
      <c r="L1355" s="11">
        <v>59607</v>
      </c>
      <c r="M1355" s="11">
        <v>25979</v>
      </c>
    </row>
    <row r="1356" spans="1:13" x14ac:dyDescent="0.3">
      <c r="A1356" s="10">
        <v>6712</v>
      </c>
      <c r="B1356" s="10">
        <v>50</v>
      </c>
      <c r="C1356" s="10" t="s">
        <v>1671</v>
      </c>
      <c r="D1356" s="10">
        <v>5007</v>
      </c>
      <c r="E1356" s="10" t="s">
        <v>1678</v>
      </c>
      <c r="F1356" s="10">
        <v>0</v>
      </c>
      <c r="G1356" s="10" t="s">
        <v>343</v>
      </c>
      <c r="H1356" s="10">
        <v>0</v>
      </c>
      <c r="I1356" s="10" t="s">
        <v>343</v>
      </c>
      <c r="J1356" s="11">
        <v>41106</v>
      </c>
      <c r="K1356" s="11">
        <v>43422</v>
      </c>
      <c r="L1356" s="11">
        <v>84528</v>
      </c>
      <c r="M1356" s="11">
        <v>40928</v>
      </c>
    </row>
    <row r="1357" spans="1:13" x14ac:dyDescent="0.3">
      <c r="A1357" s="10">
        <v>6712</v>
      </c>
      <c r="B1357" s="10">
        <v>50</v>
      </c>
      <c r="C1357" s="10" t="s">
        <v>1671</v>
      </c>
      <c r="D1357" s="10">
        <v>5008</v>
      </c>
      <c r="E1357" s="10" t="s">
        <v>1679</v>
      </c>
      <c r="F1357" s="10">
        <v>0</v>
      </c>
      <c r="G1357" s="10" t="s">
        <v>343</v>
      </c>
      <c r="H1357" s="10">
        <v>0</v>
      </c>
      <c r="I1357" s="10" t="s">
        <v>343</v>
      </c>
      <c r="J1357" s="11">
        <v>9263</v>
      </c>
      <c r="K1357" s="11">
        <v>8966</v>
      </c>
      <c r="L1357" s="11">
        <v>18229</v>
      </c>
      <c r="M1357" s="11">
        <v>6406</v>
      </c>
    </row>
    <row r="1358" spans="1:13" x14ac:dyDescent="0.3">
      <c r="A1358" s="10">
        <v>6712</v>
      </c>
      <c r="B1358" s="10">
        <v>50</v>
      </c>
      <c r="C1358" s="10" t="s">
        <v>1671</v>
      </c>
      <c r="D1358" s="10">
        <v>5009</v>
      </c>
      <c r="E1358" s="10" t="s">
        <v>1680</v>
      </c>
      <c r="F1358" s="10">
        <v>0</v>
      </c>
      <c r="G1358" s="10" t="s">
        <v>343</v>
      </c>
      <c r="H1358" s="10">
        <v>0</v>
      </c>
      <c r="I1358" s="10" t="s">
        <v>343</v>
      </c>
      <c r="J1358" s="11">
        <v>55758</v>
      </c>
      <c r="K1358" s="11">
        <v>56854</v>
      </c>
      <c r="L1358" s="11">
        <v>112612</v>
      </c>
      <c r="M1358" s="11">
        <v>43035</v>
      </c>
    </row>
    <row r="1359" spans="1:13" x14ac:dyDescent="0.3">
      <c r="A1359" s="10">
        <v>6712</v>
      </c>
      <c r="B1359" s="10">
        <v>50</v>
      </c>
      <c r="C1359" s="10" t="s">
        <v>1671</v>
      </c>
      <c r="D1359" s="10">
        <v>5010</v>
      </c>
      <c r="E1359" s="10" t="s">
        <v>1681</v>
      </c>
      <c r="F1359" s="10">
        <v>0</v>
      </c>
      <c r="G1359" s="10" t="s">
        <v>343</v>
      </c>
      <c r="H1359" s="10">
        <v>0</v>
      </c>
      <c r="I1359" s="10" t="s">
        <v>343</v>
      </c>
      <c r="J1359" s="11">
        <v>34192</v>
      </c>
      <c r="K1359" s="11">
        <v>34339</v>
      </c>
      <c r="L1359" s="11">
        <v>68531</v>
      </c>
      <c r="M1359" s="11">
        <v>27309</v>
      </c>
    </row>
    <row r="1360" spans="1:13" x14ac:dyDescent="0.3">
      <c r="A1360" s="10">
        <v>6712</v>
      </c>
      <c r="B1360" s="10">
        <v>50</v>
      </c>
      <c r="C1360" s="10" t="s">
        <v>1671</v>
      </c>
      <c r="D1360" s="10">
        <v>5011</v>
      </c>
      <c r="E1360" s="10" t="s">
        <v>1682</v>
      </c>
      <c r="F1360" s="10">
        <v>0</v>
      </c>
      <c r="G1360" s="10" t="s">
        <v>343</v>
      </c>
      <c r="H1360" s="10">
        <v>0</v>
      </c>
      <c r="I1360" s="10" t="s">
        <v>343</v>
      </c>
      <c r="J1360" s="11">
        <v>17755</v>
      </c>
      <c r="K1360" s="11">
        <v>18316</v>
      </c>
      <c r="L1360" s="11">
        <v>36071</v>
      </c>
      <c r="M1360" s="11">
        <v>16185</v>
      </c>
    </row>
    <row r="1361" spans="1:13" x14ac:dyDescent="0.3">
      <c r="A1361" s="10">
        <v>6712</v>
      </c>
      <c r="B1361" s="10">
        <v>50</v>
      </c>
      <c r="C1361" s="10" t="s">
        <v>1671</v>
      </c>
      <c r="D1361" s="10">
        <v>5012</v>
      </c>
      <c r="E1361" s="10" t="s">
        <v>1683</v>
      </c>
      <c r="F1361" s="10">
        <v>0</v>
      </c>
      <c r="G1361" s="10" t="s">
        <v>343</v>
      </c>
      <c r="H1361" s="10">
        <v>0</v>
      </c>
      <c r="I1361" s="10" t="s">
        <v>343</v>
      </c>
      <c r="J1361" s="11">
        <v>27246</v>
      </c>
      <c r="K1361" s="11">
        <v>31155</v>
      </c>
      <c r="L1361" s="11">
        <v>58401</v>
      </c>
      <c r="M1361" s="11">
        <v>26903</v>
      </c>
    </row>
    <row r="1362" spans="1:13" x14ac:dyDescent="0.3">
      <c r="A1362" s="10">
        <v>6712</v>
      </c>
      <c r="B1362" s="10">
        <v>50</v>
      </c>
      <c r="C1362" s="10" t="s">
        <v>1671</v>
      </c>
      <c r="D1362" s="10">
        <v>5013</v>
      </c>
      <c r="E1362" s="10" t="s">
        <v>1684</v>
      </c>
      <c r="F1362" s="10">
        <v>0</v>
      </c>
      <c r="G1362" s="10" t="s">
        <v>343</v>
      </c>
      <c r="H1362" s="10">
        <v>0</v>
      </c>
      <c r="I1362" s="10" t="s">
        <v>343</v>
      </c>
      <c r="J1362" s="11">
        <v>20708</v>
      </c>
      <c r="K1362" s="11">
        <v>23586</v>
      </c>
      <c r="L1362" s="11">
        <v>44294</v>
      </c>
      <c r="M1362" s="11">
        <v>24814</v>
      </c>
    </row>
    <row r="1363" spans="1:13" x14ac:dyDescent="0.3">
      <c r="A1363" s="10">
        <v>6712</v>
      </c>
      <c r="B1363" s="10">
        <v>50</v>
      </c>
      <c r="C1363" s="10" t="s">
        <v>1671</v>
      </c>
      <c r="D1363" s="10">
        <v>5014</v>
      </c>
      <c r="E1363" s="10" t="s">
        <v>1685</v>
      </c>
      <c r="F1363" s="10">
        <v>0</v>
      </c>
      <c r="G1363" s="10" t="s">
        <v>343</v>
      </c>
      <c r="H1363" s="10">
        <v>0</v>
      </c>
      <c r="I1363" s="10" t="s">
        <v>343</v>
      </c>
      <c r="J1363" s="11">
        <v>10571</v>
      </c>
      <c r="K1363" s="11">
        <v>11916</v>
      </c>
      <c r="L1363" s="11">
        <v>22487</v>
      </c>
      <c r="M1363" s="11">
        <v>11713</v>
      </c>
    </row>
    <row r="1364" spans="1:13" x14ac:dyDescent="0.3">
      <c r="A1364" s="10">
        <v>6712</v>
      </c>
      <c r="B1364" s="10">
        <v>50</v>
      </c>
      <c r="C1364" s="10" t="s">
        <v>1671</v>
      </c>
      <c r="D1364" s="10">
        <v>5015</v>
      </c>
      <c r="E1364" s="10" t="s">
        <v>1686</v>
      </c>
      <c r="F1364" s="10">
        <v>0</v>
      </c>
      <c r="G1364" s="10" t="s">
        <v>343</v>
      </c>
      <c r="H1364" s="10">
        <v>0</v>
      </c>
      <c r="I1364" s="10" t="s">
        <v>343</v>
      </c>
      <c r="J1364" s="11">
        <v>37284</v>
      </c>
      <c r="K1364" s="11">
        <v>42668</v>
      </c>
      <c r="L1364" s="11">
        <v>79952</v>
      </c>
      <c r="M1364" s="11">
        <v>48482</v>
      </c>
    </row>
    <row r="1365" spans="1:13" x14ac:dyDescent="0.3">
      <c r="A1365" s="10">
        <v>6712</v>
      </c>
      <c r="B1365" s="10">
        <v>50</v>
      </c>
      <c r="C1365" s="10" t="s">
        <v>1671</v>
      </c>
      <c r="D1365" s="10">
        <v>5016</v>
      </c>
      <c r="E1365" s="10" t="s">
        <v>1687</v>
      </c>
      <c r="F1365" s="10">
        <v>0</v>
      </c>
      <c r="G1365" s="10" t="s">
        <v>343</v>
      </c>
      <c r="H1365" s="10">
        <v>0</v>
      </c>
      <c r="I1365" s="10" t="s">
        <v>343</v>
      </c>
      <c r="J1365" s="11">
        <v>12330</v>
      </c>
      <c r="K1365" s="11">
        <v>12633</v>
      </c>
      <c r="L1365" s="11">
        <v>24963</v>
      </c>
      <c r="M1365" s="11">
        <v>9985</v>
      </c>
    </row>
    <row r="1366" spans="1:13" x14ac:dyDescent="0.3">
      <c r="A1366" s="10">
        <v>6712</v>
      </c>
      <c r="B1366" s="10">
        <v>50</v>
      </c>
      <c r="C1366" s="10" t="s">
        <v>1671</v>
      </c>
      <c r="D1366" s="10">
        <v>5017</v>
      </c>
      <c r="E1366" s="10" t="s">
        <v>1688</v>
      </c>
      <c r="F1366" s="10">
        <v>0</v>
      </c>
      <c r="G1366" s="10" t="s">
        <v>343</v>
      </c>
      <c r="H1366" s="10">
        <v>0</v>
      </c>
      <c r="I1366" s="10" t="s">
        <v>343</v>
      </c>
      <c r="J1366" s="11">
        <v>11095</v>
      </c>
      <c r="K1366" s="11">
        <v>11293</v>
      </c>
      <c r="L1366" s="11">
        <v>22388</v>
      </c>
      <c r="M1366" s="11">
        <v>8998</v>
      </c>
    </row>
    <row r="1367" spans="1:13" x14ac:dyDescent="0.3">
      <c r="A1367" s="10">
        <v>6712</v>
      </c>
      <c r="B1367" s="10">
        <v>50</v>
      </c>
      <c r="C1367" s="10" t="s">
        <v>1671</v>
      </c>
      <c r="D1367" s="10">
        <v>5018</v>
      </c>
      <c r="E1367" s="10" t="s">
        <v>1689</v>
      </c>
      <c r="F1367" s="10">
        <v>0</v>
      </c>
      <c r="G1367" s="10" t="s">
        <v>343</v>
      </c>
      <c r="H1367" s="10">
        <v>0</v>
      </c>
      <c r="I1367" s="10" t="s">
        <v>343</v>
      </c>
      <c r="J1367" s="11">
        <v>31381</v>
      </c>
      <c r="K1367" s="11">
        <v>30976</v>
      </c>
      <c r="L1367" s="11">
        <v>62357</v>
      </c>
      <c r="M1367" s="11">
        <v>24185</v>
      </c>
    </row>
    <row r="1368" spans="1:13" x14ac:dyDescent="0.3">
      <c r="A1368" s="10">
        <v>6712</v>
      </c>
      <c r="B1368" s="10">
        <v>50</v>
      </c>
      <c r="C1368" s="10" t="s">
        <v>1671</v>
      </c>
      <c r="D1368" s="10">
        <v>5019</v>
      </c>
      <c r="E1368" s="10" t="s">
        <v>1690</v>
      </c>
      <c r="F1368" s="10">
        <v>0</v>
      </c>
      <c r="G1368" s="10" t="s">
        <v>343</v>
      </c>
      <c r="H1368" s="10">
        <v>0</v>
      </c>
      <c r="I1368" s="10" t="s">
        <v>343</v>
      </c>
      <c r="J1368" s="11">
        <v>23372</v>
      </c>
      <c r="K1368" s="11">
        <v>27021</v>
      </c>
      <c r="L1368" s="11">
        <v>50393</v>
      </c>
      <c r="M1368" s="11">
        <v>26501</v>
      </c>
    </row>
    <row r="1369" spans="1:13" x14ac:dyDescent="0.3">
      <c r="A1369" s="10">
        <v>6712</v>
      </c>
      <c r="B1369" s="10">
        <v>50</v>
      </c>
      <c r="C1369" s="10" t="s">
        <v>1671</v>
      </c>
      <c r="D1369" s="10">
        <v>5020</v>
      </c>
      <c r="E1369" s="10" t="s">
        <v>1691</v>
      </c>
      <c r="F1369" s="10">
        <v>0</v>
      </c>
      <c r="G1369" s="10" t="s">
        <v>343</v>
      </c>
      <c r="H1369" s="10">
        <v>0</v>
      </c>
      <c r="I1369" s="10" t="s">
        <v>343</v>
      </c>
      <c r="J1369" s="11">
        <v>27433</v>
      </c>
      <c r="K1369" s="11">
        <v>26776</v>
      </c>
      <c r="L1369" s="11">
        <v>54209</v>
      </c>
      <c r="M1369" s="11">
        <v>10301</v>
      </c>
    </row>
    <row r="1370" spans="1:13" x14ac:dyDescent="0.3">
      <c r="A1370" s="10">
        <v>6712</v>
      </c>
      <c r="B1370" s="10">
        <v>50</v>
      </c>
      <c r="C1370" s="10" t="s">
        <v>1671</v>
      </c>
      <c r="D1370" s="10">
        <v>5021</v>
      </c>
      <c r="E1370" s="10" t="s">
        <v>1692</v>
      </c>
      <c r="F1370" s="10">
        <v>0</v>
      </c>
      <c r="G1370" s="10" t="s">
        <v>343</v>
      </c>
      <c r="H1370" s="10">
        <v>0</v>
      </c>
      <c r="I1370" s="10" t="s">
        <v>343</v>
      </c>
      <c r="J1370" s="11">
        <v>17706</v>
      </c>
      <c r="K1370" s="11">
        <v>17770</v>
      </c>
      <c r="L1370" s="11">
        <v>35476</v>
      </c>
      <c r="M1370" s="11">
        <v>12323</v>
      </c>
    </row>
    <row r="1371" spans="1:13" x14ac:dyDescent="0.3">
      <c r="A1371" s="10">
        <v>6712</v>
      </c>
      <c r="B1371" s="10">
        <v>50</v>
      </c>
      <c r="C1371" s="10" t="s">
        <v>1671</v>
      </c>
      <c r="D1371" s="10">
        <v>5022</v>
      </c>
      <c r="E1371" s="10" t="s">
        <v>1693</v>
      </c>
      <c r="F1371" s="10">
        <v>0</v>
      </c>
      <c r="G1371" s="10" t="s">
        <v>343</v>
      </c>
      <c r="H1371" s="10">
        <v>0</v>
      </c>
      <c r="I1371" s="10" t="s">
        <v>343</v>
      </c>
      <c r="J1371" s="11">
        <v>13613</v>
      </c>
      <c r="K1371" s="11">
        <v>13833</v>
      </c>
      <c r="L1371" s="11">
        <v>27446</v>
      </c>
      <c r="M1371" s="11">
        <v>10423</v>
      </c>
    </row>
    <row r="1372" spans="1:13" x14ac:dyDescent="0.3">
      <c r="A1372" s="10">
        <v>6712</v>
      </c>
      <c r="B1372" s="10">
        <v>50</v>
      </c>
      <c r="C1372" s="10" t="s">
        <v>1671</v>
      </c>
      <c r="D1372" s="10">
        <v>5023</v>
      </c>
      <c r="E1372" s="10" t="s">
        <v>1694</v>
      </c>
      <c r="F1372" s="10">
        <v>0</v>
      </c>
      <c r="G1372" s="10" t="s">
        <v>343</v>
      </c>
      <c r="H1372" s="10">
        <v>0</v>
      </c>
      <c r="I1372" s="10" t="s">
        <v>343</v>
      </c>
      <c r="J1372" s="11">
        <v>10211</v>
      </c>
      <c r="K1372" s="11">
        <v>10519</v>
      </c>
      <c r="L1372" s="11">
        <v>20730</v>
      </c>
      <c r="M1372" s="11">
        <v>10094</v>
      </c>
    </row>
    <row r="1373" spans="1:13" x14ac:dyDescent="0.3">
      <c r="A1373" s="10">
        <v>6712</v>
      </c>
      <c r="B1373" s="10">
        <v>50</v>
      </c>
      <c r="C1373" s="10" t="s">
        <v>1671</v>
      </c>
      <c r="D1373" s="10">
        <v>5024</v>
      </c>
      <c r="E1373" s="10" t="s">
        <v>1695</v>
      </c>
      <c r="F1373" s="10">
        <v>0</v>
      </c>
      <c r="G1373" s="10" t="s">
        <v>343</v>
      </c>
      <c r="H1373" s="10">
        <v>0</v>
      </c>
      <c r="I1373" s="10" t="s">
        <v>343</v>
      </c>
      <c r="J1373" s="11">
        <v>11752</v>
      </c>
      <c r="K1373" s="11">
        <v>12633</v>
      </c>
      <c r="L1373" s="11">
        <v>24385</v>
      </c>
      <c r="M1373" s="11">
        <v>12068</v>
      </c>
    </row>
    <row r="1374" spans="1:13" x14ac:dyDescent="0.3">
      <c r="A1374" s="10">
        <v>6712</v>
      </c>
      <c r="B1374" s="10">
        <v>50</v>
      </c>
      <c r="C1374" s="10" t="s">
        <v>1671</v>
      </c>
      <c r="D1374" s="10">
        <v>5025</v>
      </c>
      <c r="E1374" s="10" t="s">
        <v>1696</v>
      </c>
      <c r="F1374" s="10">
        <v>0</v>
      </c>
      <c r="G1374" s="10" t="s">
        <v>343</v>
      </c>
      <c r="H1374" s="10">
        <v>0</v>
      </c>
      <c r="I1374" s="10" t="s">
        <v>343</v>
      </c>
      <c r="J1374" s="11">
        <v>6709</v>
      </c>
      <c r="K1374" s="11">
        <v>6384</v>
      </c>
      <c r="L1374" s="11">
        <v>13093</v>
      </c>
      <c r="M1374" s="11">
        <v>4736</v>
      </c>
    </row>
    <row r="1375" spans="1:13" x14ac:dyDescent="0.3">
      <c r="A1375" s="10">
        <v>6712</v>
      </c>
      <c r="B1375" s="10">
        <v>50</v>
      </c>
      <c r="C1375" s="10" t="s">
        <v>1671</v>
      </c>
      <c r="D1375" s="10">
        <v>5040</v>
      </c>
      <c r="E1375" s="10" t="s">
        <v>1697</v>
      </c>
      <c r="F1375" s="10">
        <v>0</v>
      </c>
      <c r="G1375" s="10" t="s">
        <v>343</v>
      </c>
      <c r="H1375" s="10">
        <v>0</v>
      </c>
      <c r="I1375" s="10" t="s">
        <v>343</v>
      </c>
      <c r="J1375" s="11">
        <v>4144</v>
      </c>
      <c r="K1375" s="11">
        <v>4631</v>
      </c>
      <c r="L1375" s="11">
        <v>8775</v>
      </c>
      <c r="M1375" s="11">
        <v>4322</v>
      </c>
    </row>
    <row r="1376" spans="1:13" x14ac:dyDescent="0.3">
      <c r="A1376" s="10">
        <v>6712</v>
      </c>
      <c r="B1376" s="10">
        <v>50</v>
      </c>
      <c r="C1376" s="10" t="s">
        <v>1671</v>
      </c>
      <c r="D1376" s="10">
        <v>5041</v>
      </c>
      <c r="E1376" s="10" t="s">
        <v>1698</v>
      </c>
      <c r="F1376" s="10">
        <v>0</v>
      </c>
      <c r="G1376" s="10" t="s">
        <v>343</v>
      </c>
      <c r="H1376" s="10">
        <v>0</v>
      </c>
      <c r="I1376" s="10" t="s">
        <v>343</v>
      </c>
      <c r="J1376" s="11">
        <v>5939</v>
      </c>
      <c r="K1376" s="11">
        <v>5977</v>
      </c>
      <c r="L1376" s="11">
        <v>11916</v>
      </c>
      <c r="M1376" s="11">
        <v>3997</v>
      </c>
    </row>
    <row r="1377" spans="1:13" x14ac:dyDescent="0.3">
      <c r="A1377" s="10">
        <v>6712</v>
      </c>
      <c r="B1377" s="10">
        <v>50</v>
      </c>
      <c r="C1377" s="10" t="s">
        <v>1671</v>
      </c>
      <c r="D1377" s="10">
        <v>5042</v>
      </c>
      <c r="E1377" s="10" t="s">
        <v>1699</v>
      </c>
      <c r="F1377" s="10">
        <v>0</v>
      </c>
      <c r="G1377" s="10" t="s">
        <v>343</v>
      </c>
      <c r="H1377" s="10">
        <v>0</v>
      </c>
      <c r="I1377" s="10" t="s">
        <v>343</v>
      </c>
      <c r="J1377" s="11">
        <v>7491</v>
      </c>
      <c r="K1377" s="11">
        <v>8447</v>
      </c>
      <c r="L1377" s="11">
        <v>15938</v>
      </c>
      <c r="M1377" s="11">
        <v>7348</v>
      </c>
    </row>
    <row r="1378" spans="1:13" x14ac:dyDescent="0.3">
      <c r="A1378" s="10">
        <v>6712</v>
      </c>
      <c r="B1378" s="10">
        <v>50</v>
      </c>
      <c r="C1378" s="10" t="s">
        <v>1671</v>
      </c>
      <c r="D1378" s="10">
        <v>5043</v>
      </c>
      <c r="E1378" s="10" t="s">
        <v>1700</v>
      </c>
      <c r="F1378" s="10">
        <v>0</v>
      </c>
      <c r="G1378" s="10" t="s">
        <v>343</v>
      </c>
      <c r="H1378" s="10">
        <v>0</v>
      </c>
      <c r="I1378" s="10" t="s">
        <v>343</v>
      </c>
      <c r="J1378" s="11">
        <v>6367</v>
      </c>
      <c r="K1378" s="11">
        <v>7601</v>
      </c>
      <c r="L1378" s="11">
        <v>13968</v>
      </c>
      <c r="M1378" s="11">
        <v>8993</v>
      </c>
    </row>
    <row r="1379" spans="1:13" x14ac:dyDescent="0.3">
      <c r="A1379" s="10">
        <v>6712</v>
      </c>
      <c r="B1379" s="10">
        <v>50</v>
      </c>
      <c r="C1379" s="10" t="s">
        <v>1671</v>
      </c>
      <c r="D1379" s="10">
        <v>5044</v>
      </c>
      <c r="E1379" s="10" t="s">
        <v>1701</v>
      </c>
      <c r="F1379" s="10">
        <v>0</v>
      </c>
      <c r="G1379" s="10" t="s">
        <v>343</v>
      </c>
      <c r="H1379" s="10">
        <v>0</v>
      </c>
      <c r="I1379" s="10" t="s">
        <v>343</v>
      </c>
      <c r="J1379" s="11">
        <v>2895</v>
      </c>
      <c r="K1379" s="11">
        <v>3462</v>
      </c>
      <c r="L1379" s="11">
        <v>6357</v>
      </c>
      <c r="M1379" s="11">
        <v>3683</v>
      </c>
    </row>
    <row r="1380" spans="1:13" x14ac:dyDescent="0.3">
      <c r="A1380" s="10">
        <v>6712</v>
      </c>
      <c r="B1380" s="10">
        <v>50</v>
      </c>
      <c r="C1380" s="10" t="s">
        <v>1671</v>
      </c>
      <c r="D1380" s="10">
        <v>5046</v>
      </c>
      <c r="E1380" s="10" t="s">
        <v>1702</v>
      </c>
      <c r="F1380" s="10">
        <v>0</v>
      </c>
      <c r="G1380" s="10" t="s">
        <v>343</v>
      </c>
      <c r="H1380" s="10">
        <v>0</v>
      </c>
      <c r="I1380" s="10" t="s">
        <v>343</v>
      </c>
      <c r="J1380" s="11">
        <v>8623</v>
      </c>
      <c r="K1380" s="11">
        <v>10088</v>
      </c>
      <c r="L1380" s="11">
        <v>18711</v>
      </c>
      <c r="M1380" s="11">
        <v>10814</v>
      </c>
    </row>
    <row r="1381" spans="1:13" x14ac:dyDescent="0.3">
      <c r="A1381" s="10">
        <v>6712</v>
      </c>
      <c r="B1381" s="10">
        <v>50</v>
      </c>
      <c r="C1381" s="10" t="s">
        <v>1671</v>
      </c>
      <c r="D1381" s="10">
        <v>5049</v>
      </c>
      <c r="E1381" s="10" t="s">
        <v>1703</v>
      </c>
      <c r="F1381" s="10">
        <v>0</v>
      </c>
      <c r="G1381" s="10" t="s">
        <v>343</v>
      </c>
      <c r="H1381" s="10">
        <v>0</v>
      </c>
      <c r="I1381" s="10" t="s">
        <v>343</v>
      </c>
      <c r="J1381" s="11">
        <v>3856</v>
      </c>
      <c r="K1381" s="11">
        <v>4201</v>
      </c>
      <c r="L1381" s="11">
        <v>8057</v>
      </c>
      <c r="M1381" s="11">
        <v>4053</v>
      </c>
    </row>
    <row r="1382" spans="1:13" x14ac:dyDescent="0.3">
      <c r="A1382" s="10">
        <v>6712</v>
      </c>
      <c r="B1382" s="10">
        <v>50</v>
      </c>
      <c r="C1382" s="10" t="s">
        <v>1671</v>
      </c>
      <c r="D1382" s="10">
        <v>5050</v>
      </c>
      <c r="E1382" s="10" t="s">
        <v>1704</v>
      </c>
      <c r="F1382" s="10">
        <v>0</v>
      </c>
      <c r="G1382" s="10" t="s">
        <v>343</v>
      </c>
      <c r="H1382" s="10">
        <v>0</v>
      </c>
      <c r="I1382" s="10" t="s">
        <v>343</v>
      </c>
      <c r="J1382" s="11">
        <v>18888</v>
      </c>
      <c r="K1382" s="11">
        <v>19505</v>
      </c>
      <c r="L1382" s="11">
        <v>38393</v>
      </c>
      <c r="M1382" s="11">
        <v>10171</v>
      </c>
    </row>
    <row r="1383" spans="1:13" x14ac:dyDescent="0.3">
      <c r="A1383" s="10">
        <v>6712</v>
      </c>
      <c r="B1383" s="10">
        <v>50</v>
      </c>
      <c r="C1383" s="10" t="s">
        <v>1671</v>
      </c>
      <c r="D1383" s="10">
        <v>5054</v>
      </c>
      <c r="E1383" s="10" t="s">
        <v>1705</v>
      </c>
      <c r="F1383" s="10">
        <v>0</v>
      </c>
      <c r="G1383" s="10" t="s">
        <v>343</v>
      </c>
      <c r="H1383" s="10">
        <v>0</v>
      </c>
      <c r="I1383" s="10" t="s">
        <v>343</v>
      </c>
      <c r="J1383" s="11">
        <v>5607</v>
      </c>
      <c r="K1383" s="11">
        <v>5498</v>
      </c>
      <c r="L1383" s="11">
        <v>11105</v>
      </c>
      <c r="M1383" s="11">
        <v>3195</v>
      </c>
    </row>
    <row r="1384" spans="1:13" x14ac:dyDescent="0.3">
      <c r="A1384" s="10">
        <v>6712</v>
      </c>
      <c r="B1384" s="10">
        <v>50</v>
      </c>
      <c r="C1384" s="10" t="s">
        <v>1671</v>
      </c>
      <c r="D1384" s="10">
        <v>5055</v>
      </c>
      <c r="E1384" s="10" t="s">
        <v>1706</v>
      </c>
      <c r="F1384" s="10">
        <v>0</v>
      </c>
      <c r="G1384" s="10" t="s">
        <v>343</v>
      </c>
      <c r="H1384" s="10">
        <v>0</v>
      </c>
      <c r="I1384" s="10" t="s">
        <v>343</v>
      </c>
      <c r="J1384" s="11">
        <v>7631</v>
      </c>
      <c r="K1384" s="11">
        <v>6708</v>
      </c>
      <c r="L1384" s="11">
        <v>14339</v>
      </c>
      <c r="M1384" s="11">
        <v>4775</v>
      </c>
    </row>
    <row r="1385" spans="1:13" x14ac:dyDescent="0.3">
      <c r="A1385" s="10">
        <v>6712</v>
      </c>
      <c r="B1385" s="10">
        <v>50</v>
      </c>
      <c r="C1385" s="10" t="s">
        <v>1671</v>
      </c>
      <c r="D1385" s="10">
        <v>5056</v>
      </c>
      <c r="E1385" s="10" t="s">
        <v>1707</v>
      </c>
      <c r="F1385" s="10">
        <v>0</v>
      </c>
      <c r="G1385" s="10" t="s">
        <v>343</v>
      </c>
      <c r="H1385" s="10">
        <v>0</v>
      </c>
      <c r="I1385" s="10" t="s">
        <v>343</v>
      </c>
      <c r="J1385" s="11">
        <v>1148</v>
      </c>
      <c r="K1385" s="11">
        <v>1213</v>
      </c>
      <c r="L1385" s="11">
        <v>2361</v>
      </c>
      <c r="M1385" s="11">
        <v>1213</v>
      </c>
    </row>
    <row r="1386" spans="1:13" x14ac:dyDescent="0.3">
      <c r="A1386" s="10">
        <v>6712</v>
      </c>
      <c r="B1386" s="10">
        <v>50</v>
      </c>
      <c r="C1386" s="10" t="s">
        <v>1671</v>
      </c>
      <c r="D1386" s="10">
        <v>5057</v>
      </c>
      <c r="E1386" s="10" t="s">
        <v>1708</v>
      </c>
      <c r="F1386" s="10">
        <v>0</v>
      </c>
      <c r="G1386" s="10" t="s">
        <v>343</v>
      </c>
      <c r="H1386" s="10">
        <v>0</v>
      </c>
      <c r="I1386" s="10" t="s">
        <v>343</v>
      </c>
      <c r="J1386" s="11">
        <v>8924</v>
      </c>
      <c r="K1386" s="11">
        <v>11043</v>
      </c>
      <c r="L1386" s="11">
        <v>19967</v>
      </c>
      <c r="M1386" s="11">
        <v>14290</v>
      </c>
    </row>
    <row r="1387" spans="1:13" x14ac:dyDescent="0.3">
      <c r="A1387" s="10">
        <v>6712</v>
      </c>
      <c r="B1387" s="10">
        <v>50</v>
      </c>
      <c r="C1387" s="10" t="s">
        <v>1671</v>
      </c>
      <c r="D1387" s="10">
        <v>5058</v>
      </c>
      <c r="E1387" s="10" t="s">
        <v>1709</v>
      </c>
      <c r="F1387" s="10">
        <v>0</v>
      </c>
      <c r="G1387" s="10" t="s">
        <v>343</v>
      </c>
      <c r="H1387" s="10">
        <v>0</v>
      </c>
      <c r="I1387" s="10" t="s">
        <v>343</v>
      </c>
      <c r="J1387" s="11">
        <v>3036</v>
      </c>
      <c r="K1387" s="11">
        <v>3518</v>
      </c>
      <c r="L1387" s="11">
        <v>6554</v>
      </c>
      <c r="M1387" s="11">
        <v>2911</v>
      </c>
    </row>
    <row r="1388" spans="1:13" x14ac:dyDescent="0.3">
      <c r="A1388" s="10">
        <v>6712</v>
      </c>
      <c r="B1388" s="10">
        <v>50</v>
      </c>
      <c r="C1388" s="10" t="s">
        <v>1671</v>
      </c>
      <c r="D1388" s="10">
        <v>5059</v>
      </c>
      <c r="E1388" s="10" t="s">
        <v>1710</v>
      </c>
      <c r="F1388" s="10">
        <v>0</v>
      </c>
      <c r="G1388" s="10" t="s">
        <v>343</v>
      </c>
      <c r="H1388" s="10">
        <v>0</v>
      </c>
      <c r="I1388" s="10" t="s">
        <v>343</v>
      </c>
      <c r="J1388" s="11">
        <v>3269</v>
      </c>
      <c r="K1388" s="11">
        <v>3909</v>
      </c>
      <c r="L1388" s="11">
        <v>7178</v>
      </c>
      <c r="M1388" s="11">
        <v>9881</v>
      </c>
    </row>
    <row r="1389" spans="1:13" x14ac:dyDescent="0.3">
      <c r="A1389" s="10">
        <v>6712</v>
      </c>
      <c r="B1389" s="10">
        <v>50</v>
      </c>
      <c r="C1389" s="10" t="s">
        <v>1671</v>
      </c>
      <c r="D1389" s="10">
        <v>5060</v>
      </c>
      <c r="E1389" s="10" t="s">
        <v>1711</v>
      </c>
      <c r="F1389" s="10">
        <v>0</v>
      </c>
      <c r="G1389" s="10" t="s">
        <v>343</v>
      </c>
      <c r="H1389" s="10">
        <v>0</v>
      </c>
      <c r="I1389" s="10" t="s">
        <v>343</v>
      </c>
      <c r="J1389" s="11">
        <v>7980</v>
      </c>
      <c r="K1389" s="11">
        <v>9626</v>
      </c>
      <c r="L1389" s="11">
        <v>17606</v>
      </c>
      <c r="M1389" s="11">
        <v>9887</v>
      </c>
    </row>
    <row r="1390" spans="1:13" x14ac:dyDescent="0.3">
      <c r="A1390" s="10">
        <v>6712</v>
      </c>
      <c r="B1390" s="10">
        <v>50</v>
      </c>
      <c r="C1390" s="10" t="s">
        <v>1671</v>
      </c>
      <c r="D1390" s="10">
        <v>5061</v>
      </c>
      <c r="E1390" s="10" t="s">
        <v>1712</v>
      </c>
      <c r="F1390" s="10">
        <v>0</v>
      </c>
      <c r="G1390" s="10" t="s">
        <v>343</v>
      </c>
      <c r="H1390" s="10">
        <v>0</v>
      </c>
      <c r="I1390" s="10" t="s">
        <v>343</v>
      </c>
      <c r="J1390" s="11">
        <v>3578</v>
      </c>
      <c r="K1390" s="11">
        <v>4385</v>
      </c>
      <c r="L1390" s="11">
        <v>7963</v>
      </c>
      <c r="M1390" s="11">
        <v>5764</v>
      </c>
    </row>
    <row r="1391" spans="1:13" x14ac:dyDescent="0.3">
      <c r="A1391" s="10">
        <v>6712</v>
      </c>
      <c r="B1391" s="10">
        <v>50</v>
      </c>
      <c r="C1391" s="10" t="s">
        <v>1671</v>
      </c>
      <c r="D1391" s="10">
        <v>5062</v>
      </c>
      <c r="E1391" s="10" t="s">
        <v>1713</v>
      </c>
      <c r="F1391" s="10">
        <v>0</v>
      </c>
      <c r="G1391" s="10" t="s">
        <v>343</v>
      </c>
      <c r="H1391" s="10">
        <v>0</v>
      </c>
      <c r="I1391" s="10" t="s">
        <v>343</v>
      </c>
      <c r="J1391" s="11">
        <v>4164</v>
      </c>
      <c r="K1391" s="11">
        <v>4819</v>
      </c>
      <c r="L1391" s="11">
        <v>8983</v>
      </c>
      <c r="M1391" s="11">
        <v>4104</v>
      </c>
    </row>
    <row r="1392" spans="1:13" x14ac:dyDescent="0.3">
      <c r="A1392" s="10">
        <v>6712</v>
      </c>
      <c r="B1392" s="10">
        <v>50</v>
      </c>
      <c r="C1392" s="10" t="s">
        <v>1671</v>
      </c>
      <c r="D1392" s="10">
        <v>5063</v>
      </c>
      <c r="E1392" s="10" t="s">
        <v>553</v>
      </c>
      <c r="F1392" s="10">
        <v>0</v>
      </c>
      <c r="G1392" s="10" t="s">
        <v>343</v>
      </c>
      <c r="H1392" s="10">
        <v>0</v>
      </c>
      <c r="I1392" s="10" t="s">
        <v>343</v>
      </c>
      <c r="J1392" s="11">
        <v>3361</v>
      </c>
      <c r="K1392" s="11">
        <v>3936</v>
      </c>
      <c r="L1392" s="11">
        <v>7297</v>
      </c>
      <c r="M1392" s="11">
        <v>5723</v>
      </c>
    </row>
    <row r="1393" spans="1:13" x14ac:dyDescent="0.3">
      <c r="A1393" s="10">
        <v>6712</v>
      </c>
      <c r="B1393" s="10">
        <v>50</v>
      </c>
      <c r="C1393" s="10" t="s">
        <v>1671</v>
      </c>
      <c r="D1393" s="10">
        <v>5064</v>
      </c>
      <c r="E1393" s="10" t="s">
        <v>1714</v>
      </c>
      <c r="F1393" s="10">
        <v>0</v>
      </c>
      <c r="G1393" s="10" t="s">
        <v>343</v>
      </c>
      <c r="H1393" s="10">
        <v>0</v>
      </c>
      <c r="I1393" s="10" t="s">
        <v>343</v>
      </c>
      <c r="J1393" s="11">
        <v>7576</v>
      </c>
      <c r="K1393" s="11">
        <v>8926</v>
      </c>
      <c r="L1393" s="11">
        <v>16502</v>
      </c>
      <c r="M1393" s="11">
        <v>9418</v>
      </c>
    </row>
    <row r="1394" spans="1:13" x14ac:dyDescent="0.3">
      <c r="A1394" s="10">
        <v>6712</v>
      </c>
      <c r="B1394" s="10">
        <v>50</v>
      </c>
      <c r="C1394" s="10" t="s">
        <v>1671</v>
      </c>
      <c r="D1394" s="10">
        <v>5065</v>
      </c>
      <c r="E1394" s="10" t="s">
        <v>1715</v>
      </c>
      <c r="F1394" s="10">
        <v>0</v>
      </c>
      <c r="G1394" s="10" t="s">
        <v>343</v>
      </c>
      <c r="H1394" s="10">
        <v>0</v>
      </c>
      <c r="I1394" s="10" t="s">
        <v>343</v>
      </c>
      <c r="J1394" s="11">
        <v>4059</v>
      </c>
      <c r="K1394" s="11">
        <v>4506</v>
      </c>
      <c r="L1394" s="11">
        <v>8565</v>
      </c>
      <c r="M1394" s="11">
        <v>4390</v>
      </c>
    </row>
    <row r="1395" spans="1:13" x14ac:dyDescent="0.3">
      <c r="A1395" s="10">
        <v>6712</v>
      </c>
      <c r="B1395" s="10">
        <v>50</v>
      </c>
      <c r="C1395" s="10" t="s">
        <v>1671</v>
      </c>
      <c r="D1395" s="10">
        <v>5066</v>
      </c>
      <c r="E1395" s="10" t="s">
        <v>1716</v>
      </c>
      <c r="F1395" s="10">
        <v>0</v>
      </c>
      <c r="G1395" s="10" t="s">
        <v>343</v>
      </c>
      <c r="H1395" s="10">
        <v>0</v>
      </c>
      <c r="I1395" s="10" t="s">
        <v>343</v>
      </c>
      <c r="J1395" s="11">
        <v>2907</v>
      </c>
      <c r="K1395" s="11">
        <v>3032</v>
      </c>
      <c r="L1395" s="11">
        <v>5939</v>
      </c>
      <c r="M1395" s="11">
        <v>2749</v>
      </c>
    </row>
    <row r="1396" spans="1:13" x14ac:dyDescent="0.3">
      <c r="A1396" s="10">
        <v>6712</v>
      </c>
      <c r="B1396" s="10">
        <v>50</v>
      </c>
      <c r="C1396" s="10" t="s">
        <v>1671</v>
      </c>
      <c r="D1396" s="10">
        <v>5067</v>
      </c>
      <c r="E1396" s="10" t="s">
        <v>1717</v>
      </c>
      <c r="F1396" s="10">
        <v>0</v>
      </c>
      <c r="G1396" s="10" t="s">
        <v>343</v>
      </c>
      <c r="H1396" s="10">
        <v>0</v>
      </c>
      <c r="I1396" s="10" t="s">
        <v>343</v>
      </c>
      <c r="J1396" s="11">
        <v>3791</v>
      </c>
      <c r="K1396" s="11">
        <v>4173</v>
      </c>
      <c r="L1396" s="11">
        <v>7964</v>
      </c>
      <c r="M1396" s="11">
        <v>3517</v>
      </c>
    </row>
    <row r="1397" spans="1:13" x14ac:dyDescent="0.3">
      <c r="A1397" s="10">
        <v>6712</v>
      </c>
      <c r="B1397" s="10">
        <v>50</v>
      </c>
      <c r="C1397" s="10" t="s">
        <v>1671</v>
      </c>
      <c r="D1397" s="10">
        <v>5068</v>
      </c>
      <c r="E1397" s="10" t="s">
        <v>1718</v>
      </c>
      <c r="F1397" s="10">
        <v>0</v>
      </c>
      <c r="G1397" s="10" t="s">
        <v>343</v>
      </c>
      <c r="H1397" s="10">
        <v>0</v>
      </c>
      <c r="I1397" s="10" t="s">
        <v>343</v>
      </c>
      <c r="J1397" s="11">
        <v>8260</v>
      </c>
      <c r="K1397" s="11">
        <v>9858</v>
      </c>
      <c r="L1397" s="11">
        <v>18118</v>
      </c>
      <c r="M1397" s="11">
        <v>11719</v>
      </c>
    </row>
    <row r="1398" spans="1:13" x14ac:dyDescent="0.3">
      <c r="A1398" s="10">
        <v>6712</v>
      </c>
      <c r="B1398" s="10">
        <v>50</v>
      </c>
      <c r="C1398" s="10" t="s">
        <v>1671</v>
      </c>
      <c r="D1398" s="10">
        <v>5069</v>
      </c>
      <c r="E1398" s="10" t="s">
        <v>1719</v>
      </c>
      <c r="F1398" s="10">
        <v>0</v>
      </c>
      <c r="G1398" s="10" t="s">
        <v>343</v>
      </c>
      <c r="H1398" s="10">
        <v>0</v>
      </c>
      <c r="I1398" s="10" t="s">
        <v>343</v>
      </c>
      <c r="J1398" s="11">
        <v>8281</v>
      </c>
      <c r="K1398" s="11">
        <v>8592</v>
      </c>
      <c r="L1398" s="11">
        <v>16873</v>
      </c>
      <c r="M1398" s="11">
        <v>11842</v>
      </c>
    </row>
    <row r="1399" spans="1:13" x14ac:dyDescent="0.3">
      <c r="A1399" s="10">
        <v>6712</v>
      </c>
      <c r="B1399" s="10">
        <v>50</v>
      </c>
      <c r="C1399" s="10" t="s">
        <v>1671</v>
      </c>
      <c r="D1399" s="10">
        <v>5070</v>
      </c>
      <c r="E1399" s="10" t="s">
        <v>1720</v>
      </c>
      <c r="F1399" s="10">
        <v>0</v>
      </c>
      <c r="G1399" s="10" t="s">
        <v>343</v>
      </c>
      <c r="H1399" s="10">
        <v>0</v>
      </c>
      <c r="I1399" s="10" t="s">
        <v>343</v>
      </c>
      <c r="J1399" s="11">
        <v>3459</v>
      </c>
      <c r="K1399" s="11">
        <v>3911</v>
      </c>
      <c r="L1399" s="11">
        <v>7370</v>
      </c>
      <c r="M1399" s="11">
        <v>6486</v>
      </c>
    </row>
    <row r="1400" spans="1:13" x14ac:dyDescent="0.3">
      <c r="A1400" s="10">
        <v>6712</v>
      </c>
      <c r="B1400" s="10">
        <v>50</v>
      </c>
      <c r="C1400" s="10" t="s">
        <v>1671</v>
      </c>
      <c r="D1400" s="10">
        <v>5071</v>
      </c>
      <c r="E1400" s="10" t="s">
        <v>1721</v>
      </c>
      <c r="F1400" s="10">
        <v>0</v>
      </c>
      <c r="G1400" s="10" t="s">
        <v>343</v>
      </c>
      <c r="H1400" s="10">
        <v>0</v>
      </c>
      <c r="I1400" s="10" t="s">
        <v>343</v>
      </c>
      <c r="J1400" s="11">
        <v>2125</v>
      </c>
      <c r="K1400" s="11">
        <v>2374</v>
      </c>
      <c r="L1400" s="11">
        <v>4499</v>
      </c>
      <c r="M1400" s="11">
        <v>2331</v>
      </c>
    </row>
    <row r="1401" spans="1:13" x14ac:dyDescent="0.3">
      <c r="A1401" s="10">
        <v>6712</v>
      </c>
      <c r="B1401" s="10">
        <v>50</v>
      </c>
      <c r="C1401" s="10" t="s">
        <v>1671</v>
      </c>
      <c r="D1401" s="10">
        <v>5072</v>
      </c>
      <c r="E1401" s="10" t="s">
        <v>1722</v>
      </c>
      <c r="F1401" s="10">
        <v>0</v>
      </c>
      <c r="G1401" s="10" t="s">
        <v>343</v>
      </c>
      <c r="H1401" s="10">
        <v>0</v>
      </c>
      <c r="I1401" s="10" t="s">
        <v>343</v>
      </c>
      <c r="J1401" s="11">
        <v>7257</v>
      </c>
      <c r="K1401" s="11">
        <v>8055</v>
      </c>
      <c r="L1401" s="11">
        <v>15312</v>
      </c>
      <c r="M1401" s="11">
        <v>6763</v>
      </c>
    </row>
    <row r="1402" spans="1:13" x14ac:dyDescent="0.3">
      <c r="A1402" s="10">
        <v>6712</v>
      </c>
      <c r="B1402" s="10">
        <v>50</v>
      </c>
      <c r="C1402" s="10" t="s">
        <v>1671</v>
      </c>
      <c r="D1402" s="10">
        <v>5073</v>
      </c>
      <c r="E1402" s="10" t="s">
        <v>1723</v>
      </c>
      <c r="F1402" s="10">
        <v>0</v>
      </c>
      <c r="G1402" s="10" t="s">
        <v>343</v>
      </c>
      <c r="H1402" s="10">
        <v>0</v>
      </c>
      <c r="I1402" s="10" t="s">
        <v>343</v>
      </c>
      <c r="J1402" s="11">
        <v>5079</v>
      </c>
      <c r="K1402" s="11">
        <v>6100</v>
      </c>
      <c r="L1402" s="11">
        <v>11179</v>
      </c>
      <c r="M1402" s="11">
        <v>6319</v>
      </c>
    </row>
    <row r="1403" spans="1:13" x14ac:dyDescent="0.3">
      <c r="A1403" s="10">
        <v>6712</v>
      </c>
      <c r="B1403" s="10">
        <v>50</v>
      </c>
      <c r="C1403" s="10" t="s">
        <v>1671</v>
      </c>
      <c r="D1403" s="10">
        <v>5074</v>
      </c>
      <c r="E1403" s="10" t="s">
        <v>1724</v>
      </c>
      <c r="F1403" s="10">
        <v>0</v>
      </c>
      <c r="G1403" s="10" t="s">
        <v>343</v>
      </c>
      <c r="H1403" s="10">
        <v>0</v>
      </c>
      <c r="I1403" s="10" t="s">
        <v>343</v>
      </c>
      <c r="J1403" s="10">
        <v>546</v>
      </c>
      <c r="K1403" s="10">
        <v>507</v>
      </c>
      <c r="L1403" s="11">
        <v>1053</v>
      </c>
      <c r="M1403" s="10">
        <v>858</v>
      </c>
    </row>
    <row r="1404" spans="1:13" x14ac:dyDescent="0.3">
      <c r="A1404" s="10">
        <v>6712</v>
      </c>
      <c r="B1404" s="10">
        <v>50</v>
      </c>
      <c r="C1404" s="10" t="s">
        <v>1671</v>
      </c>
      <c r="D1404" s="10">
        <v>5075</v>
      </c>
      <c r="E1404" s="10" t="s">
        <v>1725</v>
      </c>
      <c r="F1404" s="10">
        <v>0</v>
      </c>
      <c r="G1404" s="10" t="s">
        <v>343</v>
      </c>
      <c r="H1404" s="10">
        <v>0</v>
      </c>
      <c r="I1404" s="10" t="s">
        <v>343</v>
      </c>
      <c r="J1404" s="11">
        <v>2003</v>
      </c>
      <c r="K1404" s="11">
        <v>2139</v>
      </c>
      <c r="L1404" s="11">
        <v>4142</v>
      </c>
      <c r="M1404" s="11">
        <v>1916</v>
      </c>
    </row>
    <row r="1405" spans="1:13" x14ac:dyDescent="0.3">
      <c r="A1405" s="10">
        <v>6712</v>
      </c>
      <c r="B1405" s="10">
        <v>50</v>
      </c>
      <c r="C1405" s="10" t="s">
        <v>1671</v>
      </c>
      <c r="D1405" s="10">
        <v>5076</v>
      </c>
      <c r="E1405" s="10" t="s">
        <v>815</v>
      </c>
      <c r="F1405" s="10">
        <v>0</v>
      </c>
      <c r="G1405" s="10" t="s">
        <v>343</v>
      </c>
      <c r="H1405" s="10">
        <v>0</v>
      </c>
      <c r="I1405" s="10" t="s">
        <v>343</v>
      </c>
      <c r="J1405" s="11">
        <v>2665</v>
      </c>
      <c r="K1405" s="11">
        <v>2894</v>
      </c>
      <c r="L1405" s="11">
        <v>5559</v>
      </c>
      <c r="M1405" s="11">
        <v>3679</v>
      </c>
    </row>
    <row r="1406" spans="1:13" x14ac:dyDescent="0.3">
      <c r="A1406" s="10">
        <v>6712</v>
      </c>
      <c r="B1406" s="10">
        <v>50</v>
      </c>
      <c r="C1406" s="10" t="s">
        <v>1671</v>
      </c>
      <c r="D1406" s="10">
        <v>5077</v>
      </c>
      <c r="E1406" s="10" t="s">
        <v>1726</v>
      </c>
      <c r="F1406" s="10">
        <v>0</v>
      </c>
      <c r="G1406" s="10" t="s">
        <v>343</v>
      </c>
      <c r="H1406" s="10">
        <v>0</v>
      </c>
      <c r="I1406" s="10" t="s">
        <v>343</v>
      </c>
      <c r="J1406" s="11">
        <v>2902</v>
      </c>
      <c r="K1406" s="11">
        <v>3539</v>
      </c>
      <c r="L1406" s="11">
        <v>6441</v>
      </c>
      <c r="M1406" s="11">
        <v>4099</v>
      </c>
    </row>
    <row r="1407" spans="1:13" x14ac:dyDescent="0.3">
      <c r="A1407" s="10">
        <v>6712</v>
      </c>
      <c r="B1407" s="10">
        <v>50</v>
      </c>
      <c r="C1407" s="10" t="s">
        <v>1671</v>
      </c>
      <c r="D1407" s="10">
        <v>5078</v>
      </c>
      <c r="E1407" s="10" t="s">
        <v>1727</v>
      </c>
      <c r="F1407" s="10">
        <v>0</v>
      </c>
      <c r="G1407" s="10" t="s">
        <v>343</v>
      </c>
      <c r="H1407" s="10">
        <v>0</v>
      </c>
      <c r="I1407" s="10" t="s">
        <v>343</v>
      </c>
      <c r="J1407" s="11">
        <v>3746</v>
      </c>
      <c r="K1407" s="11">
        <v>4396</v>
      </c>
      <c r="L1407" s="11">
        <v>8142</v>
      </c>
      <c r="M1407" s="11">
        <v>3698</v>
      </c>
    </row>
    <row r="1408" spans="1:13" x14ac:dyDescent="0.3">
      <c r="A1408" s="10">
        <v>6712</v>
      </c>
      <c r="B1408" s="10">
        <v>50</v>
      </c>
      <c r="C1408" s="10" t="s">
        <v>1671</v>
      </c>
      <c r="D1408" s="10">
        <v>5079</v>
      </c>
      <c r="E1408" s="10" t="s">
        <v>1728</v>
      </c>
      <c r="F1408" s="10">
        <v>0</v>
      </c>
      <c r="G1408" s="10" t="s">
        <v>343</v>
      </c>
      <c r="H1408" s="10">
        <v>0</v>
      </c>
      <c r="I1408" s="10" t="s">
        <v>343</v>
      </c>
      <c r="J1408" s="11">
        <v>13385</v>
      </c>
      <c r="K1408" s="11">
        <v>16149</v>
      </c>
      <c r="L1408" s="11">
        <v>29534</v>
      </c>
      <c r="M1408" s="11">
        <v>17318</v>
      </c>
    </row>
    <row r="1409" spans="1:13" x14ac:dyDescent="0.3">
      <c r="A1409" s="10">
        <v>6712</v>
      </c>
      <c r="B1409" s="10">
        <v>50</v>
      </c>
      <c r="C1409" s="10" t="s">
        <v>1671</v>
      </c>
      <c r="D1409" s="10">
        <v>5080</v>
      </c>
      <c r="E1409" s="10" t="s">
        <v>1729</v>
      </c>
      <c r="F1409" s="10">
        <v>0</v>
      </c>
      <c r="G1409" s="10" t="s">
        <v>343</v>
      </c>
      <c r="H1409" s="10">
        <v>0</v>
      </c>
      <c r="I1409" s="10" t="s">
        <v>343</v>
      </c>
      <c r="J1409" s="11">
        <v>10540</v>
      </c>
      <c r="K1409" s="11">
        <v>12648</v>
      </c>
      <c r="L1409" s="11">
        <v>23188</v>
      </c>
      <c r="M1409" s="11">
        <v>15532</v>
      </c>
    </row>
    <row r="1410" spans="1:13" x14ac:dyDescent="0.3">
      <c r="A1410" s="10">
        <v>6712</v>
      </c>
      <c r="B1410" s="10">
        <v>50</v>
      </c>
      <c r="C1410" s="10" t="s">
        <v>1671</v>
      </c>
      <c r="D1410" s="10">
        <v>5081</v>
      </c>
      <c r="E1410" s="10" t="s">
        <v>1730</v>
      </c>
      <c r="F1410" s="10">
        <v>0</v>
      </c>
      <c r="G1410" s="10" t="s">
        <v>343</v>
      </c>
      <c r="H1410" s="10">
        <v>0</v>
      </c>
      <c r="I1410" s="10" t="s">
        <v>343</v>
      </c>
      <c r="J1410" s="11">
        <v>8044</v>
      </c>
      <c r="K1410" s="11">
        <v>9406</v>
      </c>
      <c r="L1410" s="11">
        <v>17450</v>
      </c>
      <c r="M1410" s="11">
        <v>9638</v>
      </c>
    </row>
    <row r="1411" spans="1:13" x14ac:dyDescent="0.3">
      <c r="A1411" s="10">
        <v>6712</v>
      </c>
      <c r="B1411" s="10">
        <v>50</v>
      </c>
      <c r="C1411" s="10" t="s">
        <v>1671</v>
      </c>
      <c r="D1411" s="10">
        <v>5082</v>
      </c>
      <c r="E1411" s="10" t="s">
        <v>1731</v>
      </c>
      <c r="F1411" s="10">
        <v>0</v>
      </c>
      <c r="G1411" s="10" t="s">
        <v>343</v>
      </c>
      <c r="H1411" s="10">
        <v>0</v>
      </c>
      <c r="I1411" s="10" t="s">
        <v>343</v>
      </c>
      <c r="J1411" s="11">
        <v>9345</v>
      </c>
      <c r="K1411" s="11">
        <v>11337</v>
      </c>
      <c r="L1411" s="11">
        <v>20682</v>
      </c>
      <c r="M1411" s="11">
        <v>14372</v>
      </c>
    </row>
    <row r="1412" spans="1:13" x14ac:dyDescent="0.3">
      <c r="A1412" s="10">
        <v>6712</v>
      </c>
      <c r="B1412" s="10">
        <v>50</v>
      </c>
      <c r="C1412" s="10" t="s">
        <v>1671</v>
      </c>
      <c r="D1412" s="10">
        <v>5083</v>
      </c>
      <c r="E1412" s="10" t="s">
        <v>1732</v>
      </c>
      <c r="F1412" s="10">
        <v>0</v>
      </c>
      <c r="G1412" s="10" t="s">
        <v>343</v>
      </c>
      <c r="H1412" s="10">
        <v>0</v>
      </c>
      <c r="I1412" s="10" t="s">
        <v>343</v>
      </c>
      <c r="J1412" s="11">
        <v>1926</v>
      </c>
      <c r="K1412" s="11">
        <v>2305</v>
      </c>
      <c r="L1412" s="11">
        <v>4231</v>
      </c>
      <c r="M1412" s="11">
        <v>2849</v>
      </c>
    </row>
    <row r="1413" spans="1:13" x14ac:dyDescent="0.3">
      <c r="A1413" s="10">
        <v>6712</v>
      </c>
      <c r="B1413" s="10">
        <v>50</v>
      </c>
      <c r="C1413" s="10" t="s">
        <v>1671</v>
      </c>
      <c r="D1413" s="10">
        <v>5084</v>
      </c>
      <c r="E1413" s="10" t="s">
        <v>450</v>
      </c>
      <c r="F1413" s="10">
        <v>0</v>
      </c>
      <c r="G1413" s="10" t="s">
        <v>343</v>
      </c>
      <c r="H1413" s="10">
        <v>0</v>
      </c>
      <c r="I1413" s="10" t="s">
        <v>343</v>
      </c>
      <c r="J1413" s="11">
        <v>4788</v>
      </c>
      <c r="K1413" s="11">
        <v>5461</v>
      </c>
      <c r="L1413" s="11">
        <v>10249</v>
      </c>
      <c r="M1413" s="11">
        <v>5652</v>
      </c>
    </row>
    <row r="1414" spans="1:13" x14ac:dyDescent="0.3">
      <c r="A1414" s="10">
        <v>6712</v>
      </c>
      <c r="B1414" s="10">
        <v>50</v>
      </c>
      <c r="C1414" s="10" t="s">
        <v>1671</v>
      </c>
      <c r="D1414" s="10">
        <v>5085</v>
      </c>
      <c r="E1414" s="10" t="s">
        <v>1733</v>
      </c>
      <c r="F1414" s="10">
        <v>0</v>
      </c>
      <c r="G1414" s="10" t="s">
        <v>343</v>
      </c>
      <c r="H1414" s="10">
        <v>0</v>
      </c>
      <c r="I1414" s="10" t="s">
        <v>343</v>
      </c>
      <c r="J1414" s="11">
        <v>2035</v>
      </c>
      <c r="K1414" s="11">
        <v>2415</v>
      </c>
      <c r="L1414" s="11">
        <v>4450</v>
      </c>
      <c r="M1414" s="11">
        <v>2908</v>
      </c>
    </row>
    <row r="1415" spans="1:13" x14ac:dyDescent="0.3">
      <c r="A1415" s="10">
        <v>6712</v>
      </c>
      <c r="B1415" s="10">
        <v>50</v>
      </c>
      <c r="C1415" s="10" t="s">
        <v>1671</v>
      </c>
      <c r="D1415" s="10">
        <v>5086</v>
      </c>
      <c r="E1415" s="10" t="s">
        <v>1734</v>
      </c>
      <c r="F1415" s="10">
        <v>0</v>
      </c>
      <c r="G1415" s="10" t="s">
        <v>343</v>
      </c>
      <c r="H1415" s="10">
        <v>0</v>
      </c>
      <c r="I1415" s="10" t="s">
        <v>343</v>
      </c>
      <c r="J1415" s="11">
        <v>4953</v>
      </c>
      <c r="K1415" s="11">
        <v>5420</v>
      </c>
      <c r="L1415" s="11">
        <v>10373</v>
      </c>
      <c r="M1415" s="11">
        <v>4579</v>
      </c>
    </row>
    <row r="1416" spans="1:13" x14ac:dyDescent="0.3">
      <c r="A1416" s="10">
        <v>6712</v>
      </c>
      <c r="B1416" s="10">
        <v>50</v>
      </c>
      <c r="C1416" s="10" t="s">
        <v>1671</v>
      </c>
      <c r="D1416" s="10">
        <v>5087</v>
      </c>
      <c r="E1416" s="10" t="s">
        <v>1735</v>
      </c>
      <c r="F1416" s="10">
        <v>0</v>
      </c>
      <c r="G1416" s="10" t="s">
        <v>343</v>
      </c>
      <c r="H1416" s="10">
        <v>0</v>
      </c>
      <c r="I1416" s="10" t="s">
        <v>343</v>
      </c>
      <c r="J1416" s="11">
        <v>3945</v>
      </c>
      <c r="K1416" s="11">
        <v>4271</v>
      </c>
      <c r="L1416" s="11">
        <v>8216</v>
      </c>
      <c r="M1416" s="11">
        <v>4065</v>
      </c>
    </row>
    <row r="1417" spans="1:13" x14ac:dyDescent="0.3">
      <c r="A1417" s="10">
        <v>6712</v>
      </c>
      <c r="B1417" s="10">
        <v>50</v>
      </c>
      <c r="C1417" s="10" t="s">
        <v>1671</v>
      </c>
      <c r="D1417" s="10">
        <v>5088</v>
      </c>
      <c r="E1417" s="10" t="s">
        <v>1736</v>
      </c>
      <c r="F1417" s="10">
        <v>0</v>
      </c>
      <c r="G1417" s="10" t="s">
        <v>343</v>
      </c>
      <c r="H1417" s="10">
        <v>0</v>
      </c>
      <c r="I1417" s="10" t="s">
        <v>343</v>
      </c>
      <c r="J1417" s="10">
        <v>891</v>
      </c>
      <c r="K1417" s="10">
        <v>938</v>
      </c>
      <c r="L1417" s="11">
        <v>1829</v>
      </c>
      <c r="M1417" s="10">
        <v>874</v>
      </c>
    </row>
    <row r="1418" spans="1:13" x14ac:dyDescent="0.3">
      <c r="A1418" s="10">
        <v>6712</v>
      </c>
      <c r="B1418" s="10">
        <v>50</v>
      </c>
      <c r="C1418" s="10" t="s">
        <v>1671</v>
      </c>
      <c r="D1418" s="10">
        <v>5089</v>
      </c>
      <c r="E1418" s="10" t="s">
        <v>1737</v>
      </c>
      <c r="F1418" s="10">
        <v>0</v>
      </c>
      <c r="G1418" s="10" t="s">
        <v>343</v>
      </c>
      <c r="H1418" s="10">
        <v>0</v>
      </c>
      <c r="I1418" s="10" t="s">
        <v>343</v>
      </c>
      <c r="J1418" s="11">
        <v>2612</v>
      </c>
      <c r="K1418" s="11">
        <v>2654</v>
      </c>
      <c r="L1418" s="11">
        <v>5266</v>
      </c>
      <c r="M1418" s="11">
        <v>2807</v>
      </c>
    </row>
    <row r="1419" spans="1:13" x14ac:dyDescent="0.3">
      <c r="A1419" s="10">
        <v>6712</v>
      </c>
      <c r="B1419" s="10">
        <v>50</v>
      </c>
      <c r="C1419" s="10" t="s">
        <v>1671</v>
      </c>
      <c r="D1419" s="10">
        <v>5090</v>
      </c>
      <c r="E1419" s="10" t="s">
        <v>1738</v>
      </c>
      <c r="F1419" s="10">
        <v>0</v>
      </c>
      <c r="G1419" s="10" t="s">
        <v>343</v>
      </c>
      <c r="H1419" s="10">
        <v>0</v>
      </c>
      <c r="I1419" s="10" t="s">
        <v>343</v>
      </c>
      <c r="J1419" s="11">
        <v>4238</v>
      </c>
      <c r="K1419" s="11">
        <v>4887</v>
      </c>
      <c r="L1419" s="11">
        <v>9125</v>
      </c>
      <c r="M1419" s="11">
        <v>6000</v>
      </c>
    </row>
    <row r="1420" spans="1:13" x14ac:dyDescent="0.3">
      <c r="A1420" s="10">
        <v>6712</v>
      </c>
      <c r="B1420" s="10">
        <v>50</v>
      </c>
      <c r="C1420" s="10" t="s">
        <v>1671</v>
      </c>
      <c r="D1420" s="10">
        <v>5091</v>
      </c>
      <c r="E1420" s="10" t="s">
        <v>1739</v>
      </c>
      <c r="F1420" s="10">
        <v>0</v>
      </c>
      <c r="G1420" s="10" t="s">
        <v>343</v>
      </c>
      <c r="H1420" s="10">
        <v>0</v>
      </c>
      <c r="I1420" s="10" t="s">
        <v>343</v>
      </c>
      <c r="J1420" s="11">
        <v>3814</v>
      </c>
      <c r="K1420" s="11">
        <v>4348</v>
      </c>
      <c r="L1420" s="11">
        <v>8162</v>
      </c>
      <c r="M1420" s="11">
        <v>5282</v>
      </c>
    </row>
    <row r="1421" spans="1:13" x14ac:dyDescent="0.3">
      <c r="A1421" s="10">
        <v>6712</v>
      </c>
      <c r="B1421" s="10">
        <v>50</v>
      </c>
      <c r="C1421" s="10" t="s">
        <v>1671</v>
      </c>
      <c r="D1421" s="10">
        <v>5092</v>
      </c>
      <c r="E1421" s="10" t="s">
        <v>1740</v>
      </c>
      <c r="F1421" s="10">
        <v>0</v>
      </c>
      <c r="G1421" s="10" t="s">
        <v>343</v>
      </c>
      <c r="H1421" s="10">
        <v>0</v>
      </c>
      <c r="I1421" s="10" t="s">
        <v>343</v>
      </c>
      <c r="J1421" s="11">
        <v>5648</v>
      </c>
      <c r="K1421" s="11">
        <v>6256</v>
      </c>
      <c r="L1421" s="11">
        <v>11904</v>
      </c>
      <c r="M1421" s="11">
        <v>5904</v>
      </c>
    </row>
    <row r="1422" spans="1:13" x14ac:dyDescent="0.3">
      <c r="A1422" s="10">
        <v>6712</v>
      </c>
      <c r="B1422" s="10">
        <v>50</v>
      </c>
      <c r="C1422" s="10" t="s">
        <v>1671</v>
      </c>
      <c r="D1422" s="10">
        <v>5093</v>
      </c>
      <c r="E1422" s="10" t="s">
        <v>1741</v>
      </c>
      <c r="F1422" s="10">
        <v>0</v>
      </c>
      <c r="G1422" s="10" t="s">
        <v>343</v>
      </c>
      <c r="H1422" s="10">
        <v>0</v>
      </c>
      <c r="I1422" s="10" t="s">
        <v>343</v>
      </c>
      <c r="J1422" s="11">
        <v>1836</v>
      </c>
      <c r="K1422" s="11">
        <v>2131</v>
      </c>
      <c r="L1422" s="11">
        <v>3967</v>
      </c>
      <c r="M1422" s="11">
        <v>2212</v>
      </c>
    </row>
    <row r="1423" spans="1:13" x14ac:dyDescent="0.3">
      <c r="A1423" s="10">
        <v>6712</v>
      </c>
      <c r="B1423" s="10">
        <v>50</v>
      </c>
      <c r="C1423" s="10" t="s">
        <v>1671</v>
      </c>
      <c r="D1423" s="10">
        <v>5094</v>
      </c>
      <c r="E1423" s="10" t="s">
        <v>1742</v>
      </c>
      <c r="F1423" s="10">
        <v>0</v>
      </c>
      <c r="G1423" s="10" t="s">
        <v>343</v>
      </c>
      <c r="H1423" s="10">
        <v>0</v>
      </c>
      <c r="I1423" s="10" t="s">
        <v>343</v>
      </c>
      <c r="J1423" s="11">
        <v>1725</v>
      </c>
      <c r="K1423" s="11">
        <v>1983</v>
      </c>
      <c r="L1423" s="11">
        <v>3708</v>
      </c>
      <c r="M1423" s="11">
        <v>2068</v>
      </c>
    </row>
    <row r="1424" spans="1:13" x14ac:dyDescent="0.3">
      <c r="A1424" s="10">
        <v>6712</v>
      </c>
      <c r="B1424" s="10">
        <v>50</v>
      </c>
      <c r="C1424" s="10" t="s">
        <v>1671</v>
      </c>
      <c r="D1424" s="10">
        <v>5095</v>
      </c>
      <c r="E1424" s="10" t="s">
        <v>1743</v>
      </c>
      <c r="F1424" s="10">
        <v>0</v>
      </c>
      <c r="G1424" s="10" t="s">
        <v>343</v>
      </c>
      <c r="H1424" s="10">
        <v>0</v>
      </c>
      <c r="I1424" s="10" t="s">
        <v>343</v>
      </c>
      <c r="J1424" s="11">
        <v>1717</v>
      </c>
      <c r="K1424" s="11">
        <v>1970</v>
      </c>
      <c r="L1424" s="11">
        <v>3687</v>
      </c>
      <c r="M1424" s="11">
        <v>2421</v>
      </c>
    </row>
    <row r="1425" spans="1:13" x14ac:dyDescent="0.3">
      <c r="A1425" s="10">
        <v>6712</v>
      </c>
      <c r="B1425" s="10">
        <v>50</v>
      </c>
      <c r="C1425" s="10" t="s">
        <v>1671</v>
      </c>
      <c r="D1425" s="10">
        <v>5096</v>
      </c>
      <c r="E1425" s="10" t="s">
        <v>1744</v>
      </c>
      <c r="F1425" s="10">
        <v>0</v>
      </c>
      <c r="G1425" s="10" t="s">
        <v>343</v>
      </c>
      <c r="H1425" s="10">
        <v>0</v>
      </c>
      <c r="I1425" s="10" t="s">
        <v>343</v>
      </c>
      <c r="J1425" s="11">
        <v>1233</v>
      </c>
      <c r="K1425" s="11">
        <v>1293</v>
      </c>
      <c r="L1425" s="11">
        <v>2526</v>
      </c>
      <c r="M1425" s="11">
        <v>1697</v>
      </c>
    </row>
    <row r="1426" spans="1:13" x14ac:dyDescent="0.3">
      <c r="A1426" s="10">
        <v>6712</v>
      </c>
      <c r="B1426" s="10">
        <v>50</v>
      </c>
      <c r="C1426" s="10" t="s">
        <v>1671</v>
      </c>
      <c r="D1426" s="10">
        <v>5097</v>
      </c>
      <c r="E1426" s="10" t="s">
        <v>1269</v>
      </c>
      <c r="F1426" s="10">
        <v>0</v>
      </c>
      <c r="G1426" s="10" t="s">
        <v>343</v>
      </c>
      <c r="H1426" s="10">
        <v>0</v>
      </c>
      <c r="I1426" s="10" t="s">
        <v>343</v>
      </c>
      <c r="J1426" s="11">
        <v>4083</v>
      </c>
      <c r="K1426" s="11">
        <v>4818</v>
      </c>
      <c r="L1426" s="11">
        <v>8901</v>
      </c>
      <c r="M1426" s="11">
        <v>4662</v>
      </c>
    </row>
    <row r="1427" spans="1:13" x14ac:dyDescent="0.3">
      <c r="A1427" s="10">
        <v>6712</v>
      </c>
      <c r="B1427" s="10">
        <v>50</v>
      </c>
      <c r="C1427" s="10" t="s">
        <v>1671</v>
      </c>
      <c r="D1427" s="10">
        <v>5098</v>
      </c>
      <c r="E1427" s="10" t="s">
        <v>1745</v>
      </c>
      <c r="F1427" s="10">
        <v>0</v>
      </c>
      <c r="G1427" s="10" t="s">
        <v>343</v>
      </c>
      <c r="H1427" s="10">
        <v>0</v>
      </c>
      <c r="I1427" s="10" t="s">
        <v>343</v>
      </c>
      <c r="J1427" s="11">
        <v>4097</v>
      </c>
      <c r="K1427" s="11">
        <v>4638</v>
      </c>
      <c r="L1427" s="11">
        <v>8735</v>
      </c>
      <c r="M1427" s="11">
        <v>9515</v>
      </c>
    </row>
    <row r="1428" spans="1:13" x14ac:dyDescent="0.3">
      <c r="A1428" s="10">
        <v>6712</v>
      </c>
      <c r="B1428" s="10">
        <v>50</v>
      </c>
      <c r="C1428" s="10" t="s">
        <v>1671</v>
      </c>
      <c r="D1428" s="10">
        <v>5099</v>
      </c>
      <c r="E1428" s="10" t="s">
        <v>1746</v>
      </c>
      <c r="F1428" s="10">
        <v>0</v>
      </c>
      <c r="G1428" s="10" t="s">
        <v>343</v>
      </c>
      <c r="H1428" s="10">
        <v>0</v>
      </c>
      <c r="I1428" s="10" t="s">
        <v>343</v>
      </c>
      <c r="J1428" s="11">
        <v>53290</v>
      </c>
      <c r="K1428" s="11">
        <v>60239</v>
      </c>
      <c r="L1428" s="11">
        <v>113529</v>
      </c>
      <c r="M1428" s="11">
        <v>93443</v>
      </c>
    </row>
    <row r="1429" spans="1:13" x14ac:dyDescent="0.3">
      <c r="A1429" s="10">
        <v>6712</v>
      </c>
      <c r="B1429" s="10">
        <v>51</v>
      </c>
      <c r="C1429" s="10" t="s">
        <v>1747</v>
      </c>
      <c r="D1429" s="10">
        <v>0</v>
      </c>
      <c r="E1429" s="10" t="s">
        <v>343</v>
      </c>
      <c r="F1429" s="10">
        <v>0</v>
      </c>
      <c r="G1429" s="10" t="s">
        <v>343</v>
      </c>
      <c r="H1429" s="10">
        <v>0</v>
      </c>
      <c r="I1429" s="10" t="s">
        <v>343</v>
      </c>
      <c r="J1429" s="11">
        <v>189647</v>
      </c>
      <c r="K1429" s="11">
        <v>207106</v>
      </c>
      <c r="L1429" s="11">
        <v>396753</v>
      </c>
      <c r="M1429" s="11">
        <v>193492</v>
      </c>
    </row>
    <row r="1430" spans="1:13" x14ac:dyDescent="0.3">
      <c r="A1430" s="10">
        <v>6712</v>
      </c>
      <c r="B1430" s="10">
        <v>51</v>
      </c>
      <c r="C1430" s="10" t="s">
        <v>1747</v>
      </c>
      <c r="D1430" s="10">
        <v>5101</v>
      </c>
      <c r="E1430" s="10" t="s">
        <v>1748</v>
      </c>
      <c r="F1430" s="10">
        <v>0</v>
      </c>
      <c r="G1430" s="10" t="s">
        <v>343</v>
      </c>
      <c r="H1430" s="10">
        <v>0</v>
      </c>
      <c r="I1430" s="10" t="s">
        <v>343</v>
      </c>
      <c r="J1430" s="11">
        <v>28343</v>
      </c>
      <c r="K1430" s="11">
        <v>31894</v>
      </c>
      <c r="L1430" s="11">
        <v>60237</v>
      </c>
      <c r="M1430" s="11">
        <v>30277</v>
      </c>
    </row>
    <row r="1431" spans="1:13" x14ac:dyDescent="0.3">
      <c r="A1431" s="10">
        <v>6712</v>
      </c>
      <c r="B1431" s="10">
        <v>51</v>
      </c>
      <c r="C1431" s="10" t="s">
        <v>1747</v>
      </c>
      <c r="D1431" s="10">
        <v>5102</v>
      </c>
      <c r="E1431" s="10" t="s">
        <v>1749</v>
      </c>
      <c r="F1431" s="10">
        <v>0</v>
      </c>
      <c r="G1431" s="10" t="s">
        <v>343</v>
      </c>
      <c r="H1431" s="10">
        <v>0</v>
      </c>
      <c r="I1431" s="10" t="s">
        <v>343</v>
      </c>
      <c r="J1431" s="11">
        <v>11892</v>
      </c>
      <c r="K1431" s="11">
        <v>12374</v>
      </c>
      <c r="L1431" s="11">
        <v>24266</v>
      </c>
      <c r="M1431" s="11">
        <v>11016</v>
      </c>
    </row>
    <row r="1432" spans="1:13" x14ac:dyDescent="0.3">
      <c r="A1432" s="10">
        <v>6712</v>
      </c>
      <c r="B1432" s="10">
        <v>51</v>
      </c>
      <c r="C1432" s="10" t="s">
        <v>1747</v>
      </c>
      <c r="D1432" s="10">
        <v>5103</v>
      </c>
      <c r="E1432" s="10" t="s">
        <v>1750</v>
      </c>
      <c r="F1432" s="10">
        <v>0</v>
      </c>
      <c r="G1432" s="10" t="s">
        <v>343</v>
      </c>
      <c r="H1432" s="10">
        <v>0</v>
      </c>
      <c r="I1432" s="10" t="s">
        <v>343</v>
      </c>
      <c r="J1432" s="11">
        <v>12199</v>
      </c>
      <c r="K1432" s="11">
        <v>12882</v>
      </c>
      <c r="L1432" s="11">
        <v>25081</v>
      </c>
      <c r="M1432" s="11">
        <v>10660</v>
      </c>
    </row>
    <row r="1433" spans="1:13" x14ac:dyDescent="0.3">
      <c r="A1433" s="10">
        <v>6712</v>
      </c>
      <c r="B1433" s="10">
        <v>51</v>
      </c>
      <c r="C1433" s="10" t="s">
        <v>1747</v>
      </c>
      <c r="D1433" s="10">
        <v>5104</v>
      </c>
      <c r="E1433" s="10" t="s">
        <v>1751</v>
      </c>
      <c r="F1433" s="10">
        <v>0</v>
      </c>
      <c r="G1433" s="10" t="s">
        <v>343</v>
      </c>
      <c r="H1433" s="10">
        <v>0</v>
      </c>
      <c r="I1433" s="10" t="s">
        <v>343</v>
      </c>
      <c r="J1433" s="11">
        <v>30251</v>
      </c>
      <c r="K1433" s="11">
        <v>30099</v>
      </c>
      <c r="L1433" s="11">
        <v>60350</v>
      </c>
      <c r="M1433" s="11">
        <v>22195</v>
      </c>
    </row>
    <row r="1434" spans="1:13" x14ac:dyDescent="0.3">
      <c r="A1434" s="10">
        <v>6712</v>
      </c>
      <c r="B1434" s="10">
        <v>51</v>
      </c>
      <c r="C1434" s="10" t="s">
        <v>1747</v>
      </c>
      <c r="D1434" s="10">
        <v>5105</v>
      </c>
      <c r="E1434" s="10" t="s">
        <v>1752</v>
      </c>
      <c r="F1434" s="10">
        <v>0</v>
      </c>
      <c r="G1434" s="10" t="s">
        <v>343</v>
      </c>
      <c r="H1434" s="10">
        <v>0</v>
      </c>
      <c r="I1434" s="10" t="s">
        <v>343</v>
      </c>
      <c r="J1434" s="11">
        <v>8706</v>
      </c>
      <c r="K1434" s="11">
        <v>8728</v>
      </c>
      <c r="L1434" s="11">
        <v>17434</v>
      </c>
      <c r="M1434" s="11">
        <v>6684</v>
      </c>
    </row>
    <row r="1435" spans="1:13" x14ac:dyDescent="0.3">
      <c r="A1435" s="10">
        <v>6712</v>
      </c>
      <c r="B1435" s="10">
        <v>51</v>
      </c>
      <c r="C1435" s="10" t="s">
        <v>1747</v>
      </c>
      <c r="D1435" s="10">
        <v>5106</v>
      </c>
      <c r="E1435" s="10" t="s">
        <v>1753</v>
      </c>
      <c r="F1435" s="10">
        <v>0</v>
      </c>
      <c r="G1435" s="10" t="s">
        <v>343</v>
      </c>
      <c r="H1435" s="10">
        <v>0</v>
      </c>
      <c r="I1435" s="10" t="s">
        <v>343</v>
      </c>
      <c r="J1435" s="11">
        <v>13391</v>
      </c>
      <c r="K1435" s="11">
        <v>14354</v>
      </c>
      <c r="L1435" s="11">
        <v>27745</v>
      </c>
      <c r="M1435" s="11">
        <v>13244</v>
      </c>
    </row>
    <row r="1436" spans="1:13" x14ac:dyDescent="0.3">
      <c r="A1436" s="10">
        <v>6712</v>
      </c>
      <c r="B1436" s="10">
        <v>51</v>
      </c>
      <c r="C1436" s="10" t="s">
        <v>1747</v>
      </c>
      <c r="D1436" s="10">
        <v>5107</v>
      </c>
      <c r="E1436" s="10" t="s">
        <v>1754</v>
      </c>
      <c r="F1436" s="10">
        <v>0</v>
      </c>
      <c r="G1436" s="10" t="s">
        <v>343</v>
      </c>
      <c r="H1436" s="10">
        <v>0</v>
      </c>
      <c r="I1436" s="10" t="s">
        <v>343</v>
      </c>
      <c r="J1436" s="11">
        <v>3768</v>
      </c>
      <c r="K1436" s="11">
        <v>4173</v>
      </c>
      <c r="L1436" s="11">
        <v>7941</v>
      </c>
      <c r="M1436" s="11">
        <v>3525</v>
      </c>
    </row>
    <row r="1437" spans="1:13" x14ac:dyDescent="0.3">
      <c r="A1437" s="10">
        <v>6712</v>
      </c>
      <c r="B1437" s="10">
        <v>51</v>
      </c>
      <c r="C1437" s="10" t="s">
        <v>1747</v>
      </c>
      <c r="D1437" s="10">
        <v>5176</v>
      </c>
      <c r="E1437" s="10" t="s">
        <v>1755</v>
      </c>
      <c r="F1437" s="10">
        <v>0</v>
      </c>
      <c r="G1437" s="10" t="s">
        <v>343</v>
      </c>
      <c r="H1437" s="10">
        <v>0</v>
      </c>
      <c r="I1437" s="10" t="s">
        <v>343</v>
      </c>
      <c r="J1437" s="11">
        <v>2512</v>
      </c>
      <c r="K1437" s="11">
        <v>2741</v>
      </c>
      <c r="L1437" s="11">
        <v>5253</v>
      </c>
      <c r="M1437" s="11">
        <v>2311</v>
      </c>
    </row>
    <row r="1438" spans="1:13" x14ac:dyDescent="0.3">
      <c r="A1438" s="10">
        <v>6712</v>
      </c>
      <c r="B1438" s="10">
        <v>51</v>
      </c>
      <c r="C1438" s="10" t="s">
        <v>1747</v>
      </c>
      <c r="D1438" s="10">
        <v>5177</v>
      </c>
      <c r="E1438" s="10" t="s">
        <v>1756</v>
      </c>
      <c r="F1438" s="10">
        <v>0</v>
      </c>
      <c r="G1438" s="10" t="s">
        <v>343</v>
      </c>
      <c r="H1438" s="10">
        <v>0</v>
      </c>
      <c r="I1438" s="10" t="s">
        <v>343</v>
      </c>
      <c r="J1438" s="11">
        <v>2380</v>
      </c>
      <c r="K1438" s="11">
        <v>2502</v>
      </c>
      <c r="L1438" s="11">
        <v>4882</v>
      </c>
      <c r="M1438" s="11">
        <v>2374</v>
      </c>
    </row>
    <row r="1439" spans="1:13" x14ac:dyDescent="0.3">
      <c r="A1439" s="10">
        <v>6712</v>
      </c>
      <c r="B1439" s="10">
        <v>51</v>
      </c>
      <c r="C1439" s="10" t="s">
        <v>1747</v>
      </c>
      <c r="D1439" s="10">
        <v>5178</v>
      </c>
      <c r="E1439" s="10" t="s">
        <v>1757</v>
      </c>
      <c r="F1439" s="10">
        <v>0</v>
      </c>
      <c r="G1439" s="10" t="s">
        <v>343</v>
      </c>
      <c r="H1439" s="10">
        <v>0</v>
      </c>
      <c r="I1439" s="10" t="s">
        <v>343</v>
      </c>
      <c r="J1439" s="11">
        <v>2576</v>
      </c>
      <c r="K1439" s="11">
        <v>2792</v>
      </c>
      <c r="L1439" s="11">
        <v>5368</v>
      </c>
      <c r="M1439" s="11">
        <v>2622</v>
      </c>
    </row>
    <row r="1440" spans="1:13" x14ac:dyDescent="0.3">
      <c r="A1440" s="10">
        <v>6712</v>
      </c>
      <c r="B1440" s="10">
        <v>51</v>
      </c>
      <c r="C1440" s="10" t="s">
        <v>1747</v>
      </c>
      <c r="D1440" s="10">
        <v>5179</v>
      </c>
      <c r="E1440" s="10" t="s">
        <v>1758</v>
      </c>
      <c r="F1440" s="10">
        <v>0</v>
      </c>
      <c r="G1440" s="10" t="s">
        <v>343</v>
      </c>
      <c r="H1440" s="10">
        <v>0</v>
      </c>
      <c r="I1440" s="10" t="s">
        <v>343</v>
      </c>
      <c r="J1440" s="11">
        <v>1671</v>
      </c>
      <c r="K1440" s="11">
        <v>1831</v>
      </c>
      <c r="L1440" s="11">
        <v>3502</v>
      </c>
      <c r="M1440" s="11">
        <v>1832</v>
      </c>
    </row>
    <row r="1441" spans="1:13" x14ac:dyDescent="0.3">
      <c r="A1441" s="10">
        <v>6712</v>
      </c>
      <c r="B1441" s="10">
        <v>51</v>
      </c>
      <c r="C1441" s="10" t="s">
        <v>1747</v>
      </c>
      <c r="D1441" s="10">
        <v>5180</v>
      </c>
      <c r="E1441" s="10" t="s">
        <v>1759</v>
      </c>
      <c r="F1441" s="10">
        <v>0</v>
      </c>
      <c r="G1441" s="10" t="s">
        <v>343</v>
      </c>
      <c r="H1441" s="10">
        <v>0</v>
      </c>
      <c r="I1441" s="10" t="s">
        <v>343</v>
      </c>
      <c r="J1441" s="11">
        <v>2348</v>
      </c>
      <c r="K1441" s="11">
        <v>2682</v>
      </c>
      <c r="L1441" s="11">
        <v>5030</v>
      </c>
      <c r="M1441" s="11">
        <v>2449</v>
      </c>
    </row>
    <row r="1442" spans="1:13" x14ac:dyDescent="0.3">
      <c r="A1442" s="10">
        <v>6712</v>
      </c>
      <c r="B1442" s="10">
        <v>51</v>
      </c>
      <c r="C1442" s="10" t="s">
        <v>1747</v>
      </c>
      <c r="D1442" s="10">
        <v>5181</v>
      </c>
      <c r="E1442" s="10" t="s">
        <v>1760</v>
      </c>
      <c r="F1442" s="10">
        <v>0</v>
      </c>
      <c r="G1442" s="10" t="s">
        <v>343</v>
      </c>
      <c r="H1442" s="10">
        <v>0</v>
      </c>
      <c r="I1442" s="10" t="s">
        <v>343</v>
      </c>
      <c r="J1442" s="11">
        <v>7849</v>
      </c>
      <c r="K1442" s="11">
        <v>8654</v>
      </c>
      <c r="L1442" s="11">
        <v>16503</v>
      </c>
      <c r="M1442" s="11">
        <v>9548</v>
      </c>
    </row>
    <row r="1443" spans="1:13" x14ac:dyDescent="0.3">
      <c r="A1443" s="10">
        <v>6712</v>
      </c>
      <c r="B1443" s="10">
        <v>51</v>
      </c>
      <c r="C1443" s="10" t="s">
        <v>1747</v>
      </c>
      <c r="D1443" s="10">
        <v>5182</v>
      </c>
      <c r="E1443" s="10" t="s">
        <v>1761</v>
      </c>
      <c r="F1443" s="10">
        <v>0</v>
      </c>
      <c r="G1443" s="10" t="s">
        <v>343</v>
      </c>
      <c r="H1443" s="10">
        <v>0</v>
      </c>
      <c r="I1443" s="10" t="s">
        <v>343</v>
      </c>
      <c r="J1443" s="11">
        <v>3413</v>
      </c>
      <c r="K1443" s="11">
        <v>4008</v>
      </c>
      <c r="L1443" s="11">
        <v>7421</v>
      </c>
      <c r="M1443" s="11">
        <v>4146</v>
      </c>
    </row>
    <row r="1444" spans="1:13" x14ac:dyDescent="0.3">
      <c r="A1444" s="10">
        <v>6712</v>
      </c>
      <c r="B1444" s="10">
        <v>51</v>
      </c>
      <c r="C1444" s="10" t="s">
        <v>1747</v>
      </c>
      <c r="D1444" s="10">
        <v>5183</v>
      </c>
      <c r="E1444" s="10" t="s">
        <v>450</v>
      </c>
      <c r="F1444" s="10">
        <v>0</v>
      </c>
      <c r="G1444" s="10" t="s">
        <v>343</v>
      </c>
      <c r="H1444" s="10">
        <v>0</v>
      </c>
      <c r="I1444" s="10" t="s">
        <v>343</v>
      </c>
      <c r="J1444" s="11">
        <v>5506</v>
      </c>
      <c r="K1444" s="11">
        <v>6478</v>
      </c>
      <c r="L1444" s="11">
        <v>11984</v>
      </c>
      <c r="M1444" s="11">
        <v>11743</v>
      </c>
    </row>
    <row r="1445" spans="1:13" x14ac:dyDescent="0.3">
      <c r="A1445" s="10">
        <v>6712</v>
      </c>
      <c r="B1445" s="10">
        <v>51</v>
      </c>
      <c r="C1445" s="10" t="s">
        <v>1747</v>
      </c>
      <c r="D1445" s="10">
        <v>5184</v>
      </c>
      <c r="E1445" s="10" t="s">
        <v>1762</v>
      </c>
      <c r="F1445" s="10">
        <v>0</v>
      </c>
      <c r="G1445" s="10" t="s">
        <v>343</v>
      </c>
      <c r="H1445" s="10">
        <v>0</v>
      </c>
      <c r="I1445" s="10" t="s">
        <v>343</v>
      </c>
      <c r="J1445" s="11">
        <v>7364</v>
      </c>
      <c r="K1445" s="11">
        <v>8932</v>
      </c>
      <c r="L1445" s="11">
        <v>16296</v>
      </c>
      <c r="M1445" s="11">
        <v>8903</v>
      </c>
    </row>
    <row r="1446" spans="1:13" x14ac:dyDescent="0.3">
      <c r="A1446" s="10">
        <v>6712</v>
      </c>
      <c r="B1446" s="10">
        <v>51</v>
      </c>
      <c r="C1446" s="10" t="s">
        <v>1747</v>
      </c>
      <c r="D1446" s="10">
        <v>5185</v>
      </c>
      <c r="E1446" s="10" t="s">
        <v>1763</v>
      </c>
      <c r="F1446" s="10">
        <v>0</v>
      </c>
      <c r="G1446" s="10" t="s">
        <v>343</v>
      </c>
      <c r="H1446" s="10">
        <v>0</v>
      </c>
      <c r="I1446" s="10" t="s">
        <v>343</v>
      </c>
      <c r="J1446" s="11">
        <v>3242</v>
      </c>
      <c r="K1446" s="11">
        <v>3583</v>
      </c>
      <c r="L1446" s="11">
        <v>6825</v>
      </c>
      <c r="M1446" s="11">
        <v>2794</v>
      </c>
    </row>
    <row r="1447" spans="1:13" x14ac:dyDescent="0.3">
      <c r="A1447" s="10">
        <v>6712</v>
      </c>
      <c r="B1447" s="10">
        <v>51</v>
      </c>
      <c r="C1447" s="10" t="s">
        <v>1747</v>
      </c>
      <c r="D1447" s="10">
        <v>5186</v>
      </c>
      <c r="E1447" s="10" t="s">
        <v>1764</v>
      </c>
      <c r="F1447" s="10">
        <v>0</v>
      </c>
      <c r="G1447" s="10" t="s">
        <v>343</v>
      </c>
      <c r="H1447" s="10">
        <v>0</v>
      </c>
      <c r="I1447" s="10" t="s">
        <v>343</v>
      </c>
      <c r="J1447" s="11">
        <v>4438</v>
      </c>
      <c r="K1447" s="11">
        <v>4908</v>
      </c>
      <c r="L1447" s="11">
        <v>9346</v>
      </c>
      <c r="M1447" s="11">
        <v>4615</v>
      </c>
    </row>
    <row r="1448" spans="1:13" x14ac:dyDescent="0.3">
      <c r="A1448" s="10">
        <v>6712</v>
      </c>
      <c r="B1448" s="10">
        <v>51</v>
      </c>
      <c r="C1448" s="10" t="s">
        <v>1747</v>
      </c>
      <c r="D1448" s="10">
        <v>5187</v>
      </c>
      <c r="E1448" s="10" t="s">
        <v>1765</v>
      </c>
      <c r="F1448" s="10">
        <v>0</v>
      </c>
      <c r="G1448" s="10" t="s">
        <v>343</v>
      </c>
      <c r="H1448" s="10">
        <v>0</v>
      </c>
      <c r="I1448" s="10" t="s">
        <v>343</v>
      </c>
      <c r="J1448" s="11">
        <v>3470</v>
      </c>
      <c r="K1448" s="11">
        <v>3877</v>
      </c>
      <c r="L1448" s="11">
        <v>7347</v>
      </c>
      <c r="M1448" s="11">
        <v>3334</v>
      </c>
    </row>
    <row r="1449" spans="1:13" x14ac:dyDescent="0.3">
      <c r="A1449" s="10">
        <v>6712</v>
      </c>
      <c r="B1449" s="10">
        <v>51</v>
      </c>
      <c r="C1449" s="10" t="s">
        <v>1747</v>
      </c>
      <c r="D1449" s="10">
        <v>5188</v>
      </c>
      <c r="E1449" s="10" t="s">
        <v>1766</v>
      </c>
      <c r="F1449" s="10">
        <v>0</v>
      </c>
      <c r="G1449" s="10" t="s">
        <v>343</v>
      </c>
      <c r="H1449" s="10">
        <v>0</v>
      </c>
      <c r="I1449" s="10" t="s">
        <v>343</v>
      </c>
      <c r="J1449" s="11">
        <v>1868</v>
      </c>
      <c r="K1449" s="11">
        <v>2192</v>
      </c>
      <c r="L1449" s="11">
        <v>4060</v>
      </c>
      <c r="M1449" s="11">
        <v>2029</v>
      </c>
    </row>
    <row r="1450" spans="1:13" x14ac:dyDescent="0.3">
      <c r="A1450" s="10">
        <v>6712</v>
      </c>
      <c r="B1450" s="10">
        <v>51</v>
      </c>
      <c r="C1450" s="10" t="s">
        <v>1747</v>
      </c>
      <c r="D1450" s="10">
        <v>5189</v>
      </c>
      <c r="E1450" s="10" t="s">
        <v>1767</v>
      </c>
      <c r="F1450" s="10">
        <v>0</v>
      </c>
      <c r="G1450" s="10" t="s">
        <v>343</v>
      </c>
      <c r="H1450" s="10">
        <v>0</v>
      </c>
      <c r="I1450" s="10" t="s">
        <v>343</v>
      </c>
      <c r="J1450" s="11">
        <v>3674</v>
      </c>
      <c r="K1450" s="11">
        <v>4398</v>
      </c>
      <c r="L1450" s="11">
        <v>8072</v>
      </c>
      <c r="M1450" s="11">
        <v>4306</v>
      </c>
    </row>
    <row r="1451" spans="1:13" x14ac:dyDescent="0.3">
      <c r="A1451" s="10">
        <v>6712</v>
      </c>
      <c r="B1451" s="10">
        <v>51</v>
      </c>
      <c r="C1451" s="10" t="s">
        <v>1747</v>
      </c>
      <c r="D1451" s="10">
        <v>5190</v>
      </c>
      <c r="E1451" s="10" t="s">
        <v>1768</v>
      </c>
      <c r="F1451" s="10">
        <v>0</v>
      </c>
      <c r="G1451" s="10" t="s">
        <v>343</v>
      </c>
      <c r="H1451" s="10">
        <v>0</v>
      </c>
      <c r="I1451" s="10" t="s">
        <v>343</v>
      </c>
      <c r="J1451" s="11">
        <v>1262</v>
      </c>
      <c r="K1451" s="11">
        <v>1271</v>
      </c>
      <c r="L1451" s="11">
        <v>2533</v>
      </c>
      <c r="M1451" s="11">
        <v>1315</v>
      </c>
    </row>
    <row r="1452" spans="1:13" x14ac:dyDescent="0.3">
      <c r="A1452" s="10">
        <v>6712</v>
      </c>
      <c r="B1452" s="10">
        <v>51</v>
      </c>
      <c r="C1452" s="10" t="s">
        <v>1747</v>
      </c>
      <c r="D1452" s="10">
        <v>5191</v>
      </c>
      <c r="E1452" s="10" t="s">
        <v>1769</v>
      </c>
      <c r="F1452" s="10">
        <v>0</v>
      </c>
      <c r="G1452" s="10" t="s">
        <v>343</v>
      </c>
      <c r="H1452" s="10">
        <v>0</v>
      </c>
      <c r="I1452" s="10" t="s">
        <v>343</v>
      </c>
      <c r="J1452" s="11">
        <v>2015</v>
      </c>
      <c r="K1452" s="11">
        <v>2168</v>
      </c>
      <c r="L1452" s="11">
        <v>4183</v>
      </c>
      <c r="M1452" s="11">
        <v>2843</v>
      </c>
    </row>
    <row r="1453" spans="1:13" x14ac:dyDescent="0.3">
      <c r="A1453" s="10">
        <v>6712</v>
      </c>
      <c r="B1453" s="10">
        <v>51</v>
      </c>
      <c r="C1453" s="10" t="s">
        <v>1747</v>
      </c>
      <c r="D1453" s="10">
        <v>5192</v>
      </c>
      <c r="E1453" s="10" t="s">
        <v>1770</v>
      </c>
      <c r="F1453" s="10">
        <v>0</v>
      </c>
      <c r="G1453" s="10" t="s">
        <v>343</v>
      </c>
      <c r="H1453" s="10">
        <v>0</v>
      </c>
      <c r="I1453" s="10" t="s">
        <v>343</v>
      </c>
      <c r="J1453" s="11">
        <v>1575</v>
      </c>
      <c r="K1453" s="11">
        <v>1751</v>
      </c>
      <c r="L1453" s="11">
        <v>3326</v>
      </c>
      <c r="M1453" s="11">
        <v>1378</v>
      </c>
    </row>
    <row r="1454" spans="1:13" x14ac:dyDescent="0.3">
      <c r="A1454" s="10">
        <v>6712</v>
      </c>
      <c r="B1454" s="10">
        <v>51</v>
      </c>
      <c r="C1454" s="10" t="s">
        <v>1747</v>
      </c>
      <c r="D1454" s="10">
        <v>5193</v>
      </c>
      <c r="E1454" s="10" t="s">
        <v>1771</v>
      </c>
      <c r="F1454" s="10">
        <v>0</v>
      </c>
      <c r="G1454" s="10" t="s">
        <v>343</v>
      </c>
      <c r="H1454" s="10">
        <v>0</v>
      </c>
      <c r="I1454" s="10" t="s">
        <v>343</v>
      </c>
      <c r="J1454" s="11">
        <v>3301</v>
      </c>
      <c r="K1454" s="11">
        <v>3971</v>
      </c>
      <c r="L1454" s="11">
        <v>7272</v>
      </c>
      <c r="M1454" s="11">
        <v>3728</v>
      </c>
    </row>
    <row r="1455" spans="1:13" x14ac:dyDescent="0.3">
      <c r="A1455" s="10">
        <v>6712</v>
      </c>
      <c r="B1455" s="10">
        <v>51</v>
      </c>
      <c r="C1455" s="10" t="s">
        <v>1747</v>
      </c>
      <c r="D1455" s="10">
        <v>5194</v>
      </c>
      <c r="E1455" s="10" t="s">
        <v>1772</v>
      </c>
      <c r="F1455" s="10">
        <v>0</v>
      </c>
      <c r="G1455" s="10" t="s">
        <v>343</v>
      </c>
      <c r="H1455" s="10">
        <v>0</v>
      </c>
      <c r="I1455" s="10" t="s">
        <v>343</v>
      </c>
      <c r="J1455" s="11">
        <v>2505</v>
      </c>
      <c r="K1455" s="11">
        <v>2659</v>
      </c>
      <c r="L1455" s="11">
        <v>5164</v>
      </c>
      <c r="M1455" s="11">
        <v>2607</v>
      </c>
    </row>
    <row r="1456" spans="1:13" x14ac:dyDescent="0.3">
      <c r="A1456" s="10">
        <v>6712</v>
      </c>
      <c r="B1456" s="10">
        <v>51</v>
      </c>
      <c r="C1456" s="10" t="s">
        <v>1747</v>
      </c>
      <c r="D1456" s="10">
        <v>5195</v>
      </c>
      <c r="E1456" s="10" t="s">
        <v>1773</v>
      </c>
      <c r="F1456" s="10">
        <v>0</v>
      </c>
      <c r="G1456" s="10" t="s">
        <v>343</v>
      </c>
      <c r="H1456" s="10">
        <v>0</v>
      </c>
      <c r="I1456" s="10" t="s">
        <v>343</v>
      </c>
      <c r="J1456" s="11">
        <v>1353</v>
      </c>
      <c r="K1456" s="11">
        <v>1508</v>
      </c>
      <c r="L1456" s="11">
        <v>2861</v>
      </c>
      <c r="M1456" s="11">
        <v>1424</v>
      </c>
    </row>
    <row r="1457" spans="1:13" x14ac:dyDescent="0.3">
      <c r="A1457" s="10">
        <v>6712</v>
      </c>
      <c r="B1457" s="10">
        <v>51</v>
      </c>
      <c r="C1457" s="10" t="s">
        <v>1747</v>
      </c>
      <c r="D1457" s="10">
        <v>5196</v>
      </c>
      <c r="E1457" s="10" t="s">
        <v>1774</v>
      </c>
      <c r="F1457" s="10">
        <v>0</v>
      </c>
      <c r="G1457" s="10" t="s">
        <v>343</v>
      </c>
      <c r="H1457" s="10">
        <v>0</v>
      </c>
      <c r="I1457" s="10" t="s">
        <v>343</v>
      </c>
      <c r="J1457" s="11">
        <v>5875</v>
      </c>
      <c r="K1457" s="11">
        <v>6767</v>
      </c>
      <c r="L1457" s="11">
        <v>12642</v>
      </c>
      <c r="M1457" s="11">
        <v>6261</v>
      </c>
    </row>
    <row r="1458" spans="1:13" x14ac:dyDescent="0.3">
      <c r="A1458" s="10">
        <v>6712</v>
      </c>
      <c r="B1458" s="10">
        <v>51</v>
      </c>
      <c r="C1458" s="10" t="s">
        <v>1747</v>
      </c>
      <c r="D1458" s="10">
        <v>5197</v>
      </c>
      <c r="E1458" s="10" t="s">
        <v>1775</v>
      </c>
      <c r="F1458" s="10">
        <v>0</v>
      </c>
      <c r="G1458" s="10" t="s">
        <v>343</v>
      </c>
      <c r="H1458" s="10">
        <v>0</v>
      </c>
      <c r="I1458" s="10" t="s">
        <v>343</v>
      </c>
      <c r="J1458" s="11">
        <v>3075</v>
      </c>
      <c r="K1458" s="11">
        <v>3573</v>
      </c>
      <c r="L1458" s="11">
        <v>6648</v>
      </c>
      <c r="M1458" s="11">
        <v>3029</v>
      </c>
    </row>
    <row r="1459" spans="1:13" x14ac:dyDescent="0.3">
      <c r="A1459" s="10">
        <v>6712</v>
      </c>
      <c r="B1459" s="10">
        <v>51</v>
      </c>
      <c r="C1459" s="10" t="s">
        <v>1747</v>
      </c>
      <c r="D1459" s="10">
        <v>5198</v>
      </c>
      <c r="E1459" s="10" t="s">
        <v>1776</v>
      </c>
      <c r="F1459" s="10">
        <v>0</v>
      </c>
      <c r="G1459" s="10" t="s">
        <v>343</v>
      </c>
      <c r="H1459" s="10">
        <v>0</v>
      </c>
      <c r="I1459" s="10" t="s">
        <v>343</v>
      </c>
      <c r="J1459" s="11">
        <v>2881</v>
      </c>
      <c r="K1459" s="11">
        <v>3340</v>
      </c>
      <c r="L1459" s="11">
        <v>6221</v>
      </c>
      <c r="M1459" s="11">
        <v>3018</v>
      </c>
    </row>
    <row r="1460" spans="1:13" x14ac:dyDescent="0.3">
      <c r="A1460" s="10">
        <v>6712</v>
      </c>
      <c r="B1460" s="10">
        <v>51</v>
      </c>
      <c r="C1460" s="10" t="s">
        <v>1747</v>
      </c>
      <c r="D1460" s="10">
        <v>5199</v>
      </c>
      <c r="E1460" s="10" t="s">
        <v>1777</v>
      </c>
      <c r="F1460" s="10">
        <v>0</v>
      </c>
      <c r="G1460" s="10" t="s">
        <v>343</v>
      </c>
      <c r="H1460" s="10">
        <v>0</v>
      </c>
      <c r="I1460" s="10" t="s">
        <v>343</v>
      </c>
      <c r="J1460" s="11">
        <v>4944</v>
      </c>
      <c r="K1460" s="11">
        <v>6016</v>
      </c>
      <c r="L1460" s="11">
        <v>10960</v>
      </c>
      <c r="M1460" s="11">
        <v>7282</v>
      </c>
    </row>
    <row r="1461" spans="1:13" x14ac:dyDescent="0.3">
      <c r="A1461" s="10">
        <v>6712</v>
      </c>
      <c r="B1461" s="10">
        <v>52</v>
      </c>
      <c r="C1461" s="10" t="s">
        <v>1778</v>
      </c>
      <c r="D1461" s="10">
        <v>0</v>
      </c>
      <c r="E1461" s="10" t="s">
        <v>343</v>
      </c>
      <c r="F1461" s="10">
        <v>0</v>
      </c>
      <c r="G1461" s="10" t="s">
        <v>343</v>
      </c>
      <c r="H1461" s="10">
        <v>0</v>
      </c>
      <c r="I1461" s="10" t="s">
        <v>343</v>
      </c>
      <c r="J1461" s="11">
        <v>341663</v>
      </c>
      <c r="K1461" s="11">
        <v>362463</v>
      </c>
      <c r="L1461" s="11">
        <v>704126</v>
      </c>
      <c r="M1461" s="11">
        <v>307969</v>
      </c>
    </row>
    <row r="1462" spans="1:13" x14ac:dyDescent="0.3">
      <c r="A1462" s="10">
        <v>6712</v>
      </c>
      <c r="B1462" s="10">
        <v>52</v>
      </c>
      <c r="C1462" s="10" t="s">
        <v>1778</v>
      </c>
      <c r="D1462" s="10">
        <v>5201</v>
      </c>
      <c r="E1462" s="10" t="s">
        <v>1779</v>
      </c>
      <c r="F1462" s="10">
        <v>0</v>
      </c>
      <c r="G1462" s="10" t="s">
        <v>343</v>
      </c>
      <c r="H1462" s="10">
        <v>0</v>
      </c>
      <c r="I1462" s="10" t="s">
        <v>343</v>
      </c>
      <c r="J1462" s="11">
        <v>43427</v>
      </c>
      <c r="K1462" s="11">
        <v>45584</v>
      </c>
      <c r="L1462" s="11">
        <v>89011</v>
      </c>
      <c r="M1462" s="11">
        <v>40170</v>
      </c>
    </row>
    <row r="1463" spans="1:13" x14ac:dyDescent="0.3">
      <c r="A1463" s="10">
        <v>6712</v>
      </c>
      <c r="B1463" s="10">
        <v>52</v>
      </c>
      <c r="C1463" s="10" t="s">
        <v>1778</v>
      </c>
      <c r="D1463" s="10">
        <v>5202</v>
      </c>
      <c r="E1463" s="10" t="s">
        <v>1780</v>
      </c>
      <c r="F1463" s="10">
        <v>0</v>
      </c>
      <c r="G1463" s="10" t="s">
        <v>343</v>
      </c>
      <c r="H1463" s="10">
        <v>0</v>
      </c>
      <c r="I1463" s="10" t="s">
        <v>343</v>
      </c>
      <c r="J1463" s="11">
        <v>11858</v>
      </c>
      <c r="K1463" s="11">
        <v>11751</v>
      </c>
      <c r="L1463" s="11">
        <v>23609</v>
      </c>
      <c r="M1463" s="11">
        <v>9557</v>
      </c>
    </row>
    <row r="1464" spans="1:13" x14ac:dyDescent="0.3">
      <c r="A1464" s="10">
        <v>6712</v>
      </c>
      <c r="B1464" s="10">
        <v>52</v>
      </c>
      <c r="C1464" s="10" t="s">
        <v>1778</v>
      </c>
      <c r="D1464" s="10">
        <v>5203</v>
      </c>
      <c r="E1464" s="10" t="s">
        <v>1781</v>
      </c>
      <c r="F1464" s="10">
        <v>0</v>
      </c>
      <c r="G1464" s="10" t="s">
        <v>343</v>
      </c>
      <c r="H1464" s="10">
        <v>0</v>
      </c>
      <c r="I1464" s="10" t="s">
        <v>343</v>
      </c>
      <c r="J1464" s="11">
        <v>16776</v>
      </c>
      <c r="K1464" s="11">
        <v>18105</v>
      </c>
      <c r="L1464" s="11">
        <v>34881</v>
      </c>
      <c r="M1464" s="11">
        <v>13670</v>
      </c>
    </row>
    <row r="1465" spans="1:13" x14ac:dyDescent="0.3">
      <c r="A1465" s="10">
        <v>6712</v>
      </c>
      <c r="B1465" s="10">
        <v>52</v>
      </c>
      <c r="C1465" s="10" t="s">
        <v>1778</v>
      </c>
      <c r="D1465" s="10">
        <v>5204</v>
      </c>
      <c r="E1465" s="10" t="s">
        <v>1782</v>
      </c>
      <c r="F1465" s="10">
        <v>0</v>
      </c>
      <c r="G1465" s="10" t="s">
        <v>343</v>
      </c>
      <c r="H1465" s="10">
        <v>0</v>
      </c>
      <c r="I1465" s="10" t="s">
        <v>343</v>
      </c>
      <c r="J1465" s="11">
        <v>10803</v>
      </c>
      <c r="K1465" s="11">
        <v>10820</v>
      </c>
      <c r="L1465" s="11">
        <v>21623</v>
      </c>
      <c r="M1465" s="11">
        <v>7887</v>
      </c>
    </row>
    <row r="1466" spans="1:13" x14ac:dyDescent="0.3">
      <c r="A1466" s="10">
        <v>6712</v>
      </c>
      <c r="B1466" s="10">
        <v>52</v>
      </c>
      <c r="C1466" s="10" t="s">
        <v>1778</v>
      </c>
      <c r="D1466" s="10">
        <v>5205</v>
      </c>
      <c r="E1466" s="10" t="s">
        <v>1783</v>
      </c>
      <c r="F1466" s="10">
        <v>0</v>
      </c>
      <c r="G1466" s="10" t="s">
        <v>343</v>
      </c>
      <c r="H1466" s="10">
        <v>0</v>
      </c>
      <c r="I1466" s="10" t="s">
        <v>343</v>
      </c>
      <c r="J1466" s="11">
        <v>23538</v>
      </c>
      <c r="K1466" s="11">
        <v>23659</v>
      </c>
      <c r="L1466" s="11">
        <v>47197</v>
      </c>
      <c r="M1466" s="11">
        <v>18643</v>
      </c>
    </row>
    <row r="1467" spans="1:13" x14ac:dyDescent="0.3">
      <c r="A1467" s="10">
        <v>6712</v>
      </c>
      <c r="B1467" s="10">
        <v>52</v>
      </c>
      <c r="C1467" s="10" t="s">
        <v>1778</v>
      </c>
      <c r="D1467" s="10">
        <v>5206</v>
      </c>
      <c r="E1467" s="10" t="s">
        <v>1784</v>
      </c>
      <c r="F1467" s="10">
        <v>0</v>
      </c>
      <c r="G1467" s="10" t="s">
        <v>343</v>
      </c>
      <c r="H1467" s="10">
        <v>0</v>
      </c>
      <c r="I1467" s="10" t="s">
        <v>343</v>
      </c>
      <c r="J1467" s="11">
        <v>16508</v>
      </c>
      <c r="K1467" s="11">
        <v>17069</v>
      </c>
      <c r="L1467" s="11">
        <v>33577</v>
      </c>
      <c r="M1467" s="11">
        <v>13441</v>
      </c>
    </row>
    <row r="1468" spans="1:13" x14ac:dyDescent="0.3">
      <c r="A1468" s="10">
        <v>6712</v>
      </c>
      <c r="B1468" s="10">
        <v>52</v>
      </c>
      <c r="C1468" s="10" t="s">
        <v>1778</v>
      </c>
      <c r="D1468" s="10">
        <v>5207</v>
      </c>
      <c r="E1468" s="10" t="s">
        <v>1785</v>
      </c>
      <c r="F1468" s="10">
        <v>0</v>
      </c>
      <c r="G1468" s="10" t="s">
        <v>343</v>
      </c>
      <c r="H1468" s="10">
        <v>0</v>
      </c>
      <c r="I1468" s="10" t="s">
        <v>343</v>
      </c>
      <c r="J1468" s="11">
        <v>17981</v>
      </c>
      <c r="K1468" s="11">
        <v>17869</v>
      </c>
      <c r="L1468" s="11">
        <v>35850</v>
      </c>
      <c r="M1468" s="11">
        <v>13756</v>
      </c>
    </row>
    <row r="1469" spans="1:13" x14ac:dyDescent="0.3">
      <c r="A1469" s="10">
        <v>6712</v>
      </c>
      <c r="B1469" s="10">
        <v>52</v>
      </c>
      <c r="C1469" s="10" t="s">
        <v>1778</v>
      </c>
      <c r="D1469" s="10">
        <v>5208</v>
      </c>
      <c r="E1469" s="10" t="s">
        <v>1786</v>
      </c>
      <c r="F1469" s="10">
        <v>0</v>
      </c>
      <c r="G1469" s="10" t="s">
        <v>343</v>
      </c>
      <c r="H1469" s="10">
        <v>0</v>
      </c>
      <c r="I1469" s="10" t="s">
        <v>343</v>
      </c>
      <c r="J1469" s="11">
        <v>15845</v>
      </c>
      <c r="K1469" s="11">
        <v>16423</v>
      </c>
      <c r="L1469" s="11">
        <v>32268</v>
      </c>
      <c r="M1469" s="11">
        <v>11762</v>
      </c>
    </row>
    <row r="1470" spans="1:13" x14ac:dyDescent="0.3">
      <c r="A1470" s="10">
        <v>6712</v>
      </c>
      <c r="B1470" s="10">
        <v>52</v>
      </c>
      <c r="C1470" s="10" t="s">
        <v>1778</v>
      </c>
      <c r="D1470" s="10">
        <v>5209</v>
      </c>
      <c r="E1470" s="10" t="s">
        <v>1787</v>
      </c>
      <c r="F1470" s="10">
        <v>0</v>
      </c>
      <c r="G1470" s="10" t="s">
        <v>343</v>
      </c>
      <c r="H1470" s="10">
        <v>0</v>
      </c>
      <c r="I1470" s="10" t="s">
        <v>343</v>
      </c>
      <c r="J1470" s="11">
        <v>4405</v>
      </c>
      <c r="K1470" s="11">
        <v>4561</v>
      </c>
      <c r="L1470" s="11">
        <v>8966</v>
      </c>
      <c r="M1470" s="11">
        <v>3302</v>
      </c>
    </row>
    <row r="1471" spans="1:13" x14ac:dyDescent="0.3">
      <c r="A1471" s="10">
        <v>6712</v>
      </c>
      <c r="B1471" s="10">
        <v>52</v>
      </c>
      <c r="C1471" s="10" t="s">
        <v>1778</v>
      </c>
      <c r="D1471" s="10">
        <v>5210</v>
      </c>
      <c r="E1471" s="10" t="s">
        <v>1788</v>
      </c>
      <c r="F1471" s="10">
        <v>0</v>
      </c>
      <c r="G1471" s="10" t="s">
        <v>343</v>
      </c>
      <c r="H1471" s="10">
        <v>0</v>
      </c>
      <c r="I1471" s="10" t="s">
        <v>343</v>
      </c>
      <c r="J1471" s="11">
        <v>13239</v>
      </c>
      <c r="K1471" s="11">
        <v>13656</v>
      </c>
      <c r="L1471" s="11">
        <v>26895</v>
      </c>
      <c r="M1471" s="11">
        <v>11044</v>
      </c>
    </row>
    <row r="1472" spans="1:13" x14ac:dyDescent="0.3">
      <c r="A1472" s="10">
        <v>6712</v>
      </c>
      <c r="B1472" s="10">
        <v>52</v>
      </c>
      <c r="C1472" s="10" t="s">
        <v>1778</v>
      </c>
      <c r="D1472" s="10">
        <v>5211</v>
      </c>
      <c r="E1472" s="10" t="s">
        <v>1789</v>
      </c>
      <c r="F1472" s="10">
        <v>0</v>
      </c>
      <c r="G1472" s="10" t="s">
        <v>343</v>
      </c>
      <c r="H1472" s="10">
        <v>0</v>
      </c>
      <c r="I1472" s="10" t="s">
        <v>343</v>
      </c>
      <c r="J1472" s="11">
        <v>10098</v>
      </c>
      <c r="K1472" s="11">
        <v>10464</v>
      </c>
      <c r="L1472" s="11">
        <v>20562</v>
      </c>
      <c r="M1472" s="11">
        <v>6794</v>
      </c>
    </row>
    <row r="1473" spans="1:13" x14ac:dyDescent="0.3">
      <c r="A1473" s="10">
        <v>6712</v>
      </c>
      <c r="B1473" s="10">
        <v>52</v>
      </c>
      <c r="C1473" s="10" t="s">
        <v>1778</v>
      </c>
      <c r="D1473" s="10">
        <v>5212</v>
      </c>
      <c r="E1473" s="10" t="s">
        <v>1790</v>
      </c>
      <c r="F1473" s="10">
        <v>0</v>
      </c>
      <c r="G1473" s="10" t="s">
        <v>343</v>
      </c>
      <c r="H1473" s="10">
        <v>0</v>
      </c>
      <c r="I1473" s="10" t="s">
        <v>343</v>
      </c>
      <c r="J1473" s="11">
        <v>22314</v>
      </c>
      <c r="K1473" s="11">
        <v>23265</v>
      </c>
      <c r="L1473" s="11">
        <v>45579</v>
      </c>
      <c r="M1473" s="11">
        <v>20049</v>
      </c>
    </row>
    <row r="1474" spans="1:13" x14ac:dyDescent="0.3">
      <c r="A1474" s="10">
        <v>6712</v>
      </c>
      <c r="B1474" s="10">
        <v>52</v>
      </c>
      <c r="C1474" s="10" t="s">
        <v>1778</v>
      </c>
      <c r="D1474" s="10">
        <v>5213</v>
      </c>
      <c r="E1474" s="10" t="s">
        <v>1791</v>
      </c>
      <c r="F1474" s="10">
        <v>0</v>
      </c>
      <c r="G1474" s="10" t="s">
        <v>343</v>
      </c>
      <c r="H1474" s="10">
        <v>0</v>
      </c>
      <c r="I1474" s="10" t="s">
        <v>343</v>
      </c>
      <c r="J1474" s="11">
        <v>15810</v>
      </c>
      <c r="K1474" s="11">
        <v>15926</v>
      </c>
      <c r="L1474" s="11">
        <v>31736</v>
      </c>
      <c r="M1474" s="11">
        <v>12619</v>
      </c>
    </row>
    <row r="1475" spans="1:13" x14ac:dyDescent="0.3">
      <c r="A1475" s="10">
        <v>6712</v>
      </c>
      <c r="B1475" s="10">
        <v>52</v>
      </c>
      <c r="C1475" s="10" t="s">
        <v>1778</v>
      </c>
      <c r="D1475" s="10">
        <v>5275</v>
      </c>
      <c r="E1475" s="10" t="s">
        <v>1792</v>
      </c>
      <c r="F1475" s="10">
        <v>0</v>
      </c>
      <c r="G1475" s="10" t="s">
        <v>343</v>
      </c>
      <c r="H1475" s="10">
        <v>0</v>
      </c>
      <c r="I1475" s="10" t="s">
        <v>343</v>
      </c>
      <c r="J1475" s="11">
        <v>4518</v>
      </c>
      <c r="K1475" s="11">
        <v>4750</v>
      </c>
      <c r="L1475" s="11">
        <v>9268</v>
      </c>
      <c r="M1475" s="11">
        <v>3589</v>
      </c>
    </row>
    <row r="1476" spans="1:13" x14ac:dyDescent="0.3">
      <c r="A1476" s="10">
        <v>6712</v>
      </c>
      <c r="B1476" s="10">
        <v>52</v>
      </c>
      <c r="C1476" s="10" t="s">
        <v>1778</v>
      </c>
      <c r="D1476" s="10">
        <v>5276</v>
      </c>
      <c r="E1476" s="10" t="s">
        <v>1793</v>
      </c>
      <c r="F1476" s="10">
        <v>0</v>
      </c>
      <c r="G1476" s="10" t="s">
        <v>343</v>
      </c>
      <c r="H1476" s="10">
        <v>0</v>
      </c>
      <c r="I1476" s="10" t="s">
        <v>343</v>
      </c>
      <c r="J1476" s="11">
        <v>3063</v>
      </c>
      <c r="K1476" s="11">
        <v>3211</v>
      </c>
      <c r="L1476" s="11">
        <v>6274</v>
      </c>
      <c r="M1476" s="11">
        <v>3058</v>
      </c>
    </row>
    <row r="1477" spans="1:13" x14ac:dyDescent="0.3">
      <c r="A1477" s="10">
        <v>6712</v>
      </c>
      <c r="B1477" s="10">
        <v>52</v>
      </c>
      <c r="C1477" s="10" t="s">
        <v>1778</v>
      </c>
      <c r="D1477" s="10">
        <v>5279</v>
      </c>
      <c r="E1477" s="10" t="s">
        <v>1794</v>
      </c>
      <c r="F1477" s="10">
        <v>0</v>
      </c>
      <c r="G1477" s="10" t="s">
        <v>343</v>
      </c>
      <c r="H1477" s="10">
        <v>0</v>
      </c>
      <c r="I1477" s="10" t="s">
        <v>343</v>
      </c>
      <c r="J1477" s="11">
        <v>4197</v>
      </c>
      <c r="K1477" s="11">
        <v>4444</v>
      </c>
      <c r="L1477" s="11">
        <v>8641</v>
      </c>
      <c r="M1477" s="11">
        <v>3248</v>
      </c>
    </row>
    <row r="1478" spans="1:13" x14ac:dyDescent="0.3">
      <c r="A1478" s="10">
        <v>6712</v>
      </c>
      <c r="B1478" s="10">
        <v>52</v>
      </c>
      <c r="C1478" s="10" t="s">
        <v>1778</v>
      </c>
      <c r="D1478" s="10">
        <v>5280</v>
      </c>
      <c r="E1478" s="10" t="s">
        <v>1795</v>
      </c>
      <c r="F1478" s="10">
        <v>0</v>
      </c>
      <c r="G1478" s="10" t="s">
        <v>343</v>
      </c>
      <c r="H1478" s="10">
        <v>0</v>
      </c>
      <c r="I1478" s="10" t="s">
        <v>343</v>
      </c>
      <c r="J1478" s="11">
        <v>4215</v>
      </c>
      <c r="K1478" s="11">
        <v>4676</v>
      </c>
      <c r="L1478" s="11">
        <v>8891</v>
      </c>
      <c r="M1478" s="11">
        <v>3432</v>
      </c>
    </row>
    <row r="1479" spans="1:13" x14ac:dyDescent="0.3">
      <c r="A1479" s="10">
        <v>6712</v>
      </c>
      <c r="B1479" s="10">
        <v>52</v>
      </c>
      <c r="C1479" s="10" t="s">
        <v>1778</v>
      </c>
      <c r="D1479" s="10">
        <v>5281</v>
      </c>
      <c r="E1479" s="10" t="s">
        <v>1796</v>
      </c>
      <c r="F1479" s="10">
        <v>0</v>
      </c>
      <c r="G1479" s="10" t="s">
        <v>343</v>
      </c>
      <c r="H1479" s="10">
        <v>0</v>
      </c>
      <c r="I1479" s="10" t="s">
        <v>343</v>
      </c>
      <c r="J1479" s="11">
        <v>2287</v>
      </c>
      <c r="K1479" s="11">
        <v>2191</v>
      </c>
      <c r="L1479" s="11">
        <v>4478</v>
      </c>
      <c r="M1479" s="11">
        <v>1639</v>
      </c>
    </row>
    <row r="1480" spans="1:13" x14ac:dyDescent="0.3">
      <c r="A1480" s="10">
        <v>6712</v>
      </c>
      <c r="B1480" s="10">
        <v>52</v>
      </c>
      <c r="C1480" s="10" t="s">
        <v>1778</v>
      </c>
      <c r="D1480" s="10">
        <v>5282</v>
      </c>
      <c r="E1480" s="10" t="s">
        <v>1797</v>
      </c>
      <c r="F1480" s="10">
        <v>0</v>
      </c>
      <c r="G1480" s="10" t="s">
        <v>343</v>
      </c>
      <c r="H1480" s="10">
        <v>0</v>
      </c>
      <c r="I1480" s="10" t="s">
        <v>343</v>
      </c>
      <c r="J1480" s="11">
        <v>7206</v>
      </c>
      <c r="K1480" s="11">
        <v>7605</v>
      </c>
      <c r="L1480" s="11">
        <v>14811</v>
      </c>
      <c r="M1480" s="11">
        <v>8891</v>
      </c>
    </row>
    <row r="1481" spans="1:13" x14ac:dyDescent="0.3">
      <c r="A1481" s="10">
        <v>6712</v>
      </c>
      <c r="B1481" s="10">
        <v>52</v>
      </c>
      <c r="C1481" s="10" t="s">
        <v>1778</v>
      </c>
      <c r="D1481" s="10">
        <v>5283</v>
      </c>
      <c r="E1481" s="10" t="s">
        <v>1798</v>
      </c>
      <c r="F1481" s="10">
        <v>0</v>
      </c>
      <c r="G1481" s="10" t="s">
        <v>343</v>
      </c>
      <c r="H1481" s="10">
        <v>0</v>
      </c>
      <c r="I1481" s="10" t="s">
        <v>343</v>
      </c>
      <c r="J1481" s="11">
        <v>4980</v>
      </c>
      <c r="K1481" s="11">
        <v>5032</v>
      </c>
      <c r="L1481" s="11">
        <v>10012</v>
      </c>
      <c r="M1481" s="11">
        <v>3645</v>
      </c>
    </row>
    <row r="1482" spans="1:13" x14ac:dyDescent="0.3">
      <c r="A1482" s="10">
        <v>6712</v>
      </c>
      <c r="B1482" s="10">
        <v>52</v>
      </c>
      <c r="C1482" s="10" t="s">
        <v>1778</v>
      </c>
      <c r="D1482" s="10">
        <v>5284</v>
      </c>
      <c r="E1482" s="10" t="s">
        <v>1799</v>
      </c>
      <c r="F1482" s="10">
        <v>0</v>
      </c>
      <c r="G1482" s="10" t="s">
        <v>343</v>
      </c>
      <c r="H1482" s="10">
        <v>0</v>
      </c>
      <c r="I1482" s="10" t="s">
        <v>343</v>
      </c>
      <c r="J1482" s="11">
        <v>1196</v>
      </c>
      <c r="K1482" s="11">
        <v>1478</v>
      </c>
      <c r="L1482" s="11">
        <v>2674</v>
      </c>
      <c r="M1482" s="11">
        <v>1339</v>
      </c>
    </row>
    <row r="1483" spans="1:13" x14ac:dyDescent="0.3">
      <c r="A1483" s="10">
        <v>6712</v>
      </c>
      <c r="B1483" s="10">
        <v>52</v>
      </c>
      <c r="C1483" s="10" t="s">
        <v>1778</v>
      </c>
      <c r="D1483" s="10">
        <v>5285</v>
      </c>
      <c r="E1483" s="10" t="s">
        <v>1800</v>
      </c>
      <c r="F1483" s="10">
        <v>0</v>
      </c>
      <c r="G1483" s="10" t="s">
        <v>343</v>
      </c>
      <c r="H1483" s="10">
        <v>0</v>
      </c>
      <c r="I1483" s="10" t="s">
        <v>343</v>
      </c>
      <c r="J1483" s="11">
        <v>2516</v>
      </c>
      <c r="K1483" s="11">
        <v>2798</v>
      </c>
      <c r="L1483" s="11">
        <v>5314</v>
      </c>
      <c r="M1483" s="11">
        <v>2141</v>
      </c>
    </row>
    <row r="1484" spans="1:13" x14ac:dyDescent="0.3">
      <c r="A1484" s="10">
        <v>6712</v>
      </c>
      <c r="B1484" s="10">
        <v>52</v>
      </c>
      <c r="C1484" s="10" t="s">
        <v>1778</v>
      </c>
      <c r="D1484" s="10">
        <v>5286</v>
      </c>
      <c r="E1484" s="10" t="s">
        <v>1801</v>
      </c>
      <c r="F1484" s="10">
        <v>0</v>
      </c>
      <c r="G1484" s="10" t="s">
        <v>343</v>
      </c>
      <c r="H1484" s="10">
        <v>0</v>
      </c>
      <c r="I1484" s="10" t="s">
        <v>343</v>
      </c>
      <c r="J1484" s="11">
        <v>3637</v>
      </c>
      <c r="K1484" s="11">
        <v>3887</v>
      </c>
      <c r="L1484" s="11">
        <v>7524</v>
      </c>
      <c r="M1484" s="11">
        <v>3053</v>
      </c>
    </row>
    <row r="1485" spans="1:13" x14ac:dyDescent="0.3">
      <c r="A1485" s="10">
        <v>6712</v>
      </c>
      <c r="B1485" s="10">
        <v>52</v>
      </c>
      <c r="C1485" s="10" t="s">
        <v>1778</v>
      </c>
      <c r="D1485" s="10">
        <v>5287</v>
      </c>
      <c r="E1485" s="10" t="s">
        <v>1802</v>
      </c>
      <c r="F1485" s="10">
        <v>0</v>
      </c>
      <c r="G1485" s="10" t="s">
        <v>343</v>
      </c>
      <c r="H1485" s="10">
        <v>0</v>
      </c>
      <c r="I1485" s="10" t="s">
        <v>343</v>
      </c>
      <c r="J1485" s="11">
        <v>1148</v>
      </c>
      <c r="K1485" s="11">
        <v>1283</v>
      </c>
      <c r="L1485" s="11">
        <v>2431</v>
      </c>
      <c r="M1485" s="11">
        <v>1164</v>
      </c>
    </row>
    <row r="1486" spans="1:13" x14ac:dyDescent="0.3">
      <c r="A1486" s="10">
        <v>6712</v>
      </c>
      <c r="B1486" s="10">
        <v>52</v>
      </c>
      <c r="C1486" s="10" t="s">
        <v>1778</v>
      </c>
      <c r="D1486" s="10">
        <v>5288</v>
      </c>
      <c r="E1486" s="10" t="s">
        <v>1803</v>
      </c>
      <c r="F1486" s="10">
        <v>0</v>
      </c>
      <c r="G1486" s="10" t="s">
        <v>343</v>
      </c>
      <c r="H1486" s="10">
        <v>0</v>
      </c>
      <c r="I1486" s="10" t="s">
        <v>343</v>
      </c>
      <c r="J1486" s="11">
        <v>1721</v>
      </c>
      <c r="K1486" s="11">
        <v>1928</v>
      </c>
      <c r="L1486" s="11">
        <v>3649</v>
      </c>
      <c r="M1486" s="11">
        <v>1372</v>
      </c>
    </row>
    <row r="1487" spans="1:13" x14ac:dyDescent="0.3">
      <c r="A1487" s="10">
        <v>6712</v>
      </c>
      <c r="B1487" s="10">
        <v>52</v>
      </c>
      <c r="C1487" s="10" t="s">
        <v>1778</v>
      </c>
      <c r="D1487" s="10">
        <v>5289</v>
      </c>
      <c r="E1487" s="10" t="s">
        <v>1804</v>
      </c>
      <c r="F1487" s="10">
        <v>0</v>
      </c>
      <c r="G1487" s="10" t="s">
        <v>343</v>
      </c>
      <c r="H1487" s="10">
        <v>0</v>
      </c>
      <c r="I1487" s="10" t="s">
        <v>343</v>
      </c>
      <c r="J1487" s="11">
        <v>6226</v>
      </c>
      <c r="K1487" s="11">
        <v>7266</v>
      </c>
      <c r="L1487" s="11">
        <v>13492</v>
      </c>
      <c r="M1487" s="11">
        <v>7321</v>
      </c>
    </row>
    <row r="1488" spans="1:13" x14ac:dyDescent="0.3">
      <c r="A1488" s="10">
        <v>6712</v>
      </c>
      <c r="B1488" s="10">
        <v>52</v>
      </c>
      <c r="C1488" s="10" t="s">
        <v>1778</v>
      </c>
      <c r="D1488" s="10">
        <v>5290</v>
      </c>
      <c r="E1488" s="10" t="s">
        <v>1805</v>
      </c>
      <c r="F1488" s="10">
        <v>0</v>
      </c>
      <c r="G1488" s="10" t="s">
        <v>343</v>
      </c>
      <c r="H1488" s="10">
        <v>0</v>
      </c>
      <c r="I1488" s="10" t="s">
        <v>343</v>
      </c>
      <c r="J1488" s="11">
        <v>1924</v>
      </c>
      <c r="K1488" s="11">
        <v>1943</v>
      </c>
      <c r="L1488" s="11">
        <v>3867</v>
      </c>
      <c r="M1488" s="11">
        <v>2027</v>
      </c>
    </row>
    <row r="1489" spans="1:13" x14ac:dyDescent="0.3">
      <c r="A1489" s="10">
        <v>6712</v>
      </c>
      <c r="B1489" s="10">
        <v>52</v>
      </c>
      <c r="C1489" s="10" t="s">
        <v>1778</v>
      </c>
      <c r="D1489" s="10">
        <v>5291</v>
      </c>
      <c r="E1489" s="10" t="s">
        <v>1806</v>
      </c>
      <c r="F1489" s="10">
        <v>0</v>
      </c>
      <c r="G1489" s="10" t="s">
        <v>343</v>
      </c>
      <c r="H1489" s="10">
        <v>0</v>
      </c>
      <c r="I1489" s="10" t="s">
        <v>343</v>
      </c>
      <c r="J1489" s="11">
        <v>1203</v>
      </c>
      <c r="K1489" s="11">
        <v>1239</v>
      </c>
      <c r="L1489" s="11">
        <v>2442</v>
      </c>
      <c r="M1489" s="10">
        <v>903</v>
      </c>
    </row>
    <row r="1490" spans="1:13" x14ac:dyDescent="0.3">
      <c r="A1490" s="10">
        <v>6712</v>
      </c>
      <c r="B1490" s="10">
        <v>52</v>
      </c>
      <c r="C1490" s="10" t="s">
        <v>1778</v>
      </c>
      <c r="D1490" s="10">
        <v>5292</v>
      </c>
      <c r="E1490" s="10" t="s">
        <v>1807</v>
      </c>
      <c r="F1490" s="10">
        <v>0</v>
      </c>
      <c r="G1490" s="10" t="s">
        <v>343</v>
      </c>
      <c r="H1490" s="10">
        <v>0</v>
      </c>
      <c r="I1490" s="10" t="s">
        <v>343</v>
      </c>
      <c r="J1490" s="11">
        <v>1539</v>
      </c>
      <c r="K1490" s="11">
        <v>1723</v>
      </c>
      <c r="L1490" s="11">
        <v>3262</v>
      </c>
      <c r="M1490" s="11">
        <v>1710</v>
      </c>
    </row>
    <row r="1491" spans="1:13" x14ac:dyDescent="0.3">
      <c r="A1491" s="10">
        <v>6712</v>
      </c>
      <c r="B1491" s="10">
        <v>52</v>
      </c>
      <c r="C1491" s="10" t="s">
        <v>1778</v>
      </c>
      <c r="D1491" s="10">
        <v>5293</v>
      </c>
      <c r="E1491" s="10" t="s">
        <v>1808</v>
      </c>
      <c r="F1491" s="10">
        <v>0</v>
      </c>
      <c r="G1491" s="10" t="s">
        <v>343</v>
      </c>
      <c r="H1491" s="10">
        <v>0</v>
      </c>
      <c r="I1491" s="10" t="s">
        <v>343</v>
      </c>
      <c r="J1491" s="11">
        <v>3934</v>
      </c>
      <c r="K1491" s="11">
        <v>4043</v>
      </c>
      <c r="L1491" s="11">
        <v>7977</v>
      </c>
      <c r="M1491" s="11">
        <v>3138</v>
      </c>
    </row>
    <row r="1492" spans="1:13" x14ac:dyDescent="0.3">
      <c r="A1492" s="10">
        <v>6712</v>
      </c>
      <c r="B1492" s="10">
        <v>52</v>
      </c>
      <c r="C1492" s="10" t="s">
        <v>1778</v>
      </c>
      <c r="D1492" s="10">
        <v>5294</v>
      </c>
      <c r="E1492" s="10" t="s">
        <v>1809</v>
      </c>
      <c r="F1492" s="10">
        <v>0</v>
      </c>
      <c r="G1492" s="10" t="s">
        <v>343</v>
      </c>
      <c r="H1492" s="10">
        <v>0</v>
      </c>
      <c r="I1492" s="10" t="s">
        <v>343</v>
      </c>
      <c r="J1492" s="11">
        <v>1846</v>
      </c>
      <c r="K1492" s="11">
        <v>2098</v>
      </c>
      <c r="L1492" s="11">
        <v>3944</v>
      </c>
      <c r="M1492" s="11">
        <v>2411</v>
      </c>
    </row>
    <row r="1493" spans="1:13" x14ac:dyDescent="0.3">
      <c r="A1493" s="10">
        <v>6712</v>
      </c>
      <c r="B1493" s="10">
        <v>52</v>
      </c>
      <c r="C1493" s="10" t="s">
        <v>1778</v>
      </c>
      <c r="D1493" s="10">
        <v>5295</v>
      </c>
      <c r="E1493" s="10" t="s">
        <v>1810</v>
      </c>
      <c r="F1493" s="10">
        <v>0</v>
      </c>
      <c r="G1493" s="10" t="s">
        <v>343</v>
      </c>
      <c r="H1493" s="10">
        <v>0</v>
      </c>
      <c r="I1493" s="10" t="s">
        <v>343</v>
      </c>
      <c r="J1493" s="11">
        <v>2014</v>
      </c>
      <c r="K1493" s="11">
        <v>2344</v>
      </c>
      <c r="L1493" s="11">
        <v>4358</v>
      </c>
      <c r="M1493" s="11">
        <v>2438</v>
      </c>
    </row>
    <row r="1494" spans="1:13" x14ac:dyDescent="0.3">
      <c r="A1494" s="10">
        <v>6712</v>
      </c>
      <c r="B1494" s="10">
        <v>52</v>
      </c>
      <c r="C1494" s="10" t="s">
        <v>1778</v>
      </c>
      <c r="D1494" s="10">
        <v>5296</v>
      </c>
      <c r="E1494" s="10" t="s">
        <v>1811</v>
      </c>
      <c r="F1494" s="10">
        <v>0</v>
      </c>
      <c r="G1494" s="10" t="s">
        <v>343</v>
      </c>
      <c r="H1494" s="10">
        <v>0</v>
      </c>
      <c r="I1494" s="10" t="s">
        <v>343</v>
      </c>
      <c r="J1494" s="11">
        <v>6130</v>
      </c>
      <c r="K1494" s="11">
        <v>7063</v>
      </c>
      <c r="L1494" s="11">
        <v>13193</v>
      </c>
      <c r="M1494" s="11">
        <v>6707</v>
      </c>
    </row>
    <row r="1495" spans="1:13" x14ac:dyDescent="0.3">
      <c r="A1495" s="10">
        <v>6712</v>
      </c>
      <c r="B1495" s="10">
        <v>52</v>
      </c>
      <c r="C1495" s="10" t="s">
        <v>1778</v>
      </c>
      <c r="D1495" s="10">
        <v>5297</v>
      </c>
      <c r="E1495" s="10" t="s">
        <v>1812</v>
      </c>
      <c r="F1495" s="10">
        <v>0</v>
      </c>
      <c r="G1495" s="10" t="s">
        <v>343</v>
      </c>
      <c r="H1495" s="10">
        <v>0</v>
      </c>
      <c r="I1495" s="10" t="s">
        <v>343</v>
      </c>
      <c r="J1495" s="11">
        <v>4499</v>
      </c>
      <c r="K1495" s="11">
        <v>5033</v>
      </c>
      <c r="L1495" s="11">
        <v>9532</v>
      </c>
      <c r="M1495" s="11">
        <v>4619</v>
      </c>
    </row>
    <row r="1496" spans="1:13" x14ac:dyDescent="0.3">
      <c r="A1496" s="10">
        <v>6712</v>
      </c>
      <c r="B1496" s="10">
        <v>52</v>
      </c>
      <c r="C1496" s="10" t="s">
        <v>1778</v>
      </c>
      <c r="D1496" s="10">
        <v>5298</v>
      </c>
      <c r="E1496" s="10" t="s">
        <v>1813</v>
      </c>
      <c r="F1496" s="10">
        <v>0</v>
      </c>
      <c r="G1496" s="10" t="s">
        <v>343</v>
      </c>
      <c r="H1496" s="10">
        <v>0</v>
      </c>
      <c r="I1496" s="10" t="s">
        <v>343</v>
      </c>
      <c r="J1496" s="11">
        <v>27691</v>
      </c>
      <c r="K1496" s="11">
        <v>30883</v>
      </c>
      <c r="L1496" s="11">
        <v>58574</v>
      </c>
      <c r="M1496" s="11">
        <v>27329</v>
      </c>
    </row>
    <row r="1497" spans="1:13" x14ac:dyDescent="0.3">
      <c r="A1497" s="10">
        <v>6712</v>
      </c>
      <c r="B1497" s="10">
        <v>52</v>
      </c>
      <c r="C1497" s="10" t="s">
        <v>1778</v>
      </c>
      <c r="D1497" s="10">
        <v>5299</v>
      </c>
      <c r="E1497" s="10" t="s">
        <v>1814</v>
      </c>
      <c r="F1497" s="10">
        <v>0</v>
      </c>
      <c r="G1497" s="10" t="s">
        <v>343</v>
      </c>
      <c r="H1497" s="10">
        <v>0</v>
      </c>
      <c r="I1497" s="10" t="s">
        <v>343</v>
      </c>
      <c r="J1497" s="11">
        <v>21371</v>
      </c>
      <c r="K1497" s="11">
        <v>26393</v>
      </c>
      <c r="L1497" s="11">
        <v>47764</v>
      </c>
      <c r="M1497" s="11">
        <v>30101</v>
      </c>
    </row>
    <row r="1498" spans="1:13" x14ac:dyDescent="0.3">
      <c r="A1498" s="10">
        <v>6712</v>
      </c>
      <c r="B1498" s="10">
        <v>53</v>
      </c>
      <c r="C1498" s="10" t="s">
        <v>1815</v>
      </c>
      <c r="D1498" s="10">
        <v>0</v>
      </c>
      <c r="E1498" s="10" t="s">
        <v>343</v>
      </c>
      <c r="F1498" s="10">
        <v>0</v>
      </c>
      <c r="G1498" s="10" t="s">
        <v>343</v>
      </c>
      <c r="H1498" s="10">
        <v>0</v>
      </c>
      <c r="I1498" s="10" t="s">
        <v>343</v>
      </c>
      <c r="J1498" s="11">
        <v>212005</v>
      </c>
      <c r="K1498" s="11">
        <v>224278</v>
      </c>
      <c r="L1498" s="11">
        <v>436283</v>
      </c>
      <c r="M1498" s="11">
        <v>179308</v>
      </c>
    </row>
    <row r="1499" spans="1:13" x14ac:dyDescent="0.3">
      <c r="A1499" s="10">
        <v>6712</v>
      </c>
      <c r="B1499" s="10">
        <v>53</v>
      </c>
      <c r="C1499" s="10" t="s">
        <v>1815</v>
      </c>
      <c r="D1499" s="10">
        <v>5301</v>
      </c>
      <c r="E1499" s="10" t="s">
        <v>1816</v>
      </c>
      <c r="F1499" s="10">
        <v>0</v>
      </c>
      <c r="G1499" s="10" t="s">
        <v>343</v>
      </c>
      <c r="H1499" s="10">
        <v>0</v>
      </c>
      <c r="I1499" s="10" t="s">
        <v>343</v>
      </c>
      <c r="J1499" s="11">
        <v>21966</v>
      </c>
      <c r="K1499" s="11">
        <v>23217</v>
      </c>
      <c r="L1499" s="11">
        <v>45183</v>
      </c>
      <c r="M1499" s="11">
        <v>18462</v>
      </c>
    </row>
    <row r="1500" spans="1:13" x14ac:dyDescent="0.3">
      <c r="A1500" s="10">
        <v>6712</v>
      </c>
      <c r="B1500" s="10">
        <v>53</v>
      </c>
      <c r="C1500" s="10" t="s">
        <v>1815</v>
      </c>
      <c r="D1500" s="10">
        <v>5302</v>
      </c>
      <c r="E1500" s="10" t="s">
        <v>1817</v>
      </c>
      <c r="F1500" s="10">
        <v>0</v>
      </c>
      <c r="G1500" s="10" t="s">
        <v>343</v>
      </c>
      <c r="H1500" s="10">
        <v>0</v>
      </c>
      <c r="I1500" s="10" t="s">
        <v>343</v>
      </c>
      <c r="J1500" s="11">
        <v>14046</v>
      </c>
      <c r="K1500" s="11">
        <v>14939</v>
      </c>
      <c r="L1500" s="11">
        <v>28985</v>
      </c>
      <c r="M1500" s="11">
        <v>10370</v>
      </c>
    </row>
    <row r="1501" spans="1:13" x14ac:dyDescent="0.3">
      <c r="A1501" s="10">
        <v>6712</v>
      </c>
      <c r="B1501" s="10">
        <v>53</v>
      </c>
      <c r="C1501" s="10" t="s">
        <v>1815</v>
      </c>
      <c r="D1501" s="10">
        <v>5303</v>
      </c>
      <c r="E1501" s="10" t="s">
        <v>1818</v>
      </c>
      <c r="F1501" s="10">
        <v>0</v>
      </c>
      <c r="G1501" s="10" t="s">
        <v>343</v>
      </c>
      <c r="H1501" s="10">
        <v>0</v>
      </c>
      <c r="I1501" s="10" t="s">
        <v>343</v>
      </c>
      <c r="J1501" s="11">
        <v>14059</v>
      </c>
      <c r="K1501" s="11">
        <v>14283</v>
      </c>
      <c r="L1501" s="11">
        <v>28342</v>
      </c>
      <c r="M1501" s="11">
        <v>10207</v>
      </c>
    </row>
    <row r="1502" spans="1:13" x14ac:dyDescent="0.3">
      <c r="A1502" s="10">
        <v>6712</v>
      </c>
      <c r="B1502" s="10">
        <v>53</v>
      </c>
      <c r="C1502" s="10" t="s">
        <v>1815</v>
      </c>
      <c r="D1502" s="10">
        <v>5304</v>
      </c>
      <c r="E1502" s="10" t="s">
        <v>1819</v>
      </c>
      <c r="F1502" s="10">
        <v>0</v>
      </c>
      <c r="G1502" s="10" t="s">
        <v>343</v>
      </c>
      <c r="H1502" s="10">
        <v>0</v>
      </c>
      <c r="I1502" s="10" t="s">
        <v>343</v>
      </c>
      <c r="J1502" s="11">
        <v>16210</v>
      </c>
      <c r="K1502" s="11">
        <v>16299</v>
      </c>
      <c r="L1502" s="11">
        <v>32509</v>
      </c>
      <c r="M1502" s="11">
        <v>12376</v>
      </c>
    </row>
    <row r="1503" spans="1:13" x14ac:dyDescent="0.3">
      <c r="A1503" s="10">
        <v>6712</v>
      </c>
      <c r="B1503" s="10">
        <v>53</v>
      </c>
      <c r="C1503" s="10" t="s">
        <v>1815</v>
      </c>
      <c r="D1503" s="10">
        <v>5305</v>
      </c>
      <c r="E1503" s="10" t="s">
        <v>1820</v>
      </c>
      <c r="F1503" s="10">
        <v>0</v>
      </c>
      <c r="G1503" s="10" t="s">
        <v>343</v>
      </c>
      <c r="H1503" s="10">
        <v>0</v>
      </c>
      <c r="I1503" s="10" t="s">
        <v>343</v>
      </c>
      <c r="J1503" s="11">
        <v>6226</v>
      </c>
      <c r="K1503" s="11">
        <v>6629</v>
      </c>
      <c r="L1503" s="11">
        <v>12855</v>
      </c>
      <c r="M1503" s="11">
        <v>5273</v>
      </c>
    </row>
    <row r="1504" spans="1:13" x14ac:dyDescent="0.3">
      <c r="A1504" s="10">
        <v>6712</v>
      </c>
      <c r="B1504" s="10">
        <v>53</v>
      </c>
      <c r="C1504" s="10" t="s">
        <v>1815</v>
      </c>
      <c r="D1504" s="10">
        <v>5306</v>
      </c>
      <c r="E1504" s="10" t="s">
        <v>1821</v>
      </c>
      <c r="F1504" s="10">
        <v>0</v>
      </c>
      <c r="G1504" s="10" t="s">
        <v>343</v>
      </c>
      <c r="H1504" s="10">
        <v>0</v>
      </c>
      <c r="I1504" s="10" t="s">
        <v>343</v>
      </c>
      <c r="J1504" s="11">
        <v>5199</v>
      </c>
      <c r="K1504" s="11">
        <v>5082</v>
      </c>
      <c r="L1504" s="11">
        <v>10281</v>
      </c>
      <c r="M1504" s="11">
        <v>4683</v>
      </c>
    </row>
    <row r="1505" spans="1:13" x14ac:dyDescent="0.3">
      <c r="A1505" s="10">
        <v>6712</v>
      </c>
      <c r="B1505" s="10">
        <v>53</v>
      </c>
      <c r="C1505" s="10" t="s">
        <v>1815</v>
      </c>
      <c r="D1505" s="10">
        <v>5307</v>
      </c>
      <c r="E1505" s="10" t="s">
        <v>1822</v>
      </c>
      <c r="F1505" s="10">
        <v>0</v>
      </c>
      <c r="G1505" s="10" t="s">
        <v>343</v>
      </c>
      <c r="H1505" s="10">
        <v>0</v>
      </c>
      <c r="I1505" s="10" t="s">
        <v>343</v>
      </c>
      <c r="J1505" s="11">
        <v>33965</v>
      </c>
      <c r="K1505" s="11">
        <v>36035</v>
      </c>
      <c r="L1505" s="11">
        <v>70000</v>
      </c>
      <c r="M1505" s="11">
        <v>26684</v>
      </c>
    </row>
    <row r="1506" spans="1:13" x14ac:dyDescent="0.3">
      <c r="A1506" s="10">
        <v>6712</v>
      </c>
      <c r="B1506" s="10">
        <v>53</v>
      </c>
      <c r="C1506" s="10" t="s">
        <v>1815</v>
      </c>
      <c r="D1506" s="10">
        <v>5308</v>
      </c>
      <c r="E1506" s="10" t="s">
        <v>1823</v>
      </c>
      <c r="F1506" s="10">
        <v>0</v>
      </c>
      <c r="G1506" s="10" t="s">
        <v>343</v>
      </c>
      <c r="H1506" s="10">
        <v>0</v>
      </c>
      <c r="I1506" s="10" t="s">
        <v>343</v>
      </c>
      <c r="J1506" s="11">
        <v>17729</v>
      </c>
      <c r="K1506" s="11">
        <v>18187</v>
      </c>
      <c r="L1506" s="11">
        <v>35916</v>
      </c>
      <c r="M1506" s="11">
        <v>15646</v>
      </c>
    </row>
    <row r="1507" spans="1:13" x14ac:dyDescent="0.3">
      <c r="A1507" s="10">
        <v>6712</v>
      </c>
      <c r="B1507" s="10">
        <v>53</v>
      </c>
      <c r="C1507" s="10" t="s">
        <v>1815</v>
      </c>
      <c r="D1507" s="10">
        <v>5309</v>
      </c>
      <c r="E1507" s="10" t="s">
        <v>1824</v>
      </c>
      <c r="F1507" s="10">
        <v>0</v>
      </c>
      <c r="G1507" s="10" t="s">
        <v>343</v>
      </c>
      <c r="H1507" s="10">
        <v>0</v>
      </c>
      <c r="I1507" s="10" t="s">
        <v>343</v>
      </c>
      <c r="J1507" s="11">
        <v>12740</v>
      </c>
      <c r="K1507" s="11">
        <v>13076</v>
      </c>
      <c r="L1507" s="11">
        <v>25816</v>
      </c>
      <c r="M1507" s="11">
        <v>9842</v>
      </c>
    </row>
    <row r="1508" spans="1:13" x14ac:dyDescent="0.3">
      <c r="A1508" s="10">
        <v>6712</v>
      </c>
      <c r="B1508" s="10">
        <v>53</v>
      </c>
      <c r="C1508" s="10" t="s">
        <v>1815</v>
      </c>
      <c r="D1508" s="10">
        <v>5377</v>
      </c>
      <c r="E1508" s="10" t="s">
        <v>1825</v>
      </c>
      <c r="F1508" s="10">
        <v>0</v>
      </c>
      <c r="G1508" s="10" t="s">
        <v>343</v>
      </c>
      <c r="H1508" s="10">
        <v>0</v>
      </c>
      <c r="I1508" s="10" t="s">
        <v>343</v>
      </c>
      <c r="J1508" s="11">
        <v>7531</v>
      </c>
      <c r="K1508" s="11">
        <v>7357</v>
      </c>
      <c r="L1508" s="11">
        <v>14888</v>
      </c>
      <c r="M1508" s="11">
        <v>7999</v>
      </c>
    </row>
    <row r="1509" spans="1:13" x14ac:dyDescent="0.3">
      <c r="A1509" s="10">
        <v>6712</v>
      </c>
      <c r="B1509" s="10">
        <v>53</v>
      </c>
      <c r="C1509" s="10" t="s">
        <v>1815</v>
      </c>
      <c r="D1509" s="10">
        <v>5378</v>
      </c>
      <c r="E1509" s="10" t="s">
        <v>1826</v>
      </c>
      <c r="F1509" s="10">
        <v>0</v>
      </c>
      <c r="G1509" s="10" t="s">
        <v>343</v>
      </c>
      <c r="H1509" s="10">
        <v>0</v>
      </c>
      <c r="I1509" s="10" t="s">
        <v>343</v>
      </c>
      <c r="J1509" s="11">
        <v>3326</v>
      </c>
      <c r="K1509" s="11">
        <v>3507</v>
      </c>
      <c r="L1509" s="11">
        <v>6833</v>
      </c>
      <c r="M1509" s="11">
        <v>2681</v>
      </c>
    </row>
    <row r="1510" spans="1:13" x14ac:dyDescent="0.3">
      <c r="A1510" s="10">
        <v>6712</v>
      </c>
      <c r="B1510" s="10">
        <v>53</v>
      </c>
      <c r="C1510" s="10" t="s">
        <v>1815</v>
      </c>
      <c r="D1510" s="10">
        <v>5379</v>
      </c>
      <c r="E1510" s="10" t="s">
        <v>1827</v>
      </c>
      <c r="F1510" s="10">
        <v>0</v>
      </c>
      <c r="G1510" s="10" t="s">
        <v>343</v>
      </c>
      <c r="H1510" s="10">
        <v>0</v>
      </c>
      <c r="I1510" s="10" t="s">
        <v>343</v>
      </c>
      <c r="J1510" s="11">
        <v>3582</v>
      </c>
      <c r="K1510" s="11">
        <v>3896</v>
      </c>
      <c r="L1510" s="11">
        <v>7478</v>
      </c>
      <c r="M1510" s="11">
        <v>2736</v>
      </c>
    </row>
    <row r="1511" spans="1:13" x14ac:dyDescent="0.3">
      <c r="A1511" s="10">
        <v>6712</v>
      </c>
      <c r="B1511" s="10">
        <v>53</v>
      </c>
      <c r="C1511" s="10" t="s">
        <v>1815</v>
      </c>
      <c r="D1511" s="10">
        <v>5380</v>
      </c>
      <c r="E1511" s="10" t="s">
        <v>1828</v>
      </c>
      <c r="F1511" s="10">
        <v>0</v>
      </c>
      <c r="G1511" s="10" t="s">
        <v>343</v>
      </c>
      <c r="H1511" s="10">
        <v>0</v>
      </c>
      <c r="I1511" s="10" t="s">
        <v>343</v>
      </c>
      <c r="J1511" s="11">
        <v>4227</v>
      </c>
      <c r="K1511" s="11">
        <v>4082</v>
      </c>
      <c r="L1511" s="11">
        <v>8309</v>
      </c>
      <c r="M1511" s="11">
        <v>2371</v>
      </c>
    </row>
    <row r="1512" spans="1:13" x14ac:dyDescent="0.3">
      <c r="A1512" s="10">
        <v>6712</v>
      </c>
      <c r="B1512" s="10">
        <v>53</v>
      </c>
      <c r="C1512" s="10" t="s">
        <v>1815</v>
      </c>
      <c r="D1512" s="10">
        <v>5381</v>
      </c>
      <c r="E1512" s="10" t="s">
        <v>1829</v>
      </c>
      <c r="F1512" s="10">
        <v>0</v>
      </c>
      <c r="G1512" s="10" t="s">
        <v>343</v>
      </c>
      <c r="H1512" s="10">
        <v>0</v>
      </c>
      <c r="I1512" s="10" t="s">
        <v>343</v>
      </c>
      <c r="J1512" s="11">
        <v>4214</v>
      </c>
      <c r="K1512" s="11">
        <v>4521</v>
      </c>
      <c r="L1512" s="11">
        <v>8735</v>
      </c>
      <c r="M1512" s="11">
        <v>3612</v>
      </c>
    </row>
    <row r="1513" spans="1:13" x14ac:dyDescent="0.3">
      <c r="A1513" s="10">
        <v>6712</v>
      </c>
      <c r="B1513" s="10">
        <v>53</v>
      </c>
      <c r="C1513" s="10" t="s">
        <v>1815</v>
      </c>
      <c r="D1513" s="10">
        <v>5382</v>
      </c>
      <c r="E1513" s="10" t="s">
        <v>1830</v>
      </c>
      <c r="F1513" s="10">
        <v>0</v>
      </c>
      <c r="G1513" s="10" t="s">
        <v>343</v>
      </c>
      <c r="H1513" s="10">
        <v>0</v>
      </c>
      <c r="I1513" s="10" t="s">
        <v>343</v>
      </c>
      <c r="J1513" s="11">
        <v>3796</v>
      </c>
      <c r="K1513" s="11">
        <v>4116</v>
      </c>
      <c r="L1513" s="11">
        <v>7912</v>
      </c>
      <c r="M1513" s="11">
        <v>3163</v>
      </c>
    </row>
    <row r="1514" spans="1:13" x14ac:dyDescent="0.3">
      <c r="A1514" s="10">
        <v>6712</v>
      </c>
      <c r="B1514" s="10">
        <v>53</v>
      </c>
      <c r="C1514" s="10" t="s">
        <v>1815</v>
      </c>
      <c r="D1514" s="10">
        <v>5383</v>
      </c>
      <c r="E1514" s="10" t="s">
        <v>1831</v>
      </c>
      <c r="F1514" s="10">
        <v>0</v>
      </c>
      <c r="G1514" s="10" t="s">
        <v>343</v>
      </c>
      <c r="H1514" s="10">
        <v>0</v>
      </c>
      <c r="I1514" s="10" t="s">
        <v>343</v>
      </c>
      <c r="J1514" s="11">
        <v>4369</v>
      </c>
      <c r="K1514" s="11">
        <v>5087</v>
      </c>
      <c r="L1514" s="11">
        <v>9456</v>
      </c>
      <c r="M1514" s="11">
        <v>4033</v>
      </c>
    </row>
    <row r="1515" spans="1:13" x14ac:dyDescent="0.3">
      <c r="A1515" s="10">
        <v>6712</v>
      </c>
      <c r="B1515" s="10">
        <v>53</v>
      </c>
      <c r="C1515" s="10" t="s">
        <v>1815</v>
      </c>
      <c r="D1515" s="10">
        <v>5384</v>
      </c>
      <c r="E1515" s="10" t="s">
        <v>1832</v>
      </c>
      <c r="F1515" s="10">
        <v>0</v>
      </c>
      <c r="G1515" s="10" t="s">
        <v>343</v>
      </c>
      <c r="H1515" s="10">
        <v>0</v>
      </c>
      <c r="I1515" s="10" t="s">
        <v>343</v>
      </c>
      <c r="J1515" s="11">
        <v>2127</v>
      </c>
      <c r="K1515" s="11">
        <v>2313</v>
      </c>
      <c r="L1515" s="11">
        <v>4440</v>
      </c>
      <c r="M1515" s="11">
        <v>1870</v>
      </c>
    </row>
    <row r="1516" spans="1:13" x14ac:dyDescent="0.3">
      <c r="A1516" s="10">
        <v>6712</v>
      </c>
      <c r="B1516" s="10">
        <v>53</v>
      </c>
      <c r="C1516" s="10" t="s">
        <v>1815</v>
      </c>
      <c r="D1516" s="10">
        <v>5385</v>
      </c>
      <c r="E1516" s="10" t="s">
        <v>1833</v>
      </c>
      <c r="F1516" s="10">
        <v>0</v>
      </c>
      <c r="G1516" s="10" t="s">
        <v>343</v>
      </c>
      <c r="H1516" s="10">
        <v>0</v>
      </c>
      <c r="I1516" s="10" t="s">
        <v>343</v>
      </c>
      <c r="J1516" s="11">
        <v>2613</v>
      </c>
      <c r="K1516" s="11">
        <v>2784</v>
      </c>
      <c r="L1516" s="11">
        <v>5397</v>
      </c>
      <c r="M1516" s="11">
        <v>2230</v>
      </c>
    </row>
    <row r="1517" spans="1:13" x14ac:dyDescent="0.3">
      <c r="A1517" s="10">
        <v>6712</v>
      </c>
      <c r="B1517" s="10">
        <v>53</v>
      </c>
      <c r="C1517" s="10" t="s">
        <v>1815</v>
      </c>
      <c r="D1517" s="10">
        <v>5386</v>
      </c>
      <c r="E1517" s="10" t="s">
        <v>1834</v>
      </c>
      <c r="F1517" s="10">
        <v>0</v>
      </c>
      <c r="G1517" s="10" t="s">
        <v>343</v>
      </c>
      <c r="H1517" s="10">
        <v>0</v>
      </c>
      <c r="I1517" s="10" t="s">
        <v>343</v>
      </c>
      <c r="J1517" s="11">
        <v>4488</v>
      </c>
      <c r="K1517" s="11">
        <v>5194</v>
      </c>
      <c r="L1517" s="11">
        <v>9682</v>
      </c>
      <c r="M1517" s="11">
        <v>4296</v>
      </c>
    </row>
    <row r="1518" spans="1:13" x14ac:dyDescent="0.3">
      <c r="A1518" s="10">
        <v>6712</v>
      </c>
      <c r="B1518" s="10">
        <v>53</v>
      </c>
      <c r="C1518" s="10" t="s">
        <v>1815</v>
      </c>
      <c r="D1518" s="10">
        <v>5387</v>
      </c>
      <c r="E1518" s="10" t="s">
        <v>1835</v>
      </c>
      <c r="F1518" s="10">
        <v>0</v>
      </c>
      <c r="G1518" s="10" t="s">
        <v>343</v>
      </c>
      <c r="H1518" s="10">
        <v>0</v>
      </c>
      <c r="I1518" s="10" t="s">
        <v>343</v>
      </c>
      <c r="J1518" s="10">
        <v>790</v>
      </c>
      <c r="K1518" s="10">
        <v>951</v>
      </c>
      <c r="L1518" s="11">
        <v>1741</v>
      </c>
      <c r="M1518" s="11">
        <v>1018</v>
      </c>
    </row>
    <row r="1519" spans="1:13" x14ac:dyDescent="0.3">
      <c r="A1519" s="10">
        <v>6712</v>
      </c>
      <c r="B1519" s="10">
        <v>53</v>
      </c>
      <c r="C1519" s="10" t="s">
        <v>1815</v>
      </c>
      <c r="D1519" s="10">
        <v>5388</v>
      </c>
      <c r="E1519" s="10" t="s">
        <v>1836</v>
      </c>
      <c r="F1519" s="10">
        <v>0</v>
      </c>
      <c r="G1519" s="10" t="s">
        <v>343</v>
      </c>
      <c r="H1519" s="10">
        <v>0</v>
      </c>
      <c r="I1519" s="10" t="s">
        <v>343</v>
      </c>
      <c r="J1519" s="10">
        <v>545</v>
      </c>
      <c r="K1519" s="10">
        <v>623</v>
      </c>
      <c r="L1519" s="11">
        <v>1168</v>
      </c>
      <c r="M1519" s="10">
        <v>592</v>
      </c>
    </row>
    <row r="1520" spans="1:13" x14ac:dyDescent="0.3">
      <c r="A1520" s="10">
        <v>6712</v>
      </c>
      <c r="B1520" s="10">
        <v>53</v>
      </c>
      <c r="C1520" s="10" t="s">
        <v>1815</v>
      </c>
      <c r="D1520" s="10">
        <v>5389</v>
      </c>
      <c r="E1520" s="10" t="s">
        <v>1267</v>
      </c>
      <c r="F1520" s="10">
        <v>0</v>
      </c>
      <c r="G1520" s="10" t="s">
        <v>343</v>
      </c>
      <c r="H1520" s="10">
        <v>0</v>
      </c>
      <c r="I1520" s="10" t="s">
        <v>343</v>
      </c>
      <c r="J1520" s="11">
        <v>1920</v>
      </c>
      <c r="K1520" s="11">
        <v>1910</v>
      </c>
      <c r="L1520" s="11">
        <v>3830</v>
      </c>
      <c r="M1520" s="11">
        <v>1976</v>
      </c>
    </row>
    <row r="1521" spans="1:13" x14ac:dyDescent="0.3">
      <c r="A1521" s="10">
        <v>6712</v>
      </c>
      <c r="B1521" s="10">
        <v>53</v>
      </c>
      <c r="C1521" s="10" t="s">
        <v>1815</v>
      </c>
      <c r="D1521" s="10">
        <v>5390</v>
      </c>
      <c r="E1521" s="10" t="s">
        <v>1837</v>
      </c>
      <c r="F1521" s="10">
        <v>0</v>
      </c>
      <c r="G1521" s="10" t="s">
        <v>343</v>
      </c>
      <c r="H1521" s="10">
        <v>0</v>
      </c>
      <c r="I1521" s="10" t="s">
        <v>343</v>
      </c>
      <c r="J1521" s="10">
        <v>429</v>
      </c>
      <c r="K1521" s="10">
        <v>397</v>
      </c>
      <c r="L1521" s="10">
        <v>826</v>
      </c>
      <c r="M1521" s="10">
        <v>433</v>
      </c>
    </row>
    <row r="1522" spans="1:13" x14ac:dyDescent="0.3">
      <c r="A1522" s="10">
        <v>6712</v>
      </c>
      <c r="B1522" s="10">
        <v>53</v>
      </c>
      <c r="C1522" s="10" t="s">
        <v>1815</v>
      </c>
      <c r="D1522" s="10">
        <v>5391</v>
      </c>
      <c r="E1522" s="10" t="s">
        <v>1838</v>
      </c>
      <c r="F1522" s="10">
        <v>0</v>
      </c>
      <c r="G1522" s="10" t="s">
        <v>343</v>
      </c>
      <c r="H1522" s="10">
        <v>0</v>
      </c>
      <c r="I1522" s="10" t="s">
        <v>343</v>
      </c>
      <c r="J1522" s="11">
        <v>1325</v>
      </c>
      <c r="K1522" s="11">
        <v>1450</v>
      </c>
      <c r="L1522" s="11">
        <v>2775</v>
      </c>
      <c r="M1522" s="11">
        <v>1618</v>
      </c>
    </row>
    <row r="1523" spans="1:13" x14ac:dyDescent="0.3">
      <c r="A1523" s="10">
        <v>6712</v>
      </c>
      <c r="B1523" s="10">
        <v>53</v>
      </c>
      <c r="C1523" s="10" t="s">
        <v>1815</v>
      </c>
      <c r="D1523" s="10">
        <v>5392</v>
      </c>
      <c r="E1523" s="10" t="s">
        <v>1839</v>
      </c>
      <c r="F1523" s="10">
        <v>0</v>
      </c>
      <c r="G1523" s="10" t="s">
        <v>343</v>
      </c>
      <c r="H1523" s="10">
        <v>0</v>
      </c>
      <c r="I1523" s="10" t="s">
        <v>343</v>
      </c>
      <c r="J1523" s="11">
        <v>1560</v>
      </c>
      <c r="K1523" s="11">
        <v>1750</v>
      </c>
      <c r="L1523" s="11">
        <v>3310</v>
      </c>
      <c r="M1523" s="11">
        <v>1242</v>
      </c>
    </row>
    <row r="1524" spans="1:13" x14ac:dyDescent="0.3">
      <c r="A1524" s="10">
        <v>6712</v>
      </c>
      <c r="B1524" s="10">
        <v>53</v>
      </c>
      <c r="C1524" s="10" t="s">
        <v>1815</v>
      </c>
      <c r="D1524" s="10">
        <v>5393</v>
      </c>
      <c r="E1524" s="10" t="s">
        <v>1840</v>
      </c>
      <c r="F1524" s="10">
        <v>0</v>
      </c>
      <c r="G1524" s="10" t="s">
        <v>343</v>
      </c>
      <c r="H1524" s="10">
        <v>0</v>
      </c>
      <c r="I1524" s="10" t="s">
        <v>343</v>
      </c>
      <c r="J1524" s="11">
        <v>1039</v>
      </c>
      <c r="K1524" s="11">
        <v>1141</v>
      </c>
      <c r="L1524" s="11">
        <v>2180</v>
      </c>
      <c r="M1524" s="10">
        <v>993</v>
      </c>
    </row>
    <row r="1525" spans="1:13" x14ac:dyDescent="0.3">
      <c r="A1525" s="10">
        <v>6712</v>
      </c>
      <c r="B1525" s="10">
        <v>53</v>
      </c>
      <c r="C1525" s="10" t="s">
        <v>1815</v>
      </c>
      <c r="D1525" s="10">
        <v>5394</v>
      </c>
      <c r="E1525" s="10" t="s">
        <v>1841</v>
      </c>
      <c r="F1525" s="10">
        <v>0</v>
      </c>
      <c r="G1525" s="10" t="s">
        <v>343</v>
      </c>
      <c r="H1525" s="10">
        <v>0</v>
      </c>
      <c r="I1525" s="10" t="s">
        <v>343</v>
      </c>
      <c r="J1525" s="10">
        <v>996</v>
      </c>
      <c r="K1525" s="11">
        <v>1066</v>
      </c>
      <c r="L1525" s="11">
        <v>2062</v>
      </c>
      <c r="M1525" s="10">
        <v>904</v>
      </c>
    </row>
    <row r="1526" spans="1:13" x14ac:dyDescent="0.3">
      <c r="A1526" s="10">
        <v>6712</v>
      </c>
      <c r="B1526" s="10">
        <v>53</v>
      </c>
      <c r="C1526" s="10" t="s">
        <v>1815</v>
      </c>
      <c r="D1526" s="10">
        <v>5395</v>
      </c>
      <c r="E1526" s="10" t="s">
        <v>1842</v>
      </c>
      <c r="F1526" s="10">
        <v>0</v>
      </c>
      <c r="G1526" s="10" t="s">
        <v>343</v>
      </c>
      <c r="H1526" s="10">
        <v>0</v>
      </c>
      <c r="I1526" s="10" t="s">
        <v>343</v>
      </c>
      <c r="J1526" s="10">
        <v>796</v>
      </c>
      <c r="K1526" s="10">
        <v>872</v>
      </c>
      <c r="L1526" s="11">
        <v>1668</v>
      </c>
      <c r="M1526" s="10">
        <v>706</v>
      </c>
    </row>
    <row r="1527" spans="1:13" x14ac:dyDescent="0.3">
      <c r="A1527" s="10">
        <v>6712</v>
      </c>
      <c r="B1527" s="10">
        <v>53</v>
      </c>
      <c r="C1527" s="10" t="s">
        <v>1815</v>
      </c>
      <c r="D1527" s="10">
        <v>5396</v>
      </c>
      <c r="E1527" s="10" t="s">
        <v>1843</v>
      </c>
      <c r="F1527" s="10">
        <v>0</v>
      </c>
      <c r="G1527" s="10" t="s">
        <v>343</v>
      </c>
      <c r="H1527" s="10">
        <v>0</v>
      </c>
      <c r="I1527" s="10" t="s">
        <v>343</v>
      </c>
      <c r="J1527" s="11">
        <v>4403</v>
      </c>
      <c r="K1527" s="11">
        <v>4996</v>
      </c>
      <c r="L1527" s="11">
        <v>9399</v>
      </c>
      <c r="M1527" s="11">
        <v>3511</v>
      </c>
    </row>
    <row r="1528" spans="1:13" x14ac:dyDescent="0.3">
      <c r="A1528" s="10">
        <v>6712</v>
      </c>
      <c r="B1528" s="10">
        <v>53</v>
      </c>
      <c r="C1528" s="10" t="s">
        <v>1815</v>
      </c>
      <c r="D1528" s="10">
        <v>5397</v>
      </c>
      <c r="E1528" s="10" t="s">
        <v>1844</v>
      </c>
      <c r="F1528" s="10">
        <v>0</v>
      </c>
      <c r="G1528" s="10" t="s">
        <v>343</v>
      </c>
      <c r="H1528" s="10">
        <v>0</v>
      </c>
      <c r="I1528" s="10" t="s">
        <v>343</v>
      </c>
      <c r="J1528" s="11">
        <v>1809</v>
      </c>
      <c r="K1528" s="11">
        <v>1929</v>
      </c>
      <c r="L1528" s="11">
        <v>3738</v>
      </c>
      <c r="M1528" s="11">
        <v>1414</v>
      </c>
    </row>
    <row r="1529" spans="1:13" x14ac:dyDescent="0.3">
      <c r="A1529" s="10">
        <v>6712</v>
      </c>
      <c r="B1529" s="10">
        <v>53</v>
      </c>
      <c r="C1529" s="10" t="s">
        <v>1815</v>
      </c>
      <c r="D1529" s="10">
        <v>5398</v>
      </c>
      <c r="E1529" s="10" t="s">
        <v>1845</v>
      </c>
      <c r="F1529" s="10">
        <v>0</v>
      </c>
      <c r="G1529" s="10" t="s">
        <v>343</v>
      </c>
      <c r="H1529" s="10">
        <v>0</v>
      </c>
      <c r="I1529" s="10" t="s">
        <v>343</v>
      </c>
      <c r="J1529" s="11">
        <v>1262</v>
      </c>
      <c r="K1529" s="11">
        <v>1492</v>
      </c>
      <c r="L1529" s="11">
        <v>2754</v>
      </c>
      <c r="M1529" s="11">
        <v>1217</v>
      </c>
    </row>
    <row r="1530" spans="1:13" x14ac:dyDescent="0.3">
      <c r="A1530" s="10">
        <v>6712</v>
      </c>
      <c r="B1530" s="10">
        <v>53</v>
      </c>
      <c r="C1530" s="10" t="s">
        <v>1815</v>
      </c>
      <c r="D1530" s="10">
        <v>5399</v>
      </c>
      <c r="E1530" s="10" t="s">
        <v>1846</v>
      </c>
      <c r="F1530" s="10">
        <v>0</v>
      </c>
      <c r="G1530" s="10" t="s">
        <v>343</v>
      </c>
      <c r="H1530" s="10">
        <v>0</v>
      </c>
      <c r="I1530" s="10" t="s">
        <v>343</v>
      </c>
      <c r="J1530" s="11">
        <v>12718</v>
      </c>
      <c r="K1530" s="11">
        <v>15097</v>
      </c>
      <c r="L1530" s="11">
        <v>27815</v>
      </c>
      <c r="M1530" s="11">
        <v>15150</v>
      </c>
    </row>
    <row r="1531" spans="1:13" x14ac:dyDescent="0.3">
      <c r="A1531" s="10">
        <v>6712</v>
      </c>
      <c r="B1531" s="10">
        <v>54</v>
      </c>
      <c r="C1531" s="10" t="s">
        <v>1847</v>
      </c>
      <c r="D1531" s="10">
        <v>0</v>
      </c>
      <c r="E1531" s="10" t="s">
        <v>343</v>
      </c>
      <c r="F1531" s="10">
        <v>0</v>
      </c>
      <c r="G1531" s="10" t="s">
        <v>343</v>
      </c>
      <c r="H1531" s="10">
        <v>0</v>
      </c>
      <c r="I1531" s="10" t="s">
        <v>343</v>
      </c>
      <c r="J1531" s="11">
        <v>202378</v>
      </c>
      <c r="K1531" s="11">
        <v>219367</v>
      </c>
      <c r="L1531" s="11">
        <v>421745</v>
      </c>
      <c r="M1531" s="11">
        <v>185874</v>
      </c>
    </row>
    <row r="1532" spans="1:13" x14ac:dyDescent="0.3">
      <c r="A1532" s="10">
        <v>6712</v>
      </c>
      <c r="B1532" s="10">
        <v>54</v>
      </c>
      <c r="C1532" s="10" t="s">
        <v>1847</v>
      </c>
      <c r="D1532" s="10">
        <v>5401</v>
      </c>
      <c r="E1532" s="10" t="s">
        <v>1848</v>
      </c>
      <c r="F1532" s="10">
        <v>0</v>
      </c>
      <c r="G1532" s="10" t="s">
        <v>343</v>
      </c>
      <c r="H1532" s="10">
        <v>0</v>
      </c>
      <c r="I1532" s="10" t="s">
        <v>343</v>
      </c>
      <c r="J1532" s="11">
        <v>28699</v>
      </c>
      <c r="K1532" s="11">
        <v>32615</v>
      </c>
      <c r="L1532" s="11">
        <v>61314</v>
      </c>
      <c r="M1532" s="11">
        <v>28617</v>
      </c>
    </row>
    <row r="1533" spans="1:13" x14ac:dyDescent="0.3">
      <c r="A1533" s="10">
        <v>6712</v>
      </c>
      <c r="B1533" s="10">
        <v>54</v>
      </c>
      <c r="C1533" s="10" t="s">
        <v>1847</v>
      </c>
      <c r="D1533" s="10">
        <v>5402</v>
      </c>
      <c r="E1533" s="10" t="s">
        <v>1849</v>
      </c>
      <c r="F1533" s="10">
        <v>0</v>
      </c>
      <c r="G1533" s="10" t="s">
        <v>343</v>
      </c>
      <c r="H1533" s="10">
        <v>0</v>
      </c>
      <c r="I1533" s="10" t="s">
        <v>343</v>
      </c>
      <c r="J1533" s="11">
        <v>16518</v>
      </c>
      <c r="K1533" s="11">
        <v>17855</v>
      </c>
      <c r="L1533" s="11">
        <v>34373</v>
      </c>
      <c r="M1533" s="11">
        <v>13142</v>
      </c>
    </row>
    <row r="1534" spans="1:13" x14ac:dyDescent="0.3">
      <c r="A1534" s="10">
        <v>6712</v>
      </c>
      <c r="B1534" s="10">
        <v>54</v>
      </c>
      <c r="C1534" s="10" t="s">
        <v>1847</v>
      </c>
      <c r="D1534" s="10">
        <v>5403</v>
      </c>
      <c r="E1534" s="10" t="s">
        <v>1850</v>
      </c>
      <c r="F1534" s="10">
        <v>0</v>
      </c>
      <c r="G1534" s="10" t="s">
        <v>343</v>
      </c>
      <c r="H1534" s="10">
        <v>0</v>
      </c>
      <c r="I1534" s="10" t="s">
        <v>343</v>
      </c>
      <c r="J1534" s="11">
        <v>14713</v>
      </c>
      <c r="K1534" s="11">
        <v>14999</v>
      </c>
      <c r="L1534" s="11">
        <v>29712</v>
      </c>
      <c r="M1534" s="11">
        <v>11762</v>
      </c>
    </row>
    <row r="1535" spans="1:13" x14ac:dyDescent="0.3">
      <c r="A1535" s="10">
        <v>6712</v>
      </c>
      <c r="B1535" s="10">
        <v>54</v>
      </c>
      <c r="C1535" s="10" t="s">
        <v>1847</v>
      </c>
      <c r="D1535" s="10">
        <v>5404</v>
      </c>
      <c r="E1535" s="10" t="s">
        <v>1851</v>
      </c>
      <c r="F1535" s="10">
        <v>0</v>
      </c>
      <c r="G1535" s="10" t="s">
        <v>343</v>
      </c>
      <c r="H1535" s="10">
        <v>0</v>
      </c>
      <c r="I1535" s="10" t="s">
        <v>343</v>
      </c>
      <c r="J1535" s="11">
        <v>31494</v>
      </c>
      <c r="K1535" s="11">
        <v>34969</v>
      </c>
      <c r="L1535" s="11">
        <v>66463</v>
      </c>
      <c r="M1535" s="11">
        <v>28710</v>
      </c>
    </row>
    <row r="1536" spans="1:13" x14ac:dyDescent="0.3">
      <c r="A1536" s="10">
        <v>6712</v>
      </c>
      <c r="B1536" s="10">
        <v>54</v>
      </c>
      <c r="C1536" s="10" t="s">
        <v>1847</v>
      </c>
      <c r="D1536" s="10">
        <v>5405</v>
      </c>
      <c r="E1536" s="10" t="s">
        <v>1852</v>
      </c>
      <c r="F1536" s="10">
        <v>0</v>
      </c>
      <c r="G1536" s="10" t="s">
        <v>343</v>
      </c>
      <c r="H1536" s="10">
        <v>0</v>
      </c>
      <c r="I1536" s="10" t="s">
        <v>343</v>
      </c>
      <c r="J1536" s="11">
        <v>9912</v>
      </c>
      <c r="K1536" s="11">
        <v>9446</v>
      </c>
      <c r="L1536" s="11">
        <v>19358</v>
      </c>
      <c r="M1536" s="11">
        <v>8691</v>
      </c>
    </row>
    <row r="1537" spans="1:13" x14ac:dyDescent="0.3">
      <c r="A1537" s="10">
        <v>6712</v>
      </c>
      <c r="B1537" s="10">
        <v>54</v>
      </c>
      <c r="C1537" s="10" t="s">
        <v>1847</v>
      </c>
      <c r="D1537" s="10">
        <v>5406</v>
      </c>
      <c r="E1537" s="10" t="s">
        <v>1853</v>
      </c>
      <c r="F1537" s="10">
        <v>0</v>
      </c>
      <c r="G1537" s="10" t="s">
        <v>343</v>
      </c>
      <c r="H1537" s="10">
        <v>0</v>
      </c>
      <c r="I1537" s="10" t="s">
        <v>343</v>
      </c>
      <c r="J1537" s="11">
        <v>19928</v>
      </c>
      <c r="K1537" s="11">
        <v>20891</v>
      </c>
      <c r="L1537" s="11">
        <v>40819</v>
      </c>
      <c r="M1537" s="11">
        <v>16762</v>
      </c>
    </row>
    <row r="1538" spans="1:13" x14ac:dyDescent="0.3">
      <c r="A1538" s="10">
        <v>6712</v>
      </c>
      <c r="B1538" s="10">
        <v>54</v>
      </c>
      <c r="C1538" s="10" t="s">
        <v>1847</v>
      </c>
      <c r="D1538" s="10">
        <v>5407</v>
      </c>
      <c r="E1538" s="10" t="s">
        <v>1854</v>
      </c>
      <c r="F1538" s="10">
        <v>0</v>
      </c>
      <c r="G1538" s="10" t="s">
        <v>343</v>
      </c>
      <c r="H1538" s="10">
        <v>0</v>
      </c>
      <c r="I1538" s="10" t="s">
        <v>343</v>
      </c>
      <c r="J1538" s="11">
        <v>20605</v>
      </c>
      <c r="K1538" s="11">
        <v>20790</v>
      </c>
      <c r="L1538" s="11">
        <v>41395</v>
      </c>
      <c r="M1538" s="11">
        <v>15835</v>
      </c>
    </row>
    <row r="1539" spans="1:13" x14ac:dyDescent="0.3">
      <c r="A1539" s="10">
        <v>6712</v>
      </c>
      <c r="B1539" s="10">
        <v>54</v>
      </c>
      <c r="C1539" s="10" t="s">
        <v>1847</v>
      </c>
      <c r="D1539" s="10">
        <v>5408</v>
      </c>
      <c r="E1539" s="10" t="s">
        <v>1855</v>
      </c>
      <c r="F1539" s="10">
        <v>0</v>
      </c>
      <c r="G1539" s="10" t="s">
        <v>343</v>
      </c>
      <c r="H1539" s="10">
        <v>0</v>
      </c>
      <c r="I1539" s="10" t="s">
        <v>343</v>
      </c>
      <c r="J1539" s="11">
        <v>5656</v>
      </c>
      <c r="K1539" s="11">
        <v>6514</v>
      </c>
      <c r="L1539" s="11">
        <v>12170</v>
      </c>
      <c r="M1539" s="11">
        <v>5136</v>
      </c>
    </row>
    <row r="1540" spans="1:13" x14ac:dyDescent="0.3">
      <c r="A1540" s="10">
        <v>6712</v>
      </c>
      <c r="B1540" s="10">
        <v>54</v>
      </c>
      <c r="C1540" s="10" t="s">
        <v>1847</v>
      </c>
      <c r="D1540" s="10">
        <v>5482</v>
      </c>
      <c r="E1540" s="10" t="s">
        <v>1856</v>
      </c>
      <c r="F1540" s="10">
        <v>0</v>
      </c>
      <c r="G1540" s="10" t="s">
        <v>343</v>
      </c>
      <c r="H1540" s="10">
        <v>0</v>
      </c>
      <c r="I1540" s="10" t="s">
        <v>343</v>
      </c>
      <c r="J1540" s="11">
        <v>3117</v>
      </c>
      <c r="K1540" s="11">
        <v>3277</v>
      </c>
      <c r="L1540" s="11">
        <v>6394</v>
      </c>
      <c r="M1540" s="11">
        <v>2771</v>
      </c>
    </row>
    <row r="1541" spans="1:13" x14ac:dyDescent="0.3">
      <c r="A1541" s="10">
        <v>6712</v>
      </c>
      <c r="B1541" s="10">
        <v>54</v>
      </c>
      <c r="C1541" s="10" t="s">
        <v>1847</v>
      </c>
      <c r="D1541" s="10">
        <v>5483</v>
      </c>
      <c r="E1541" s="10" t="s">
        <v>1857</v>
      </c>
      <c r="F1541" s="10">
        <v>0</v>
      </c>
      <c r="G1541" s="10" t="s">
        <v>343</v>
      </c>
      <c r="H1541" s="10">
        <v>0</v>
      </c>
      <c r="I1541" s="10" t="s">
        <v>343</v>
      </c>
      <c r="J1541" s="11">
        <v>1403</v>
      </c>
      <c r="K1541" s="11">
        <v>1400</v>
      </c>
      <c r="L1541" s="11">
        <v>2803</v>
      </c>
      <c r="M1541" s="11">
        <v>1173</v>
      </c>
    </row>
    <row r="1542" spans="1:13" x14ac:dyDescent="0.3">
      <c r="A1542" s="10">
        <v>6712</v>
      </c>
      <c r="B1542" s="10">
        <v>54</v>
      </c>
      <c r="C1542" s="10" t="s">
        <v>1847</v>
      </c>
      <c r="D1542" s="10">
        <v>5484</v>
      </c>
      <c r="E1542" s="10" t="s">
        <v>1858</v>
      </c>
      <c r="F1542" s="10">
        <v>0</v>
      </c>
      <c r="G1542" s="10" t="s">
        <v>343</v>
      </c>
      <c r="H1542" s="10">
        <v>0</v>
      </c>
      <c r="I1542" s="10" t="s">
        <v>343</v>
      </c>
      <c r="J1542" s="11">
        <v>3066</v>
      </c>
      <c r="K1542" s="11">
        <v>3034</v>
      </c>
      <c r="L1542" s="11">
        <v>6100</v>
      </c>
      <c r="M1542" s="11">
        <v>2509</v>
      </c>
    </row>
    <row r="1543" spans="1:13" x14ac:dyDescent="0.3">
      <c r="A1543" s="10">
        <v>6712</v>
      </c>
      <c r="B1543" s="10">
        <v>54</v>
      </c>
      <c r="C1543" s="10" t="s">
        <v>1847</v>
      </c>
      <c r="D1543" s="10">
        <v>5485</v>
      </c>
      <c r="E1543" s="10" t="s">
        <v>1859</v>
      </c>
      <c r="F1543" s="10">
        <v>0</v>
      </c>
      <c r="G1543" s="10" t="s">
        <v>343</v>
      </c>
      <c r="H1543" s="10">
        <v>0</v>
      </c>
      <c r="I1543" s="10" t="s">
        <v>343</v>
      </c>
      <c r="J1543" s="11">
        <v>5522</v>
      </c>
      <c r="K1543" s="11">
        <v>6348</v>
      </c>
      <c r="L1543" s="11">
        <v>11870</v>
      </c>
      <c r="M1543" s="11">
        <v>5180</v>
      </c>
    </row>
    <row r="1544" spans="1:13" x14ac:dyDescent="0.3">
      <c r="A1544" s="10">
        <v>6712</v>
      </c>
      <c r="B1544" s="10">
        <v>54</v>
      </c>
      <c r="C1544" s="10" t="s">
        <v>1847</v>
      </c>
      <c r="D1544" s="10">
        <v>5486</v>
      </c>
      <c r="E1544" s="10" t="s">
        <v>1860</v>
      </c>
      <c r="F1544" s="10">
        <v>0</v>
      </c>
      <c r="G1544" s="10" t="s">
        <v>343</v>
      </c>
      <c r="H1544" s="10">
        <v>0</v>
      </c>
      <c r="I1544" s="10" t="s">
        <v>343</v>
      </c>
      <c r="J1544" s="11">
        <v>3376</v>
      </c>
      <c r="K1544" s="11">
        <v>3568</v>
      </c>
      <c r="L1544" s="11">
        <v>6944</v>
      </c>
      <c r="M1544" s="11">
        <v>2781</v>
      </c>
    </row>
    <row r="1545" spans="1:13" x14ac:dyDescent="0.3">
      <c r="A1545" s="10">
        <v>6712</v>
      </c>
      <c r="B1545" s="10">
        <v>54</v>
      </c>
      <c r="C1545" s="10" t="s">
        <v>1847</v>
      </c>
      <c r="D1545" s="10">
        <v>5487</v>
      </c>
      <c r="E1545" s="10" t="s">
        <v>1861</v>
      </c>
      <c r="F1545" s="10">
        <v>0</v>
      </c>
      <c r="G1545" s="10" t="s">
        <v>343</v>
      </c>
      <c r="H1545" s="10">
        <v>0</v>
      </c>
      <c r="I1545" s="10" t="s">
        <v>343</v>
      </c>
      <c r="J1545" s="11">
        <v>1954</v>
      </c>
      <c r="K1545" s="11">
        <v>2280</v>
      </c>
      <c r="L1545" s="11">
        <v>4234</v>
      </c>
      <c r="M1545" s="11">
        <v>1934</v>
      </c>
    </row>
    <row r="1546" spans="1:13" x14ac:dyDescent="0.3">
      <c r="A1546" s="10">
        <v>6712</v>
      </c>
      <c r="B1546" s="10">
        <v>54</v>
      </c>
      <c r="C1546" s="10" t="s">
        <v>1847</v>
      </c>
      <c r="D1546" s="10">
        <v>5488</v>
      </c>
      <c r="E1546" s="10" t="s">
        <v>1862</v>
      </c>
      <c r="F1546" s="10">
        <v>0</v>
      </c>
      <c r="G1546" s="10" t="s">
        <v>343</v>
      </c>
      <c r="H1546" s="10">
        <v>0</v>
      </c>
      <c r="I1546" s="10" t="s">
        <v>343</v>
      </c>
      <c r="J1546" s="11">
        <v>1339</v>
      </c>
      <c r="K1546" s="11">
        <v>1418</v>
      </c>
      <c r="L1546" s="11">
        <v>2757</v>
      </c>
      <c r="M1546" s="11">
        <v>1475</v>
      </c>
    </row>
    <row r="1547" spans="1:13" x14ac:dyDescent="0.3">
      <c r="A1547" s="10">
        <v>6712</v>
      </c>
      <c r="B1547" s="10">
        <v>54</v>
      </c>
      <c r="C1547" s="10" t="s">
        <v>1847</v>
      </c>
      <c r="D1547" s="10">
        <v>5489</v>
      </c>
      <c r="E1547" s="10" t="s">
        <v>1863</v>
      </c>
      <c r="F1547" s="10">
        <v>0</v>
      </c>
      <c r="G1547" s="10" t="s">
        <v>343</v>
      </c>
      <c r="H1547" s="10">
        <v>0</v>
      </c>
      <c r="I1547" s="10" t="s">
        <v>343</v>
      </c>
      <c r="J1547" s="11">
        <v>2840</v>
      </c>
      <c r="K1547" s="11">
        <v>3394</v>
      </c>
      <c r="L1547" s="11">
        <v>6234</v>
      </c>
      <c r="M1547" s="11">
        <v>3181</v>
      </c>
    </row>
    <row r="1548" spans="1:13" x14ac:dyDescent="0.3">
      <c r="A1548" s="10">
        <v>6712</v>
      </c>
      <c r="B1548" s="10">
        <v>54</v>
      </c>
      <c r="C1548" s="10" t="s">
        <v>1847</v>
      </c>
      <c r="D1548" s="10">
        <v>5490</v>
      </c>
      <c r="E1548" s="10" t="s">
        <v>1864</v>
      </c>
      <c r="F1548" s="10">
        <v>0</v>
      </c>
      <c r="G1548" s="10" t="s">
        <v>343</v>
      </c>
      <c r="H1548" s="10">
        <v>0</v>
      </c>
      <c r="I1548" s="10" t="s">
        <v>343</v>
      </c>
      <c r="J1548" s="11">
        <v>1725</v>
      </c>
      <c r="K1548" s="11">
        <v>1890</v>
      </c>
      <c r="L1548" s="11">
        <v>3615</v>
      </c>
      <c r="M1548" s="11">
        <v>1605</v>
      </c>
    </row>
    <row r="1549" spans="1:13" x14ac:dyDescent="0.3">
      <c r="A1549" s="10">
        <v>6712</v>
      </c>
      <c r="B1549" s="10">
        <v>54</v>
      </c>
      <c r="C1549" s="10" t="s">
        <v>1847</v>
      </c>
      <c r="D1549" s="10">
        <v>5491</v>
      </c>
      <c r="E1549" s="10" t="s">
        <v>1865</v>
      </c>
      <c r="F1549" s="10">
        <v>0</v>
      </c>
      <c r="G1549" s="10" t="s">
        <v>343</v>
      </c>
      <c r="H1549" s="10">
        <v>0</v>
      </c>
      <c r="I1549" s="10" t="s">
        <v>343</v>
      </c>
      <c r="J1549" s="11">
        <v>4950</v>
      </c>
      <c r="K1549" s="11">
        <v>5509</v>
      </c>
      <c r="L1549" s="11">
        <v>10459</v>
      </c>
      <c r="M1549" s="11">
        <v>5316</v>
      </c>
    </row>
    <row r="1550" spans="1:13" x14ac:dyDescent="0.3">
      <c r="A1550" s="10">
        <v>6712</v>
      </c>
      <c r="B1550" s="10">
        <v>54</v>
      </c>
      <c r="C1550" s="10" t="s">
        <v>1847</v>
      </c>
      <c r="D1550" s="10">
        <v>5492</v>
      </c>
      <c r="E1550" s="10" t="s">
        <v>1866</v>
      </c>
      <c r="F1550" s="10">
        <v>0</v>
      </c>
      <c r="G1550" s="10" t="s">
        <v>343</v>
      </c>
      <c r="H1550" s="10">
        <v>0</v>
      </c>
      <c r="I1550" s="10" t="s">
        <v>343</v>
      </c>
      <c r="J1550" s="11">
        <v>1650</v>
      </c>
      <c r="K1550" s="11">
        <v>1896</v>
      </c>
      <c r="L1550" s="11">
        <v>3546</v>
      </c>
      <c r="M1550" s="11">
        <v>1967</v>
      </c>
    </row>
    <row r="1551" spans="1:13" x14ac:dyDescent="0.3">
      <c r="A1551" s="10">
        <v>6712</v>
      </c>
      <c r="B1551" s="10">
        <v>54</v>
      </c>
      <c r="C1551" s="10" t="s">
        <v>1847</v>
      </c>
      <c r="D1551" s="10">
        <v>5493</v>
      </c>
      <c r="E1551" s="10" t="s">
        <v>1867</v>
      </c>
      <c r="F1551" s="10">
        <v>0</v>
      </c>
      <c r="G1551" s="10" t="s">
        <v>343</v>
      </c>
      <c r="H1551" s="10">
        <v>0</v>
      </c>
      <c r="I1551" s="10" t="s">
        <v>343</v>
      </c>
      <c r="J1551" s="11">
        <v>2156</v>
      </c>
      <c r="K1551" s="11">
        <v>2440</v>
      </c>
      <c r="L1551" s="11">
        <v>4596</v>
      </c>
      <c r="M1551" s="11">
        <v>2259</v>
      </c>
    </row>
    <row r="1552" spans="1:13" x14ac:dyDescent="0.3">
      <c r="A1552" s="10">
        <v>6712</v>
      </c>
      <c r="B1552" s="10">
        <v>54</v>
      </c>
      <c r="C1552" s="10" t="s">
        <v>1847</v>
      </c>
      <c r="D1552" s="10">
        <v>5494</v>
      </c>
      <c r="E1552" s="10" t="s">
        <v>1868</v>
      </c>
      <c r="F1552" s="10">
        <v>0</v>
      </c>
      <c r="G1552" s="10" t="s">
        <v>343</v>
      </c>
      <c r="H1552" s="10">
        <v>0</v>
      </c>
      <c r="I1552" s="10" t="s">
        <v>343</v>
      </c>
      <c r="J1552" s="10">
        <v>978</v>
      </c>
      <c r="K1552" s="11">
        <v>1159</v>
      </c>
      <c r="L1552" s="11">
        <v>2137</v>
      </c>
      <c r="M1552" s="10">
        <v>834</v>
      </c>
    </row>
    <row r="1553" spans="1:13" x14ac:dyDescent="0.3">
      <c r="A1553" s="10">
        <v>6712</v>
      </c>
      <c r="B1553" s="10">
        <v>54</v>
      </c>
      <c r="C1553" s="10" t="s">
        <v>1847</v>
      </c>
      <c r="D1553" s="10">
        <v>5495</v>
      </c>
      <c r="E1553" s="10" t="s">
        <v>1869</v>
      </c>
      <c r="F1553" s="10">
        <v>0</v>
      </c>
      <c r="G1553" s="10" t="s">
        <v>343</v>
      </c>
      <c r="H1553" s="10">
        <v>0</v>
      </c>
      <c r="I1553" s="10" t="s">
        <v>343</v>
      </c>
      <c r="J1553" s="11">
        <v>5619</v>
      </c>
      <c r="K1553" s="11">
        <v>6310</v>
      </c>
      <c r="L1553" s="11">
        <v>11929</v>
      </c>
      <c r="M1553" s="11">
        <v>6164</v>
      </c>
    </row>
    <row r="1554" spans="1:13" x14ac:dyDescent="0.3">
      <c r="A1554" s="10">
        <v>6712</v>
      </c>
      <c r="B1554" s="10">
        <v>54</v>
      </c>
      <c r="C1554" s="10" t="s">
        <v>1847</v>
      </c>
      <c r="D1554" s="10">
        <v>5496</v>
      </c>
      <c r="E1554" s="10" t="s">
        <v>1870</v>
      </c>
      <c r="F1554" s="10">
        <v>0</v>
      </c>
      <c r="G1554" s="10" t="s">
        <v>343</v>
      </c>
      <c r="H1554" s="10">
        <v>0</v>
      </c>
      <c r="I1554" s="10" t="s">
        <v>343</v>
      </c>
      <c r="J1554" s="11">
        <v>1940</v>
      </c>
      <c r="K1554" s="11">
        <v>2299</v>
      </c>
      <c r="L1554" s="11">
        <v>4239</v>
      </c>
      <c r="M1554" s="11">
        <v>2062</v>
      </c>
    </row>
    <row r="1555" spans="1:13" x14ac:dyDescent="0.3">
      <c r="A1555" s="10">
        <v>6712</v>
      </c>
      <c r="B1555" s="10">
        <v>54</v>
      </c>
      <c r="C1555" s="10" t="s">
        <v>1847</v>
      </c>
      <c r="D1555" s="10">
        <v>5497</v>
      </c>
      <c r="E1555" s="10" t="s">
        <v>1871</v>
      </c>
      <c r="F1555" s="10">
        <v>0</v>
      </c>
      <c r="G1555" s="10" t="s">
        <v>343</v>
      </c>
      <c r="H1555" s="10">
        <v>0</v>
      </c>
      <c r="I1555" s="10" t="s">
        <v>343</v>
      </c>
      <c r="J1555" s="11">
        <v>2812</v>
      </c>
      <c r="K1555" s="11">
        <v>3255</v>
      </c>
      <c r="L1555" s="11">
        <v>6067</v>
      </c>
      <c r="M1555" s="11">
        <v>3322</v>
      </c>
    </row>
    <row r="1556" spans="1:13" x14ac:dyDescent="0.3">
      <c r="A1556" s="10">
        <v>6712</v>
      </c>
      <c r="B1556" s="10">
        <v>54</v>
      </c>
      <c r="C1556" s="10" t="s">
        <v>1847</v>
      </c>
      <c r="D1556" s="10">
        <v>5498</v>
      </c>
      <c r="E1556" s="10" t="s">
        <v>1872</v>
      </c>
      <c r="F1556" s="10">
        <v>0</v>
      </c>
      <c r="G1556" s="10" t="s">
        <v>343</v>
      </c>
      <c r="H1556" s="10">
        <v>0</v>
      </c>
      <c r="I1556" s="10" t="s">
        <v>343</v>
      </c>
      <c r="J1556" s="11">
        <v>4105</v>
      </c>
      <c r="K1556" s="11">
        <v>4396</v>
      </c>
      <c r="L1556" s="11">
        <v>8501</v>
      </c>
      <c r="M1556" s="11">
        <v>3812</v>
      </c>
    </row>
    <row r="1557" spans="1:13" x14ac:dyDescent="0.3">
      <c r="A1557" s="10">
        <v>6712</v>
      </c>
      <c r="B1557" s="10">
        <v>54</v>
      </c>
      <c r="C1557" s="10" t="s">
        <v>1847</v>
      </c>
      <c r="D1557" s="10">
        <v>5499</v>
      </c>
      <c r="E1557" s="10" t="s">
        <v>1873</v>
      </c>
      <c r="F1557" s="10">
        <v>0</v>
      </c>
      <c r="G1557" s="10" t="s">
        <v>343</v>
      </c>
      <c r="H1557" s="10">
        <v>0</v>
      </c>
      <c r="I1557" s="10" t="s">
        <v>343</v>
      </c>
      <c r="J1557" s="11">
        <v>6301</v>
      </c>
      <c r="K1557" s="11">
        <v>7415</v>
      </c>
      <c r="L1557" s="11">
        <v>13716</v>
      </c>
      <c r="M1557" s="11">
        <v>8874</v>
      </c>
    </row>
    <row r="1558" spans="1:13" x14ac:dyDescent="0.3">
      <c r="A1558" s="10">
        <v>6712</v>
      </c>
      <c r="B1558" s="10">
        <v>55</v>
      </c>
      <c r="C1558" s="10" t="s">
        <v>1874</v>
      </c>
      <c r="D1558" s="10">
        <v>0</v>
      </c>
      <c r="E1558" s="10" t="s">
        <v>343</v>
      </c>
      <c r="F1558" s="10">
        <v>0</v>
      </c>
      <c r="G1558" s="10" t="s">
        <v>343</v>
      </c>
      <c r="H1558" s="10">
        <v>0</v>
      </c>
      <c r="I1558" s="10" t="s">
        <v>343</v>
      </c>
      <c r="J1558" s="11">
        <v>234647</v>
      </c>
      <c r="K1558" s="11">
        <v>235860</v>
      </c>
      <c r="L1558" s="11">
        <v>470507</v>
      </c>
      <c r="M1558" s="11">
        <v>180461</v>
      </c>
    </row>
    <row r="1559" spans="1:13" x14ac:dyDescent="0.3">
      <c r="A1559" s="10">
        <v>6712</v>
      </c>
      <c r="B1559" s="10">
        <v>55</v>
      </c>
      <c r="C1559" s="10" t="s">
        <v>1874</v>
      </c>
      <c r="D1559" s="10">
        <v>5501</v>
      </c>
      <c r="E1559" s="10" t="s">
        <v>1875</v>
      </c>
      <c r="F1559" s="10">
        <v>0</v>
      </c>
      <c r="G1559" s="10" t="s">
        <v>343</v>
      </c>
      <c r="H1559" s="10">
        <v>0</v>
      </c>
      <c r="I1559" s="10" t="s">
        <v>343</v>
      </c>
      <c r="J1559" s="11">
        <v>31351</v>
      </c>
      <c r="K1559" s="11">
        <v>31760</v>
      </c>
      <c r="L1559" s="11">
        <v>63111</v>
      </c>
      <c r="M1559" s="11">
        <v>26511</v>
      </c>
    </row>
    <row r="1560" spans="1:13" x14ac:dyDescent="0.3">
      <c r="A1560" s="10">
        <v>6712</v>
      </c>
      <c r="B1560" s="10">
        <v>55</v>
      </c>
      <c r="C1560" s="10" t="s">
        <v>1874</v>
      </c>
      <c r="D1560" s="10">
        <v>5502</v>
      </c>
      <c r="E1560" s="10" t="s">
        <v>1876</v>
      </c>
      <c r="F1560" s="10">
        <v>0</v>
      </c>
      <c r="G1560" s="10" t="s">
        <v>343</v>
      </c>
      <c r="H1560" s="10">
        <v>0</v>
      </c>
      <c r="I1560" s="10" t="s">
        <v>343</v>
      </c>
      <c r="J1560" s="11">
        <v>8397</v>
      </c>
      <c r="K1560" s="11">
        <v>8025</v>
      </c>
      <c r="L1560" s="11">
        <v>16422</v>
      </c>
      <c r="M1560" s="11">
        <v>5048</v>
      </c>
    </row>
    <row r="1561" spans="1:13" x14ac:dyDescent="0.3">
      <c r="A1561" s="10">
        <v>6712</v>
      </c>
      <c r="B1561" s="10">
        <v>55</v>
      </c>
      <c r="C1561" s="10" t="s">
        <v>1874</v>
      </c>
      <c r="D1561" s="10">
        <v>5503</v>
      </c>
      <c r="E1561" s="10" t="s">
        <v>1877</v>
      </c>
      <c r="F1561" s="10">
        <v>0</v>
      </c>
      <c r="G1561" s="10" t="s">
        <v>343</v>
      </c>
      <c r="H1561" s="10">
        <v>0</v>
      </c>
      <c r="I1561" s="10" t="s">
        <v>343</v>
      </c>
      <c r="J1561" s="11">
        <v>5628</v>
      </c>
      <c r="K1561" s="11">
        <v>5552</v>
      </c>
      <c r="L1561" s="11">
        <v>11180</v>
      </c>
      <c r="M1561" s="11">
        <v>4054</v>
      </c>
    </row>
    <row r="1562" spans="1:13" x14ac:dyDescent="0.3">
      <c r="A1562" s="10">
        <v>6712</v>
      </c>
      <c r="B1562" s="10">
        <v>55</v>
      </c>
      <c r="C1562" s="10" t="s">
        <v>1874</v>
      </c>
      <c r="D1562" s="10">
        <v>5504</v>
      </c>
      <c r="E1562" s="10" t="s">
        <v>1878</v>
      </c>
      <c r="F1562" s="10">
        <v>0</v>
      </c>
      <c r="G1562" s="10" t="s">
        <v>343</v>
      </c>
      <c r="H1562" s="10">
        <v>0</v>
      </c>
      <c r="I1562" s="10" t="s">
        <v>343</v>
      </c>
      <c r="J1562" s="11">
        <v>14745</v>
      </c>
      <c r="K1562" s="11">
        <v>14650</v>
      </c>
      <c r="L1562" s="11">
        <v>29395</v>
      </c>
      <c r="M1562" s="11">
        <v>10803</v>
      </c>
    </row>
    <row r="1563" spans="1:13" x14ac:dyDescent="0.3">
      <c r="A1563" s="10">
        <v>6712</v>
      </c>
      <c r="B1563" s="10">
        <v>55</v>
      </c>
      <c r="C1563" s="10" t="s">
        <v>1874</v>
      </c>
      <c r="D1563" s="10">
        <v>5505</v>
      </c>
      <c r="E1563" s="10" t="s">
        <v>1879</v>
      </c>
      <c r="F1563" s="10">
        <v>0</v>
      </c>
      <c r="G1563" s="10" t="s">
        <v>343</v>
      </c>
      <c r="H1563" s="10">
        <v>0</v>
      </c>
      <c r="I1563" s="10" t="s">
        <v>343</v>
      </c>
      <c r="J1563" s="11">
        <v>26457</v>
      </c>
      <c r="K1563" s="11">
        <v>26887</v>
      </c>
      <c r="L1563" s="11">
        <v>53344</v>
      </c>
      <c r="M1563" s="11">
        <v>16887</v>
      </c>
    </row>
    <row r="1564" spans="1:13" x14ac:dyDescent="0.3">
      <c r="A1564" s="10">
        <v>6712</v>
      </c>
      <c r="B1564" s="10">
        <v>55</v>
      </c>
      <c r="C1564" s="10" t="s">
        <v>1874</v>
      </c>
      <c r="D1564" s="10">
        <v>5506</v>
      </c>
      <c r="E1564" s="10" t="s">
        <v>1880</v>
      </c>
      <c r="F1564" s="10">
        <v>0</v>
      </c>
      <c r="G1564" s="10" t="s">
        <v>343</v>
      </c>
      <c r="H1564" s="10">
        <v>0</v>
      </c>
      <c r="I1564" s="10" t="s">
        <v>343</v>
      </c>
      <c r="J1564" s="11">
        <v>22256</v>
      </c>
      <c r="K1564" s="11">
        <v>22457</v>
      </c>
      <c r="L1564" s="11">
        <v>44713</v>
      </c>
      <c r="M1564" s="11">
        <v>15254</v>
      </c>
    </row>
    <row r="1565" spans="1:13" x14ac:dyDescent="0.3">
      <c r="A1565" s="10">
        <v>6712</v>
      </c>
      <c r="B1565" s="10">
        <v>55</v>
      </c>
      <c r="C1565" s="10" t="s">
        <v>1874</v>
      </c>
      <c r="D1565" s="10">
        <v>5507</v>
      </c>
      <c r="E1565" s="10" t="s">
        <v>1881</v>
      </c>
      <c r="F1565" s="10">
        <v>0</v>
      </c>
      <c r="G1565" s="10" t="s">
        <v>343</v>
      </c>
      <c r="H1565" s="10">
        <v>0</v>
      </c>
      <c r="I1565" s="10" t="s">
        <v>343</v>
      </c>
      <c r="J1565" s="11">
        <v>32759</v>
      </c>
      <c r="K1565" s="11">
        <v>32720</v>
      </c>
      <c r="L1565" s="11">
        <v>65479</v>
      </c>
      <c r="M1565" s="11">
        <v>25695</v>
      </c>
    </row>
    <row r="1566" spans="1:13" x14ac:dyDescent="0.3">
      <c r="A1566" s="10">
        <v>6712</v>
      </c>
      <c r="B1566" s="10">
        <v>55</v>
      </c>
      <c r="C1566" s="10" t="s">
        <v>1874</v>
      </c>
      <c r="D1566" s="10">
        <v>5508</v>
      </c>
      <c r="E1566" s="10" t="s">
        <v>1882</v>
      </c>
      <c r="F1566" s="10">
        <v>0</v>
      </c>
      <c r="G1566" s="10" t="s">
        <v>343</v>
      </c>
      <c r="H1566" s="10">
        <v>0</v>
      </c>
      <c r="I1566" s="10" t="s">
        <v>343</v>
      </c>
      <c r="J1566" s="11">
        <v>7884</v>
      </c>
      <c r="K1566" s="11">
        <v>7774</v>
      </c>
      <c r="L1566" s="11">
        <v>15658</v>
      </c>
      <c r="M1566" s="11">
        <v>5349</v>
      </c>
    </row>
    <row r="1567" spans="1:13" x14ac:dyDescent="0.3">
      <c r="A1567" s="10">
        <v>6712</v>
      </c>
      <c r="B1567" s="10">
        <v>55</v>
      </c>
      <c r="C1567" s="10" t="s">
        <v>1874</v>
      </c>
      <c r="D1567" s="10">
        <v>5509</v>
      </c>
      <c r="E1567" s="10" t="s">
        <v>1883</v>
      </c>
      <c r="F1567" s="10">
        <v>0</v>
      </c>
      <c r="G1567" s="10" t="s">
        <v>343</v>
      </c>
      <c r="H1567" s="10">
        <v>0</v>
      </c>
      <c r="I1567" s="10" t="s">
        <v>343</v>
      </c>
      <c r="J1567" s="11">
        <v>8446</v>
      </c>
      <c r="K1567" s="11">
        <v>8656</v>
      </c>
      <c r="L1567" s="11">
        <v>17102</v>
      </c>
      <c r="M1567" s="11">
        <v>6043</v>
      </c>
    </row>
    <row r="1568" spans="1:13" x14ac:dyDescent="0.3">
      <c r="A1568" s="10">
        <v>6712</v>
      </c>
      <c r="B1568" s="10">
        <v>55</v>
      </c>
      <c r="C1568" s="10" t="s">
        <v>1874</v>
      </c>
      <c r="D1568" s="10">
        <v>5510</v>
      </c>
      <c r="E1568" s="10" t="s">
        <v>1884</v>
      </c>
      <c r="F1568" s="10">
        <v>0</v>
      </c>
      <c r="G1568" s="10" t="s">
        <v>343</v>
      </c>
      <c r="H1568" s="10">
        <v>0</v>
      </c>
      <c r="I1568" s="10" t="s">
        <v>343</v>
      </c>
      <c r="J1568" s="11">
        <v>6950</v>
      </c>
      <c r="K1568" s="11">
        <v>6904</v>
      </c>
      <c r="L1568" s="11">
        <v>13854</v>
      </c>
      <c r="M1568" s="11">
        <v>4652</v>
      </c>
    </row>
    <row r="1569" spans="1:13" x14ac:dyDescent="0.3">
      <c r="A1569" s="10">
        <v>6712</v>
      </c>
      <c r="B1569" s="10">
        <v>55</v>
      </c>
      <c r="C1569" s="10" t="s">
        <v>1874</v>
      </c>
      <c r="D1569" s="10">
        <v>5511</v>
      </c>
      <c r="E1569" s="10" t="s">
        <v>1885</v>
      </c>
      <c r="F1569" s="10">
        <v>0</v>
      </c>
      <c r="G1569" s="10" t="s">
        <v>343</v>
      </c>
      <c r="H1569" s="10">
        <v>0</v>
      </c>
      <c r="I1569" s="10" t="s">
        <v>343</v>
      </c>
      <c r="J1569" s="11">
        <v>7927</v>
      </c>
      <c r="K1569" s="11">
        <v>7544</v>
      </c>
      <c r="L1569" s="11">
        <v>15471</v>
      </c>
      <c r="M1569" s="11">
        <v>5373</v>
      </c>
    </row>
    <row r="1570" spans="1:13" x14ac:dyDescent="0.3">
      <c r="A1570" s="10">
        <v>6712</v>
      </c>
      <c r="B1570" s="10">
        <v>55</v>
      </c>
      <c r="C1570" s="10" t="s">
        <v>1874</v>
      </c>
      <c r="D1570" s="10">
        <v>5512</v>
      </c>
      <c r="E1570" s="10" t="s">
        <v>1886</v>
      </c>
      <c r="F1570" s="10">
        <v>0</v>
      </c>
      <c r="G1570" s="10" t="s">
        <v>343</v>
      </c>
      <c r="H1570" s="10">
        <v>0</v>
      </c>
      <c r="I1570" s="10" t="s">
        <v>343</v>
      </c>
      <c r="J1570" s="11">
        <v>7877</v>
      </c>
      <c r="K1570" s="11">
        <v>7518</v>
      </c>
      <c r="L1570" s="11">
        <v>15395</v>
      </c>
      <c r="M1570" s="11">
        <v>5357</v>
      </c>
    </row>
    <row r="1571" spans="1:13" x14ac:dyDescent="0.3">
      <c r="A1571" s="10">
        <v>6712</v>
      </c>
      <c r="B1571" s="10">
        <v>55</v>
      </c>
      <c r="C1571" s="10" t="s">
        <v>1874</v>
      </c>
      <c r="D1571" s="10">
        <v>5513</v>
      </c>
      <c r="E1571" s="10" t="s">
        <v>1887</v>
      </c>
      <c r="F1571" s="10">
        <v>0</v>
      </c>
      <c r="G1571" s="10" t="s">
        <v>343</v>
      </c>
      <c r="H1571" s="10">
        <v>0</v>
      </c>
      <c r="I1571" s="10" t="s">
        <v>343</v>
      </c>
      <c r="J1571" s="11">
        <v>6390</v>
      </c>
      <c r="K1571" s="11">
        <v>6002</v>
      </c>
      <c r="L1571" s="11">
        <v>12392</v>
      </c>
      <c r="M1571" s="11">
        <v>4034</v>
      </c>
    </row>
    <row r="1572" spans="1:13" x14ac:dyDescent="0.3">
      <c r="A1572" s="10">
        <v>6712</v>
      </c>
      <c r="B1572" s="10">
        <v>55</v>
      </c>
      <c r="C1572" s="10" t="s">
        <v>1874</v>
      </c>
      <c r="D1572" s="10">
        <v>5514</v>
      </c>
      <c r="E1572" s="10" t="s">
        <v>1888</v>
      </c>
      <c r="F1572" s="10">
        <v>0</v>
      </c>
      <c r="G1572" s="10" t="s">
        <v>343</v>
      </c>
      <c r="H1572" s="10">
        <v>0</v>
      </c>
      <c r="I1572" s="10" t="s">
        <v>343</v>
      </c>
      <c r="J1572" s="11">
        <v>17567</v>
      </c>
      <c r="K1572" s="11">
        <v>18134</v>
      </c>
      <c r="L1572" s="11">
        <v>35701</v>
      </c>
      <c r="M1572" s="11">
        <v>14578</v>
      </c>
    </row>
    <row r="1573" spans="1:13" x14ac:dyDescent="0.3">
      <c r="A1573" s="10">
        <v>6712</v>
      </c>
      <c r="B1573" s="10">
        <v>55</v>
      </c>
      <c r="C1573" s="10" t="s">
        <v>1874</v>
      </c>
      <c r="D1573" s="10">
        <v>5515</v>
      </c>
      <c r="E1573" s="10" t="s">
        <v>621</v>
      </c>
      <c r="F1573" s="10">
        <v>0</v>
      </c>
      <c r="G1573" s="10" t="s">
        <v>343</v>
      </c>
      <c r="H1573" s="10">
        <v>0</v>
      </c>
      <c r="I1573" s="10" t="s">
        <v>343</v>
      </c>
      <c r="J1573" s="11">
        <v>5018</v>
      </c>
      <c r="K1573" s="11">
        <v>4752</v>
      </c>
      <c r="L1573" s="11">
        <v>9770</v>
      </c>
      <c r="M1573" s="11">
        <v>3497</v>
      </c>
    </row>
    <row r="1574" spans="1:13" x14ac:dyDescent="0.3">
      <c r="A1574" s="10">
        <v>6712</v>
      </c>
      <c r="B1574" s="10">
        <v>55</v>
      </c>
      <c r="C1574" s="10" t="s">
        <v>1874</v>
      </c>
      <c r="D1574" s="10">
        <v>5592</v>
      </c>
      <c r="E1574" s="10" t="s">
        <v>1889</v>
      </c>
      <c r="F1574" s="10">
        <v>0</v>
      </c>
      <c r="G1574" s="10" t="s">
        <v>343</v>
      </c>
      <c r="H1574" s="10">
        <v>0</v>
      </c>
      <c r="I1574" s="10" t="s">
        <v>343</v>
      </c>
      <c r="J1574" s="11">
        <v>4627</v>
      </c>
      <c r="K1574" s="11">
        <v>4785</v>
      </c>
      <c r="L1574" s="11">
        <v>9412</v>
      </c>
      <c r="M1574" s="11">
        <v>4104</v>
      </c>
    </row>
    <row r="1575" spans="1:13" x14ac:dyDescent="0.3">
      <c r="A1575" s="10">
        <v>6712</v>
      </c>
      <c r="B1575" s="10">
        <v>55</v>
      </c>
      <c r="C1575" s="10" t="s">
        <v>1874</v>
      </c>
      <c r="D1575" s="10">
        <v>5593</v>
      </c>
      <c r="E1575" s="10" t="s">
        <v>1890</v>
      </c>
      <c r="F1575" s="10">
        <v>0</v>
      </c>
      <c r="G1575" s="10" t="s">
        <v>343</v>
      </c>
      <c r="H1575" s="10">
        <v>0</v>
      </c>
      <c r="I1575" s="10" t="s">
        <v>343</v>
      </c>
      <c r="J1575" s="11">
        <v>1625</v>
      </c>
      <c r="K1575" s="11">
        <v>1610</v>
      </c>
      <c r="L1575" s="11">
        <v>3235</v>
      </c>
      <c r="M1575" s="11">
        <v>1469</v>
      </c>
    </row>
    <row r="1576" spans="1:13" x14ac:dyDescent="0.3">
      <c r="A1576" s="10">
        <v>6712</v>
      </c>
      <c r="B1576" s="10">
        <v>55</v>
      </c>
      <c r="C1576" s="10" t="s">
        <v>1874</v>
      </c>
      <c r="D1576" s="10">
        <v>5594</v>
      </c>
      <c r="E1576" s="10" t="s">
        <v>1891</v>
      </c>
      <c r="F1576" s="10">
        <v>0</v>
      </c>
      <c r="G1576" s="10" t="s">
        <v>343</v>
      </c>
      <c r="H1576" s="10">
        <v>0</v>
      </c>
      <c r="I1576" s="10" t="s">
        <v>343</v>
      </c>
      <c r="J1576" s="11">
        <v>1229</v>
      </c>
      <c r="K1576" s="11">
        <v>1434</v>
      </c>
      <c r="L1576" s="11">
        <v>2663</v>
      </c>
      <c r="M1576" s="11">
        <v>1344</v>
      </c>
    </row>
    <row r="1577" spans="1:13" x14ac:dyDescent="0.3">
      <c r="A1577" s="10">
        <v>6712</v>
      </c>
      <c r="B1577" s="10">
        <v>55</v>
      </c>
      <c r="C1577" s="10" t="s">
        <v>1874</v>
      </c>
      <c r="D1577" s="10">
        <v>5595</v>
      </c>
      <c r="E1577" s="10" t="s">
        <v>1892</v>
      </c>
      <c r="F1577" s="10">
        <v>0</v>
      </c>
      <c r="G1577" s="10" t="s">
        <v>343</v>
      </c>
      <c r="H1577" s="10">
        <v>0</v>
      </c>
      <c r="I1577" s="10" t="s">
        <v>343</v>
      </c>
      <c r="J1577" s="11">
        <v>2438</v>
      </c>
      <c r="K1577" s="11">
        <v>2696</v>
      </c>
      <c r="L1577" s="11">
        <v>5134</v>
      </c>
      <c r="M1577" s="11">
        <v>2852</v>
      </c>
    </row>
    <row r="1578" spans="1:13" x14ac:dyDescent="0.3">
      <c r="A1578" s="10">
        <v>6712</v>
      </c>
      <c r="B1578" s="10">
        <v>55</v>
      </c>
      <c r="C1578" s="10" t="s">
        <v>1874</v>
      </c>
      <c r="D1578" s="10">
        <v>5596</v>
      </c>
      <c r="E1578" s="10" t="s">
        <v>1893</v>
      </c>
      <c r="F1578" s="10">
        <v>0</v>
      </c>
      <c r="G1578" s="10" t="s">
        <v>343</v>
      </c>
      <c r="H1578" s="10">
        <v>0</v>
      </c>
      <c r="I1578" s="10" t="s">
        <v>343</v>
      </c>
      <c r="J1578" s="11">
        <v>5003</v>
      </c>
      <c r="K1578" s="11">
        <v>5370</v>
      </c>
      <c r="L1578" s="11">
        <v>10373</v>
      </c>
      <c r="M1578" s="11">
        <v>5223</v>
      </c>
    </row>
    <row r="1579" spans="1:13" x14ac:dyDescent="0.3">
      <c r="A1579" s="10">
        <v>6712</v>
      </c>
      <c r="B1579" s="10">
        <v>55</v>
      </c>
      <c r="C1579" s="10" t="s">
        <v>1874</v>
      </c>
      <c r="D1579" s="10">
        <v>5597</v>
      </c>
      <c r="E1579" s="10" t="s">
        <v>1894</v>
      </c>
      <c r="F1579" s="10">
        <v>0</v>
      </c>
      <c r="G1579" s="10" t="s">
        <v>343</v>
      </c>
      <c r="H1579" s="10">
        <v>0</v>
      </c>
      <c r="I1579" s="10" t="s">
        <v>343</v>
      </c>
      <c r="J1579" s="11">
        <v>1067</v>
      </c>
      <c r="K1579" s="11">
        <v>1219</v>
      </c>
      <c r="L1579" s="11">
        <v>2286</v>
      </c>
      <c r="M1579" s="11">
        <v>1285</v>
      </c>
    </row>
    <row r="1580" spans="1:13" x14ac:dyDescent="0.3">
      <c r="A1580" s="10">
        <v>6712</v>
      </c>
      <c r="B1580" s="10">
        <v>55</v>
      </c>
      <c r="C1580" s="10" t="s">
        <v>1874</v>
      </c>
      <c r="D1580" s="10">
        <v>5599</v>
      </c>
      <c r="E1580" s="10" t="s">
        <v>1895</v>
      </c>
      <c r="F1580" s="10">
        <v>0</v>
      </c>
      <c r="G1580" s="10" t="s">
        <v>343</v>
      </c>
      <c r="H1580" s="10">
        <v>0</v>
      </c>
      <c r="I1580" s="10" t="s">
        <v>343</v>
      </c>
      <c r="J1580" s="11">
        <v>9006</v>
      </c>
      <c r="K1580" s="11">
        <v>9411</v>
      </c>
      <c r="L1580" s="11">
        <v>18417</v>
      </c>
      <c r="M1580" s="11">
        <v>11049</v>
      </c>
    </row>
    <row r="1581" spans="1:13" x14ac:dyDescent="0.3">
      <c r="A1581" s="10">
        <v>6712</v>
      </c>
      <c r="B1581" s="10">
        <v>56</v>
      </c>
      <c r="C1581" s="10" t="s">
        <v>1896</v>
      </c>
      <c r="D1581" s="10">
        <v>0</v>
      </c>
      <c r="E1581" s="10" t="s">
        <v>343</v>
      </c>
      <c r="F1581" s="10">
        <v>0</v>
      </c>
      <c r="G1581" s="10" t="s">
        <v>343</v>
      </c>
      <c r="H1581" s="10">
        <v>0</v>
      </c>
      <c r="I1581" s="10" t="s">
        <v>343</v>
      </c>
      <c r="J1581" s="11">
        <v>220378</v>
      </c>
      <c r="K1581" s="11">
        <v>234386</v>
      </c>
      <c r="L1581" s="11">
        <v>454764</v>
      </c>
      <c r="M1581" s="11">
        <v>204387</v>
      </c>
    </row>
    <row r="1582" spans="1:13" x14ac:dyDescent="0.3">
      <c r="A1582" s="10">
        <v>6712</v>
      </c>
      <c r="B1582" s="10">
        <v>56</v>
      </c>
      <c r="C1582" s="10" t="s">
        <v>1896</v>
      </c>
      <c r="D1582" s="10">
        <v>5601</v>
      </c>
      <c r="E1582" s="10" t="s">
        <v>1897</v>
      </c>
      <c r="F1582" s="10">
        <v>0</v>
      </c>
      <c r="G1582" s="10" t="s">
        <v>343</v>
      </c>
      <c r="H1582" s="10">
        <v>0</v>
      </c>
      <c r="I1582" s="10" t="s">
        <v>343</v>
      </c>
      <c r="J1582" s="11">
        <v>20441</v>
      </c>
      <c r="K1582" s="11">
        <v>21923</v>
      </c>
      <c r="L1582" s="11">
        <v>42364</v>
      </c>
      <c r="M1582" s="11">
        <v>18085</v>
      </c>
    </row>
    <row r="1583" spans="1:13" x14ac:dyDescent="0.3">
      <c r="A1583" s="10">
        <v>6712</v>
      </c>
      <c r="B1583" s="10">
        <v>56</v>
      </c>
      <c r="C1583" s="10" t="s">
        <v>1896</v>
      </c>
      <c r="D1583" s="10">
        <v>5602</v>
      </c>
      <c r="E1583" s="10" t="s">
        <v>1898</v>
      </c>
      <c r="F1583" s="10">
        <v>0</v>
      </c>
      <c r="G1583" s="10" t="s">
        <v>343</v>
      </c>
      <c r="H1583" s="10">
        <v>0</v>
      </c>
      <c r="I1583" s="10" t="s">
        <v>343</v>
      </c>
      <c r="J1583" s="11">
        <v>8316</v>
      </c>
      <c r="K1583" s="11">
        <v>9244</v>
      </c>
      <c r="L1583" s="11">
        <v>17560</v>
      </c>
      <c r="M1583" s="11">
        <v>7567</v>
      </c>
    </row>
    <row r="1584" spans="1:13" x14ac:dyDescent="0.3">
      <c r="A1584" s="10">
        <v>6712</v>
      </c>
      <c r="B1584" s="10">
        <v>56</v>
      </c>
      <c r="C1584" s="10" t="s">
        <v>1896</v>
      </c>
      <c r="D1584" s="10">
        <v>5603</v>
      </c>
      <c r="E1584" s="10" t="s">
        <v>1899</v>
      </c>
      <c r="F1584" s="10">
        <v>0</v>
      </c>
      <c r="G1584" s="10" t="s">
        <v>343</v>
      </c>
      <c r="H1584" s="10">
        <v>0</v>
      </c>
      <c r="I1584" s="10" t="s">
        <v>343</v>
      </c>
      <c r="J1584" s="11">
        <v>27310</v>
      </c>
      <c r="K1584" s="11">
        <v>27690</v>
      </c>
      <c r="L1584" s="11">
        <v>55000</v>
      </c>
      <c r="M1584" s="11">
        <v>22331</v>
      </c>
    </row>
    <row r="1585" spans="1:13" x14ac:dyDescent="0.3">
      <c r="A1585" s="10">
        <v>6712</v>
      </c>
      <c r="B1585" s="10">
        <v>56</v>
      </c>
      <c r="C1585" s="10" t="s">
        <v>1896</v>
      </c>
      <c r="D1585" s="10">
        <v>5604</v>
      </c>
      <c r="E1585" s="10" t="s">
        <v>1900</v>
      </c>
      <c r="F1585" s="10">
        <v>0</v>
      </c>
      <c r="G1585" s="10" t="s">
        <v>343</v>
      </c>
      <c r="H1585" s="10">
        <v>0</v>
      </c>
      <c r="I1585" s="10" t="s">
        <v>343</v>
      </c>
      <c r="J1585" s="11">
        <v>4644</v>
      </c>
      <c r="K1585" s="11">
        <v>4753</v>
      </c>
      <c r="L1585" s="11">
        <v>9397</v>
      </c>
      <c r="M1585" s="11">
        <v>4060</v>
      </c>
    </row>
    <row r="1586" spans="1:13" x14ac:dyDescent="0.3">
      <c r="A1586" s="10">
        <v>6712</v>
      </c>
      <c r="B1586" s="10">
        <v>56</v>
      </c>
      <c r="C1586" s="10" t="s">
        <v>1896</v>
      </c>
      <c r="D1586" s="10">
        <v>5605</v>
      </c>
      <c r="E1586" s="10" t="s">
        <v>1901</v>
      </c>
      <c r="F1586" s="10">
        <v>0</v>
      </c>
      <c r="G1586" s="10" t="s">
        <v>343</v>
      </c>
      <c r="H1586" s="10">
        <v>0</v>
      </c>
      <c r="I1586" s="10" t="s">
        <v>343</v>
      </c>
      <c r="J1586" s="11">
        <v>18026</v>
      </c>
      <c r="K1586" s="11">
        <v>19064</v>
      </c>
      <c r="L1586" s="11">
        <v>37090</v>
      </c>
      <c r="M1586" s="11">
        <v>15365</v>
      </c>
    </row>
    <row r="1587" spans="1:13" x14ac:dyDescent="0.3">
      <c r="A1587" s="10">
        <v>6712</v>
      </c>
      <c r="B1587" s="10">
        <v>56</v>
      </c>
      <c r="C1587" s="10" t="s">
        <v>1896</v>
      </c>
      <c r="D1587" s="10">
        <v>5606</v>
      </c>
      <c r="E1587" s="10" t="s">
        <v>1902</v>
      </c>
      <c r="F1587" s="10">
        <v>0</v>
      </c>
      <c r="G1587" s="10" t="s">
        <v>343</v>
      </c>
      <c r="H1587" s="10">
        <v>0</v>
      </c>
      <c r="I1587" s="10" t="s">
        <v>343</v>
      </c>
      <c r="J1587" s="11">
        <v>19516</v>
      </c>
      <c r="K1587" s="11">
        <v>19440</v>
      </c>
      <c r="L1587" s="11">
        <v>38956</v>
      </c>
      <c r="M1587" s="11">
        <v>12990</v>
      </c>
    </row>
    <row r="1588" spans="1:13" x14ac:dyDescent="0.3">
      <c r="A1588" s="10">
        <v>6712</v>
      </c>
      <c r="B1588" s="10">
        <v>56</v>
      </c>
      <c r="C1588" s="10" t="s">
        <v>1896</v>
      </c>
      <c r="D1588" s="10">
        <v>5607</v>
      </c>
      <c r="E1588" s="10" t="s">
        <v>1903</v>
      </c>
      <c r="F1588" s="10">
        <v>0</v>
      </c>
      <c r="G1588" s="10" t="s">
        <v>343</v>
      </c>
      <c r="H1588" s="10">
        <v>0</v>
      </c>
      <c r="I1588" s="10" t="s">
        <v>343</v>
      </c>
      <c r="J1588" s="11">
        <v>9510</v>
      </c>
      <c r="K1588" s="11">
        <v>10179</v>
      </c>
      <c r="L1588" s="11">
        <v>19689</v>
      </c>
      <c r="M1588" s="11">
        <v>9722</v>
      </c>
    </row>
    <row r="1589" spans="1:13" x14ac:dyDescent="0.3">
      <c r="A1589" s="10">
        <v>6712</v>
      </c>
      <c r="B1589" s="10">
        <v>56</v>
      </c>
      <c r="C1589" s="10" t="s">
        <v>1896</v>
      </c>
      <c r="D1589" s="10">
        <v>5608</v>
      </c>
      <c r="E1589" s="10" t="s">
        <v>1904</v>
      </c>
      <c r="F1589" s="10">
        <v>0</v>
      </c>
      <c r="G1589" s="10" t="s">
        <v>343</v>
      </c>
      <c r="H1589" s="10">
        <v>0</v>
      </c>
      <c r="I1589" s="10" t="s">
        <v>343</v>
      </c>
      <c r="J1589" s="11">
        <v>11866</v>
      </c>
      <c r="K1589" s="11">
        <v>12197</v>
      </c>
      <c r="L1589" s="11">
        <v>24063</v>
      </c>
      <c r="M1589" s="11">
        <v>9964</v>
      </c>
    </row>
    <row r="1590" spans="1:13" x14ac:dyDescent="0.3">
      <c r="A1590" s="10">
        <v>6712</v>
      </c>
      <c r="B1590" s="10">
        <v>56</v>
      </c>
      <c r="C1590" s="10" t="s">
        <v>1896</v>
      </c>
      <c r="D1590" s="10">
        <v>5609</v>
      </c>
      <c r="E1590" s="10" t="s">
        <v>1905</v>
      </c>
      <c r="F1590" s="10">
        <v>0</v>
      </c>
      <c r="G1590" s="10" t="s">
        <v>343</v>
      </c>
      <c r="H1590" s="10">
        <v>0</v>
      </c>
      <c r="I1590" s="10" t="s">
        <v>343</v>
      </c>
      <c r="J1590" s="11">
        <v>5899</v>
      </c>
      <c r="K1590" s="11">
        <v>6454</v>
      </c>
      <c r="L1590" s="11">
        <v>12353</v>
      </c>
      <c r="M1590" s="11">
        <v>5229</v>
      </c>
    </row>
    <row r="1591" spans="1:13" x14ac:dyDescent="0.3">
      <c r="A1591" s="10">
        <v>6712</v>
      </c>
      <c r="B1591" s="10">
        <v>56</v>
      </c>
      <c r="C1591" s="10" t="s">
        <v>1896</v>
      </c>
      <c r="D1591" s="10">
        <v>5677</v>
      </c>
      <c r="E1591" s="10" t="s">
        <v>1906</v>
      </c>
      <c r="F1591" s="10">
        <v>0</v>
      </c>
      <c r="G1591" s="10" t="s">
        <v>343</v>
      </c>
      <c r="H1591" s="10">
        <v>0</v>
      </c>
      <c r="I1591" s="10" t="s">
        <v>343</v>
      </c>
      <c r="J1591" s="11">
        <v>5725</v>
      </c>
      <c r="K1591" s="11">
        <v>6798</v>
      </c>
      <c r="L1591" s="11">
        <v>12523</v>
      </c>
      <c r="M1591" s="11">
        <v>7678</v>
      </c>
    </row>
    <row r="1592" spans="1:13" x14ac:dyDescent="0.3">
      <c r="A1592" s="10">
        <v>6712</v>
      </c>
      <c r="B1592" s="10">
        <v>56</v>
      </c>
      <c r="C1592" s="10" t="s">
        <v>1896</v>
      </c>
      <c r="D1592" s="10">
        <v>5678</v>
      </c>
      <c r="E1592" s="10" t="s">
        <v>1907</v>
      </c>
      <c r="F1592" s="10">
        <v>0</v>
      </c>
      <c r="G1592" s="10" t="s">
        <v>343</v>
      </c>
      <c r="H1592" s="10">
        <v>0</v>
      </c>
      <c r="I1592" s="10" t="s">
        <v>343</v>
      </c>
      <c r="J1592" s="11">
        <v>4062</v>
      </c>
      <c r="K1592" s="11">
        <v>4446</v>
      </c>
      <c r="L1592" s="11">
        <v>8508</v>
      </c>
      <c r="M1592" s="11">
        <v>3426</v>
      </c>
    </row>
    <row r="1593" spans="1:13" x14ac:dyDescent="0.3">
      <c r="A1593" s="10">
        <v>6712</v>
      </c>
      <c r="B1593" s="10">
        <v>56</v>
      </c>
      <c r="C1593" s="10" t="s">
        <v>1896</v>
      </c>
      <c r="D1593" s="10">
        <v>5679</v>
      </c>
      <c r="E1593" s="10" t="s">
        <v>1908</v>
      </c>
      <c r="F1593" s="10">
        <v>0</v>
      </c>
      <c r="G1593" s="10" t="s">
        <v>343</v>
      </c>
      <c r="H1593" s="10">
        <v>0</v>
      </c>
      <c r="I1593" s="10" t="s">
        <v>343</v>
      </c>
      <c r="J1593" s="11">
        <v>4206</v>
      </c>
      <c r="K1593" s="11">
        <v>4464</v>
      </c>
      <c r="L1593" s="11">
        <v>8670</v>
      </c>
      <c r="M1593" s="11">
        <v>3844</v>
      </c>
    </row>
    <row r="1594" spans="1:13" x14ac:dyDescent="0.3">
      <c r="A1594" s="10">
        <v>6712</v>
      </c>
      <c r="B1594" s="10">
        <v>56</v>
      </c>
      <c r="C1594" s="10" t="s">
        <v>1896</v>
      </c>
      <c r="D1594" s="10">
        <v>5680</v>
      </c>
      <c r="E1594" s="10" t="s">
        <v>1909</v>
      </c>
      <c r="F1594" s="10">
        <v>0</v>
      </c>
      <c r="G1594" s="10" t="s">
        <v>343</v>
      </c>
      <c r="H1594" s="10">
        <v>0</v>
      </c>
      <c r="I1594" s="10" t="s">
        <v>343</v>
      </c>
      <c r="J1594" s="11">
        <v>2842</v>
      </c>
      <c r="K1594" s="11">
        <v>3077</v>
      </c>
      <c r="L1594" s="11">
        <v>5919</v>
      </c>
      <c r="M1594" s="11">
        <v>2742</v>
      </c>
    </row>
    <row r="1595" spans="1:13" x14ac:dyDescent="0.3">
      <c r="A1595" s="10">
        <v>6712</v>
      </c>
      <c r="B1595" s="10">
        <v>56</v>
      </c>
      <c r="C1595" s="10" t="s">
        <v>1896</v>
      </c>
      <c r="D1595" s="10">
        <v>5681</v>
      </c>
      <c r="E1595" s="10" t="s">
        <v>1910</v>
      </c>
      <c r="F1595" s="10">
        <v>0</v>
      </c>
      <c r="G1595" s="10" t="s">
        <v>343</v>
      </c>
      <c r="H1595" s="10">
        <v>0</v>
      </c>
      <c r="I1595" s="10" t="s">
        <v>343</v>
      </c>
      <c r="J1595" s="11">
        <v>3112</v>
      </c>
      <c r="K1595" s="11">
        <v>3372</v>
      </c>
      <c r="L1595" s="11">
        <v>6484</v>
      </c>
      <c r="M1595" s="11">
        <v>2883</v>
      </c>
    </row>
    <row r="1596" spans="1:13" x14ac:dyDescent="0.3">
      <c r="A1596" s="10">
        <v>6712</v>
      </c>
      <c r="B1596" s="10">
        <v>56</v>
      </c>
      <c r="C1596" s="10" t="s">
        <v>1896</v>
      </c>
      <c r="D1596" s="10">
        <v>5682</v>
      </c>
      <c r="E1596" s="10" t="s">
        <v>1911</v>
      </c>
      <c r="F1596" s="10">
        <v>0</v>
      </c>
      <c r="G1596" s="10" t="s">
        <v>343</v>
      </c>
      <c r="H1596" s="10">
        <v>0</v>
      </c>
      <c r="I1596" s="10" t="s">
        <v>343</v>
      </c>
      <c r="J1596" s="11">
        <v>4258</v>
      </c>
      <c r="K1596" s="11">
        <v>4547</v>
      </c>
      <c r="L1596" s="11">
        <v>8805</v>
      </c>
      <c r="M1596" s="11">
        <v>4109</v>
      </c>
    </row>
    <row r="1597" spans="1:13" x14ac:dyDescent="0.3">
      <c r="A1597" s="10">
        <v>6712</v>
      </c>
      <c r="B1597" s="10">
        <v>56</v>
      </c>
      <c r="C1597" s="10" t="s">
        <v>1896</v>
      </c>
      <c r="D1597" s="10">
        <v>5683</v>
      </c>
      <c r="E1597" s="10" t="s">
        <v>1912</v>
      </c>
      <c r="F1597" s="10">
        <v>0</v>
      </c>
      <c r="G1597" s="10" t="s">
        <v>343</v>
      </c>
      <c r="H1597" s="10">
        <v>0</v>
      </c>
      <c r="I1597" s="10" t="s">
        <v>343</v>
      </c>
      <c r="J1597" s="11">
        <v>3653</v>
      </c>
      <c r="K1597" s="11">
        <v>3875</v>
      </c>
      <c r="L1597" s="11">
        <v>7528</v>
      </c>
      <c r="M1597" s="11">
        <v>3059</v>
      </c>
    </row>
    <row r="1598" spans="1:13" x14ac:dyDescent="0.3">
      <c r="A1598" s="10">
        <v>6712</v>
      </c>
      <c r="B1598" s="10">
        <v>56</v>
      </c>
      <c r="C1598" s="10" t="s">
        <v>1896</v>
      </c>
      <c r="D1598" s="10">
        <v>5684</v>
      </c>
      <c r="E1598" s="10" t="s">
        <v>1913</v>
      </c>
      <c r="F1598" s="10">
        <v>0</v>
      </c>
      <c r="G1598" s="10" t="s">
        <v>343</v>
      </c>
      <c r="H1598" s="10">
        <v>0</v>
      </c>
      <c r="I1598" s="10" t="s">
        <v>343</v>
      </c>
      <c r="J1598" s="11">
        <v>6053</v>
      </c>
      <c r="K1598" s="11">
        <v>6589</v>
      </c>
      <c r="L1598" s="11">
        <v>12642</v>
      </c>
      <c r="M1598" s="11">
        <v>7344</v>
      </c>
    </row>
    <row r="1599" spans="1:13" x14ac:dyDescent="0.3">
      <c r="A1599" s="10">
        <v>6712</v>
      </c>
      <c r="B1599" s="10">
        <v>56</v>
      </c>
      <c r="C1599" s="10" t="s">
        <v>1896</v>
      </c>
      <c r="D1599" s="10">
        <v>5685</v>
      </c>
      <c r="E1599" s="10" t="s">
        <v>1914</v>
      </c>
      <c r="F1599" s="10">
        <v>0</v>
      </c>
      <c r="G1599" s="10" t="s">
        <v>343</v>
      </c>
      <c r="H1599" s="10">
        <v>0</v>
      </c>
      <c r="I1599" s="10" t="s">
        <v>343</v>
      </c>
      <c r="J1599" s="11">
        <v>4281</v>
      </c>
      <c r="K1599" s="11">
        <v>4500</v>
      </c>
      <c r="L1599" s="11">
        <v>8781</v>
      </c>
      <c r="M1599" s="11">
        <v>3552</v>
      </c>
    </row>
    <row r="1600" spans="1:13" x14ac:dyDescent="0.3">
      <c r="A1600" s="10">
        <v>6712</v>
      </c>
      <c r="B1600" s="10">
        <v>56</v>
      </c>
      <c r="C1600" s="10" t="s">
        <v>1896</v>
      </c>
      <c r="D1600" s="10">
        <v>5686</v>
      </c>
      <c r="E1600" s="10" t="s">
        <v>1915</v>
      </c>
      <c r="F1600" s="10">
        <v>0</v>
      </c>
      <c r="G1600" s="10" t="s">
        <v>343</v>
      </c>
      <c r="H1600" s="10">
        <v>0</v>
      </c>
      <c r="I1600" s="10" t="s">
        <v>343</v>
      </c>
      <c r="J1600" s="11">
        <v>3352</v>
      </c>
      <c r="K1600" s="11">
        <v>3590</v>
      </c>
      <c r="L1600" s="11">
        <v>6942</v>
      </c>
      <c r="M1600" s="11">
        <v>3373</v>
      </c>
    </row>
    <row r="1601" spans="1:13" x14ac:dyDescent="0.3">
      <c r="A1601" s="10">
        <v>6712</v>
      </c>
      <c r="B1601" s="10">
        <v>56</v>
      </c>
      <c r="C1601" s="10" t="s">
        <v>1896</v>
      </c>
      <c r="D1601" s="10">
        <v>5687</v>
      </c>
      <c r="E1601" s="10" t="s">
        <v>1916</v>
      </c>
      <c r="F1601" s="10">
        <v>0</v>
      </c>
      <c r="G1601" s="10" t="s">
        <v>343</v>
      </c>
      <c r="H1601" s="10">
        <v>0</v>
      </c>
      <c r="I1601" s="10" t="s">
        <v>343</v>
      </c>
      <c r="J1601" s="11">
        <v>7926</v>
      </c>
      <c r="K1601" s="11">
        <v>7772</v>
      </c>
      <c r="L1601" s="11">
        <v>15698</v>
      </c>
      <c r="M1601" s="11">
        <v>10113</v>
      </c>
    </row>
    <row r="1602" spans="1:13" x14ac:dyDescent="0.3">
      <c r="A1602" s="10">
        <v>6712</v>
      </c>
      <c r="B1602" s="10">
        <v>56</v>
      </c>
      <c r="C1602" s="10" t="s">
        <v>1896</v>
      </c>
      <c r="D1602" s="10">
        <v>5688</v>
      </c>
      <c r="E1602" s="10" t="s">
        <v>1917</v>
      </c>
      <c r="F1602" s="10">
        <v>0</v>
      </c>
      <c r="G1602" s="10" t="s">
        <v>343</v>
      </c>
      <c r="H1602" s="10">
        <v>0</v>
      </c>
      <c r="I1602" s="10" t="s">
        <v>343</v>
      </c>
      <c r="J1602" s="11">
        <v>3703</v>
      </c>
      <c r="K1602" s="11">
        <v>4262</v>
      </c>
      <c r="L1602" s="11">
        <v>7965</v>
      </c>
      <c r="M1602" s="11">
        <v>3711</v>
      </c>
    </row>
    <row r="1603" spans="1:13" x14ac:dyDescent="0.3">
      <c r="A1603" s="10">
        <v>6712</v>
      </c>
      <c r="B1603" s="10">
        <v>56</v>
      </c>
      <c r="C1603" s="10" t="s">
        <v>1896</v>
      </c>
      <c r="D1603" s="10">
        <v>5689</v>
      </c>
      <c r="E1603" s="10" t="s">
        <v>1918</v>
      </c>
      <c r="F1603" s="10">
        <v>0</v>
      </c>
      <c r="G1603" s="10" t="s">
        <v>343</v>
      </c>
      <c r="H1603" s="10">
        <v>0</v>
      </c>
      <c r="I1603" s="10" t="s">
        <v>343</v>
      </c>
      <c r="J1603" s="11">
        <v>3970</v>
      </c>
      <c r="K1603" s="11">
        <v>4310</v>
      </c>
      <c r="L1603" s="11">
        <v>8280</v>
      </c>
      <c r="M1603" s="11">
        <v>3669</v>
      </c>
    </row>
    <row r="1604" spans="1:13" x14ac:dyDescent="0.3">
      <c r="A1604" s="10">
        <v>6712</v>
      </c>
      <c r="B1604" s="10">
        <v>56</v>
      </c>
      <c r="C1604" s="10" t="s">
        <v>1896</v>
      </c>
      <c r="D1604" s="10">
        <v>5690</v>
      </c>
      <c r="E1604" s="10" t="s">
        <v>1919</v>
      </c>
      <c r="F1604" s="10">
        <v>0</v>
      </c>
      <c r="G1604" s="10" t="s">
        <v>343</v>
      </c>
      <c r="H1604" s="10">
        <v>0</v>
      </c>
      <c r="I1604" s="10" t="s">
        <v>343</v>
      </c>
      <c r="J1604" s="11">
        <v>2286</v>
      </c>
      <c r="K1604" s="11">
        <v>2488</v>
      </c>
      <c r="L1604" s="11">
        <v>4774</v>
      </c>
      <c r="M1604" s="11">
        <v>2242</v>
      </c>
    </row>
    <row r="1605" spans="1:13" x14ac:dyDescent="0.3">
      <c r="A1605" s="10">
        <v>6712</v>
      </c>
      <c r="B1605" s="10">
        <v>56</v>
      </c>
      <c r="C1605" s="10" t="s">
        <v>1896</v>
      </c>
      <c r="D1605" s="10">
        <v>5691</v>
      </c>
      <c r="E1605" s="10" t="s">
        <v>1920</v>
      </c>
      <c r="F1605" s="10">
        <v>0</v>
      </c>
      <c r="G1605" s="10" t="s">
        <v>343</v>
      </c>
      <c r="H1605" s="10">
        <v>0</v>
      </c>
      <c r="I1605" s="10" t="s">
        <v>343</v>
      </c>
      <c r="J1605" s="11">
        <v>2514</v>
      </c>
      <c r="K1605" s="11">
        <v>2794</v>
      </c>
      <c r="L1605" s="11">
        <v>5308</v>
      </c>
      <c r="M1605" s="11">
        <v>2883</v>
      </c>
    </row>
    <row r="1606" spans="1:13" x14ac:dyDescent="0.3">
      <c r="A1606" s="10">
        <v>6712</v>
      </c>
      <c r="B1606" s="10">
        <v>56</v>
      </c>
      <c r="C1606" s="10" t="s">
        <v>1896</v>
      </c>
      <c r="D1606" s="10">
        <v>5692</v>
      </c>
      <c r="E1606" s="10" t="s">
        <v>1921</v>
      </c>
      <c r="F1606" s="10">
        <v>0</v>
      </c>
      <c r="G1606" s="10" t="s">
        <v>343</v>
      </c>
      <c r="H1606" s="10">
        <v>0</v>
      </c>
      <c r="I1606" s="10" t="s">
        <v>343</v>
      </c>
      <c r="J1606" s="11">
        <v>3198</v>
      </c>
      <c r="K1606" s="11">
        <v>3244</v>
      </c>
      <c r="L1606" s="11">
        <v>6442</v>
      </c>
      <c r="M1606" s="11">
        <v>2543</v>
      </c>
    </row>
    <row r="1607" spans="1:13" x14ac:dyDescent="0.3">
      <c r="A1607" s="10">
        <v>6712</v>
      </c>
      <c r="B1607" s="10">
        <v>56</v>
      </c>
      <c r="C1607" s="10" t="s">
        <v>1896</v>
      </c>
      <c r="D1607" s="10">
        <v>5693</v>
      </c>
      <c r="E1607" s="10" t="s">
        <v>1922</v>
      </c>
      <c r="F1607" s="10">
        <v>0</v>
      </c>
      <c r="G1607" s="10" t="s">
        <v>343</v>
      </c>
      <c r="H1607" s="10">
        <v>0</v>
      </c>
      <c r="I1607" s="10" t="s">
        <v>343</v>
      </c>
      <c r="J1607" s="11">
        <v>5513</v>
      </c>
      <c r="K1607" s="11">
        <v>6479</v>
      </c>
      <c r="L1607" s="11">
        <v>11992</v>
      </c>
      <c r="M1607" s="11">
        <v>5484</v>
      </c>
    </row>
    <row r="1608" spans="1:13" x14ac:dyDescent="0.3">
      <c r="A1608" s="10">
        <v>6712</v>
      </c>
      <c r="B1608" s="10">
        <v>56</v>
      </c>
      <c r="C1608" s="10" t="s">
        <v>1896</v>
      </c>
      <c r="D1608" s="10">
        <v>5694</v>
      </c>
      <c r="E1608" s="10" t="s">
        <v>1923</v>
      </c>
      <c r="F1608" s="10">
        <v>0</v>
      </c>
      <c r="G1608" s="10" t="s">
        <v>343</v>
      </c>
      <c r="H1608" s="10">
        <v>0</v>
      </c>
      <c r="I1608" s="10" t="s">
        <v>343</v>
      </c>
      <c r="J1608" s="11">
        <v>3978</v>
      </c>
      <c r="K1608" s="11">
        <v>3985</v>
      </c>
      <c r="L1608" s="11">
        <v>7963</v>
      </c>
      <c r="M1608" s="11">
        <v>3442</v>
      </c>
    </row>
    <row r="1609" spans="1:13" x14ac:dyDescent="0.3">
      <c r="A1609" s="10">
        <v>6712</v>
      </c>
      <c r="B1609" s="10">
        <v>56</v>
      </c>
      <c r="C1609" s="10" t="s">
        <v>1896</v>
      </c>
      <c r="D1609" s="10">
        <v>5695</v>
      </c>
      <c r="E1609" s="10" t="s">
        <v>1924</v>
      </c>
      <c r="F1609" s="10">
        <v>0</v>
      </c>
      <c r="G1609" s="10" t="s">
        <v>343</v>
      </c>
      <c r="H1609" s="10">
        <v>0</v>
      </c>
      <c r="I1609" s="10" t="s">
        <v>343</v>
      </c>
      <c r="J1609" s="11">
        <v>4105</v>
      </c>
      <c r="K1609" s="11">
        <v>4287</v>
      </c>
      <c r="L1609" s="11">
        <v>8392</v>
      </c>
      <c r="M1609" s="11">
        <v>3970</v>
      </c>
    </row>
    <row r="1610" spans="1:13" x14ac:dyDescent="0.3">
      <c r="A1610" s="10">
        <v>6712</v>
      </c>
      <c r="B1610" s="10">
        <v>56</v>
      </c>
      <c r="C1610" s="10" t="s">
        <v>1896</v>
      </c>
      <c r="D1610" s="10">
        <v>5696</v>
      </c>
      <c r="E1610" s="10" t="s">
        <v>1925</v>
      </c>
      <c r="F1610" s="10">
        <v>0</v>
      </c>
      <c r="G1610" s="10" t="s">
        <v>343</v>
      </c>
      <c r="H1610" s="10">
        <v>0</v>
      </c>
      <c r="I1610" s="10" t="s">
        <v>343</v>
      </c>
      <c r="J1610" s="11">
        <v>2572</v>
      </c>
      <c r="K1610" s="11">
        <v>2727</v>
      </c>
      <c r="L1610" s="11">
        <v>5299</v>
      </c>
      <c r="M1610" s="11">
        <v>2344</v>
      </c>
    </row>
    <row r="1611" spans="1:13" x14ac:dyDescent="0.3">
      <c r="A1611" s="10">
        <v>6712</v>
      </c>
      <c r="B1611" s="10">
        <v>56</v>
      </c>
      <c r="C1611" s="10" t="s">
        <v>1896</v>
      </c>
      <c r="D1611" s="10">
        <v>5697</v>
      </c>
      <c r="E1611" s="10" t="s">
        <v>1926</v>
      </c>
      <c r="F1611" s="10">
        <v>0</v>
      </c>
      <c r="G1611" s="10" t="s">
        <v>343</v>
      </c>
      <c r="H1611" s="10">
        <v>0</v>
      </c>
      <c r="I1611" s="10" t="s">
        <v>343</v>
      </c>
      <c r="J1611" s="11">
        <v>2670</v>
      </c>
      <c r="K1611" s="11">
        <v>3295</v>
      </c>
      <c r="L1611" s="11">
        <v>5965</v>
      </c>
      <c r="M1611" s="11">
        <v>3778</v>
      </c>
    </row>
    <row r="1612" spans="1:13" x14ac:dyDescent="0.3">
      <c r="A1612" s="10">
        <v>6712</v>
      </c>
      <c r="B1612" s="10">
        <v>56</v>
      </c>
      <c r="C1612" s="10" t="s">
        <v>1896</v>
      </c>
      <c r="D1612" s="10">
        <v>5698</v>
      </c>
      <c r="E1612" s="10" t="s">
        <v>1927</v>
      </c>
      <c r="F1612" s="10">
        <v>0</v>
      </c>
      <c r="G1612" s="10" t="s">
        <v>343</v>
      </c>
      <c r="H1612" s="10">
        <v>0</v>
      </c>
      <c r="I1612" s="10" t="s">
        <v>343</v>
      </c>
      <c r="J1612" s="11">
        <v>3804</v>
      </c>
      <c r="K1612" s="11">
        <v>4189</v>
      </c>
      <c r="L1612" s="11">
        <v>7993</v>
      </c>
      <c r="M1612" s="11">
        <v>4473</v>
      </c>
    </row>
    <row r="1613" spans="1:13" x14ac:dyDescent="0.3">
      <c r="A1613" s="10">
        <v>6712</v>
      </c>
      <c r="B1613" s="10">
        <v>56</v>
      </c>
      <c r="C1613" s="10" t="s">
        <v>1896</v>
      </c>
      <c r="D1613" s="10">
        <v>5699</v>
      </c>
      <c r="E1613" s="10" t="s">
        <v>1928</v>
      </c>
      <c r="F1613" s="10">
        <v>0</v>
      </c>
      <c r="G1613" s="10" t="s">
        <v>343</v>
      </c>
      <c r="H1613" s="10">
        <v>0</v>
      </c>
      <c r="I1613" s="10" t="s">
        <v>343</v>
      </c>
      <c r="J1613" s="11">
        <v>7067</v>
      </c>
      <c r="K1613" s="11">
        <v>8352</v>
      </c>
      <c r="L1613" s="11">
        <v>15419</v>
      </c>
      <c r="M1613" s="11">
        <v>8412</v>
      </c>
    </row>
    <row r="1614" spans="1:13" x14ac:dyDescent="0.3">
      <c r="A1614" s="10">
        <v>6712</v>
      </c>
      <c r="B1614" s="10">
        <v>57</v>
      </c>
      <c r="C1614" s="10" t="s">
        <v>1929</v>
      </c>
      <c r="D1614" s="10">
        <v>0</v>
      </c>
      <c r="E1614" s="10" t="s">
        <v>343</v>
      </c>
      <c r="F1614" s="10">
        <v>0</v>
      </c>
      <c r="G1614" s="10" t="s">
        <v>343</v>
      </c>
      <c r="H1614" s="10">
        <v>0</v>
      </c>
      <c r="I1614" s="10" t="s">
        <v>343</v>
      </c>
      <c r="J1614" s="11">
        <v>628811</v>
      </c>
      <c r="K1614" s="11">
        <v>668846</v>
      </c>
      <c r="L1614" s="11">
        <v>1297657</v>
      </c>
      <c r="M1614" s="11">
        <v>594808</v>
      </c>
    </row>
    <row r="1615" spans="1:13" x14ac:dyDescent="0.3">
      <c r="A1615" s="10">
        <v>6712</v>
      </c>
      <c r="B1615" s="10">
        <v>57</v>
      </c>
      <c r="C1615" s="10" t="s">
        <v>1929</v>
      </c>
      <c r="D1615" s="10">
        <v>5701</v>
      </c>
      <c r="E1615" s="10" t="s">
        <v>1930</v>
      </c>
      <c r="F1615" s="10">
        <v>0</v>
      </c>
      <c r="G1615" s="10" t="s">
        <v>343</v>
      </c>
      <c r="H1615" s="10">
        <v>0</v>
      </c>
      <c r="I1615" s="10" t="s">
        <v>343</v>
      </c>
      <c r="J1615" s="11">
        <v>52453</v>
      </c>
      <c r="K1615" s="11">
        <v>57164</v>
      </c>
      <c r="L1615" s="11">
        <v>109617</v>
      </c>
      <c r="M1615" s="11">
        <v>56840</v>
      </c>
    </row>
    <row r="1616" spans="1:13" x14ac:dyDescent="0.3">
      <c r="A1616" s="10">
        <v>6712</v>
      </c>
      <c r="B1616" s="10">
        <v>57</v>
      </c>
      <c r="C1616" s="10" t="s">
        <v>1929</v>
      </c>
      <c r="D1616" s="10">
        <v>5702</v>
      </c>
      <c r="E1616" s="10" t="s">
        <v>1931</v>
      </c>
      <c r="F1616" s="10">
        <v>0</v>
      </c>
      <c r="G1616" s="10" t="s">
        <v>343</v>
      </c>
      <c r="H1616" s="10">
        <v>0</v>
      </c>
      <c r="I1616" s="10" t="s">
        <v>343</v>
      </c>
      <c r="J1616" s="11">
        <v>18740</v>
      </c>
      <c r="K1616" s="11">
        <v>19961</v>
      </c>
      <c r="L1616" s="11">
        <v>38701</v>
      </c>
      <c r="M1616" s="11">
        <v>16544</v>
      </c>
    </row>
    <row r="1617" spans="1:13" x14ac:dyDescent="0.3">
      <c r="A1617" s="10">
        <v>6712</v>
      </c>
      <c r="B1617" s="10">
        <v>57</v>
      </c>
      <c r="C1617" s="10" t="s">
        <v>1929</v>
      </c>
      <c r="D1617" s="10">
        <v>5703</v>
      </c>
      <c r="E1617" s="10" t="s">
        <v>1932</v>
      </c>
      <c r="F1617" s="10">
        <v>0</v>
      </c>
      <c r="G1617" s="10" t="s">
        <v>343</v>
      </c>
      <c r="H1617" s="10">
        <v>0</v>
      </c>
      <c r="I1617" s="10" t="s">
        <v>343</v>
      </c>
      <c r="J1617" s="11">
        <v>12246</v>
      </c>
      <c r="K1617" s="11">
        <v>12689</v>
      </c>
      <c r="L1617" s="11">
        <v>24935</v>
      </c>
      <c r="M1617" s="11">
        <v>11028</v>
      </c>
    </row>
    <row r="1618" spans="1:13" x14ac:dyDescent="0.3">
      <c r="A1618" s="10">
        <v>6712</v>
      </c>
      <c r="B1618" s="10">
        <v>57</v>
      </c>
      <c r="C1618" s="10" t="s">
        <v>1929</v>
      </c>
      <c r="D1618" s="10">
        <v>5704</v>
      </c>
      <c r="E1618" s="10" t="s">
        <v>1933</v>
      </c>
      <c r="F1618" s="10">
        <v>0</v>
      </c>
      <c r="G1618" s="10" t="s">
        <v>343</v>
      </c>
      <c r="H1618" s="10">
        <v>0</v>
      </c>
      <c r="I1618" s="10" t="s">
        <v>343</v>
      </c>
      <c r="J1618" s="11">
        <v>36422</v>
      </c>
      <c r="K1618" s="11">
        <v>37372</v>
      </c>
      <c r="L1618" s="11">
        <v>73794</v>
      </c>
      <c r="M1618" s="11">
        <v>30067</v>
      </c>
    </row>
    <row r="1619" spans="1:13" x14ac:dyDescent="0.3">
      <c r="A1619" s="10">
        <v>6712</v>
      </c>
      <c r="B1619" s="10">
        <v>57</v>
      </c>
      <c r="C1619" s="10" t="s">
        <v>1929</v>
      </c>
      <c r="D1619" s="10">
        <v>5705</v>
      </c>
      <c r="E1619" s="10" t="s">
        <v>1934</v>
      </c>
      <c r="F1619" s="10">
        <v>0</v>
      </c>
      <c r="G1619" s="10" t="s">
        <v>343</v>
      </c>
      <c r="H1619" s="10">
        <v>0</v>
      </c>
      <c r="I1619" s="10" t="s">
        <v>343</v>
      </c>
      <c r="J1619" s="11">
        <v>52555</v>
      </c>
      <c r="K1619" s="11">
        <v>56088</v>
      </c>
      <c r="L1619" s="11">
        <v>108643</v>
      </c>
      <c r="M1619" s="11">
        <v>49947</v>
      </c>
    </row>
    <row r="1620" spans="1:13" x14ac:dyDescent="0.3">
      <c r="A1620" s="10">
        <v>6712</v>
      </c>
      <c r="B1620" s="10">
        <v>57</v>
      </c>
      <c r="C1620" s="10" t="s">
        <v>1929</v>
      </c>
      <c r="D1620" s="10">
        <v>5706</v>
      </c>
      <c r="E1620" s="10" t="s">
        <v>1935</v>
      </c>
      <c r="F1620" s="10">
        <v>0</v>
      </c>
      <c r="G1620" s="10" t="s">
        <v>343</v>
      </c>
      <c r="H1620" s="10">
        <v>0</v>
      </c>
      <c r="I1620" s="10" t="s">
        <v>343</v>
      </c>
      <c r="J1620" s="11">
        <v>5714</v>
      </c>
      <c r="K1620" s="11">
        <v>5872</v>
      </c>
      <c r="L1620" s="11">
        <v>11586</v>
      </c>
      <c r="M1620" s="11">
        <v>4239</v>
      </c>
    </row>
    <row r="1621" spans="1:13" x14ac:dyDescent="0.3">
      <c r="A1621" s="10">
        <v>6712</v>
      </c>
      <c r="B1621" s="10">
        <v>57</v>
      </c>
      <c r="C1621" s="10" t="s">
        <v>1929</v>
      </c>
      <c r="D1621" s="10">
        <v>5707</v>
      </c>
      <c r="E1621" s="10" t="s">
        <v>1936</v>
      </c>
      <c r="F1621" s="10">
        <v>0</v>
      </c>
      <c r="G1621" s="10" t="s">
        <v>343</v>
      </c>
      <c r="H1621" s="10">
        <v>0</v>
      </c>
      <c r="I1621" s="10" t="s">
        <v>343</v>
      </c>
      <c r="J1621" s="11">
        <v>33649</v>
      </c>
      <c r="K1621" s="11">
        <v>36232</v>
      </c>
      <c r="L1621" s="11">
        <v>69881</v>
      </c>
      <c r="M1621" s="11">
        <v>29779</v>
      </c>
    </row>
    <row r="1622" spans="1:13" x14ac:dyDescent="0.3">
      <c r="A1622" s="10">
        <v>6712</v>
      </c>
      <c r="B1622" s="10">
        <v>57</v>
      </c>
      <c r="C1622" s="10" t="s">
        <v>1929</v>
      </c>
      <c r="D1622" s="10">
        <v>5708</v>
      </c>
      <c r="E1622" s="10" t="s">
        <v>1937</v>
      </c>
      <c r="F1622" s="10">
        <v>0</v>
      </c>
      <c r="G1622" s="10" t="s">
        <v>343</v>
      </c>
      <c r="H1622" s="10">
        <v>0</v>
      </c>
      <c r="I1622" s="10" t="s">
        <v>343</v>
      </c>
      <c r="J1622" s="11">
        <v>24047</v>
      </c>
      <c r="K1622" s="11">
        <v>25293</v>
      </c>
      <c r="L1622" s="11">
        <v>49340</v>
      </c>
      <c r="M1622" s="11">
        <v>19727</v>
      </c>
    </row>
    <row r="1623" spans="1:13" x14ac:dyDescent="0.3">
      <c r="A1623" s="10">
        <v>6712</v>
      </c>
      <c r="B1623" s="10">
        <v>57</v>
      </c>
      <c r="C1623" s="10" t="s">
        <v>1929</v>
      </c>
      <c r="D1623" s="10">
        <v>5709</v>
      </c>
      <c r="E1623" s="10" t="s">
        <v>1938</v>
      </c>
      <c r="F1623" s="10">
        <v>0</v>
      </c>
      <c r="G1623" s="10" t="s">
        <v>343</v>
      </c>
      <c r="H1623" s="10">
        <v>0</v>
      </c>
      <c r="I1623" s="10" t="s">
        <v>343</v>
      </c>
      <c r="J1623" s="11">
        <v>36163</v>
      </c>
      <c r="K1623" s="11">
        <v>40677</v>
      </c>
      <c r="L1623" s="11">
        <v>76840</v>
      </c>
      <c r="M1623" s="11">
        <v>31758</v>
      </c>
    </row>
    <row r="1624" spans="1:13" x14ac:dyDescent="0.3">
      <c r="A1624" s="10">
        <v>6712</v>
      </c>
      <c r="B1624" s="10">
        <v>57</v>
      </c>
      <c r="C1624" s="10" t="s">
        <v>1929</v>
      </c>
      <c r="D1624" s="10">
        <v>5710</v>
      </c>
      <c r="E1624" s="10" t="s">
        <v>1939</v>
      </c>
      <c r="F1624" s="10">
        <v>0</v>
      </c>
      <c r="G1624" s="10" t="s">
        <v>343</v>
      </c>
      <c r="H1624" s="10">
        <v>0</v>
      </c>
      <c r="I1624" s="10" t="s">
        <v>343</v>
      </c>
      <c r="J1624" s="11">
        <v>39608</v>
      </c>
      <c r="K1624" s="11">
        <v>39315</v>
      </c>
      <c r="L1624" s="11">
        <v>78923</v>
      </c>
      <c r="M1624" s="11">
        <v>30764</v>
      </c>
    </row>
    <row r="1625" spans="1:13" x14ac:dyDescent="0.3">
      <c r="A1625" s="10">
        <v>6712</v>
      </c>
      <c r="B1625" s="10">
        <v>57</v>
      </c>
      <c r="C1625" s="10" t="s">
        <v>1929</v>
      </c>
      <c r="D1625" s="10">
        <v>5711</v>
      </c>
      <c r="E1625" s="10" t="s">
        <v>1940</v>
      </c>
      <c r="F1625" s="10">
        <v>0</v>
      </c>
      <c r="G1625" s="10" t="s">
        <v>343</v>
      </c>
      <c r="H1625" s="10">
        <v>0</v>
      </c>
      <c r="I1625" s="10" t="s">
        <v>343</v>
      </c>
      <c r="J1625" s="11">
        <v>29852</v>
      </c>
      <c r="K1625" s="11">
        <v>30607</v>
      </c>
      <c r="L1625" s="11">
        <v>60459</v>
      </c>
      <c r="M1625" s="11">
        <v>25740</v>
      </c>
    </row>
    <row r="1626" spans="1:13" x14ac:dyDescent="0.3">
      <c r="A1626" s="10">
        <v>6712</v>
      </c>
      <c r="B1626" s="10">
        <v>57</v>
      </c>
      <c r="C1626" s="10" t="s">
        <v>1929</v>
      </c>
      <c r="D1626" s="10">
        <v>5712</v>
      </c>
      <c r="E1626" s="10" t="s">
        <v>1941</v>
      </c>
      <c r="F1626" s="10">
        <v>0</v>
      </c>
      <c r="G1626" s="10" t="s">
        <v>343</v>
      </c>
      <c r="H1626" s="10">
        <v>0</v>
      </c>
      <c r="I1626" s="10" t="s">
        <v>343</v>
      </c>
      <c r="J1626" s="11">
        <v>13476</v>
      </c>
      <c r="K1626" s="11">
        <v>13772</v>
      </c>
      <c r="L1626" s="11">
        <v>27248</v>
      </c>
      <c r="M1626" s="11">
        <v>10280</v>
      </c>
    </row>
    <row r="1627" spans="1:13" x14ac:dyDescent="0.3">
      <c r="A1627" s="10">
        <v>6712</v>
      </c>
      <c r="B1627" s="10">
        <v>57</v>
      </c>
      <c r="C1627" s="10" t="s">
        <v>1929</v>
      </c>
      <c r="D1627" s="10">
        <v>5713</v>
      </c>
      <c r="E1627" s="10" t="s">
        <v>1942</v>
      </c>
      <c r="F1627" s="10">
        <v>0</v>
      </c>
      <c r="G1627" s="10" t="s">
        <v>343</v>
      </c>
      <c r="H1627" s="10">
        <v>0</v>
      </c>
      <c r="I1627" s="10" t="s">
        <v>343</v>
      </c>
      <c r="J1627" s="11">
        <v>19264</v>
      </c>
      <c r="K1627" s="11">
        <v>18975</v>
      </c>
      <c r="L1627" s="11">
        <v>38239</v>
      </c>
      <c r="M1627" s="11">
        <v>14422</v>
      </c>
    </row>
    <row r="1628" spans="1:13" x14ac:dyDescent="0.3">
      <c r="A1628" s="10">
        <v>6712</v>
      </c>
      <c r="B1628" s="10">
        <v>57</v>
      </c>
      <c r="C1628" s="10" t="s">
        <v>1929</v>
      </c>
      <c r="D1628" s="10">
        <v>5714</v>
      </c>
      <c r="E1628" s="10" t="s">
        <v>1943</v>
      </c>
      <c r="F1628" s="10">
        <v>0</v>
      </c>
      <c r="G1628" s="10" t="s">
        <v>343</v>
      </c>
      <c r="H1628" s="10">
        <v>0</v>
      </c>
      <c r="I1628" s="10" t="s">
        <v>343</v>
      </c>
      <c r="J1628" s="11">
        <v>6781</v>
      </c>
      <c r="K1628" s="11">
        <v>7100</v>
      </c>
      <c r="L1628" s="11">
        <v>13881</v>
      </c>
      <c r="M1628" s="11">
        <v>5798</v>
      </c>
    </row>
    <row r="1629" spans="1:13" x14ac:dyDescent="0.3">
      <c r="A1629" s="10">
        <v>6712</v>
      </c>
      <c r="B1629" s="10">
        <v>57</v>
      </c>
      <c r="C1629" s="10" t="s">
        <v>1929</v>
      </c>
      <c r="D1629" s="10">
        <v>5715</v>
      </c>
      <c r="E1629" s="10" t="s">
        <v>1944</v>
      </c>
      <c r="F1629" s="10">
        <v>0</v>
      </c>
      <c r="G1629" s="10" t="s">
        <v>343</v>
      </c>
      <c r="H1629" s="10">
        <v>0</v>
      </c>
      <c r="I1629" s="10" t="s">
        <v>343</v>
      </c>
      <c r="J1629" s="11">
        <v>38716</v>
      </c>
      <c r="K1629" s="11">
        <v>39069</v>
      </c>
      <c r="L1629" s="11">
        <v>77785</v>
      </c>
      <c r="M1629" s="11">
        <v>26656</v>
      </c>
    </row>
    <row r="1630" spans="1:13" x14ac:dyDescent="0.3">
      <c r="A1630" s="10">
        <v>6712</v>
      </c>
      <c r="B1630" s="10">
        <v>57</v>
      </c>
      <c r="C1630" s="10" t="s">
        <v>1929</v>
      </c>
      <c r="D1630" s="10">
        <v>5716</v>
      </c>
      <c r="E1630" s="10" t="s">
        <v>1945</v>
      </c>
      <c r="F1630" s="10">
        <v>0</v>
      </c>
      <c r="G1630" s="10" t="s">
        <v>343</v>
      </c>
      <c r="H1630" s="10">
        <v>0</v>
      </c>
      <c r="I1630" s="10" t="s">
        <v>343</v>
      </c>
      <c r="J1630" s="11">
        <v>11707</v>
      </c>
      <c r="K1630" s="11">
        <v>12625</v>
      </c>
      <c r="L1630" s="11">
        <v>24332</v>
      </c>
      <c r="M1630" s="11">
        <v>11620</v>
      </c>
    </row>
    <row r="1631" spans="1:13" x14ac:dyDescent="0.3">
      <c r="A1631" s="10">
        <v>6712</v>
      </c>
      <c r="B1631" s="10">
        <v>57</v>
      </c>
      <c r="C1631" s="10" t="s">
        <v>1929</v>
      </c>
      <c r="D1631" s="10">
        <v>5717</v>
      </c>
      <c r="E1631" s="10" t="s">
        <v>1946</v>
      </c>
      <c r="F1631" s="10">
        <v>0</v>
      </c>
      <c r="G1631" s="10" t="s">
        <v>343</v>
      </c>
      <c r="H1631" s="10">
        <v>0</v>
      </c>
      <c r="I1631" s="10" t="s">
        <v>343</v>
      </c>
      <c r="J1631" s="11">
        <v>11623</v>
      </c>
      <c r="K1631" s="11">
        <v>12023</v>
      </c>
      <c r="L1631" s="11">
        <v>23646</v>
      </c>
      <c r="M1631" s="11">
        <v>9772</v>
      </c>
    </row>
    <row r="1632" spans="1:13" x14ac:dyDescent="0.3">
      <c r="A1632" s="10">
        <v>6712</v>
      </c>
      <c r="B1632" s="10">
        <v>57</v>
      </c>
      <c r="C1632" s="10" t="s">
        <v>1929</v>
      </c>
      <c r="D1632" s="10">
        <v>5718</v>
      </c>
      <c r="E1632" s="10" t="s">
        <v>1947</v>
      </c>
      <c r="F1632" s="10">
        <v>0</v>
      </c>
      <c r="G1632" s="10" t="s">
        <v>343</v>
      </c>
      <c r="H1632" s="10">
        <v>0</v>
      </c>
      <c r="I1632" s="10" t="s">
        <v>343</v>
      </c>
      <c r="J1632" s="11">
        <v>9236</v>
      </c>
      <c r="K1632" s="11">
        <v>9253</v>
      </c>
      <c r="L1632" s="11">
        <v>18489</v>
      </c>
      <c r="M1632" s="11">
        <v>9029</v>
      </c>
    </row>
    <row r="1633" spans="1:13" x14ac:dyDescent="0.3">
      <c r="A1633" s="10">
        <v>6712</v>
      </c>
      <c r="B1633" s="10">
        <v>57</v>
      </c>
      <c r="C1633" s="10" t="s">
        <v>1929</v>
      </c>
      <c r="D1633" s="10">
        <v>5764</v>
      </c>
      <c r="E1633" s="10" t="s">
        <v>1948</v>
      </c>
      <c r="F1633" s="10">
        <v>0</v>
      </c>
      <c r="G1633" s="10" t="s">
        <v>343</v>
      </c>
      <c r="H1633" s="10">
        <v>0</v>
      </c>
      <c r="I1633" s="10" t="s">
        <v>343</v>
      </c>
      <c r="J1633" s="11">
        <v>10906</v>
      </c>
      <c r="K1633" s="11">
        <v>11186</v>
      </c>
      <c r="L1633" s="11">
        <v>22092</v>
      </c>
      <c r="M1633" s="11">
        <v>9727</v>
      </c>
    </row>
    <row r="1634" spans="1:13" x14ac:dyDescent="0.3">
      <c r="A1634" s="10">
        <v>6712</v>
      </c>
      <c r="B1634" s="10">
        <v>57</v>
      </c>
      <c r="C1634" s="10" t="s">
        <v>1929</v>
      </c>
      <c r="D1634" s="10">
        <v>5765</v>
      </c>
      <c r="E1634" s="10" t="s">
        <v>1949</v>
      </c>
      <c r="F1634" s="10">
        <v>0</v>
      </c>
      <c r="G1634" s="10" t="s">
        <v>343</v>
      </c>
      <c r="H1634" s="10">
        <v>0</v>
      </c>
      <c r="I1634" s="10" t="s">
        <v>343</v>
      </c>
      <c r="J1634" s="11">
        <v>6002</v>
      </c>
      <c r="K1634" s="11">
        <v>6063</v>
      </c>
      <c r="L1634" s="11">
        <v>12065</v>
      </c>
      <c r="M1634" s="11">
        <v>5411</v>
      </c>
    </row>
    <row r="1635" spans="1:13" x14ac:dyDescent="0.3">
      <c r="A1635" s="10">
        <v>6712</v>
      </c>
      <c r="B1635" s="10">
        <v>57</v>
      </c>
      <c r="C1635" s="10" t="s">
        <v>1929</v>
      </c>
      <c r="D1635" s="10">
        <v>5766</v>
      </c>
      <c r="E1635" s="10" t="s">
        <v>1950</v>
      </c>
      <c r="F1635" s="10">
        <v>0</v>
      </c>
      <c r="G1635" s="10" t="s">
        <v>343</v>
      </c>
      <c r="H1635" s="10">
        <v>0</v>
      </c>
      <c r="I1635" s="10" t="s">
        <v>343</v>
      </c>
      <c r="J1635" s="11">
        <v>5150</v>
      </c>
      <c r="K1635" s="11">
        <v>5184</v>
      </c>
      <c r="L1635" s="11">
        <v>10334</v>
      </c>
      <c r="M1635" s="11">
        <v>3954</v>
      </c>
    </row>
    <row r="1636" spans="1:13" x14ac:dyDescent="0.3">
      <c r="A1636" s="10">
        <v>6712</v>
      </c>
      <c r="B1636" s="10">
        <v>57</v>
      </c>
      <c r="C1636" s="10" t="s">
        <v>1929</v>
      </c>
      <c r="D1636" s="10">
        <v>5767</v>
      </c>
      <c r="E1636" s="10" t="s">
        <v>1951</v>
      </c>
      <c r="F1636" s="10">
        <v>0</v>
      </c>
      <c r="G1636" s="10" t="s">
        <v>343</v>
      </c>
      <c r="H1636" s="10">
        <v>0</v>
      </c>
      <c r="I1636" s="10" t="s">
        <v>343</v>
      </c>
      <c r="J1636" s="11">
        <v>3049</v>
      </c>
      <c r="K1636" s="11">
        <v>3090</v>
      </c>
      <c r="L1636" s="11">
        <v>6139</v>
      </c>
      <c r="M1636" s="11">
        <v>2774</v>
      </c>
    </row>
    <row r="1637" spans="1:13" x14ac:dyDescent="0.3">
      <c r="A1637" s="10">
        <v>6712</v>
      </c>
      <c r="B1637" s="10">
        <v>57</v>
      </c>
      <c r="C1637" s="10" t="s">
        <v>1929</v>
      </c>
      <c r="D1637" s="10">
        <v>5768</v>
      </c>
      <c r="E1637" s="10" t="s">
        <v>1952</v>
      </c>
      <c r="F1637" s="10">
        <v>0</v>
      </c>
      <c r="G1637" s="10" t="s">
        <v>343</v>
      </c>
      <c r="H1637" s="10">
        <v>0</v>
      </c>
      <c r="I1637" s="10" t="s">
        <v>343</v>
      </c>
      <c r="J1637" s="11">
        <v>5475</v>
      </c>
      <c r="K1637" s="11">
        <v>6115</v>
      </c>
      <c r="L1637" s="11">
        <v>11590</v>
      </c>
      <c r="M1637" s="11">
        <v>5935</v>
      </c>
    </row>
    <row r="1638" spans="1:13" x14ac:dyDescent="0.3">
      <c r="A1638" s="10">
        <v>6712</v>
      </c>
      <c r="B1638" s="10">
        <v>57</v>
      </c>
      <c r="C1638" s="10" t="s">
        <v>1929</v>
      </c>
      <c r="D1638" s="10">
        <v>5769</v>
      </c>
      <c r="E1638" s="10" t="s">
        <v>1953</v>
      </c>
      <c r="F1638" s="10">
        <v>0</v>
      </c>
      <c r="G1638" s="10" t="s">
        <v>343</v>
      </c>
      <c r="H1638" s="10">
        <v>0</v>
      </c>
      <c r="I1638" s="10" t="s">
        <v>343</v>
      </c>
      <c r="J1638" s="11">
        <v>5176</v>
      </c>
      <c r="K1638" s="11">
        <v>5458</v>
      </c>
      <c r="L1638" s="11">
        <v>10634</v>
      </c>
      <c r="M1638" s="11">
        <v>4138</v>
      </c>
    </row>
    <row r="1639" spans="1:13" x14ac:dyDescent="0.3">
      <c r="A1639" s="10">
        <v>6712</v>
      </c>
      <c r="B1639" s="10">
        <v>57</v>
      </c>
      <c r="C1639" s="10" t="s">
        <v>1929</v>
      </c>
      <c r="D1639" s="10">
        <v>5770</v>
      </c>
      <c r="E1639" s="10" t="s">
        <v>1925</v>
      </c>
      <c r="F1639" s="10">
        <v>0</v>
      </c>
      <c r="G1639" s="10" t="s">
        <v>343</v>
      </c>
      <c r="H1639" s="10">
        <v>0</v>
      </c>
      <c r="I1639" s="10" t="s">
        <v>343</v>
      </c>
      <c r="J1639" s="11">
        <v>4870</v>
      </c>
      <c r="K1639" s="11">
        <v>5016</v>
      </c>
      <c r="L1639" s="11">
        <v>9886</v>
      </c>
      <c r="M1639" s="11">
        <v>4565</v>
      </c>
    </row>
    <row r="1640" spans="1:13" x14ac:dyDescent="0.3">
      <c r="A1640" s="10">
        <v>6712</v>
      </c>
      <c r="B1640" s="10">
        <v>57</v>
      </c>
      <c r="C1640" s="10" t="s">
        <v>1929</v>
      </c>
      <c r="D1640" s="10">
        <v>5771</v>
      </c>
      <c r="E1640" s="10" t="s">
        <v>1954</v>
      </c>
      <c r="F1640" s="10">
        <v>0</v>
      </c>
      <c r="G1640" s="10" t="s">
        <v>343</v>
      </c>
      <c r="H1640" s="10">
        <v>0</v>
      </c>
      <c r="I1640" s="10" t="s">
        <v>343</v>
      </c>
      <c r="J1640" s="11">
        <v>6077</v>
      </c>
      <c r="K1640" s="11">
        <v>6715</v>
      </c>
      <c r="L1640" s="11">
        <v>12792</v>
      </c>
      <c r="M1640" s="11">
        <v>6968</v>
      </c>
    </row>
    <row r="1641" spans="1:13" x14ac:dyDescent="0.3">
      <c r="A1641" s="10">
        <v>6712</v>
      </c>
      <c r="B1641" s="10">
        <v>57</v>
      </c>
      <c r="C1641" s="10" t="s">
        <v>1929</v>
      </c>
      <c r="D1641" s="10">
        <v>5772</v>
      </c>
      <c r="E1641" s="10" t="s">
        <v>1767</v>
      </c>
      <c r="F1641" s="10">
        <v>0</v>
      </c>
      <c r="G1641" s="10" t="s">
        <v>343</v>
      </c>
      <c r="H1641" s="10">
        <v>0</v>
      </c>
      <c r="I1641" s="10" t="s">
        <v>343</v>
      </c>
      <c r="J1641" s="11">
        <v>5410</v>
      </c>
      <c r="K1641" s="11">
        <v>6124</v>
      </c>
      <c r="L1641" s="11">
        <v>11534</v>
      </c>
      <c r="M1641" s="11">
        <v>5909</v>
      </c>
    </row>
    <row r="1642" spans="1:13" x14ac:dyDescent="0.3">
      <c r="A1642" s="10">
        <v>6712</v>
      </c>
      <c r="B1642" s="10">
        <v>57</v>
      </c>
      <c r="C1642" s="10" t="s">
        <v>1929</v>
      </c>
      <c r="D1642" s="10">
        <v>5773</v>
      </c>
      <c r="E1642" s="10" t="s">
        <v>1955</v>
      </c>
      <c r="F1642" s="10">
        <v>0</v>
      </c>
      <c r="G1642" s="10" t="s">
        <v>343</v>
      </c>
      <c r="H1642" s="10">
        <v>0</v>
      </c>
      <c r="I1642" s="10" t="s">
        <v>343</v>
      </c>
      <c r="J1642" s="11">
        <v>10792</v>
      </c>
      <c r="K1642" s="11">
        <v>12390</v>
      </c>
      <c r="L1642" s="11">
        <v>23182</v>
      </c>
      <c r="M1642" s="11">
        <v>10620</v>
      </c>
    </row>
    <row r="1643" spans="1:13" x14ac:dyDescent="0.3">
      <c r="A1643" s="10">
        <v>6712</v>
      </c>
      <c r="B1643" s="10">
        <v>57</v>
      </c>
      <c r="C1643" s="10" t="s">
        <v>1929</v>
      </c>
      <c r="D1643" s="10">
        <v>5774</v>
      </c>
      <c r="E1643" s="10" t="s">
        <v>1956</v>
      </c>
      <c r="F1643" s="10">
        <v>0</v>
      </c>
      <c r="G1643" s="10" t="s">
        <v>343</v>
      </c>
      <c r="H1643" s="10">
        <v>0</v>
      </c>
      <c r="I1643" s="10" t="s">
        <v>343</v>
      </c>
      <c r="J1643" s="11">
        <v>10403</v>
      </c>
      <c r="K1643" s="11">
        <v>12091</v>
      </c>
      <c r="L1643" s="11">
        <v>22494</v>
      </c>
      <c r="M1643" s="11">
        <v>15768</v>
      </c>
    </row>
    <row r="1644" spans="1:13" x14ac:dyDescent="0.3">
      <c r="A1644" s="10">
        <v>6712</v>
      </c>
      <c r="B1644" s="10">
        <v>57</v>
      </c>
      <c r="C1644" s="10" t="s">
        <v>1929</v>
      </c>
      <c r="D1644" s="10">
        <v>5775</v>
      </c>
      <c r="E1644" s="10" t="s">
        <v>1912</v>
      </c>
      <c r="F1644" s="10">
        <v>0</v>
      </c>
      <c r="G1644" s="10" t="s">
        <v>343</v>
      </c>
      <c r="H1644" s="10">
        <v>0</v>
      </c>
      <c r="I1644" s="10" t="s">
        <v>343</v>
      </c>
      <c r="J1644" s="11">
        <v>1914</v>
      </c>
      <c r="K1644" s="11">
        <v>1955</v>
      </c>
      <c r="L1644" s="11">
        <v>3869</v>
      </c>
      <c r="M1644" s="11">
        <v>1835</v>
      </c>
    </row>
    <row r="1645" spans="1:13" x14ac:dyDescent="0.3">
      <c r="A1645" s="10">
        <v>6712</v>
      </c>
      <c r="B1645" s="10">
        <v>57</v>
      </c>
      <c r="C1645" s="10" t="s">
        <v>1929</v>
      </c>
      <c r="D1645" s="10">
        <v>5776</v>
      </c>
      <c r="E1645" s="10" t="s">
        <v>1957</v>
      </c>
      <c r="F1645" s="10">
        <v>0</v>
      </c>
      <c r="G1645" s="10" t="s">
        <v>343</v>
      </c>
      <c r="H1645" s="10">
        <v>0</v>
      </c>
      <c r="I1645" s="10" t="s">
        <v>343</v>
      </c>
      <c r="J1645" s="10">
        <v>828</v>
      </c>
      <c r="K1645" s="10">
        <v>917</v>
      </c>
      <c r="L1645" s="11">
        <v>1745</v>
      </c>
      <c r="M1645" s="10">
        <v>838</v>
      </c>
    </row>
    <row r="1646" spans="1:13" x14ac:dyDescent="0.3">
      <c r="A1646" s="10">
        <v>6712</v>
      </c>
      <c r="B1646" s="10">
        <v>57</v>
      </c>
      <c r="C1646" s="10" t="s">
        <v>1929</v>
      </c>
      <c r="D1646" s="10">
        <v>5777</v>
      </c>
      <c r="E1646" s="10" t="s">
        <v>1958</v>
      </c>
      <c r="F1646" s="10">
        <v>0</v>
      </c>
      <c r="G1646" s="10" t="s">
        <v>343</v>
      </c>
      <c r="H1646" s="10">
        <v>0</v>
      </c>
      <c r="I1646" s="10" t="s">
        <v>343</v>
      </c>
      <c r="J1646" s="11">
        <v>1960</v>
      </c>
      <c r="K1646" s="11">
        <v>2199</v>
      </c>
      <c r="L1646" s="11">
        <v>4159</v>
      </c>
      <c r="M1646" s="11">
        <v>2089</v>
      </c>
    </row>
    <row r="1647" spans="1:13" x14ac:dyDescent="0.3">
      <c r="A1647" s="10">
        <v>6712</v>
      </c>
      <c r="B1647" s="10">
        <v>57</v>
      </c>
      <c r="C1647" s="10" t="s">
        <v>1929</v>
      </c>
      <c r="D1647" s="10">
        <v>5778</v>
      </c>
      <c r="E1647" s="10" t="s">
        <v>1959</v>
      </c>
      <c r="F1647" s="10">
        <v>0</v>
      </c>
      <c r="G1647" s="10" t="s">
        <v>343</v>
      </c>
      <c r="H1647" s="10">
        <v>0</v>
      </c>
      <c r="I1647" s="10" t="s">
        <v>343</v>
      </c>
      <c r="J1647" s="11">
        <v>2791</v>
      </c>
      <c r="K1647" s="11">
        <v>3038</v>
      </c>
      <c r="L1647" s="11">
        <v>5829</v>
      </c>
      <c r="M1647" s="11">
        <v>2321</v>
      </c>
    </row>
    <row r="1648" spans="1:13" x14ac:dyDescent="0.3">
      <c r="A1648" s="10">
        <v>6712</v>
      </c>
      <c r="B1648" s="10">
        <v>57</v>
      </c>
      <c r="C1648" s="10" t="s">
        <v>1929</v>
      </c>
      <c r="D1648" s="10">
        <v>5779</v>
      </c>
      <c r="E1648" s="10" t="s">
        <v>1960</v>
      </c>
      <c r="F1648" s="10">
        <v>0</v>
      </c>
      <c r="G1648" s="10" t="s">
        <v>343</v>
      </c>
      <c r="H1648" s="10">
        <v>0</v>
      </c>
      <c r="I1648" s="10" t="s">
        <v>343</v>
      </c>
      <c r="J1648" s="11">
        <v>1939</v>
      </c>
      <c r="K1648" s="11">
        <v>2100</v>
      </c>
      <c r="L1648" s="11">
        <v>4039</v>
      </c>
      <c r="M1648" s="11">
        <v>2328</v>
      </c>
    </row>
    <row r="1649" spans="1:13" x14ac:dyDescent="0.3">
      <c r="A1649" s="10">
        <v>6712</v>
      </c>
      <c r="B1649" s="10">
        <v>57</v>
      </c>
      <c r="C1649" s="10" t="s">
        <v>1929</v>
      </c>
      <c r="D1649" s="10">
        <v>5780</v>
      </c>
      <c r="E1649" s="10" t="s">
        <v>1961</v>
      </c>
      <c r="F1649" s="10">
        <v>0</v>
      </c>
      <c r="G1649" s="10" t="s">
        <v>343</v>
      </c>
      <c r="H1649" s="10">
        <v>0</v>
      </c>
      <c r="I1649" s="10" t="s">
        <v>343</v>
      </c>
      <c r="J1649" s="11">
        <v>1875</v>
      </c>
      <c r="K1649" s="11">
        <v>2237</v>
      </c>
      <c r="L1649" s="11">
        <v>4112</v>
      </c>
      <c r="M1649" s="11">
        <v>2431</v>
      </c>
    </row>
    <row r="1650" spans="1:13" x14ac:dyDescent="0.3">
      <c r="A1650" s="10">
        <v>6712</v>
      </c>
      <c r="B1650" s="10">
        <v>57</v>
      </c>
      <c r="C1650" s="10" t="s">
        <v>1929</v>
      </c>
      <c r="D1650" s="10">
        <v>5781</v>
      </c>
      <c r="E1650" s="10" t="s">
        <v>1962</v>
      </c>
      <c r="F1650" s="10">
        <v>0</v>
      </c>
      <c r="G1650" s="10" t="s">
        <v>343</v>
      </c>
      <c r="H1650" s="10">
        <v>0</v>
      </c>
      <c r="I1650" s="10" t="s">
        <v>343</v>
      </c>
      <c r="J1650" s="11">
        <v>1301</v>
      </c>
      <c r="K1650" s="11">
        <v>1487</v>
      </c>
      <c r="L1650" s="11">
        <v>2788</v>
      </c>
      <c r="M1650" s="11">
        <v>1656</v>
      </c>
    </row>
    <row r="1651" spans="1:13" x14ac:dyDescent="0.3">
      <c r="A1651" s="10">
        <v>6712</v>
      </c>
      <c r="B1651" s="10">
        <v>57</v>
      </c>
      <c r="C1651" s="10" t="s">
        <v>1929</v>
      </c>
      <c r="D1651" s="10">
        <v>5782</v>
      </c>
      <c r="E1651" s="10" t="s">
        <v>1963</v>
      </c>
      <c r="F1651" s="10">
        <v>0</v>
      </c>
      <c r="G1651" s="10" t="s">
        <v>343</v>
      </c>
      <c r="H1651" s="10">
        <v>0</v>
      </c>
      <c r="I1651" s="10" t="s">
        <v>343</v>
      </c>
      <c r="J1651" s="11">
        <v>2252</v>
      </c>
      <c r="K1651" s="11">
        <v>2344</v>
      </c>
      <c r="L1651" s="11">
        <v>4596</v>
      </c>
      <c r="M1651" s="11">
        <v>2209</v>
      </c>
    </row>
    <row r="1652" spans="1:13" x14ac:dyDescent="0.3">
      <c r="A1652" s="10">
        <v>6712</v>
      </c>
      <c r="B1652" s="10">
        <v>57</v>
      </c>
      <c r="C1652" s="10" t="s">
        <v>1929</v>
      </c>
      <c r="D1652" s="10">
        <v>5783</v>
      </c>
      <c r="E1652" s="10" t="s">
        <v>1964</v>
      </c>
      <c r="F1652" s="10">
        <v>0</v>
      </c>
      <c r="G1652" s="10" t="s">
        <v>343</v>
      </c>
      <c r="H1652" s="10">
        <v>0</v>
      </c>
      <c r="I1652" s="10" t="s">
        <v>343</v>
      </c>
      <c r="J1652" s="10">
        <v>695</v>
      </c>
      <c r="K1652" s="10">
        <v>743</v>
      </c>
      <c r="L1652" s="11">
        <v>1438</v>
      </c>
      <c r="M1652" s="11">
        <v>1162</v>
      </c>
    </row>
    <row r="1653" spans="1:13" x14ac:dyDescent="0.3">
      <c r="A1653" s="10">
        <v>6712</v>
      </c>
      <c r="B1653" s="10">
        <v>57</v>
      </c>
      <c r="C1653" s="10" t="s">
        <v>1929</v>
      </c>
      <c r="D1653" s="10">
        <v>5784</v>
      </c>
      <c r="E1653" s="10" t="s">
        <v>1965</v>
      </c>
      <c r="F1653" s="10">
        <v>0</v>
      </c>
      <c r="G1653" s="10" t="s">
        <v>343</v>
      </c>
      <c r="H1653" s="10">
        <v>0</v>
      </c>
      <c r="I1653" s="10" t="s">
        <v>343</v>
      </c>
      <c r="J1653" s="11">
        <v>2256</v>
      </c>
      <c r="K1653" s="11">
        <v>2631</v>
      </c>
      <c r="L1653" s="11">
        <v>4887</v>
      </c>
      <c r="M1653" s="11">
        <v>2584</v>
      </c>
    </row>
    <row r="1654" spans="1:13" x14ac:dyDescent="0.3">
      <c r="A1654" s="10">
        <v>6712</v>
      </c>
      <c r="B1654" s="10">
        <v>57</v>
      </c>
      <c r="C1654" s="10" t="s">
        <v>1929</v>
      </c>
      <c r="D1654" s="10">
        <v>5785</v>
      </c>
      <c r="E1654" s="10" t="s">
        <v>1966</v>
      </c>
      <c r="F1654" s="10">
        <v>0</v>
      </c>
      <c r="G1654" s="10" t="s">
        <v>343</v>
      </c>
      <c r="H1654" s="10">
        <v>0</v>
      </c>
      <c r="I1654" s="10" t="s">
        <v>343</v>
      </c>
      <c r="J1654" s="11">
        <v>12943</v>
      </c>
      <c r="K1654" s="11">
        <v>14824</v>
      </c>
      <c r="L1654" s="11">
        <v>27767</v>
      </c>
      <c r="M1654" s="11">
        <v>13969</v>
      </c>
    </row>
    <row r="1655" spans="1:13" x14ac:dyDescent="0.3">
      <c r="A1655" s="10">
        <v>6712</v>
      </c>
      <c r="B1655" s="10">
        <v>57</v>
      </c>
      <c r="C1655" s="10" t="s">
        <v>1929</v>
      </c>
      <c r="D1655" s="10">
        <v>5786</v>
      </c>
      <c r="E1655" s="10" t="s">
        <v>1967</v>
      </c>
      <c r="F1655" s="10">
        <v>0</v>
      </c>
      <c r="G1655" s="10" t="s">
        <v>343</v>
      </c>
      <c r="H1655" s="10">
        <v>0</v>
      </c>
      <c r="I1655" s="10" t="s">
        <v>343</v>
      </c>
      <c r="J1655" s="11">
        <v>2885</v>
      </c>
      <c r="K1655" s="11">
        <v>3225</v>
      </c>
      <c r="L1655" s="11">
        <v>6110</v>
      </c>
      <c r="M1655" s="11">
        <v>3420</v>
      </c>
    </row>
    <row r="1656" spans="1:13" x14ac:dyDescent="0.3">
      <c r="A1656" s="10">
        <v>6712</v>
      </c>
      <c r="B1656" s="10">
        <v>57</v>
      </c>
      <c r="C1656" s="10" t="s">
        <v>1929</v>
      </c>
      <c r="D1656" s="10">
        <v>5787</v>
      </c>
      <c r="E1656" s="10" t="s">
        <v>1968</v>
      </c>
      <c r="F1656" s="10">
        <v>0</v>
      </c>
      <c r="G1656" s="10" t="s">
        <v>343</v>
      </c>
      <c r="H1656" s="10">
        <v>0</v>
      </c>
      <c r="I1656" s="10" t="s">
        <v>343</v>
      </c>
      <c r="J1656" s="11">
        <v>1263</v>
      </c>
      <c r="K1656" s="11">
        <v>1425</v>
      </c>
      <c r="L1656" s="11">
        <v>2688</v>
      </c>
      <c r="M1656" s="11">
        <v>1312</v>
      </c>
    </row>
    <row r="1657" spans="1:13" x14ac:dyDescent="0.3">
      <c r="A1657" s="10">
        <v>6712</v>
      </c>
      <c r="B1657" s="10">
        <v>57</v>
      </c>
      <c r="C1657" s="10" t="s">
        <v>1929</v>
      </c>
      <c r="D1657" s="10">
        <v>5788</v>
      </c>
      <c r="E1657" s="10" t="s">
        <v>1969</v>
      </c>
      <c r="F1657" s="10">
        <v>0</v>
      </c>
      <c r="G1657" s="10" t="s">
        <v>343</v>
      </c>
      <c r="H1657" s="10">
        <v>0</v>
      </c>
      <c r="I1657" s="10" t="s">
        <v>343</v>
      </c>
      <c r="J1657" s="11">
        <v>1627</v>
      </c>
      <c r="K1657" s="11">
        <v>1867</v>
      </c>
      <c r="L1657" s="11">
        <v>3494</v>
      </c>
      <c r="M1657" s="11">
        <v>2475</v>
      </c>
    </row>
    <row r="1658" spans="1:13" x14ac:dyDescent="0.3">
      <c r="A1658" s="10">
        <v>6712</v>
      </c>
      <c r="B1658" s="10">
        <v>57</v>
      </c>
      <c r="C1658" s="10" t="s">
        <v>1929</v>
      </c>
      <c r="D1658" s="10">
        <v>5789</v>
      </c>
      <c r="E1658" s="10" t="s">
        <v>1970</v>
      </c>
      <c r="F1658" s="10">
        <v>0</v>
      </c>
      <c r="G1658" s="10" t="s">
        <v>343</v>
      </c>
      <c r="H1658" s="10">
        <v>0</v>
      </c>
      <c r="I1658" s="10" t="s">
        <v>343</v>
      </c>
      <c r="J1658" s="11">
        <v>2034</v>
      </c>
      <c r="K1658" s="11">
        <v>2296</v>
      </c>
      <c r="L1658" s="11">
        <v>4330</v>
      </c>
      <c r="M1658" s="11">
        <v>2218</v>
      </c>
    </row>
    <row r="1659" spans="1:13" x14ac:dyDescent="0.3">
      <c r="A1659" s="10">
        <v>6712</v>
      </c>
      <c r="B1659" s="10">
        <v>57</v>
      </c>
      <c r="C1659" s="10" t="s">
        <v>1929</v>
      </c>
      <c r="D1659" s="10">
        <v>5790</v>
      </c>
      <c r="E1659" s="10" t="s">
        <v>1971</v>
      </c>
      <c r="F1659" s="10">
        <v>0</v>
      </c>
      <c r="G1659" s="10" t="s">
        <v>343</v>
      </c>
      <c r="H1659" s="10">
        <v>0</v>
      </c>
      <c r="I1659" s="10" t="s">
        <v>343</v>
      </c>
      <c r="J1659" s="11">
        <v>6550</v>
      </c>
      <c r="K1659" s="11">
        <v>7299</v>
      </c>
      <c r="L1659" s="11">
        <v>13849</v>
      </c>
      <c r="M1659" s="11">
        <v>6399</v>
      </c>
    </row>
    <row r="1660" spans="1:13" x14ac:dyDescent="0.3">
      <c r="A1660" s="10">
        <v>6712</v>
      </c>
      <c r="B1660" s="10">
        <v>57</v>
      </c>
      <c r="C1660" s="10" t="s">
        <v>1929</v>
      </c>
      <c r="D1660" s="10">
        <v>5791</v>
      </c>
      <c r="E1660" s="10" t="s">
        <v>1718</v>
      </c>
      <c r="F1660" s="10">
        <v>0</v>
      </c>
      <c r="G1660" s="10" t="s">
        <v>343</v>
      </c>
      <c r="H1660" s="10">
        <v>0</v>
      </c>
      <c r="I1660" s="10" t="s">
        <v>343</v>
      </c>
      <c r="J1660" s="11">
        <v>2990</v>
      </c>
      <c r="K1660" s="11">
        <v>3172</v>
      </c>
      <c r="L1660" s="11">
        <v>6162</v>
      </c>
      <c r="M1660" s="11">
        <v>2579</v>
      </c>
    </row>
    <row r="1661" spans="1:13" x14ac:dyDescent="0.3">
      <c r="A1661" s="10">
        <v>6712</v>
      </c>
      <c r="B1661" s="10">
        <v>57</v>
      </c>
      <c r="C1661" s="10" t="s">
        <v>1929</v>
      </c>
      <c r="D1661" s="10">
        <v>5792</v>
      </c>
      <c r="E1661" s="10" t="s">
        <v>1972</v>
      </c>
      <c r="F1661" s="10">
        <v>0</v>
      </c>
      <c r="G1661" s="10" t="s">
        <v>343</v>
      </c>
      <c r="H1661" s="10">
        <v>0</v>
      </c>
      <c r="I1661" s="10" t="s">
        <v>343</v>
      </c>
      <c r="J1661" s="11">
        <v>3619</v>
      </c>
      <c r="K1661" s="11">
        <v>3725</v>
      </c>
      <c r="L1661" s="11">
        <v>7344</v>
      </c>
      <c r="M1661" s="11">
        <v>3266</v>
      </c>
    </row>
    <row r="1662" spans="1:13" x14ac:dyDescent="0.3">
      <c r="A1662" s="10">
        <v>6712</v>
      </c>
      <c r="B1662" s="10">
        <v>57</v>
      </c>
      <c r="C1662" s="10" t="s">
        <v>1929</v>
      </c>
      <c r="D1662" s="10">
        <v>5793</v>
      </c>
      <c r="E1662" s="10" t="s">
        <v>1973</v>
      </c>
      <c r="F1662" s="10">
        <v>0</v>
      </c>
      <c r="G1662" s="10" t="s">
        <v>343</v>
      </c>
      <c r="H1662" s="10">
        <v>0</v>
      </c>
      <c r="I1662" s="10" t="s">
        <v>343</v>
      </c>
      <c r="J1662" s="11">
        <v>2823</v>
      </c>
      <c r="K1662" s="11">
        <v>3306</v>
      </c>
      <c r="L1662" s="11">
        <v>6129</v>
      </c>
      <c r="M1662" s="11">
        <v>3628</v>
      </c>
    </row>
    <row r="1663" spans="1:13" x14ac:dyDescent="0.3">
      <c r="A1663" s="10">
        <v>6712</v>
      </c>
      <c r="B1663" s="10">
        <v>57</v>
      </c>
      <c r="C1663" s="10" t="s">
        <v>1929</v>
      </c>
      <c r="D1663" s="10">
        <v>5794</v>
      </c>
      <c r="E1663" s="10" t="s">
        <v>1974</v>
      </c>
      <c r="F1663" s="10">
        <v>0</v>
      </c>
      <c r="G1663" s="10" t="s">
        <v>343</v>
      </c>
      <c r="H1663" s="10">
        <v>0</v>
      </c>
      <c r="I1663" s="10" t="s">
        <v>343</v>
      </c>
      <c r="J1663" s="11">
        <v>2280</v>
      </c>
      <c r="K1663" s="11">
        <v>2631</v>
      </c>
      <c r="L1663" s="11">
        <v>4911</v>
      </c>
      <c r="M1663" s="11">
        <v>2907</v>
      </c>
    </row>
    <row r="1664" spans="1:13" x14ac:dyDescent="0.3">
      <c r="A1664" s="10">
        <v>6712</v>
      </c>
      <c r="B1664" s="10">
        <v>57</v>
      </c>
      <c r="C1664" s="10" t="s">
        <v>1929</v>
      </c>
      <c r="D1664" s="10">
        <v>5795</v>
      </c>
      <c r="E1664" s="10" t="s">
        <v>1975</v>
      </c>
      <c r="F1664" s="10">
        <v>0</v>
      </c>
      <c r="G1664" s="10" t="s">
        <v>343</v>
      </c>
      <c r="H1664" s="10">
        <v>0</v>
      </c>
      <c r="I1664" s="10" t="s">
        <v>343</v>
      </c>
      <c r="J1664" s="11">
        <v>1827</v>
      </c>
      <c r="K1664" s="11">
        <v>1987</v>
      </c>
      <c r="L1664" s="11">
        <v>3814</v>
      </c>
      <c r="M1664" s="11">
        <v>1627</v>
      </c>
    </row>
    <row r="1665" spans="1:13" x14ac:dyDescent="0.3">
      <c r="A1665" s="10">
        <v>6712</v>
      </c>
      <c r="B1665" s="10">
        <v>57</v>
      </c>
      <c r="C1665" s="10" t="s">
        <v>1929</v>
      </c>
      <c r="D1665" s="10">
        <v>5796</v>
      </c>
      <c r="E1665" s="10" t="s">
        <v>1976</v>
      </c>
      <c r="F1665" s="10">
        <v>0</v>
      </c>
      <c r="G1665" s="10" t="s">
        <v>343</v>
      </c>
      <c r="H1665" s="10">
        <v>0</v>
      </c>
      <c r="I1665" s="10" t="s">
        <v>343</v>
      </c>
      <c r="J1665" s="11">
        <v>1647</v>
      </c>
      <c r="K1665" s="11">
        <v>1938</v>
      </c>
      <c r="L1665" s="11">
        <v>3585</v>
      </c>
      <c r="M1665" s="11">
        <v>2389</v>
      </c>
    </row>
    <row r="1666" spans="1:13" x14ac:dyDescent="0.3">
      <c r="A1666" s="10">
        <v>6712</v>
      </c>
      <c r="B1666" s="10">
        <v>57</v>
      </c>
      <c r="C1666" s="10" t="s">
        <v>1929</v>
      </c>
      <c r="D1666" s="10">
        <v>5797</v>
      </c>
      <c r="E1666" s="10" t="s">
        <v>1977</v>
      </c>
      <c r="F1666" s="10">
        <v>0</v>
      </c>
      <c r="G1666" s="10" t="s">
        <v>343</v>
      </c>
      <c r="H1666" s="10">
        <v>0</v>
      </c>
      <c r="I1666" s="10" t="s">
        <v>343</v>
      </c>
      <c r="J1666" s="11">
        <v>2774</v>
      </c>
      <c r="K1666" s="11">
        <v>2940</v>
      </c>
      <c r="L1666" s="11">
        <v>5714</v>
      </c>
      <c r="M1666" s="11">
        <v>2579</v>
      </c>
    </row>
    <row r="1667" spans="1:13" x14ac:dyDescent="0.3">
      <c r="A1667" s="10">
        <v>6712</v>
      </c>
      <c r="B1667" s="10">
        <v>57</v>
      </c>
      <c r="C1667" s="10" t="s">
        <v>1929</v>
      </c>
      <c r="D1667" s="10">
        <v>5798</v>
      </c>
      <c r="E1667" s="10" t="s">
        <v>1978</v>
      </c>
      <c r="F1667" s="10">
        <v>0</v>
      </c>
      <c r="G1667" s="10" t="s">
        <v>343</v>
      </c>
      <c r="H1667" s="10">
        <v>0</v>
      </c>
      <c r="I1667" s="10" t="s">
        <v>343</v>
      </c>
      <c r="J1667" s="11">
        <v>3138</v>
      </c>
      <c r="K1667" s="11">
        <v>3591</v>
      </c>
      <c r="L1667" s="11">
        <v>6729</v>
      </c>
      <c r="M1667" s="11">
        <v>3317</v>
      </c>
    </row>
    <row r="1668" spans="1:13" x14ac:dyDescent="0.3">
      <c r="A1668" s="10">
        <v>6712</v>
      </c>
      <c r="B1668" s="10">
        <v>57</v>
      </c>
      <c r="C1668" s="10" t="s">
        <v>1929</v>
      </c>
      <c r="D1668" s="10">
        <v>5799</v>
      </c>
      <c r="E1668" s="10" t="s">
        <v>1979</v>
      </c>
      <c r="F1668" s="10">
        <v>0</v>
      </c>
      <c r="G1668" s="10" t="s">
        <v>343</v>
      </c>
      <c r="H1668" s="10">
        <v>0</v>
      </c>
      <c r="I1668" s="10" t="s">
        <v>343</v>
      </c>
      <c r="J1668" s="11">
        <v>37038</v>
      </c>
      <c r="K1668" s="11">
        <v>41450</v>
      </c>
      <c r="L1668" s="11">
        <v>78488</v>
      </c>
      <c r="M1668" s="11">
        <v>53491</v>
      </c>
    </row>
    <row r="1669" spans="1:13" x14ac:dyDescent="0.3">
      <c r="A1669" s="10">
        <v>6712</v>
      </c>
      <c r="B1669" s="10">
        <v>58</v>
      </c>
      <c r="C1669" s="10" t="s">
        <v>1980</v>
      </c>
      <c r="D1669" s="10">
        <v>0</v>
      </c>
      <c r="E1669" s="10" t="s">
        <v>343</v>
      </c>
      <c r="F1669" s="10">
        <v>0</v>
      </c>
      <c r="G1669" s="10" t="s">
        <v>343</v>
      </c>
      <c r="H1669" s="10">
        <v>0</v>
      </c>
      <c r="I1669" s="10" t="s">
        <v>343</v>
      </c>
      <c r="J1669" s="11">
        <v>145723</v>
      </c>
      <c r="K1669" s="11">
        <v>142359</v>
      </c>
      <c r="L1669" s="11">
        <v>288082</v>
      </c>
      <c r="M1669" s="11">
        <v>123826</v>
      </c>
    </row>
    <row r="1670" spans="1:13" x14ac:dyDescent="0.3">
      <c r="A1670" s="10">
        <v>6712</v>
      </c>
      <c r="B1670" s="10">
        <v>58</v>
      </c>
      <c r="C1670" s="10" t="s">
        <v>1980</v>
      </c>
      <c r="D1670" s="10">
        <v>5801</v>
      </c>
      <c r="E1670" s="10" t="s">
        <v>1981</v>
      </c>
      <c r="F1670" s="10">
        <v>0</v>
      </c>
      <c r="G1670" s="10" t="s">
        <v>343</v>
      </c>
      <c r="H1670" s="10">
        <v>0</v>
      </c>
      <c r="I1670" s="10" t="s">
        <v>343</v>
      </c>
      <c r="J1670" s="11">
        <v>28508</v>
      </c>
      <c r="K1670" s="11">
        <v>28103</v>
      </c>
      <c r="L1670" s="11">
        <v>56611</v>
      </c>
      <c r="M1670" s="11">
        <v>24753</v>
      </c>
    </row>
    <row r="1671" spans="1:13" x14ac:dyDescent="0.3">
      <c r="A1671" s="10">
        <v>6712</v>
      </c>
      <c r="B1671" s="10">
        <v>58</v>
      </c>
      <c r="C1671" s="10" t="s">
        <v>1980</v>
      </c>
      <c r="D1671" s="10">
        <v>5802</v>
      </c>
      <c r="E1671" s="10" t="s">
        <v>1982</v>
      </c>
      <c r="F1671" s="10">
        <v>0</v>
      </c>
      <c r="G1671" s="10" t="s">
        <v>343</v>
      </c>
      <c r="H1671" s="10">
        <v>0</v>
      </c>
      <c r="I1671" s="10" t="s">
        <v>343</v>
      </c>
      <c r="J1671" s="11">
        <v>10455</v>
      </c>
      <c r="K1671" s="11">
        <v>9921</v>
      </c>
      <c r="L1671" s="11">
        <v>20376</v>
      </c>
      <c r="M1671" s="11">
        <v>8236</v>
      </c>
    </row>
    <row r="1672" spans="1:13" x14ac:dyDescent="0.3">
      <c r="A1672" s="10">
        <v>6712</v>
      </c>
      <c r="B1672" s="10">
        <v>58</v>
      </c>
      <c r="C1672" s="10" t="s">
        <v>1980</v>
      </c>
      <c r="D1672" s="10">
        <v>5803</v>
      </c>
      <c r="E1672" s="10" t="s">
        <v>1983</v>
      </c>
      <c r="F1672" s="10">
        <v>0</v>
      </c>
      <c r="G1672" s="10" t="s">
        <v>343</v>
      </c>
      <c r="H1672" s="10">
        <v>0</v>
      </c>
      <c r="I1672" s="10" t="s">
        <v>343</v>
      </c>
      <c r="J1672" s="11">
        <v>18255</v>
      </c>
      <c r="K1672" s="11">
        <v>17189</v>
      </c>
      <c r="L1672" s="11">
        <v>35444</v>
      </c>
      <c r="M1672" s="11">
        <v>16289</v>
      </c>
    </row>
    <row r="1673" spans="1:13" x14ac:dyDescent="0.3">
      <c r="A1673" s="10">
        <v>6712</v>
      </c>
      <c r="B1673" s="10">
        <v>58</v>
      </c>
      <c r="C1673" s="10" t="s">
        <v>1980</v>
      </c>
      <c r="D1673" s="10">
        <v>5804</v>
      </c>
      <c r="E1673" s="10" t="s">
        <v>1984</v>
      </c>
      <c r="F1673" s="10">
        <v>0</v>
      </c>
      <c r="G1673" s="10" t="s">
        <v>343</v>
      </c>
      <c r="H1673" s="10">
        <v>0</v>
      </c>
      <c r="I1673" s="10" t="s">
        <v>343</v>
      </c>
      <c r="J1673" s="11">
        <v>26495</v>
      </c>
      <c r="K1673" s="11">
        <v>26360</v>
      </c>
      <c r="L1673" s="11">
        <v>52855</v>
      </c>
      <c r="M1673" s="11">
        <v>22922</v>
      </c>
    </row>
    <row r="1674" spans="1:13" x14ac:dyDescent="0.3">
      <c r="A1674" s="10">
        <v>6712</v>
      </c>
      <c r="B1674" s="10">
        <v>58</v>
      </c>
      <c r="C1674" s="10" t="s">
        <v>1980</v>
      </c>
      <c r="D1674" s="10">
        <v>5805</v>
      </c>
      <c r="E1674" s="10" t="s">
        <v>1985</v>
      </c>
      <c r="F1674" s="10">
        <v>0</v>
      </c>
      <c r="G1674" s="10" t="s">
        <v>343</v>
      </c>
      <c r="H1674" s="10">
        <v>0</v>
      </c>
      <c r="I1674" s="10" t="s">
        <v>343</v>
      </c>
      <c r="J1674" s="11">
        <v>16153</v>
      </c>
      <c r="K1674" s="11">
        <v>15985</v>
      </c>
      <c r="L1674" s="11">
        <v>32138</v>
      </c>
      <c r="M1674" s="11">
        <v>11385</v>
      </c>
    </row>
    <row r="1675" spans="1:13" x14ac:dyDescent="0.3">
      <c r="A1675" s="10">
        <v>6712</v>
      </c>
      <c r="B1675" s="10">
        <v>58</v>
      </c>
      <c r="C1675" s="10" t="s">
        <v>1980</v>
      </c>
      <c r="D1675" s="10">
        <v>5806</v>
      </c>
      <c r="E1675" s="10" t="s">
        <v>1986</v>
      </c>
      <c r="F1675" s="10">
        <v>0</v>
      </c>
      <c r="G1675" s="10" t="s">
        <v>343</v>
      </c>
      <c r="H1675" s="10">
        <v>0</v>
      </c>
      <c r="I1675" s="10" t="s">
        <v>343</v>
      </c>
      <c r="J1675" s="11">
        <v>24583</v>
      </c>
      <c r="K1675" s="11">
        <v>23890</v>
      </c>
      <c r="L1675" s="11">
        <v>48473</v>
      </c>
      <c r="M1675" s="11">
        <v>18261</v>
      </c>
    </row>
    <row r="1676" spans="1:13" x14ac:dyDescent="0.3">
      <c r="A1676" s="10">
        <v>6712</v>
      </c>
      <c r="B1676" s="10">
        <v>58</v>
      </c>
      <c r="C1676" s="10" t="s">
        <v>1980</v>
      </c>
      <c r="D1676" s="10">
        <v>5807</v>
      </c>
      <c r="E1676" s="10" t="s">
        <v>1987</v>
      </c>
      <c r="F1676" s="10">
        <v>0</v>
      </c>
      <c r="G1676" s="10" t="s">
        <v>343</v>
      </c>
      <c r="H1676" s="10">
        <v>0</v>
      </c>
      <c r="I1676" s="10" t="s">
        <v>343</v>
      </c>
      <c r="J1676" s="11">
        <v>11535</v>
      </c>
      <c r="K1676" s="11">
        <v>10819</v>
      </c>
      <c r="L1676" s="11">
        <v>22354</v>
      </c>
      <c r="M1676" s="11">
        <v>9415</v>
      </c>
    </row>
    <row r="1677" spans="1:13" x14ac:dyDescent="0.3">
      <c r="A1677" s="10">
        <v>6712</v>
      </c>
      <c r="B1677" s="10">
        <v>58</v>
      </c>
      <c r="C1677" s="10" t="s">
        <v>1980</v>
      </c>
      <c r="D1677" s="10">
        <v>5895</v>
      </c>
      <c r="E1677" s="10" t="s">
        <v>1988</v>
      </c>
      <c r="F1677" s="10">
        <v>0</v>
      </c>
      <c r="G1677" s="10" t="s">
        <v>343</v>
      </c>
      <c r="H1677" s="10">
        <v>0</v>
      </c>
      <c r="I1677" s="10" t="s">
        <v>343</v>
      </c>
      <c r="J1677" s="11">
        <v>1707</v>
      </c>
      <c r="K1677" s="11">
        <v>1757</v>
      </c>
      <c r="L1677" s="11">
        <v>3464</v>
      </c>
      <c r="M1677" s="11">
        <v>1865</v>
      </c>
    </row>
    <row r="1678" spans="1:13" x14ac:dyDescent="0.3">
      <c r="A1678" s="10">
        <v>6712</v>
      </c>
      <c r="B1678" s="10">
        <v>58</v>
      </c>
      <c r="C1678" s="10" t="s">
        <v>1980</v>
      </c>
      <c r="D1678" s="10">
        <v>5896</v>
      </c>
      <c r="E1678" s="10" t="s">
        <v>1989</v>
      </c>
      <c r="F1678" s="10">
        <v>0</v>
      </c>
      <c r="G1678" s="10" t="s">
        <v>343</v>
      </c>
      <c r="H1678" s="10">
        <v>0</v>
      </c>
      <c r="I1678" s="10" t="s">
        <v>343</v>
      </c>
      <c r="J1678" s="11">
        <v>1277</v>
      </c>
      <c r="K1678" s="11">
        <v>1421</v>
      </c>
      <c r="L1678" s="11">
        <v>2698</v>
      </c>
      <c r="M1678" s="11">
        <v>2057</v>
      </c>
    </row>
    <row r="1679" spans="1:13" x14ac:dyDescent="0.3">
      <c r="A1679" s="10">
        <v>6712</v>
      </c>
      <c r="B1679" s="10">
        <v>58</v>
      </c>
      <c r="C1679" s="10" t="s">
        <v>1980</v>
      </c>
      <c r="D1679" s="10">
        <v>5897</v>
      </c>
      <c r="E1679" s="10" t="s">
        <v>1990</v>
      </c>
      <c r="F1679" s="10">
        <v>0</v>
      </c>
      <c r="G1679" s="10" t="s">
        <v>343</v>
      </c>
      <c r="H1679" s="10">
        <v>0</v>
      </c>
      <c r="I1679" s="10" t="s">
        <v>343</v>
      </c>
      <c r="J1679" s="11">
        <v>1636</v>
      </c>
      <c r="K1679" s="11">
        <v>1699</v>
      </c>
      <c r="L1679" s="11">
        <v>3335</v>
      </c>
      <c r="M1679" s="11">
        <v>1963</v>
      </c>
    </row>
    <row r="1680" spans="1:13" x14ac:dyDescent="0.3">
      <c r="A1680" s="10">
        <v>6712</v>
      </c>
      <c r="B1680" s="10">
        <v>58</v>
      </c>
      <c r="C1680" s="10" t="s">
        <v>1980</v>
      </c>
      <c r="D1680" s="10">
        <v>5898</v>
      </c>
      <c r="E1680" s="10" t="s">
        <v>1991</v>
      </c>
      <c r="F1680" s="10">
        <v>0</v>
      </c>
      <c r="G1680" s="10" t="s">
        <v>343</v>
      </c>
      <c r="H1680" s="10">
        <v>0</v>
      </c>
      <c r="I1680" s="10" t="s">
        <v>343</v>
      </c>
      <c r="J1680" s="11">
        <v>1724</v>
      </c>
      <c r="K1680" s="11">
        <v>1789</v>
      </c>
      <c r="L1680" s="11">
        <v>3513</v>
      </c>
      <c r="M1680" s="11">
        <v>1859</v>
      </c>
    </row>
    <row r="1681" spans="1:13" x14ac:dyDescent="0.3">
      <c r="A1681" s="10">
        <v>6712</v>
      </c>
      <c r="B1681" s="10">
        <v>58</v>
      </c>
      <c r="C1681" s="10" t="s">
        <v>1980</v>
      </c>
      <c r="D1681" s="10">
        <v>5899</v>
      </c>
      <c r="E1681" s="10" t="s">
        <v>1992</v>
      </c>
      <c r="F1681" s="10">
        <v>0</v>
      </c>
      <c r="G1681" s="10" t="s">
        <v>343</v>
      </c>
      <c r="H1681" s="10">
        <v>0</v>
      </c>
      <c r="I1681" s="10" t="s">
        <v>343</v>
      </c>
      <c r="J1681" s="11">
        <v>3395</v>
      </c>
      <c r="K1681" s="11">
        <v>3426</v>
      </c>
      <c r="L1681" s="11">
        <v>6821</v>
      </c>
      <c r="M1681" s="11">
        <v>4821</v>
      </c>
    </row>
    <row r="1682" spans="1:13" x14ac:dyDescent="0.3">
      <c r="A1682" s="10">
        <v>6712</v>
      </c>
      <c r="B1682" s="10">
        <v>60</v>
      </c>
      <c r="C1682" s="10" t="s">
        <v>1993</v>
      </c>
      <c r="D1682" s="10">
        <v>0</v>
      </c>
      <c r="E1682" s="10" t="s">
        <v>343</v>
      </c>
      <c r="F1682" s="10">
        <v>0</v>
      </c>
      <c r="G1682" s="10" t="s">
        <v>343</v>
      </c>
      <c r="H1682" s="10">
        <v>0</v>
      </c>
      <c r="I1682" s="10" t="s">
        <v>343</v>
      </c>
      <c r="J1682" s="11">
        <v>493281</v>
      </c>
      <c r="K1682" s="11">
        <v>521120</v>
      </c>
      <c r="L1682" s="11">
        <v>1014401</v>
      </c>
      <c r="M1682" s="11">
        <v>437370</v>
      </c>
    </row>
    <row r="1683" spans="1:13" x14ac:dyDescent="0.3">
      <c r="A1683" s="10">
        <v>6712</v>
      </c>
      <c r="B1683" s="10">
        <v>60</v>
      </c>
      <c r="C1683" s="10" t="s">
        <v>1993</v>
      </c>
      <c r="D1683" s="10">
        <v>6001</v>
      </c>
      <c r="E1683" s="10" t="s">
        <v>1994</v>
      </c>
      <c r="F1683" s="10">
        <v>0</v>
      </c>
      <c r="G1683" s="10" t="s">
        <v>343</v>
      </c>
      <c r="H1683" s="10">
        <v>0</v>
      </c>
      <c r="I1683" s="10" t="s">
        <v>343</v>
      </c>
      <c r="J1683" s="11">
        <v>77626</v>
      </c>
      <c r="K1683" s="11">
        <v>84161</v>
      </c>
      <c r="L1683" s="11">
        <v>161787</v>
      </c>
      <c r="M1683" s="11">
        <v>75749</v>
      </c>
    </row>
    <row r="1684" spans="1:13" x14ac:dyDescent="0.3">
      <c r="A1684" s="10">
        <v>6712</v>
      </c>
      <c r="B1684" s="10">
        <v>60</v>
      </c>
      <c r="C1684" s="10" t="s">
        <v>1993</v>
      </c>
      <c r="D1684" s="10">
        <v>6002</v>
      </c>
      <c r="E1684" s="10" t="s">
        <v>1995</v>
      </c>
      <c r="F1684" s="10">
        <v>0</v>
      </c>
      <c r="G1684" s="10" t="s">
        <v>343</v>
      </c>
      <c r="H1684" s="10">
        <v>0</v>
      </c>
      <c r="I1684" s="10" t="s">
        <v>343</v>
      </c>
      <c r="J1684" s="11">
        <v>12750</v>
      </c>
      <c r="K1684" s="11">
        <v>13488</v>
      </c>
      <c r="L1684" s="11">
        <v>26238</v>
      </c>
      <c r="M1684" s="11">
        <v>10080</v>
      </c>
    </row>
    <row r="1685" spans="1:13" x14ac:dyDescent="0.3">
      <c r="A1685" s="10">
        <v>6712</v>
      </c>
      <c r="B1685" s="10">
        <v>60</v>
      </c>
      <c r="C1685" s="10" t="s">
        <v>1993</v>
      </c>
      <c r="D1685" s="10">
        <v>6003</v>
      </c>
      <c r="E1685" s="10" t="s">
        <v>1996</v>
      </c>
      <c r="F1685" s="10">
        <v>0</v>
      </c>
      <c r="G1685" s="10" t="s">
        <v>343</v>
      </c>
      <c r="H1685" s="10">
        <v>0</v>
      </c>
      <c r="I1685" s="10" t="s">
        <v>343</v>
      </c>
      <c r="J1685" s="11">
        <v>25148</v>
      </c>
      <c r="K1685" s="11">
        <v>26765</v>
      </c>
      <c r="L1685" s="11">
        <v>51913</v>
      </c>
      <c r="M1685" s="11">
        <v>19025</v>
      </c>
    </row>
    <row r="1686" spans="1:13" x14ac:dyDescent="0.3">
      <c r="A1686" s="10">
        <v>6712</v>
      </c>
      <c r="B1686" s="10">
        <v>60</v>
      </c>
      <c r="C1686" s="10" t="s">
        <v>1993</v>
      </c>
      <c r="D1686" s="10">
        <v>6004</v>
      </c>
      <c r="E1686" s="10" t="s">
        <v>1997</v>
      </c>
      <c r="F1686" s="10">
        <v>0</v>
      </c>
      <c r="G1686" s="10" t="s">
        <v>343</v>
      </c>
      <c r="H1686" s="10">
        <v>0</v>
      </c>
      <c r="I1686" s="10" t="s">
        <v>343</v>
      </c>
      <c r="J1686" s="11">
        <v>26352</v>
      </c>
      <c r="K1686" s="11">
        <v>26847</v>
      </c>
      <c r="L1686" s="11">
        <v>53199</v>
      </c>
      <c r="M1686" s="11">
        <v>24157</v>
      </c>
    </row>
    <row r="1687" spans="1:13" x14ac:dyDescent="0.3">
      <c r="A1687" s="10">
        <v>6712</v>
      </c>
      <c r="B1687" s="10">
        <v>60</v>
      </c>
      <c r="C1687" s="10" t="s">
        <v>1993</v>
      </c>
      <c r="D1687" s="10">
        <v>6005</v>
      </c>
      <c r="E1687" s="10" t="s">
        <v>1998</v>
      </c>
      <c r="F1687" s="10">
        <v>0</v>
      </c>
      <c r="G1687" s="10" t="s">
        <v>343</v>
      </c>
      <c r="H1687" s="10">
        <v>0</v>
      </c>
      <c r="I1687" s="10" t="s">
        <v>343</v>
      </c>
      <c r="J1687" s="11">
        <v>38702</v>
      </c>
      <c r="K1687" s="11">
        <v>40327</v>
      </c>
      <c r="L1687" s="11">
        <v>79029</v>
      </c>
      <c r="M1687" s="11">
        <v>29473</v>
      </c>
    </row>
    <row r="1688" spans="1:13" x14ac:dyDescent="0.3">
      <c r="A1688" s="10">
        <v>6712</v>
      </c>
      <c r="B1688" s="10">
        <v>60</v>
      </c>
      <c r="C1688" s="10" t="s">
        <v>1993</v>
      </c>
      <c r="D1688" s="10">
        <v>6006</v>
      </c>
      <c r="E1688" s="10" t="s">
        <v>1999</v>
      </c>
      <c r="F1688" s="10">
        <v>0</v>
      </c>
      <c r="G1688" s="10" t="s">
        <v>343</v>
      </c>
      <c r="H1688" s="10">
        <v>0</v>
      </c>
      <c r="I1688" s="10" t="s">
        <v>343</v>
      </c>
      <c r="J1688" s="11">
        <v>13652</v>
      </c>
      <c r="K1688" s="11">
        <v>14395</v>
      </c>
      <c r="L1688" s="11">
        <v>28047</v>
      </c>
      <c r="M1688" s="11">
        <v>11018</v>
      </c>
    </row>
    <row r="1689" spans="1:13" x14ac:dyDescent="0.3">
      <c r="A1689" s="10">
        <v>6712</v>
      </c>
      <c r="B1689" s="10">
        <v>60</v>
      </c>
      <c r="C1689" s="10" t="s">
        <v>1993</v>
      </c>
      <c r="D1689" s="10">
        <v>6007</v>
      </c>
      <c r="E1689" s="10" t="s">
        <v>2000</v>
      </c>
      <c r="F1689" s="10">
        <v>0</v>
      </c>
      <c r="G1689" s="10" t="s">
        <v>343</v>
      </c>
      <c r="H1689" s="10">
        <v>0</v>
      </c>
      <c r="I1689" s="10" t="s">
        <v>343</v>
      </c>
      <c r="J1689" s="11">
        <v>37323</v>
      </c>
      <c r="K1689" s="11">
        <v>38318</v>
      </c>
      <c r="L1689" s="11">
        <v>75641</v>
      </c>
      <c r="M1689" s="11">
        <v>31157</v>
      </c>
    </row>
    <row r="1690" spans="1:13" x14ac:dyDescent="0.3">
      <c r="A1690" s="10">
        <v>6712</v>
      </c>
      <c r="B1690" s="10">
        <v>60</v>
      </c>
      <c r="C1690" s="10" t="s">
        <v>1993</v>
      </c>
      <c r="D1690" s="10">
        <v>6008</v>
      </c>
      <c r="E1690" s="10" t="s">
        <v>2001</v>
      </c>
      <c r="F1690" s="10">
        <v>0</v>
      </c>
      <c r="G1690" s="10" t="s">
        <v>343</v>
      </c>
      <c r="H1690" s="10">
        <v>0</v>
      </c>
      <c r="I1690" s="10" t="s">
        <v>343</v>
      </c>
      <c r="J1690" s="11">
        <v>28667</v>
      </c>
      <c r="K1690" s="11">
        <v>30097</v>
      </c>
      <c r="L1690" s="11">
        <v>58764</v>
      </c>
      <c r="M1690" s="11">
        <v>24302</v>
      </c>
    </row>
    <row r="1691" spans="1:13" x14ac:dyDescent="0.3">
      <c r="A1691" s="10">
        <v>6712</v>
      </c>
      <c r="B1691" s="10">
        <v>60</v>
      </c>
      <c r="C1691" s="10" t="s">
        <v>1993</v>
      </c>
      <c r="D1691" s="10">
        <v>6009</v>
      </c>
      <c r="E1691" s="10" t="s">
        <v>2002</v>
      </c>
      <c r="F1691" s="10">
        <v>0</v>
      </c>
      <c r="G1691" s="10" t="s">
        <v>343</v>
      </c>
      <c r="H1691" s="10">
        <v>0</v>
      </c>
      <c r="I1691" s="10" t="s">
        <v>343</v>
      </c>
      <c r="J1691" s="11">
        <v>29102</v>
      </c>
      <c r="K1691" s="11">
        <v>29738</v>
      </c>
      <c r="L1691" s="11">
        <v>58840</v>
      </c>
      <c r="M1691" s="11">
        <v>22125</v>
      </c>
    </row>
    <row r="1692" spans="1:13" x14ac:dyDescent="0.3">
      <c r="A1692" s="10">
        <v>6712</v>
      </c>
      <c r="B1692" s="10">
        <v>60</v>
      </c>
      <c r="C1692" s="10" t="s">
        <v>1993</v>
      </c>
      <c r="D1692" s="10">
        <v>6010</v>
      </c>
      <c r="E1692" s="10" t="s">
        <v>2003</v>
      </c>
      <c r="F1692" s="10">
        <v>0</v>
      </c>
      <c r="G1692" s="10" t="s">
        <v>343</v>
      </c>
      <c r="H1692" s="10">
        <v>0</v>
      </c>
      <c r="I1692" s="10" t="s">
        <v>343</v>
      </c>
      <c r="J1692" s="11">
        <v>23856</v>
      </c>
      <c r="K1692" s="11">
        <v>25370</v>
      </c>
      <c r="L1692" s="11">
        <v>49226</v>
      </c>
      <c r="M1692" s="11">
        <v>21914</v>
      </c>
    </row>
    <row r="1693" spans="1:13" x14ac:dyDescent="0.3">
      <c r="A1693" s="10">
        <v>6712</v>
      </c>
      <c r="B1693" s="10">
        <v>60</v>
      </c>
      <c r="C1693" s="10" t="s">
        <v>1993</v>
      </c>
      <c r="D1693" s="10">
        <v>6011</v>
      </c>
      <c r="E1693" s="10" t="s">
        <v>2004</v>
      </c>
      <c r="F1693" s="10">
        <v>0</v>
      </c>
      <c r="G1693" s="10" t="s">
        <v>343</v>
      </c>
      <c r="H1693" s="10">
        <v>0</v>
      </c>
      <c r="I1693" s="10" t="s">
        <v>343</v>
      </c>
      <c r="J1693" s="11">
        <v>35173</v>
      </c>
      <c r="K1693" s="11">
        <v>36633</v>
      </c>
      <c r="L1693" s="11">
        <v>71806</v>
      </c>
      <c r="M1693" s="11">
        <v>27862</v>
      </c>
    </row>
    <row r="1694" spans="1:13" x14ac:dyDescent="0.3">
      <c r="A1694" s="10">
        <v>6712</v>
      </c>
      <c r="B1694" s="10">
        <v>60</v>
      </c>
      <c r="C1694" s="10" t="s">
        <v>1993</v>
      </c>
      <c r="D1694" s="10">
        <v>6012</v>
      </c>
      <c r="E1694" s="10" t="s">
        <v>2005</v>
      </c>
      <c r="F1694" s="10">
        <v>0</v>
      </c>
      <c r="G1694" s="10" t="s">
        <v>343</v>
      </c>
      <c r="H1694" s="10">
        <v>0</v>
      </c>
      <c r="I1694" s="10" t="s">
        <v>343</v>
      </c>
      <c r="J1694" s="11">
        <v>16410</v>
      </c>
      <c r="K1694" s="11">
        <v>16986</v>
      </c>
      <c r="L1694" s="11">
        <v>33396</v>
      </c>
      <c r="M1694" s="11">
        <v>13183</v>
      </c>
    </row>
    <row r="1695" spans="1:13" x14ac:dyDescent="0.3">
      <c r="A1695" s="10">
        <v>6712</v>
      </c>
      <c r="B1695" s="10">
        <v>60</v>
      </c>
      <c r="C1695" s="10" t="s">
        <v>1993</v>
      </c>
      <c r="D1695" s="10">
        <v>6013</v>
      </c>
      <c r="E1695" s="10" t="s">
        <v>2006</v>
      </c>
      <c r="F1695" s="10">
        <v>0</v>
      </c>
      <c r="G1695" s="10" t="s">
        <v>343</v>
      </c>
      <c r="H1695" s="10">
        <v>0</v>
      </c>
      <c r="I1695" s="10" t="s">
        <v>343</v>
      </c>
      <c r="J1695" s="11">
        <v>24370</v>
      </c>
      <c r="K1695" s="11">
        <v>24587</v>
      </c>
      <c r="L1695" s="11">
        <v>48957</v>
      </c>
      <c r="M1695" s="11">
        <v>19342</v>
      </c>
    </row>
    <row r="1696" spans="1:13" x14ac:dyDescent="0.3">
      <c r="A1696" s="10">
        <v>6712</v>
      </c>
      <c r="B1696" s="10">
        <v>60</v>
      </c>
      <c r="C1696" s="10" t="s">
        <v>1993</v>
      </c>
      <c r="D1696" s="10">
        <v>6014</v>
      </c>
      <c r="E1696" s="10" t="s">
        <v>2007</v>
      </c>
      <c r="F1696" s="10">
        <v>0</v>
      </c>
      <c r="G1696" s="10" t="s">
        <v>343</v>
      </c>
      <c r="H1696" s="10">
        <v>0</v>
      </c>
      <c r="I1696" s="10" t="s">
        <v>343</v>
      </c>
      <c r="J1696" s="11">
        <v>10302</v>
      </c>
      <c r="K1696" s="11">
        <v>10286</v>
      </c>
      <c r="L1696" s="11">
        <v>20588</v>
      </c>
      <c r="M1696" s="11">
        <v>6444</v>
      </c>
    </row>
    <row r="1697" spans="1:13" x14ac:dyDescent="0.3">
      <c r="A1697" s="10">
        <v>6712</v>
      </c>
      <c r="B1697" s="10">
        <v>60</v>
      </c>
      <c r="C1697" s="10" t="s">
        <v>1993</v>
      </c>
      <c r="D1697" s="10">
        <v>6015</v>
      </c>
      <c r="E1697" s="10" t="s">
        <v>2008</v>
      </c>
      <c r="F1697" s="10">
        <v>0</v>
      </c>
      <c r="G1697" s="10" t="s">
        <v>343</v>
      </c>
      <c r="H1697" s="10">
        <v>0</v>
      </c>
      <c r="I1697" s="10" t="s">
        <v>343</v>
      </c>
      <c r="J1697" s="11">
        <v>8785</v>
      </c>
      <c r="K1697" s="11">
        <v>8860</v>
      </c>
      <c r="L1697" s="11">
        <v>17645</v>
      </c>
      <c r="M1697" s="11">
        <v>6675</v>
      </c>
    </row>
    <row r="1698" spans="1:13" x14ac:dyDescent="0.3">
      <c r="A1698" s="10">
        <v>6712</v>
      </c>
      <c r="B1698" s="10">
        <v>60</v>
      </c>
      <c r="C1698" s="10" t="s">
        <v>1993</v>
      </c>
      <c r="D1698" s="10">
        <v>6082</v>
      </c>
      <c r="E1698" s="10" t="s">
        <v>2009</v>
      </c>
      <c r="F1698" s="10">
        <v>0</v>
      </c>
      <c r="G1698" s="10" t="s">
        <v>343</v>
      </c>
      <c r="H1698" s="10">
        <v>0</v>
      </c>
      <c r="I1698" s="10" t="s">
        <v>343</v>
      </c>
      <c r="J1698" s="11">
        <v>2477</v>
      </c>
      <c r="K1698" s="11">
        <v>2685</v>
      </c>
      <c r="L1698" s="11">
        <v>5162</v>
      </c>
      <c r="M1698" s="11">
        <v>2872</v>
      </c>
    </row>
    <row r="1699" spans="1:13" x14ac:dyDescent="0.3">
      <c r="A1699" s="10">
        <v>6712</v>
      </c>
      <c r="B1699" s="10">
        <v>60</v>
      </c>
      <c r="C1699" s="10" t="s">
        <v>1993</v>
      </c>
      <c r="D1699" s="10">
        <v>6083</v>
      </c>
      <c r="E1699" s="10" t="s">
        <v>2010</v>
      </c>
      <c r="F1699" s="10">
        <v>0</v>
      </c>
      <c r="G1699" s="10" t="s">
        <v>343</v>
      </c>
      <c r="H1699" s="10">
        <v>0</v>
      </c>
      <c r="I1699" s="10" t="s">
        <v>343</v>
      </c>
      <c r="J1699" s="11">
        <v>2641</v>
      </c>
      <c r="K1699" s="11">
        <v>3002</v>
      </c>
      <c r="L1699" s="11">
        <v>5643</v>
      </c>
      <c r="M1699" s="11">
        <v>3529</v>
      </c>
    </row>
    <row r="1700" spans="1:13" x14ac:dyDescent="0.3">
      <c r="A1700" s="10">
        <v>6712</v>
      </c>
      <c r="B1700" s="10">
        <v>60</v>
      </c>
      <c r="C1700" s="10" t="s">
        <v>1993</v>
      </c>
      <c r="D1700" s="10">
        <v>6084</v>
      </c>
      <c r="E1700" s="10" t="s">
        <v>2011</v>
      </c>
      <c r="F1700" s="10">
        <v>0</v>
      </c>
      <c r="G1700" s="10" t="s">
        <v>343</v>
      </c>
      <c r="H1700" s="10">
        <v>0</v>
      </c>
      <c r="I1700" s="10" t="s">
        <v>343</v>
      </c>
      <c r="J1700" s="11">
        <v>1493</v>
      </c>
      <c r="K1700" s="11">
        <v>1715</v>
      </c>
      <c r="L1700" s="11">
        <v>3208</v>
      </c>
      <c r="M1700" s="11">
        <v>1510</v>
      </c>
    </row>
    <row r="1701" spans="1:13" x14ac:dyDescent="0.3">
      <c r="A1701" s="10">
        <v>6712</v>
      </c>
      <c r="B1701" s="10">
        <v>60</v>
      </c>
      <c r="C1701" s="10" t="s">
        <v>1993</v>
      </c>
      <c r="D1701" s="10">
        <v>6085</v>
      </c>
      <c r="E1701" s="10" t="s">
        <v>2012</v>
      </c>
      <c r="F1701" s="10">
        <v>0</v>
      </c>
      <c r="G1701" s="10" t="s">
        <v>343</v>
      </c>
      <c r="H1701" s="10">
        <v>0</v>
      </c>
      <c r="I1701" s="10" t="s">
        <v>343</v>
      </c>
      <c r="J1701" s="11">
        <v>2485</v>
      </c>
      <c r="K1701" s="11">
        <v>2903</v>
      </c>
      <c r="L1701" s="11">
        <v>5388</v>
      </c>
      <c r="M1701" s="11">
        <v>3056</v>
      </c>
    </row>
    <row r="1702" spans="1:13" x14ac:dyDescent="0.3">
      <c r="A1702" s="10">
        <v>6712</v>
      </c>
      <c r="B1702" s="10">
        <v>60</v>
      </c>
      <c r="C1702" s="10" t="s">
        <v>1993</v>
      </c>
      <c r="D1702" s="10">
        <v>6086</v>
      </c>
      <c r="E1702" s="10" t="s">
        <v>2013</v>
      </c>
      <c r="F1702" s="10">
        <v>0</v>
      </c>
      <c r="G1702" s="10" t="s">
        <v>343</v>
      </c>
      <c r="H1702" s="10">
        <v>0</v>
      </c>
      <c r="I1702" s="10" t="s">
        <v>343</v>
      </c>
      <c r="J1702" s="11">
        <v>2314</v>
      </c>
      <c r="K1702" s="11">
        <v>2560</v>
      </c>
      <c r="L1702" s="11">
        <v>4874</v>
      </c>
      <c r="M1702" s="11">
        <v>2815</v>
      </c>
    </row>
    <row r="1703" spans="1:13" x14ac:dyDescent="0.3">
      <c r="A1703" s="10">
        <v>6712</v>
      </c>
      <c r="B1703" s="10">
        <v>60</v>
      </c>
      <c r="C1703" s="10" t="s">
        <v>1993</v>
      </c>
      <c r="D1703" s="10">
        <v>6087</v>
      </c>
      <c r="E1703" s="10" t="s">
        <v>2014</v>
      </c>
      <c r="F1703" s="10">
        <v>0</v>
      </c>
      <c r="G1703" s="10" t="s">
        <v>343</v>
      </c>
      <c r="H1703" s="10">
        <v>0</v>
      </c>
      <c r="I1703" s="10" t="s">
        <v>343</v>
      </c>
      <c r="J1703" s="11">
        <v>4665</v>
      </c>
      <c r="K1703" s="11">
        <v>5204</v>
      </c>
      <c r="L1703" s="11">
        <v>9869</v>
      </c>
      <c r="M1703" s="11">
        <v>5150</v>
      </c>
    </row>
    <row r="1704" spans="1:13" x14ac:dyDescent="0.3">
      <c r="A1704" s="10">
        <v>6712</v>
      </c>
      <c r="B1704" s="10">
        <v>60</v>
      </c>
      <c r="C1704" s="10" t="s">
        <v>1993</v>
      </c>
      <c r="D1704" s="10">
        <v>6088</v>
      </c>
      <c r="E1704" s="10" t="s">
        <v>2015</v>
      </c>
      <c r="F1704" s="10">
        <v>0</v>
      </c>
      <c r="G1704" s="10" t="s">
        <v>343</v>
      </c>
      <c r="H1704" s="10">
        <v>0</v>
      </c>
      <c r="I1704" s="10" t="s">
        <v>343</v>
      </c>
      <c r="J1704" s="11">
        <v>2472</v>
      </c>
      <c r="K1704" s="11">
        <v>2830</v>
      </c>
      <c r="L1704" s="11">
        <v>5302</v>
      </c>
      <c r="M1704" s="11">
        <v>2960</v>
      </c>
    </row>
    <row r="1705" spans="1:13" x14ac:dyDescent="0.3">
      <c r="A1705" s="10">
        <v>6712</v>
      </c>
      <c r="B1705" s="10">
        <v>60</v>
      </c>
      <c r="C1705" s="10" t="s">
        <v>1993</v>
      </c>
      <c r="D1705" s="10">
        <v>6089</v>
      </c>
      <c r="E1705" s="10" t="s">
        <v>2016</v>
      </c>
      <c r="F1705" s="10">
        <v>0</v>
      </c>
      <c r="G1705" s="10" t="s">
        <v>343</v>
      </c>
      <c r="H1705" s="10">
        <v>0</v>
      </c>
      <c r="I1705" s="10" t="s">
        <v>343</v>
      </c>
      <c r="J1705" s="11">
        <v>1377</v>
      </c>
      <c r="K1705" s="11">
        <v>1513</v>
      </c>
      <c r="L1705" s="11">
        <v>2890</v>
      </c>
      <c r="M1705" s="11">
        <v>1101</v>
      </c>
    </row>
    <row r="1706" spans="1:13" x14ac:dyDescent="0.3">
      <c r="A1706" s="10">
        <v>6712</v>
      </c>
      <c r="B1706" s="10">
        <v>60</v>
      </c>
      <c r="C1706" s="10" t="s">
        <v>1993</v>
      </c>
      <c r="D1706" s="10">
        <v>6090</v>
      </c>
      <c r="E1706" s="10" t="s">
        <v>2017</v>
      </c>
      <c r="F1706" s="10">
        <v>0</v>
      </c>
      <c r="G1706" s="10" t="s">
        <v>343</v>
      </c>
      <c r="H1706" s="10">
        <v>0</v>
      </c>
      <c r="I1706" s="10" t="s">
        <v>343</v>
      </c>
      <c r="J1706" s="11">
        <v>2659</v>
      </c>
      <c r="K1706" s="11">
        <v>2908</v>
      </c>
      <c r="L1706" s="11">
        <v>5567</v>
      </c>
      <c r="M1706" s="11">
        <v>2395</v>
      </c>
    </row>
    <row r="1707" spans="1:13" x14ac:dyDescent="0.3">
      <c r="A1707" s="10">
        <v>6712</v>
      </c>
      <c r="B1707" s="10">
        <v>60</v>
      </c>
      <c r="C1707" s="10" t="s">
        <v>1993</v>
      </c>
      <c r="D1707" s="10">
        <v>6091</v>
      </c>
      <c r="E1707" s="10" t="s">
        <v>2018</v>
      </c>
      <c r="F1707" s="10">
        <v>0</v>
      </c>
      <c r="G1707" s="10" t="s">
        <v>343</v>
      </c>
      <c r="H1707" s="10">
        <v>0</v>
      </c>
      <c r="I1707" s="10" t="s">
        <v>343</v>
      </c>
      <c r="J1707" s="11">
        <v>1691</v>
      </c>
      <c r="K1707" s="11">
        <v>1860</v>
      </c>
      <c r="L1707" s="11">
        <v>3551</v>
      </c>
      <c r="M1707" s="11">
        <v>1904</v>
      </c>
    </row>
    <row r="1708" spans="1:13" x14ac:dyDescent="0.3">
      <c r="A1708" s="10">
        <v>6712</v>
      </c>
      <c r="B1708" s="10">
        <v>60</v>
      </c>
      <c r="C1708" s="10" t="s">
        <v>1993</v>
      </c>
      <c r="D1708" s="10">
        <v>6092</v>
      </c>
      <c r="E1708" s="10" t="s">
        <v>760</v>
      </c>
      <c r="F1708" s="10">
        <v>0</v>
      </c>
      <c r="G1708" s="10" t="s">
        <v>343</v>
      </c>
      <c r="H1708" s="10">
        <v>0</v>
      </c>
      <c r="I1708" s="10" t="s">
        <v>343</v>
      </c>
      <c r="J1708" s="11">
        <v>5322</v>
      </c>
      <c r="K1708" s="11">
        <v>5931</v>
      </c>
      <c r="L1708" s="11">
        <v>11253</v>
      </c>
      <c r="M1708" s="11">
        <v>5235</v>
      </c>
    </row>
    <row r="1709" spans="1:13" x14ac:dyDescent="0.3">
      <c r="A1709" s="10">
        <v>6712</v>
      </c>
      <c r="B1709" s="10">
        <v>60</v>
      </c>
      <c r="C1709" s="10" t="s">
        <v>1993</v>
      </c>
      <c r="D1709" s="10">
        <v>6093</v>
      </c>
      <c r="E1709" s="10" t="s">
        <v>2019</v>
      </c>
      <c r="F1709" s="10">
        <v>0</v>
      </c>
      <c r="G1709" s="10" t="s">
        <v>343</v>
      </c>
      <c r="H1709" s="10">
        <v>0</v>
      </c>
      <c r="I1709" s="10" t="s">
        <v>343</v>
      </c>
      <c r="J1709" s="10">
        <v>992</v>
      </c>
      <c r="K1709" s="11">
        <v>1062</v>
      </c>
      <c r="L1709" s="11">
        <v>2054</v>
      </c>
      <c r="M1709" s="10">
        <v>843</v>
      </c>
    </row>
    <row r="1710" spans="1:13" x14ac:dyDescent="0.3">
      <c r="A1710" s="10">
        <v>6712</v>
      </c>
      <c r="B1710" s="10">
        <v>60</v>
      </c>
      <c r="C1710" s="10" t="s">
        <v>1993</v>
      </c>
      <c r="D1710" s="10">
        <v>6094</v>
      </c>
      <c r="E1710" s="10" t="s">
        <v>2020</v>
      </c>
      <c r="F1710" s="10">
        <v>0</v>
      </c>
      <c r="G1710" s="10" t="s">
        <v>343</v>
      </c>
      <c r="H1710" s="10">
        <v>0</v>
      </c>
      <c r="I1710" s="10" t="s">
        <v>343</v>
      </c>
      <c r="J1710" s="11">
        <v>2416</v>
      </c>
      <c r="K1710" s="11">
        <v>2518</v>
      </c>
      <c r="L1710" s="11">
        <v>4934</v>
      </c>
      <c r="M1710" s="11">
        <v>1653</v>
      </c>
    </row>
    <row r="1711" spans="1:13" x14ac:dyDescent="0.3">
      <c r="A1711" s="10">
        <v>6712</v>
      </c>
      <c r="B1711" s="10">
        <v>60</v>
      </c>
      <c r="C1711" s="10" t="s">
        <v>1993</v>
      </c>
      <c r="D1711" s="10">
        <v>6095</v>
      </c>
      <c r="E1711" s="10" t="s">
        <v>2021</v>
      </c>
      <c r="F1711" s="10">
        <v>0</v>
      </c>
      <c r="G1711" s="10" t="s">
        <v>343</v>
      </c>
      <c r="H1711" s="10">
        <v>0</v>
      </c>
      <c r="I1711" s="10" t="s">
        <v>343</v>
      </c>
      <c r="J1711" s="11">
        <v>1030</v>
      </c>
      <c r="K1711" s="11">
        <v>1120</v>
      </c>
      <c r="L1711" s="11">
        <v>2150</v>
      </c>
      <c r="M1711" s="11">
        <v>1014</v>
      </c>
    </row>
    <row r="1712" spans="1:13" x14ac:dyDescent="0.3">
      <c r="A1712" s="10">
        <v>6712</v>
      </c>
      <c r="B1712" s="10">
        <v>60</v>
      </c>
      <c r="C1712" s="10" t="s">
        <v>1993</v>
      </c>
      <c r="D1712" s="10">
        <v>6096</v>
      </c>
      <c r="E1712" s="10" t="s">
        <v>2022</v>
      </c>
      <c r="F1712" s="10">
        <v>0</v>
      </c>
      <c r="G1712" s="10" t="s">
        <v>343</v>
      </c>
      <c r="H1712" s="10">
        <v>0</v>
      </c>
      <c r="I1712" s="10" t="s">
        <v>343</v>
      </c>
      <c r="J1712" s="11">
        <v>1274</v>
      </c>
      <c r="K1712" s="11">
        <v>1564</v>
      </c>
      <c r="L1712" s="11">
        <v>2838</v>
      </c>
      <c r="M1712" s="11">
        <v>1549</v>
      </c>
    </row>
    <row r="1713" spans="1:13" x14ac:dyDescent="0.3">
      <c r="A1713" s="10">
        <v>6712</v>
      </c>
      <c r="B1713" s="10">
        <v>60</v>
      </c>
      <c r="C1713" s="10" t="s">
        <v>1993</v>
      </c>
      <c r="D1713" s="10">
        <v>6097</v>
      </c>
      <c r="E1713" s="10" t="s">
        <v>2023</v>
      </c>
      <c r="F1713" s="10">
        <v>0</v>
      </c>
      <c r="G1713" s="10" t="s">
        <v>343</v>
      </c>
      <c r="H1713" s="10">
        <v>0</v>
      </c>
      <c r="I1713" s="10" t="s">
        <v>343</v>
      </c>
      <c r="J1713" s="11">
        <v>10464</v>
      </c>
      <c r="K1713" s="11">
        <v>11529</v>
      </c>
      <c r="L1713" s="11">
        <v>21993</v>
      </c>
      <c r="M1713" s="11">
        <v>10222</v>
      </c>
    </row>
    <row r="1714" spans="1:13" x14ac:dyDescent="0.3">
      <c r="A1714" s="10">
        <v>6712</v>
      </c>
      <c r="B1714" s="10">
        <v>60</v>
      </c>
      <c r="C1714" s="10" t="s">
        <v>1993</v>
      </c>
      <c r="D1714" s="10">
        <v>6098</v>
      </c>
      <c r="E1714" s="10" t="s">
        <v>2024</v>
      </c>
      <c r="F1714" s="10">
        <v>0</v>
      </c>
      <c r="G1714" s="10" t="s">
        <v>343</v>
      </c>
      <c r="H1714" s="10">
        <v>0</v>
      </c>
      <c r="I1714" s="10" t="s">
        <v>343</v>
      </c>
      <c r="J1714" s="11">
        <v>3372</v>
      </c>
      <c r="K1714" s="11">
        <v>3775</v>
      </c>
      <c r="L1714" s="11">
        <v>7147</v>
      </c>
      <c r="M1714" s="11">
        <v>3659</v>
      </c>
    </row>
    <row r="1715" spans="1:13" x14ac:dyDescent="0.3">
      <c r="A1715" s="10">
        <v>6712</v>
      </c>
      <c r="B1715" s="10">
        <v>60</v>
      </c>
      <c r="C1715" s="10" t="s">
        <v>1993</v>
      </c>
      <c r="D1715" s="10">
        <v>6099</v>
      </c>
      <c r="E1715" s="10" t="s">
        <v>2025</v>
      </c>
      <c r="F1715" s="10">
        <v>0</v>
      </c>
      <c r="G1715" s="10" t="s">
        <v>343</v>
      </c>
      <c r="H1715" s="10">
        <v>0</v>
      </c>
      <c r="I1715" s="10" t="s">
        <v>343</v>
      </c>
      <c r="J1715" s="11">
        <v>35919</v>
      </c>
      <c r="K1715" s="11">
        <v>39583</v>
      </c>
      <c r="L1715" s="11">
        <v>75502</v>
      </c>
      <c r="M1715" s="11">
        <v>43397</v>
      </c>
    </row>
    <row r="1716" spans="1:13" x14ac:dyDescent="0.3">
      <c r="A1716" s="10">
        <v>6712</v>
      </c>
      <c r="B1716" s="10">
        <v>61</v>
      </c>
      <c r="C1716" s="10" t="s">
        <v>2026</v>
      </c>
      <c r="D1716" s="10">
        <v>0</v>
      </c>
      <c r="E1716" s="10" t="s">
        <v>343</v>
      </c>
      <c r="F1716" s="10">
        <v>0</v>
      </c>
      <c r="G1716" s="10" t="s">
        <v>343</v>
      </c>
      <c r="H1716" s="10">
        <v>0</v>
      </c>
      <c r="I1716" s="10" t="s">
        <v>343</v>
      </c>
      <c r="J1716" s="11">
        <v>156311</v>
      </c>
      <c r="K1716" s="11">
        <v>164134</v>
      </c>
      <c r="L1716" s="11">
        <v>320445</v>
      </c>
      <c r="M1716" s="11">
        <v>132050</v>
      </c>
    </row>
    <row r="1717" spans="1:13" x14ac:dyDescent="0.3">
      <c r="A1717" s="10">
        <v>6712</v>
      </c>
      <c r="B1717" s="10">
        <v>61</v>
      </c>
      <c r="C1717" s="10" t="s">
        <v>2026</v>
      </c>
      <c r="D1717" s="10">
        <v>6101</v>
      </c>
      <c r="E1717" s="10" t="s">
        <v>2027</v>
      </c>
      <c r="F1717" s="10">
        <v>0</v>
      </c>
      <c r="G1717" s="10" t="s">
        <v>343</v>
      </c>
      <c r="H1717" s="10">
        <v>0</v>
      </c>
      <c r="I1717" s="10" t="s">
        <v>343</v>
      </c>
      <c r="J1717" s="11">
        <v>16774</v>
      </c>
      <c r="K1717" s="11">
        <v>18295</v>
      </c>
      <c r="L1717" s="11">
        <v>35069</v>
      </c>
      <c r="M1717" s="11">
        <v>14621</v>
      </c>
    </row>
    <row r="1718" spans="1:13" x14ac:dyDescent="0.3">
      <c r="A1718" s="10">
        <v>6712</v>
      </c>
      <c r="B1718" s="10">
        <v>61</v>
      </c>
      <c r="C1718" s="10" t="s">
        <v>2026</v>
      </c>
      <c r="D1718" s="10">
        <v>6102</v>
      </c>
      <c r="E1718" s="10" t="s">
        <v>2028</v>
      </c>
      <c r="F1718" s="10">
        <v>0</v>
      </c>
      <c r="G1718" s="10" t="s">
        <v>343</v>
      </c>
      <c r="H1718" s="10">
        <v>0</v>
      </c>
      <c r="I1718" s="10" t="s">
        <v>343</v>
      </c>
      <c r="J1718" s="11">
        <v>7665</v>
      </c>
      <c r="K1718" s="11">
        <v>8048</v>
      </c>
      <c r="L1718" s="11">
        <v>15713</v>
      </c>
      <c r="M1718" s="11">
        <v>5691</v>
      </c>
    </row>
    <row r="1719" spans="1:13" x14ac:dyDescent="0.3">
      <c r="A1719" s="10">
        <v>6712</v>
      </c>
      <c r="B1719" s="10">
        <v>61</v>
      </c>
      <c r="C1719" s="10" t="s">
        <v>2026</v>
      </c>
      <c r="D1719" s="10">
        <v>6103</v>
      </c>
      <c r="E1719" s="10" t="s">
        <v>2029</v>
      </c>
      <c r="F1719" s="10">
        <v>0</v>
      </c>
      <c r="G1719" s="10" t="s">
        <v>343</v>
      </c>
      <c r="H1719" s="10">
        <v>0</v>
      </c>
      <c r="I1719" s="10" t="s">
        <v>343</v>
      </c>
      <c r="J1719" s="11">
        <v>14694</v>
      </c>
      <c r="K1719" s="11">
        <v>14778</v>
      </c>
      <c r="L1719" s="11">
        <v>29472</v>
      </c>
      <c r="M1719" s="11">
        <v>10339</v>
      </c>
    </row>
    <row r="1720" spans="1:13" x14ac:dyDescent="0.3">
      <c r="A1720" s="10">
        <v>6712</v>
      </c>
      <c r="B1720" s="10">
        <v>61</v>
      </c>
      <c r="C1720" s="10" t="s">
        <v>2026</v>
      </c>
      <c r="D1720" s="10">
        <v>6104</v>
      </c>
      <c r="E1720" s="10" t="s">
        <v>2030</v>
      </c>
      <c r="F1720" s="10">
        <v>0</v>
      </c>
      <c r="G1720" s="10" t="s">
        <v>343</v>
      </c>
      <c r="H1720" s="10">
        <v>0</v>
      </c>
      <c r="I1720" s="10" t="s">
        <v>343</v>
      </c>
      <c r="J1720" s="11">
        <v>16210</v>
      </c>
      <c r="K1720" s="11">
        <v>17240</v>
      </c>
      <c r="L1720" s="11">
        <v>33450</v>
      </c>
      <c r="M1720" s="11">
        <v>12418</v>
      </c>
    </row>
    <row r="1721" spans="1:13" x14ac:dyDescent="0.3">
      <c r="A1721" s="10">
        <v>6712</v>
      </c>
      <c r="B1721" s="10">
        <v>61</v>
      </c>
      <c r="C1721" s="10" t="s">
        <v>2026</v>
      </c>
      <c r="D1721" s="10">
        <v>6105</v>
      </c>
      <c r="E1721" s="10" t="s">
        <v>2031</v>
      </c>
      <c r="F1721" s="10">
        <v>0</v>
      </c>
      <c r="G1721" s="10" t="s">
        <v>343</v>
      </c>
      <c r="H1721" s="10">
        <v>0</v>
      </c>
      <c r="I1721" s="10" t="s">
        <v>343</v>
      </c>
      <c r="J1721" s="11">
        <v>7094</v>
      </c>
      <c r="K1721" s="11">
        <v>7970</v>
      </c>
      <c r="L1721" s="11">
        <v>15064</v>
      </c>
      <c r="M1721" s="11">
        <v>6232</v>
      </c>
    </row>
    <row r="1722" spans="1:13" x14ac:dyDescent="0.3">
      <c r="A1722" s="10">
        <v>6712</v>
      </c>
      <c r="B1722" s="10">
        <v>61</v>
      </c>
      <c r="C1722" s="10" t="s">
        <v>2026</v>
      </c>
      <c r="D1722" s="10">
        <v>6106</v>
      </c>
      <c r="E1722" s="10" t="s">
        <v>2032</v>
      </c>
      <c r="F1722" s="10">
        <v>0</v>
      </c>
      <c r="G1722" s="10" t="s">
        <v>343</v>
      </c>
      <c r="H1722" s="10">
        <v>0</v>
      </c>
      <c r="I1722" s="10" t="s">
        <v>343</v>
      </c>
      <c r="J1722" s="11">
        <v>31238</v>
      </c>
      <c r="K1722" s="11">
        <v>31766</v>
      </c>
      <c r="L1722" s="11">
        <v>63004</v>
      </c>
      <c r="M1722" s="11">
        <v>26148</v>
      </c>
    </row>
    <row r="1723" spans="1:13" x14ac:dyDescent="0.3">
      <c r="A1723" s="10">
        <v>6712</v>
      </c>
      <c r="B1723" s="10">
        <v>61</v>
      </c>
      <c r="C1723" s="10" t="s">
        <v>2026</v>
      </c>
      <c r="D1723" s="10">
        <v>6107</v>
      </c>
      <c r="E1723" s="10" t="s">
        <v>2033</v>
      </c>
      <c r="F1723" s="10">
        <v>0</v>
      </c>
      <c r="G1723" s="10" t="s">
        <v>343</v>
      </c>
      <c r="H1723" s="10">
        <v>0</v>
      </c>
      <c r="I1723" s="10" t="s">
        <v>343</v>
      </c>
      <c r="J1723" s="11">
        <v>27178</v>
      </c>
      <c r="K1723" s="11">
        <v>27676</v>
      </c>
      <c r="L1723" s="11">
        <v>54854</v>
      </c>
      <c r="M1723" s="11">
        <v>19905</v>
      </c>
    </row>
    <row r="1724" spans="1:13" x14ac:dyDescent="0.3">
      <c r="A1724" s="10">
        <v>6712</v>
      </c>
      <c r="B1724" s="10">
        <v>61</v>
      </c>
      <c r="C1724" s="10" t="s">
        <v>2026</v>
      </c>
      <c r="D1724" s="10">
        <v>6108</v>
      </c>
      <c r="E1724" s="10" t="s">
        <v>2034</v>
      </c>
      <c r="F1724" s="10">
        <v>0</v>
      </c>
      <c r="G1724" s="10" t="s">
        <v>343</v>
      </c>
      <c r="H1724" s="10">
        <v>0</v>
      </c>
      <c r="I1724" s="10" t="s">
        <v>343</v>
      </c>
      <c r="J1724" s="11">
        <v>9933</v>
      </c>
      <c r="K1724" s="11">
        <v>10192</v>
      </c>
      <c r="L1724" s="11">
        <v>20125</v>
      </c>
      <c r="M1724" s="11">
        <v>7862</v>
      </c>
    </row>
    <row r="1725" spans="1:13" x14ac:dyDescent="0.3">
      <c r="A1725" s="10">
        <v>6712</v>
      </c>
      <c r="B1725" s="10">
        <v>61</v>
      </c>
      <c r="C1725" s="10" t="s">
        <v>2026</v>
      </c>
      <c r="D1725" s="10">
        <v>6189</v>
      </c>
      <c r="E1725" s="10" t="s">
        <v>2035</v>
      </c>
      <c r="F1725" s="10">
        <v>0</v>
      </c>
      <c r="G1725" s="10" t="s">
        <v>343</v>
      </c>
      <c r="H1725" s="10">
        <v>0</v>
      </c>
      <c r="I1725" s="10" t="s">
        <v>343</v>
      </c>
      <c r="J1725" s="10">
        <v>993</v>
      </c>
      <c r="K1725" s="11">
        <v>1121</v>
      </c>
      <c r="L1725" s="11">
        <v>2114</v>
      </c>
      <c r="M1725" s="10">
        <v>702</v>
      </c>
    </row>
    <row r="1726" spans="1:13" x14ac:dyDescent="0.3">
      <c r="A1726" s="10">
        <v>6712</v>
      </c>
      <c r="B1726" s="10">
        <v>61</v>
      </c>
      <c r="C1726" s="10" t="s">
        <v>2026</v>
      </c>
      <c r="D1726" s="10">
        <v>6190</v>
      </c>
      <c r="E1726" s="10" t="s">
        <v>2036</v>
      </c>
      <c r="F1726" s="10">
        <v>0</v>
      </c>
      <c r="G1726" s="10" t="s">
        <v>343</v>
      </c>
      <c r="H1726" s="10">
        <v>0</v>
      </c>
      <c r="I1726" s="10" t="s">
        <v>343</v>
      </c>
      <c r="J1726" s="11">
        <v>1614</v>
      </c>
      <c r="K1726" s="11">
        <v>1659</v>
      </c>
      <c r="L1726" s="11">
        <v>3273</v>
      </c>
      <c r="M1726" s="11">
        <v>2279</v>
      </c>
    </row>
    <row r="1727" spans="1:13" x14ac:dyDescent="0.3">
      <c r="A1727" s="10">
        <v>6712</v>
      </c>
      <c r="B1727" s="10">
        <v>61</v>
      </c>
      <c r="C1727" s="10" t="s">
        <v>2026</v>
      </c>
      <c r="D1727" s="10">
        <v>6191</v>
      </c>
      <c r="E1727" s="10" t="s">
        <v>2037</v>
      </c>
      <c r="F1727" s="10">
        <v>0</v>
      </c>
      <c r="G1727" s="10" t="s">
        <v>343</v>
      </c>
      <c r="H1727" s="10">
        <v>0</v>
      </c>
      <c r="I1727" s="10" t="s">
        <v>343</v>
      </c>
      <c r="J1727" s="11">
        <v>1001</v>
      </c>
      <c r="K1727" s="11">
        <v>1102</v>
      </c>
      <c r="L1727" s="11">
        <v>2103</v>
      </c>
      <c r="M1727" s="11">
        <v>1096</v>
      </c>
    </row>
    <row r="1728" spans="1:13" x14ac:dyDescent="0.3">
      <c r="A1728" s="10">
        <v>6712</v>
      </c>
      <c r="B1728" s="10">
        <v>61</v>
      </c>
      <c r="C1728" s="10" t="s">
        <v>2026</v>
      </c>
      <c r="D1728" s="10">
        <v>6192</v>
      </c>
      <c r="E1728" s="10" t="s">
        <v>2038</v>
      </c>
      <c r="F1728" s="10">
        <v>0</v>
      </c>
      <c r="G1728" s="10" t="s">
        <v>343</v>
      </c>
      <c r="H1728" s="10">
        <v>0</v>
      </c>
      <c r="I1728" s="10" t="s">
        <v>343</v>
      </c>
      <c r="J1728" s="11">
        <v>1178</v>
      </c>
      <c r="K1728" s="11">
        <v>1238</v>
      </c>
      <c r="L1728" s="11">
        <v>2416</v>
      </c>
      <c r="M1728" s="11">
        <v>1450</v>
      </c>
    </row>
    <row r="1729" spans="1:13" x14ac:dyDescent="0.3">
      <c r="A1729" s="10">
        <v>6712</v>
      </c>
      <c r="B1729" s="10">
        <v>61</v>
      </c>
      <c r="C1729" s="10" t="s">
        <v>2026</v>
      </c>
      <c r="D1729" s="10">
        <v>6193</v>
      </c>
      <c r="E1729" s="10" t="s">
        <v>2039</v>
      </c>
      <c r="F1729" s="10">
        <v>0</v>
      </c>
      <c r="G1729" s="10" t="s">
        <v>343</v>
      </c>
      <c r="H1729" s="10">
        <v>0</v>
      </c>
      <c r="I1729" s="10" t="s">
        <v>343</v>
      </c>
      <c r="J1729" s="10">
        <v>263</v>
      </c>
      <c r="K1729" s="10">
        <v>305</v>
      </c>
      <c r="L1729" s="10">
        <v>568</v>
      </c>
      <c r="M1729" s="10">
        <v>354</v>
      </c>
    </row>
    <row r="1730" spans="1:13" x14ac:dyDescent="0.3">
      <c r="A1730" s="10">
        <v>6712</v>
      </c>
      <c r="B1730" s="10">
        <v>61</v>
      </c>
      <c r="C1730" s="10" t="s">
        <v>2026</v>
      </c>
      <c r="D1730" s="10">
        <v>6194</v>
      </c>
      <c r="E1730" s="10" t="s">
        <v>2040</v>
      </c>
      <c r="F1730" s="10">
        <v>0</v>
      </c>
      <c r="G1730" s="10" t="s">
        <v>343</v>
      </c>
      <c r="H1730" s="10">
        <v>0</v>
      </c>
      <c r="I1730" s="10" t="s">
        <v>343</v>
      </c>
      <c r="J1730" s="11">
        <v>1245</v>
      </c>
      <c r="K1730" s="11">
        <v>1414</v>
      </c>
      <c r="L1730" s="11">
        <v>2659</v>
      </c>
      <c r="M1730" s="11">
        <v>1994</v>
      </c>
    </row>
    <row r="1731" spans="1:13" x14ac:dyDescent="0.3">
      <c r="A1731" s="10">
        <v>6712</v>
      </c>
      <c r="B1731" s="10">
        <v>61</v>
      </c>
      <c r="C1731" s="10" t="s">
        <v>2026</v>
      </c>
      <c r="D1731" s="10">
        <v>6195</v>
      </c>
      <c r="E1731" s="10" t="s">
        <v>2041</v>
      </c>
      <c r="F1731" s="10">
        <v>0</v>
      </c>
      <c r="G1731" s="10" t="s">
        <v>343</v>
      </c>
      <c r="H1731" s="10">
        <v>0</v>
      </c>
      <c r="I1731" s="10" t="s">
        <v>343</v>
      </c>
      <c r="J1731" s="11">
        <v>2889</v>
      </c>
      <c r="K1731" s="11">
        <v>3167</v>
      </c>
      <c r="L1731" s="11">
        <v>6056</v>
      </c>
      <c r="M1731" s="11">
        <v>2484</v>
      </c>
    </row>
    <row r="1732" spans="1:13" x14ac:dyDescent="0.3">
      <c r="A1732" s="10">
        <v>6712</v>
      </c>
      <c r="B1732" s="10">
        <v>61</v>
      </c>
      <c r="C1732" s="10" t="s">
        <v>2026</v>
      </c>
      <c r="D1732" s="10">
        <v>6196</v>
      </c>
      <c r="E1732" s="10" t="s">
        <v>2042</v>
      </c>
      <c r="F1732" s="10">
        <v>0</v>
      </c>
      <c r="G1732" s="10" t="s">
        <v>343</v>
      </c>
      <c r="H1732" s="10">
        <v>0</v>
      </c>
      <c r="I1732" s="10" t="s">
        <v>343</v>
      </c>
      <c r="J1732" s="10">
        <v>748</v>
      </c>
      <c r="K1732" s="10">
        <v>820</v>
      </c>
      <c r="L1732" s="11">
        <v>1568</v>
      </c>
      <c r="M1732" s="11">
        <v>1028</v>
      </c>
    </row>
    <row r="1733" spans="1:13" x14ac:dyDescent="0.3">
      <c r="A1733" s="10">
        <v>6712</v>
      </c>
      <c r="B1733" s="10">
        <v>61</v>
      </c>
      <c r="C1733" s="10" t="s">
        <v>2026</v>
      </c>
      <c r="D1733" s="10">
        <v>6197</v>
      </c>
      <c r="E1733" s="10" t="s">
        <v>2043</v>
      </c>
      <c r="F1733" s="10">
        <v>0</v>
      </c>
      <c r="G1733" s="10" t="s">
        <v>343</v>
      </c>
      <c r="H1733" s="10">
        <v>0</v>
      </c>
      <c r="I1733" s="10" t="s">
        <v>343</v>
      </c>
      <c r="J1733" s="11">
        <v>4122</v>
      </c>
      <c r="K1733" s="11">
        <v>4494</v>
      </c>
      <c r="L1733" s="11">
        <v>8616</v>
      </c>
      <c r="M1733" s="11">
        <v>3836</v>
      </c>
    </row>
    <row r="1734" spans="1:13" x14ac:dyDescent="0.3">
      <c r="A1734" s="10">
        <v>6712</v>
      </c>
      <c r="B1734" s="10">
        <v>61</v>
      </c>
      <c r="C1734" s="10" t="s">
        <v>2026</v>
      </c>
      <c r="D1734" s="10">
        <v>6198</v>
      </c>
      <c r="E1734" s="10" t="s">
        <v>2044</v>
      </c>
      <c r="F1734" s="10">
        <v>0</v>
      </c>
      <c r="G1734" s="10" t="s">
        <v>343</v>
      </c>
      <c r="H1734" s="10">
        <v>0</v>
      </c>
      <c r="I1734" s="10" t="s">
        <v>343</v>
      </c>
      <c r="J1734" s="11">
        <v>5386</v>
      </c>
      <c r="K1734" s="11">
        <v>5659</v>
      </c>
      <c r="L1734" s="11">
        <v>11045</v>
      </c>
      <c r="M1734" s="11">
        <v>3795</v>
      </c>
    </row>
    <row r="1735" spans="1:13" x14ac:dyDescent="0.3">
      <c r="A1735" s="10">
        <v>6712</v>
      </c>
      <c r="B1735" s="10">
        <v>61</v>
      </c>
      <c r="C1735" s="10" t="s">
        <v>2026</v>
      </c>
      <c r="D1735" s="10">
        <v>6199</v>
      </c>
      <c r="E1735" s="10" t="s">
        <v>2045</v>
      </c>
      <c r="F1735" s="10">
        <v>0</v>
      </c>
      <c r="G1735" s="10" t="s">
        <v>343</v>
      </c>
      <c r="H1735" s="10">
        <v>0</v>
      </c>
      <c r="I1735" s="10" t="s">
        <v>343</v>
      </c>
      <c r="J1735" s="11">
        <v>6086</v>
      </c>
      <c r="K1735" s="11">
        <v>7190</v>
      </c>
      <c r="L1735" s="11">
        <v>13276</v>
      </c>
      <c r="M1735" s="11">
        <v>9816</v>
      </c>
    </row>
    <row r="1736" spans="1:13" x14ac:dyDescent="0.3">
      <c r="A1736" s="10">
        <v>6712</v>
      </c>
      <c r="B1736" s="10">
        <v>62</v>
      </c>
      <c r="C1736" s="10" t="s">
        <v>2046</v>
      </c>
      <c r="D1736" s="10">
        <v>0</v>
      </c>
      <c r="E1736" s="10" t="s">
        <v>343</v>
      </c>
      <c r="F1736" s="10">
        <v>0</v>
      </c>
      <c r="G1736" s="10" t="s">
        <v>343</v>
      </c>
      <c r="H1736" s="10">
        <v>0</v>
      </c>
      <c r="I1736" s="10" t="s">
        <v>343</v>
      </c>
      <c r="J1736" s="11">
        <v>345166</v>
      </c>
      <c r="K1736" s="11">
        <v>355696</v>
      </c>
      <c r="L1736" s="11">
        <v>700862</v>
      </c>
      <c r="M1736" s="11">
        <v>291549</v>
      </c>
    </row>
    <row r="1737" spans="1:13" x14ac:dyDescent="0.3">
      <c r="A1737" s="10">
        <v>6712</v>
      </c>
      <c r="B1737" s="10">
        <v>62</v>
      </c>
      <c r="C1737" s="10" t="s">
        <v>2046</v>
      </c>
      <c r="D1737" s="10">
        <v>6201</v>
      </c>
      <c r="E1737" s="10" t="s">
        <v>2047</v>
      </c>
      <c r="F1737" s="10">
        <v>0</v>
      </c>
      <c r="G1737" s="10" t="s">
        <v>343</v>
      </c>
      <c r="H1737" s="10">
        <v>0</v>
      </c>
      <c r="I1737" s="10" t="s">
        <v>343</v>
      </c>
      <c r="J1737" s="11">
        <v>66087</v>
      </c>
      <c r="K1737" s="11">
        <v>68691</v>
      </c>
      <c r="L1737" s="11">
        <v>134778</v>
      </c>
      <c r="M1737" s="11">
        <v>55772</v>
      </c>
    </row>
    <row r="1738" spans="1:13" x14ac:dyDescent="0.3">
      <c r="A1738" s="10">
        <v>6712</v>
      </c>
      <c r="B1738" s="10">
        <v>62</v>
      </c>
      <c r="C1738" s="10" t="s">
        <v>2046</v>
      </c>
      <c r="D1738" s="10">
        <v>6202</v>
      </c>
      <c r="E1738" s="10" t="s">
        <v>2048</v>
      </c>
      <c r="F1738" s="10">
        <v>0</v>
      </c>
      <c r="G1738" s="10" t="s">
        <v>343</v>
      </c>
      <c r="H1738" s="10">
        <v>0</v>
      </c>
      <c r="I1738" s="10" t="s">
        <v>343</v>
      </c>
      <c r="J1738" s="11">
        <v>22013</v>
      </c>
      <c r="K1738" s="11">
        <v>22412</v>
      </c>
      <c r="L1738" s="11">
        <v>44425</v>
      </c>
      <c r="M1738" s="11">
        <v>15521</v>
      </c>
    </row>
    <row r="1739" spans="1:13" x14ac:dyDescent="0.3">
      <c r="A1739" s="10">
        <v>6712</v>
      </c>
      <c r="B1739" s="10">
        <v>62</v>
      </c>
      <c r="C1739" s="10" t="s">
        <v>2046</v>
      </c>
      <c r="D1739" s="10">
        <v>6203</v>
      </c>
      <c r="E1739" s="10" t="s">
        <v>2049</v>
      </c>
      <c r="F1739" s="10">
        <v>0</v>
      </c>
      <c r="G1739" s="10" t="s">
        <v>343</v>
      </c>
      <c r="H1739" s="10">
        <v>0</v>
      </c>
      <c r="I1739" s="10" t="s">
        <v>343</v>
      </c>
      <c r="J1739" s="11">
        <v>19903</v>
      </c>
      <c r="K1739" s="11">
        <v>19460</v>
      </c>
      <c r="L1739" s="11">
        <v>39363</v>
      </c>
      <c r="M1739" s="11">
        <v>15701</v>
      </c>
    </row>
    <row r="1740" spans="1:13" x14ac:dyDescent="0.3">
      <c r="A1740" s="10">
        <v>6712</v>
      </c>
      <c r="B1740" s="10">
        <v>62</v>
      </c>
      <c r="C1740" s="10" t="s">
        <v>2046</v>
      </c>
      <c r="D1740" s="10">
        <v>6204</v>
      </c>
      <c r="E1740" s="10" t="s">
        <v>2050</v>
      </c>
      <c r="F1740" s="10">
        <v>0</v>
      </c>
      <c r="G1740" s="10" t="s">
        <v>343</v>
      </c>
      <c r="H1740" s="10">
        <v>0</v>
      </c>
      <c r="I1740" s="10" t="s">
        <v>343</v>
      </c>
      <c r="J1740" s="11">
        <v>33394</v>
      </c>
      <c r="K1740" s="11">
        <v>33970</v>
      </c>
      <c r="L1740" s="11">
        <v>67364</v>
      </c>
      <c r="M1740" s="11">
        <v>26662</v>
      </c>
    </row>
    <row r="1741" spans="1:13" x14ac:dyDescent="0.3">
      <c r="A1741" s="10">
        <v>6712</v>
      </c>
      <c r="B1741" s="10">
        <v>62</v>
      </c>
      <c r="C1741" s="10" t="s">
        <v>2046</v>
      </c>
      <c r="D1741" s="10">
        <v>6205</v>
      </c>
      <c r="E1741" s="10" t="s">
        <v>2051</v>
      </c>
      <c r="F1741" s="10">
        <v>0</v>
      </c>
      <c r="G1741" s="10" t="s">
        <v>343</v>
      </c>
      <c r="H1741" s="10">
        <v>0</v>
      </c>
      <c r="I1741" s="10" t="s">
        <v>343</v>
      </c>
      <c r="J1741" s="11">
        <v>26805</v>
      </c>
      <c r="K1741" s="11">
        <v>27926</v>
      </c>
      <c r="L1741" s="11">
        <v>54731</v>
      </c>
      <c r="M1741" s="11">
        <v>24394</v>
      </c>
    </row>
    <row r="1742" spans="1:13" x14ac:dyDescent="0.3">
      <c r="A1742" s="10">
        <v>6712</v>
      </c>
      <c r="B1742" s="10">
        <v>62</v>
      </c>
      <c r="C1742" s="10" t="s">
        <v>2046</v>
      </c>
      <c r="D1742" s="10">
        <v>6206</v>
      </c>
      <c r="E1742" s="10" t="s">
        <v>2052</v>
      </c>
      <c r="F1742" s="10">
        <v>0</v>
      </c>
      <c r="G1742" s="10" t="s">
        <v>343</v>
      </c>
      <c r="H1742" s="10">
        <v>0</v>
      </c>
      <c r="I1742" s="10" t="s">
        <v>343</v>
      </c>
      <c r="J1742" s="11">
        <v>24025</v>
      </c>
      <c r="K1742" s="11">
        <v>24196</v>
      </c>
      <c r="L1742" s="11">
        <v>48221</v>
      </c>
      <c r="M1742" s="11">
        <v>16841</v>
      </c>
    </row>
    <row r="1743" spans="1:13" x14ac:dyDescent="0.3">
      <c r="A1743" s="10">
        <v>6712</v>
      </c>
      <c r="B1743" s="10">
        <v>62</v>
      </c>
      <c r="C1743" s="10" t="s">
        <v>2046</v>
      </c>
      <c r="D1743" s="10">
        <v>6207</v>
      </c>
      <c r="E1743" s="10" t="s">
        <v>2053</v>
      </c>
      <c r="F1743" s="10">
        <v>0</v>
      </c>
      <c r="G1743" s="10" t="s">
        <v>343</v>
      </c>
      <c r="H1743" s="10">
        <v>0</v>
      </c>
      <c r="I1743" s="10" t="s">
        <v>343</v>
      </c>
      <c r="J1743" s="11">
        <v>16073</v>
      </c>
      <c r="K1743" s="11">
        <v>16156</v>
      </c>
      <c r="L1743" s="11">
        <v>32229</v>
      </c>
      <c r="M1743" s="11">
        <v>11655</v>
      </c>
    </row>
    <row r="1744" spans="1:13" x14ac:dyDescent="0.3">
      <c r="A1744" s="10">
        <v>6712</v>
      </c>
      <c r="B1744" s="10">
        <v>62</v>
      </c>
      <c r="C1744" s="10" t="s">
        <v>2046</v>
      </c>
      <c r="D1744" s="10">
        <v>6208</v>
      </c>
      <c r="E1744" s="10" t="s">
        <v>2054</v>
      </c>
      <c r="F1744" s="10">
        <v>0</v>
      </c>
      <c r="G1744" s="10" t="s">
        <v>343</v>
      </c>
      <c r="H1744" s="10">
        <v>0</v>
      </c>
      <c r="I1744" s="10" t="s">
        <v>343</v>
      </c>
      <c r="J1744" s="11">
        <v>6819</v>
      </c>
      <c r="K1744" s="11">
        <v>6866</v>
      </c>
      <c r="L1744" s="11">
        <v>13685</v>
      </c>
      <c r="M1744" s="11">
        <v>4314</v>
      </c>
    </row>
    <row r="1745" spans="1:13" x14ac:dyDescent="0.3">
      <c r="A1745" s="10">
        <v>6712</v>
      </c>
      <c r="B1745" s="10">
        <v>62</v>
      </c>
      <c r="C1745" s="10" t="s">
        <v>2046</v>
      </c>
      <c r="D1745" s="10">
        <v>6209</v>
      </c>
      <c r="E1745" s="10" t="s">
        <v>2055</v>
      </c>
      <c r="F1745" s="10">
        <v>0</v>
      </c>
      <c r="G1745" s="10" t="s">
        <v>343</v>
      </c>
      <c r="H1745" s="10">
        <v>0</v>
      </c>
      <c r="I1745" s="10" t="s">
        <v>343</v>
      </c>
      <c r="J1745" s="11">
        <v>14877</v>
      </c>
      <c r="K1745" s="11">
        <v>14905</v>
      </c>
      <c r="L1745" s="11">
        <v>29782</v>
      </c>
      <c r="M1745" s="11">
        <v>11693</v>
      </c>
    </row>
    <row r="1746" spans="1:13" x14ac:dyDescent="0.3">
      <c r="A1746" s="10">
        <v>6712</v>
      </c>
      <c r="B1746" s="10">
        <v>62</v>
      </c>
      <c r="C1746" s="10" t="s">
        <v>2046</v>
      </c>
      <c r="D1746" s="10">
        <v>6210</v>
      </c>
      <c r="E1746" s="10" t="s">
        <v>2056</v>
      </c>
      <c r="F1746" s="10">
        <v>0</v>
      </c>
      <c r="G1746" s="10" t="s">
        <v>343</v>
      </c>
      <c r="H1746" s="10">
        <v>0</v>
      </c>
      <c r="I1746" s="10" t="s">
        <v>343</v>
      </c>
      <c r="J1746" s="11">
        <v>8958</v>
      </c>
      <c r="K1746" s="11">
        <v>9030</v>
      </c>
      <c r="L1746" s="11">
        <v>17988</v>
      </c>
      <c r="M1746" s="11">
        <v>7609</v>
      </c>
    </row>
    <row r="1747" spans="1:13" x14ac:dyDescent="0.3">
      <c r="A1747" s="10">
        <v>6712</v>
      </c>
      <c r="B1747" s="10">
        <v>62</v>
      </c>
      <c r="C1747" s="10" t="s">
        <v>2046</v>
      </c>
      <c r="D1747" s="10">
        <v>6211</v>
      </c>
      <c r="E1747" s="10" t="s">
        <v>2057</v>
      </c>
      <c r="F1747" s="10">
        <v>0</v>
      </c>
      <c r="G1747" s="10" t="s">
        <v>343</v>
      </c>
      <c r="H1747" s="10">
        <v>0</v>
      </c>
      <c r="I1747" s="10" t="s">
        <v>343</v>
      </c>
      <c r="J1747" s="11">
        <v>13768</v>
      </c>
      <c r="K1747" s="11">
        <v>13764</v>
      </c>
      <c r="L1747" s="11">
        <v>27532</v>
      </c>
      <c r="M1747" s="11">
        <v>11187</v>
      </c>
    </row>
    <row r="1748" spans="1:13" x14ac:dyDescent="0.3">
      <c r="A1748" s="10">
        <v>6712</v>
      </c>
      <c r="B1748" s="10">
        <v>62</v>
      </c>
      <c r="C1748" s="10" t="s">
        <v>2046</v>
      </c>
      <c r="D1748" s="10">
        <v>6278</v>
      </c>
      <c r="E1748" s="10" t="s">
        <v>2058</v>
      </c>
      <c r="F1748" s="10">
        <v>0</v>
      </c>
      <c r="G1748" s="10" t="s">
        <v>343</v>
      </c>
      <c r="H1748" s="10">
        <v>0</v>
      </c>
      <c r="I1748" s="10" t="s">
        <v>343</v>
      </c>
      <c r="J1748" s="11">
        <v>8616</v>
      </c>
      <c r="K1748" s="11">
        <v>8709</v>
      </c>
      <c r="L1748" s="11">
        <v>17325</v>
      </c>
      <c r="M1748" s="11">
        <v>6982</v>
      </c>
    </row>
    <row r="1749" spans="1:13" x14ac:dyDescent="0.3">
      <c r="A1749" s="10">
        <v>6712</v>
      </c>
      <c r="B1749" s="10">
        <v>62</v>
      </c>
      <c r="C1749" s="10" t="s">
        <v>2046</v>
      </c>
      <c r="D1749" s="10">
        <v>6279</v>
      </c>
      <c r="E1749" s="10" t="s">
        <v>2059</v>
      </c>
      <c r="F1749" s="10">
        <v>0</v>
      </c>
      <c r="G1749" s="10" t="s">
        <v>343</v>
      </c>
      <c r="H1749" s="10">
        <v>0</v>
      </c>
      <c r="I1749" s="10" t="s">
        <v>343</v>
      </c>
      <c r="J1749" s="11">
        <v>3535</v>
      </c>
      <c r="K1749" s="11">
        <v>3535</v>
      </c>
      <c r="L1749" s="11">
        <v>7070</v>
      </c>
      <c r="M1749" s="11">
        <v>3056</v>
      </c>
    </row>
    <row r="1750" spans="1:13" x14ac:dyDescent="0.3">
      <c r="A1750" s="10">
        <v>6712</v>
      </c>
      <c r="B1750" s="10">
        <v>62</v>
      </c>
      <c r="C1750" s="10" t="s">
        <v>2046</v>
      </c>
      <c r="D1750" s="10">
        <v>6280</v>
      </c>
      <c r="E1750" s="10" t="s">
        <v>2060</v>
      </c>
      <c r="F1750" s="10">
        <v>0</v>
      </c>
      <c r="G1750" s="10" t="s">
        <v>343</v>
      </c>
      <c r="H1750" s="10">
        <v>0</v>
      </c>
      <c r="I1750" s="10" t="s">
        <v>343</v>
      </c>
      <c r="J1750" s="11">
        <v>3497</v>
      </c>
      <c r="K1750" s="11">
        <v>3647</v>
      </c>
      <c r="L1750" s="11">
        <v>7144</v>
      </c>
      <c r="M1750" s="11">
        <v>3720</v>
      </c>
    </row>
    <row r="1751" spans="1:13" x14ac:dyDescent="0.3">
      <c r="A1751" s="10">
        <v>6712</v>
      </c>
      <c r="B1751" s="10">
        <v>62</v>
      </c>
      <c r="C1751" s="10" t="s">
        <v>2046</v>
      </c>
      <c r="D1751" s="10">
        <v>6281</v>
      </c>
      <c r="E1751" s="10" t="s">
        <v>2061</v>
      </c>
      <c r="F1751" s="10">
        <v>0</v>
      </c>
      <c r="G1751" s="10" t="s">
        <v>343</v>
      </c>
      <c r="H1751" s="10">
        <v>0</v>
      </c>
      <c r="I1751" s="10" t="s">
        <v>343</v>
      </c>
      <c r="J1751" s="11">
        <v>2802</v>
      </c>
      <c r="K1751" s="11">
        <v>2947</v>
      </c>
      <c r="L1751" s="11">
        <v>5749</v>
      </c>
      <c r="M1751" s="11">
        <v>2322</v>
      </c>
    </row>
    <row r="1752" spans="1:13" x14ac:dyDescent="0.3">
      <c r="A1752" s="10">
        <v>6712</v>
      </c>
      <c r="B1752" s="10">
        <v>62</v>
      </c>
      <c r="C1752" s="10" t="s">
        <v>2046</v>
      </c>
      <c r="D1752" s="10">
        <v>6282</v>
      </c>
      <c r="E1752" s="10" t="s">
        <v>2062</v>
      </c>
      <c r="F1752" s="10">
        <v>0</v>
      </c>
      <c r="G1752" s="10" t="s">
        <v>343</v>
      </c>
      <c r="H1752" s="10">
        <v>0</v>
      </c>
      <c r="I1752" s="10" t="s">
        <v>343</v>
      </c>
      <c r="J1752" s="11">
        <v>4416</v>
      </c>
      <c r="K1752" s="11">
        <v>4585</v>
      </c>
      <c r="L1752" s="11">
        <v>9001</v>
      </c>
      <c r="M1752" s="11">
        <v>3758</v>
      </c>
    </row>
    <row r="1753" spans="1:13" x14ac:dyDescent="0.3">
      <c r="A1753" s="10">
        <v>6712</v>
      </c>
      <c r="B1753" s="10">
        <v>62</v>
      </c>
      <c r="C1753" s="10" t="s">
        <v>2046</v>
      </c>
      <c r="D1753" s="10">
        <v>6283</v>
      </c>
      <c r="E1753" s="10" t="s">
        <v>2063</v>
      </c>
      <c r="F1753" s="10">
        <v>0</v>
      </c>
      <c r="G1753" s="10" t="s">
        <v>343</v>
      </c>
      <c r="H1753" s="10">
        <v>0</v>
      </c>
      <c r="I1753" s="10" t="s">
        <v>343</v>
      </c>
      <c r="J1753" s="11">
        <v>2622</v>
      </c>
      <c r="K1753" s="11">
        <v>2730</v>
      </c>
      <c r="L1753" s="11">
        <v>5352</v>
      </c>
      <c r="M1753" s="11">
        <v>2170</v>
      </c>
    </row>
    <row r="1754" spans="1:13" x14ac:dyDescent="0.3">
      <c r="A1754" s="10">
        <v>6712</v>
      </c>
      <c r="B1754" s="10">
        <v>62</v>
      </c>
      <c r="C1754" s="10" t="s">
        <v>2046</v>
      </c>
      <c r="D1754" s="10">
        <v>6284</v>
      </c>
      <c r="E1754" s="10" t="s">
        <v>2064</v>
      </c>
      <c r="F1754" s="10">
        <v>0</v>
      </c>
      <c r="G1754" s="10" t="s">
        <v>343</v>
      </c>
      <c r="H1754" s="10">
        <v>0</v>
      </c>
      <c r="I1754" s="10" t="s">
        <v>343</v>
      </c>
      <c r="J1754" s="11">
        <v>4133</v>
      </c>
      <c r="K1754" s="11">
        <v>4337</v>
      </c>
      <c r="L1754" s="11">
        <v>8470</v>
      </c>
      <c r="M1754" s="11">
        <v>3379</v>
      </c>
    </row>
    <row r="1755" spans="1:13" x14ac:dyDescent="0.3">
      <c r="A1755" s="10">
        <v>6712</v>
      </c>
      <c r="B1755" s="10">
        <v>62</v>
      </c>
      <c r="C1755" s="10" t="s">
        <v>2046</v>
      </c>
      <c r="D1755" s="10">
        <v>6285</v>
      </c>
      <c r="E1755" s="10" t="s">
        <v>2065</v>
      </c>
      <c r="F1755" s="10">
        <v>0</v>
      </c>
      <c r="G1755" s="10" t="s">
        <v>343</v>
      </c>
      <c r="H1755" s="10">
        <v>0</v>
      </c>
      <c r="I1755" s="10" t="s">
        <v>343</v>
      </c>
      <c r="J1755" s="11">
        <v>9772</v>
      </c>
      <c r="K1755" s="11">
        <v>10350</v>
      </c>
      <c r="L1755" s="11">
        <v>20122</v>
      </c>
      <c r="M1755" s="11">
        <v>8895</v>
      </c>
    </row>
    <row r="1756" spans="1:13" x14ac:dyDescent="0.3">
      <c r="A1756" s="10">
        <v>6712</v>
      </c>
      <c r="B1756" s="10">
        <v>62</v>
      </c>
      <c r="C1756" s="10" t="s">
        <v>2046</v>
      </c>
      <c r="D1756" s="10">
        <v>6286</v>
      </c>
      <c r="E1756" s="10" t="s">
        <v>2066</v>
      </c>
      <c r="F1756" s="10">
        <v>0</v>
      </c>
      <c r="G1756" s="10" t="s">
        <v>343</v>
      </c>
      <c r="H1756" s="10">
        <v>0</v>
      </c>
      <c r="I1756" s="10" t="s">
        <v>343</v>
      </c>
      <c r="J1756" s="11">
        <v>10809</v>
      </c>
      <c r="K1756" s="11">
        <v>11268</v>
      </c>
      <c r="L1756" s="11">
        <v>22077</v>
      </c>
      <c r="M1756" s="11">
        <v>8793</v>
      </c>
    </row>
    <row r="1757" spans="1:13" x14ac:dyDescent="0.3">
      <c r="A1757" s="10">
        <v>6712</v>
      </c>
      <c r="B1757" s="10">
        <v>62</v>
      </c>
      <c r="C1757" s="10" t="s">
        <v>2046</v>
      </c>
      <c r="D1757" s="10">
        <v>6287</v>
      </c>
      <c r="E1757" s="10" t="s">
        <v>2067</v>
      </c>
      <c r="F1757" s="10">
        <v>0</v>
      </c>
      <c r="G1757" s="10" t="s">
        <v>343</v>
      </c>
      <c r="H1757" s="10">
        <v>0</v>
      </c>
      <c r="I1757" s="10" t="s">
        <v>343</v>
      </c>
      <c r="J1757" s="11">
        <v>2841</v>
      </c>
      <c r="K1757" s="11">
        <v>2854</v>
      </c>
      <c r="L1757" s="11">
        <v>5695</v>
      </c>
      <c r="M1757" s="11">
        <v>1837</v>
      </c>
    </row>
    <row r="1758" spans="1:13" x14ac:dyDescent="0.3">
      <c r="A1758" s="10">
        <v>6712</v>
      </c>
      <c r="B1758" s="10">
        <v>62</v>
      </c>
      <c r="C1758" s="10" t="s">
        <v>2046</v>
      </c>
      <c r="D1758" s="10">
        <v>6288</v>
      </c>
      <c r="E1758" s="10" t="s">
        <v>2068</v>
      </c>
      <c r="F1758" s="10">
        <v>0</v>
      </c>
      <c r="G1758" s="10" t="s">
        <v>343</v>
      </c>
      <c r="H1758" s="10">
        <v>0</v>
      </c>
      <c r="I1758" s="10" t="s">
        <v>343</v>
      </c>
      <c r="J1758" s="11">
        <v>2119</v>
      </c>
      <c r="K1758" s="11">
        <v>2191</v>
      </c>
      <c r="L1758" s="11">
        <v>4310</v>
      </c>
      <c r="M1758" s="11">
        <v>2649</v>
      </c>
    </row>
    <row r="1759" spans="1:13" x14ac:dyDescent="0.3">
      <c r="A1759" s="10">
        <v>6712</v>
      </c>
      <c r="B1759" s="10">
        <v>62</v>
      </c>
      <c r="C1759" s="10" t="s">
        <v>2046</v>
      </c>
      <c r="D1759" s="10">
        <v>6289</v>
      </c>
      <c r="E1759" s="10" t="s">
        <v>2069</v>
      </c>
      <c r="F1759" s="10">
        <v>0</v>
      </c>
      <c r="G1759" s="10" t="s">
        <v>343</v>
      </c>
      <c r="H1759" s="10">
        <v>0</v>
      </c>
      <c r="I1759" s="10" t="s">
        <v>343</v>
      </c>
      <c r="J1759" s="11">
        <v>3938</v>
      </c>
      <c r="K1759" s="11">
        <v>4307</v>
      </c>
      <c r="L1759" s="11">
        <v>8245</v>
      </c>
      <c r="M1759" s="11">
        <v>3782</v>
      </c>
    </row>
    <row r="1760" spans="1:13" x14ac:dyDescent="0.3">
      <c r="A1760" s="10">
        <v>6712</v>
      </c>
      <c r="B1760" s="10">
        <v>62</v>
      </c>
      <c r="C1760" s="10" t="s">
        <v>2046</v>
      </c>
      <c r="D1760" s="10">
        <v>6290</v>
      </c>
      <c r="E1760" s="10" t="s">
        <v>2070</v>
      </c>
      <c r="F1760" s="10">
        <v>0</v>
      </c>
      <c r="G1760" s="10" t="s">
        <v>343</v>
      </c>
      <c r="H1760" s="10">
        <v>0</v>
      </c>
      <c r="I1760" s="10" t="s">
        <v>343</v>
      </c>
      <c r="J1760" s="11">
        <v>1769</v>
      </c>
      <c r="K1760" s="11">
        <v>1901</v>
      </c>
      <c r="L1760" s="11">
        <v>3670</v>
      </c>
      <c r="M1760" s="11">
        <v>2081</v>
      </c>
    </row>
    <row r="1761" spans="1:13" x14ac:dyDescent="0.3">
      <c r="A1761" s="10">
        <v>6712</v>
      </c>
      <c r="B1761" s="10">
        <v>62</v>
      </c>
      <c r="C1761" s="10" t="s">
        <v>2046</v>
      </c>
      <c r="D1761" s="10">
        <v>6291</v>
      </c>
      <c r="E1761" s="10" t="s">
        <v>2071</v>
      </c>
      <c r="F1761" s="10">
        <v>0</v>
      </c>
      <c r="G1761" s="10" t="s">
        <v>343</v>
      </c>
      <c r="H1761" s="10">
        <v>0</v>
      </c>
      <c r="I1761" s="10" t="s">
        <v>343</v>
      </c>
      <c r="J1761" s="10">
        <v>718</v>
      </c>
      <c r="K1761" s="10">
        <v>749</v>
      </c>
      <c r="L1761" s="11">
        <v>1467</v>
      </c>
      <c r="M1761" s="10">
        <v>660</v>
      </c>
    </row>
    <row r="1762" spans="1:13" x14ac:dyDescent="0.3">
      <c r="A1762" s="10">
        <v>6712</v>
      </c>
      <c r="B1762" s="10">
        <v>62</v>
      </c>
      <c r="C1762" s="10" t="s">
        <v>2046</v>
      </c>
      <c r="D1762" s="10">
        <v>6292</v>
      </c>
      <c r="E1762" s="10" t="s">
        <v>2072</v>
      </c>
      <c r="F1762" s="10">
        <v>0</v>
      </c>
      <c r="G1762" s="10" t="s">
        <v>343</v>
      </c>
      <c r="H1762" s="10">
        <v>0</v>
      </c>
      <c r="I1762" s="10" t="s">
        <v>343</v>
      </c>
      <c r="J1762" s="10">
        <v>935</v>
      </c>
      <c r="K1762" s="10">
        <v>960</v>
      </c>
      <c r="L1762" s="11">
        <v>1895</v>
      </c>
      <c r="M1762" s="11">
        <v>1040</v>
      </c>
    </row>
    <row r="1763" spans="1:13" x14ac:dyDescent="0.3">
      <c r="A1763" s="10">
        <v>6712</v>
      </c>
      <c r="B1763" s="10">
        <v>62</v>
      </c>
      <c r="C1763" s="10" t="s">
        <v>2046</v>
      </c>
      <c r="D1763" s="10">
        <v>6293</v>
      </c>
      <c r="E1763" s="10" t="s">
        <v>2073</v>
      </c>
      <c r="F1763" s="10">
        <v>0</v>
      </c>
      <c r="G1763" s="10" t="s">
        <v>343</v>
      </c>
      <c r="H1763" s="10">
        <v>0</v>
      </c>
      <c r="I1763" s="10" t="s">
        <v>343</v>
      </c>
      <c r="J1763" s="11">
        <v>3729</v>
      </c>
      <c r="K1763" s="11">
        <v>4097</v>
      </c>
      <c r="L1763" s="11">
        <v>7826</v>
      </c>
      <c r="M1763" s="11">
        <v>4552</v>
      </c>
    </row>
    <row r="1764" spans="1:13" x14ac:dyDescent="0.3">
      <c r="A1764" s="10">
        <v>6712</v>
      </c>
      <c r="B1764" s="10">
        <v>62</v>
      </c>
      <c r="C1764" s="10" t="s">
        <v>2046</v>
      </c>
      <c r="D1764" s="10">
        <v>6294</v>
      </c>
      <c r="E1764" s="10" t="s">
        <v>2074</v>
      </c>
      <c r="F1764" s="10">
        <v>0</v>
      </c>
      <c r="G1764" s="10" t="s">
        <v>343</v>
      </c>
      <c r="H1764" s="10">
        <v>0</v>
      </c>
      <c r="I1764" s="10" t="s">
        <v>343</v>
      </c>
      <c r="J1764" s="11">
        <v>3733</v>
      </c>
      <c r="K1764" s="11">
        <v>4004</v>
      </c>
      <c r="L1764" s="11">
        <v>7737</v>
      </c>
      <c r="M1764" s="11">
        <v>3539</v>
      </c>
    </row>
    <row r="1765" spans="1:13" x14ac:dyDescent="0.3">
      <c r="A1765" s="10">
        <v>6712</v>
      </c>
      <c r="B1765" s="10">
        <v>62</v>
      </c>
      <c r="C1765" s="10" t="s">
        <v>2046</v>
      </c>
      <c r="D1765" s="10">
        <v>6295</v>
      </c>
      <c r="E1765" s="10" t="s">
        <v>2075</v>
      </c>
      <c r="F1765" s="10">
        <v>0</v>
      </c>
      <c r="G1765" s="10" t="s">
        <v>343</v>
      </c>
      <c r="H1765" s="10">
        <v>0</v>
      </c>
      <c r="I1765" s="10" t="s">
        <v>343</v>
      </c>
      <c r="J1765" s="11">
        <v>2319</v>
      </c>
      <c r="K1765" s="11">
        <v>2555</v>
      </c>
      <c r="L1765" s="11">
        <v>4874</v>
      </c>
      <c r="M1765" s="11">
        <v>2583</v>
      </c>
    </row>
    <row r="1766" spans="1:13" x14ac:dyDescent="0.3">
      <c r="A1766" s="10">
        <v>6712</v>
      </c>
      <c r="B1766" s="10">
        <v>62</v>
      </c>
      <c r="C1766" s="10" t="s">
        <v>2046</v>
      </c>
      <c r="D1766" s="10">
        <v>6296</v>
      </c>
      <c r="E1766" s="10" t="s">
        <v>2076</v>
      </c>
      <c r="F1766" s="10">
        <v>0</v>
      </c>
      <c r="G1766" s="10" t="s">
        <v>343</v>
      </c>
      <c r="H1766" s="10">
        <v>0</v>
      </c>
      <c r="I1766" s="10" t="s">
        <v>343</v>
      </c>
      <c r="J1766" s="11">
        <v>1478</v>
      </c>
      <c r="K1766" s="11">
        <v>1619</v>
      </c>
      <c r="L1766" s="11">
        <v>3097</v>
      </c>
      <c r="M1766" s="11">
        <v>1365</v>
      </c>
    </row>
    <row r="1767" spans="1:13" x14ac:dyDescent="0.3">
      <c r="A1767" s="10">
        <v>6712</v>
      </c>
      <c r="B1767" s="10">
        <v>62</v>
      </c>
      <c r="C1767" s="10" t="s">
        <v>2046</v>
      </c>
      <c r="D1767" s="10">
        <v>6297</v>
      </c>
      <c r="E1767" s="10" t="s">
        <v>2077</v>
      </c>
      <c r="F1767" s="10">
        <v>0</v>
      </c>
      <c r="G1767" s="10" t="s">
        <v>343</v>
      </c>
      <c r="H1767" s="10">
        <v>0</v>
      </c>
      <c r="I1767" s="10" t="s">
        <v>343</v>
      </c>
      <c r="J1767" s="11">
        <v>3106</v>
      </c>
      <c r="K1767" s="11">
        <v>3518</v>
      </c>
      <c r="L1767" s="11">
        <v>6624</v>
      </c>
      <c r="M1767" s="11">
        <v>3593</v>
      </c>
    </row>
    <row r="1768" spans="1:13" x14ac:dyDescent="0.3">
      <c r="A1768" s="10">
        <v>6712</v>
      </c>
      <c r="B1768" s="10">
        <v>62</v>
      </c>
      <c r="C1768" s="10" t="s">
        <v>2046</v>
      </c>
      <c r="D1768" s="10">
        <v>6298</v>
      </c>
      <c r="E1768" s="10" t="s">
        <v>2078</v>
      </c>
      <c r="F1768" s="10">
        <v>0</v>
      </c>
      <c r="G1768" s="10" t="s">
        <v>343</v>
      </c>
      <c r="H1768" s="10">
        <v>0</v>
      </c>
      <c r="I1768" s="10" t="s">
        <v>343</v>
      </c>
      <c r="J1768" s="11">
        <v>2776</v>
      </c>
      <c r="K1768" s="11">
        <v>2923</v>
      </c>
      <c r="L1768" s="11">
        <v>5699</v>
      </c>
      <c r="M1768" s="11">
        <v>2533</v>
      </c>
    </row>
    <row r="1769" spans="1:13" x14ac:dyDescent="0.3">
      <c r="A1769" s="10">
        <v>6712</v>
      </c>
      <c r="B1769" s="10">
        <v>62</v>
      </c>
      <c r="C1769" s="10" t="s">
        <v>2046</v>
      </c>
      <c r="D1769" s="10">
        <v>6299</v>
      </c>
      <c r="E1769" s="10" t="s">
        <v>2079</v>
      </c>
      <c r="F1769" s="10">
        <v>0</v>
      </c>
      <c r="G1769" s="10" t="s">
        <v>343</v>
      </c>
      <c r="H1769" s="10">
        <v>0</v>
      </c>
      <c r="I1769" s="10" t="s">
        <v>343</v>
      </c>
      <c r="J1769" s="11">
        <v>12781</v>
      </c>
      <c r="K1769" s="11">
        <v>14534</v>
      </c>
      <c r="L1769" s="11">
        <v>27315</v>
      </c>
      <c r="M1769" s="11">
        <v>16911</v>
      </c>
    </row>
    <row r="1770" spans="1:13" x14ac:dyDescent="0.3">
      <c r="A1770" s="10">
        <v>6712</v>
      </c>
      <c r="B1770" s="10">
        <v>63</v>
      </c>
      <c r="C1770" s="10" t="s">
        <v>2080</v>
      </c>
      <c r="D1770" s="10">
        <v>0</v>
      </c>
      <c r="E1770" s="10" t="s">
        <v>343</v>
      </c>
      <c r="F1770" s="10">
        <v>0</v>
      </c>
      <c r="G1770" s="10" t="s">
        <v>343</v>
      </c>
      <c r="H1770" s="10">
        <v>0</v>
      </c>
      <c r="I1770" s="10" t="s">
        <v>343</v>
      </c>
      <c r="J1770" s="11">
        <v>352933</v>
      </c>
      <c r="K1770" s="11">
        <v>345664</v>
      </c>
      <c r="L1770" s="11">
        <v>698597</v>
      </c>
      <c r="M1770" s="11">
        <v>241517</v>
      </c>
    </row>
    <row r="1771" spans="1:13" x14ac:dyDescent="0.3">
      <c r="A1771" s="10">
        <v>6712</v>
      </c>
      <c r="B1771" s="10">
        <v>63</v>
      </c>
      <c r="C1771" s="10" t="s">
        <v>2080</v>
      </c>
      <c r="D1771" s="10">
        <v>6301</v>
      </c>
      <c r="E1771" s="10" t="s">
        <v>2081</v>
      </c>
      <c r="F1771" s="10">
        <v>0</v>
      </c>
      <c r="G1771" s="10" t="s">
        <v>343</v>
      </c>
      <c r="H1771" s="10">
        <v>0</v>
      </c>
      <c r="I1771" s="10" t="s">
        <v>343</v>
      </c>
      <c r="J1771" s="11">
        <v>36761</v>
      </c>
      <c r="K1771" s="11">
        <v>37458</v>
      </c>
      <c r="L1771" s="11">
        <v>74219</v>
      </c>
      <c r="M1771" s="11">
        <v>29973</v>
      </c>
    </row>
    <row r="1772" spans="1:13" x14ac:dyDescent="0.3">
      <c r="A1772" s="10">
        <v>6712</v>
      </c>
      <c r="B1772" s="10">
        <v>63</v>
      </c>
      <c r="C1772" s="10" t="s">
        <v>2080</v>
      </c>
      <c r="D1772" s="10">
        <v>6302</v>
      </c>
      <c r="E1772" s="10" t="s">
        <v>2082</v>
      </c>
      <c r="F1772" s="10">
        <v>0</v>
      </c>
      <c r="G1772" s="10" t="s">
        <v>343</v>
      </c>
      <c r="H1772" s="10">
        <v>0</v>
      </c>
      <c r="I1772" s="10" t="s">
        <v>343</v>
      </c>
      <c r="J1772" s="11">
        <v>15192</v>
      </c>
      <c r="K1772" s="11">
        <v>15558</v>
      </c>
      <c r="L1772" s="11">
        <v>30750</v>
      </c>
      <c r="M1772" s="11">
        <v>11386</v>
      </c>
    </row>
    <row r="1773" spans="1:13" x14ac:dyDescent="0.3">
      <c r="A1773" s="10">
        <v>6712</v>
      </c>
      <c r="B1773" s="10">
        <v>63</v>
      </c>
      <c r="C1773" s="10" t="s">
        <v>2080</v>
      </c>
      <c r="D1773" s="10">
        <v>6303</v>
      </c>
      <c r="E1773" s="10" t="s">
        <v>2083</v>
      </c>
      <c r="F1773" s="10">
        <v>0</v>
      </c>
      <c r="G1773" s="10" t="s">
        <v>343</v>
      </c>
      <c r="H1773" s="10">
        <v>0</v>
      </c>
      <c r="I1773" s="10" t="s">
        <v>343</v>
      </c>
      <c r="J1773" s="11">
        <v>12327</v>
      </c>
      <c r="K1773" s="11">
        <v>12661</v>
      </c>
      <c r="L1773" s="11">
        <v>24988</v>
      </c>
      <c r="M1773" s="11">
        <v>9820</v>
      </c>
    </row>
    <row r="1774" spans="1:13" x14ac:dyDescent="0.3">
      <c r="A1774" s="10">
        <v>6712</v>
      </c>
      <c r="B1774" s="10">
        <v>63</v>
      </c>
      <c r="C1774" s="10" t="s">
        <v>2080</v>
      </c>
      <c r="D1774" s="10">
        <v>6304</v>
      </c>
      <c r="E1774" s="10" t="s">
        <v>2084</v>
      </c>
      <c r="F1774" s="10">
        <v>0</v>
      </c>
      <c r="G1774" s="10" t="s">
        <v>343</v>
      </c>
      <c r="H1774" s="10">
        <v>0</v>
      </c>
      <c r="I1774" s="10" t="s">
        <v>343</v>
      </c>
      <c r="J1774" s="11">
        <v>26265</v>
      </c>
      <c r="K1774" s="11">
        <v>24932</v>
      </c>
      <c r="L1774" s="11">
        <v>51197</v>
      </c>
      <c r="M1774" s="11">
        <v>17900</v>
      </c>
    </row>
    <row r="1775" spans="1:13" x14ac:dyDescent="0.3">
      <c r="A1775" s="10">
        <v>6712</v>
      </c>
      <c r="B1775" s="10">
        <v>63</v>
      </c>
      <c r="C1775" s="10" t="s">
        <v>2080</v>
      </c>
      <c r="D1775" s="10">
        <v>6305</v>
      </c>
      <c r="E1775" s="10" t="s">
        <v>2085</v>
      </c>
      <c r="F1775" s="10">
        <v>0</v>
      </c>
      <c r="G1775" s="10" t="s">
        <v>343</v>
      </c>
      <c r="H1775" s="10">
        <v>0</v>
      </c>
      <c r="I1775" s="10" t="s">
        <v>343</v>
      </c>
      <c r="J1775" s="11">
        <v>49437</v>
      </c>
      <c r="K1775" s="11">
        <v>46717</v>
      </c>
      <c r="L1775" s="11">
        <v>96154</v>
      </c>
      <c r="M1775" s="11">
        <v>25740</v>
      </c>
    </row>
    <row r="1776" spans="1:13" x14ac:dyDescent="0.3">
      <c r="A1776" s="10">
        <v>6712</v>
      </c>
      <c r="B1776" s="10">
        <v>63</v>
      </c>
      <c r="C1776" s="10" t="s">
        <v>2080</v>
      </c>
      <c r="D1776" s="10">
        <v>6306</v>
      </c>
      <c r="E1776" s="10" t="s">
        <v>2086</v>
      </c>
      <c r="F1776" s="10">
        <v>0</v>
      </c>
      <c r="G1776" s="10" t="s">
        <v>343</v>
      </c>
      <c r="H1776" s="10">
        <v>0</v>
      </c>
      <c r="I1776" s="10" t="s">
        <v>343</v>
      </c>
      <c r="J1776" s="11">
        <v>53030</v>
      </c>
      <c r="K1776" s="11">
        <v>51965</v>
      </c>
      <c r="L1776" s="11">
        <v>104995</v>
      </c>
      <c r="M1776" s="11">
        <v>40494</v>
      </c>
    </row>
    <row r="1777" spans="1:13" x14ac:dyDescent="0.3">
      <c r="A1777" s="10">
        <v>6712</v>
      </c>
      <c r="B1777" s="10">
        <v>63</v>
      </c>
      <c r="C1777" s="10" t="s">
        <v>2080</v>
      </c>
      <c r="D1777" s="10">
        <v>6307</v>
      </c>
      <c r="E1777" s="10" t="s">
        <v>2087</v>
      </c>
      <c r="F1777" s="10">
        <v>0</v>
      </c>
      <c r="G1777" s="10" t="s">
        <v>343</v>
      </c>
      <c r="H1777" s="10">
        <v>0</v>
      </c>
      <c r="I1777" s="10" t="s">
        <v>343</v>
      </c>
      <c r="J1777" s="11">
        <v>47042</v>
      </c>
      <c r="K1777" s="11">
        <v>45272</v>
      </c>
      <c r="L1777" s="11">
        <v>92314</v>
      </c>
      <c r="M1777" s="11">
        <v>22051</v>
      </c>
    </row>
    <row r="1778" spans="1:13" x14ac:dyDescent="0.3">
      <c r="A1778" s="10">
        <v>6712</v>
      </c>
      <c r="B1778" s="10">
        <v>63</v>
      </c>
      <c r="C1778" s="10" t="s">
        <v>2080</v>
      </c>
      <c r="D1778" s="10">
        <v>6308</v>
      </c>
      <c r="E1778" s="10" t="s">
        <v>2088</v>
      </c>
      <c r="F1778" s="10">
        <v>0</v>
      </c>
      <c r="G1778" s="10" t="s">
        <v>343</v>
      </c>
      <c r="H1778" s="10">
        <v>0</v>
      </c>
      <c r="I1778" s="10" t="s">
        <v>343</v>
      </c>
      <c r="J1778" s="11">
        <v>24541</v>
      </c>
      <c r="K1778" s="11">
        <v>22687</v>
      </c>
      <c r="L1778" s="11">
        <v>47228</v>
      </c>
      <c r="M1778" s="11">
        <v>12341</v>
      </c>
    </row>
    <row r="1779" spans="1:13" x14ac:dyDescent="0.3">
      <c r="A1779" s="10">
        <v>6712</v>
      </c>
      <c r="B1779" s="10">
        <v>63</v>
      </c>
      <c r="C1779" s="10" t="s">
        <v>2080</v>
      </c>
      <c r="D1779" s="10">
        <v>6309</v>
      </c>
      <c r="E1779" s="10" t="s">
        <v>2089</v>
      </c>
      <c r="F1779" s="10">
        <v>0</v>
      </c>
      <c r="G1779" s="10" t="s">
        <v>343</v>
      </c>
      <c r="H1779" s="10">
        <v>0</v>
      </c>
      <c r="I1779" s="10" t="s">
        <v>343</v>
      </c>
      <c r="J1779" s="11">
        <v>15328</v>
      </c>
      <c r="K1779" s="11">
        <v>15221</v>
      </c>
      <c r="L1779" s="11">
        <v>30549</v>
      </c>
      <c r="M1779" s="11">
        <v>9746</v>
      </c>
    </row>
    <row r="1780" spans="1:13" x14ac:dyDescent="0.3">
      <c r="A1780" s="10">
        <v>6712</v>
      </c>
      <c r="B1780" s="10">
        <v>63</v>
      </c>
      <c r="C1780" s="10" t="s">
        <v>2080</v>
      </c>
      <c r="D1780" s="10">
        <v>6386</v>
      </c>
      <c r="E1780" s="10" t="s">
        <v>2090</v>
      </c>
      <c r="F1780" s="10">
        <v>0</v>
      </c>
      <c r="G1780" s="10" t="s">
        <v>343</v>
      </c>
      <c r="H1780" s="10">
        <v>0</v>
      </c>
      <c r="I1780" s="10" t="s">
        <v>343</v>
      </c>
      <c r="J1780" s="11">
        <v>6259</v>
      </c>
      <c r="K1780" s="11">
        <v>5190</v>
      </c>
      <c r="L1780" s="11">
        <v>11449</v>
      </c>
      <c r="M1780" s="11">
        <v>6594</v>
      </c>
    </row>
    <row r="1781" spans="1:13" x14ac:dyDescent="0.3">
      <c r="A1781" s="10">
        <v>6712</v>
      </c>
      <c r="B1781" s="10">
        <v>63</v>
      </c>
      <c r="C1781" s="10" t="s">
        <v>2080</v>
      </c>
      <c r="D1781" s="10">
        <v>6387</v>
      </c>
      <c r="E1781" s="10" t="s">
        <v>2091</v>
      </c>
      <c r="F1781" s="10">
        <v>0</v>
      </c>
      <c r="G1781" s="10" t="s">
        <v>343</v>
      </c>
      <c r="H1781" s="10">
        <v>0</v>
      </c>
      <c r="I1781" s="10" t="s">
        <v>343</v>
      </c>
      <c r="J1781" s="11">
        <v>2090</v>
      </c>
      <c r="K1781" s="11">
        <v>2086</v>
      </c>
      <c r="L1781" s="11">
        <v>4176</v>
      </c>
      <c r="M1781" s="11">
        <v>2012</v>
      </c>
    </row>
    <row r="1782" spans="1:13" x14ac:dyDescent="0.3">
      <c r="A1782" s="10">
        <v>6712</v>
      </c>
      <c r="B1782" s="10">
        <v>63</v>
      </c>
      <c r="C1782" s="10" t="s">
        <v>2080</v>
      </c>
      <c r="D1782" s="10">
        <v>6388</v>
      </c>
      <c r="E1782" s="10" t="s">
        <v>2092</v>
      </c>
      <c r="F1782" s="10">
        <v>0</v>
      </c>
      <c r="G1782" s="10" t="s">
        <v>343</v>
      </c>
      <c r="H1782" s="10">
        <v>0</v>
      </c>
      <c r="I1782" s="10" t="s">
        <v>343</v>
      </c>
      <c r="J1782" s="11">
        <v>2573</v>
      </c>
      <c r="K1782" s="11">
        <v>2405</v>
      </c>
      <c r="L1782" s="11">
        <v>4978</v>
      </c>
      <c r="M1782" s="10">
        <v>950</v>
      </c>
    </row>
    <row r="1783" spans="1:13" x14ac:dyDescent="0.3">
      <c r="A1783" s="10">
        <v>6712</v>
      </c>
      <c r="B1783" s="10">
        <v>63</v>
      </c>
      <c r="C1783" s="10" t="s">
        <v>2080</v>
      </c>
      <c r="D1783" s="10">
        <v>6389</v>
      </c>
      <c r="E1783" s="10" t="s">
        <v>2093</v>
      </c>
      <c r="F1783" s="10">
        <v>0</v>
      </c>
      <c r="G1783" s="10" t="s">
        <v>343</v>
      </c>
      <c r="H1783" s="10">
        <v>0</v>
      </c>
      <c r="I1783" s="10" t="s">
        <v>343</v>
      </c>
      <c r="J1783" s="11">
        <v>3668</v>
      </c>
      <c r="K1783" s="11">
        <v>3468</v>
      </c>
      <c r="L1783" s="11">
        <v>7136</v>
      </c>
      <c r="M1783" s="11">
        <v>3002</v>
      </c>
    </row>
    <row r="1784" spans="1:13" x14ac:dyDescent="0.3">
      <c r="A1784" s="10">
        <v>6712</v>
      </c>
      <c r="B1784" s="10">
        <v>63</v>
      </c>
      <c r="C1784" s="10" t="s">
        <v>2080</v>
      </c>
      <c r="D1784" s="10">
        <v>6390</v>
      </c>
      <c r="E1784" s="10" t="s">
        <v>2094</v>
      </c>
      <c r="F1784" s="10">
        <v>0</v>
      </c>
      <c r="G1784" s="10" t="s">
        <v>343</v>
      </c>
      <c r="H1784" s="10">
        <v>0</v>
      </c>
      <c r="I1784" s="10" t="s">
        <v>343</v>
      </c>
      <c r="J1784" s="11">
        <v>3244</v>
      </c>
      <c r="K1784" s="11">
        <v>3399</v>
      </c>
      <c r="L1784" s="11">
        <v>6643</v>
      </c>
      <c r="M1784" s="11">
        <v>3269</v>
      </c>
    </row>
    <row r="1785" spans="1:13" x14ac:dyDescent="0.3">
      <c r="A1785" s="10">
        <v>6712</v>
      </c>
      <c r="B1785" s="10">
        <v>63</v>
      </c>
      <c r="C1785" s="10" t="s">
        <v>2080</v>
      </c>
      <c r="D1785" s="10">
        <v>6391</v>
      </c>
      <c r="E1785" s="10" t="s">
        <v>2095</v>
      </c>
      <c r="F1785" s="10">
        <v>0</v>
      </c>
      <c r="G1785" s="10" t="s">
        <v>343</v>
      </c>
      <c r="H1785" s="10">
        <v>0</v>
      </c>
      <c r="I1785" s="10" t="s">
        <v>343</v>
      </c>
      <c r="J1785" s="11">
        <v>12320</v>
      </c>
      <c r="K1785" s="11">
        <v>11635</v>
      </c>
      <c r="L1785" s="11">
        <v>23955</v>
      </c>
      <c r="M1785" s="11">
        <v>5075</v>
      </c>
    </row>
    <row r="1786" spans="1:13" x14ac:dyDescent="0.3">
      <c r="A1786" s="10">
        <v>6712</v>
      </c>
      <c r="B1786" s="10">
        <v>63</v>
      </c>
      <c r="C1786" s="10" t="s">
        <v>2080</v>
      </c>
      <c r="D1786" s="10">
        <v>6392</v>
      </c>
      <c r="E1786" s="10" t="s">
        <v>2096</v>
      </c>
      <c r="F1786" s="10">
        <v>0</v>
      </c>
      <c r="G1786" s="10" t="s">
        <v>343</v>
      </c>
      <c r="H1786" s="10">
        <v>0</v>
      </c>
      <c r="I1786" s="10" t="s">
        <v>343</v>
      </c>
      <c r="J1786" s="11">
        <v>2276</v>
      </c>
      <c r="K1786" s="11">
        <v>2333</v>
      </c>
      <c r="L1786" s="11">
        <v>4609</v>
      </c>
      <c r="M1786" s="11">
        <v>1467</v>
      </c>
    </row>
    <row r="1787" spans="1:13" x14ac:dyDescent="0.3">
      <c r="A1787" s="10">
        <v>6712</v>
      </c>
      <c r="B1787" s="10">
        <v>63</v>
      </c>
      <c r="C1787" s="10" t="s">
        <v>2080</v>
      </c>
      <c r="D1787" s="10">
        <v>6393</v>
      </c>
      <c r="E1787" s="10" t="s">
        <v>2097</v>
      </c>
      <c r="F1787" s="10">
        <v>0</v>
      </c>
      <c r="G1787" s="10" t="s">
        <v>343</v>
      </c>
      <c r="H1787" s="10">
        <v>0</v>
      </c>
      <c r="I1787" s="10" t="s">
        <v>343</v>
      </c>
      <c r="J1787" s="11">
        <v>1896</v>
      </c>
      <c r="K1787" s="11">
        <v>1928</v>
      </c>
      <c r="L1787" s="11">
        <v>3824</v>
      </c>
      <c r="M1787" s="11">
        <v>1912</v>
      </c>
    </row>
    <row r="1788" spans="1:13" x14ac:dyDescent="0.3">
      <c r="A1788" s="10">
        <v>6712</v>
      </c>
      <c r="B1788" s="10">
        <v>63</v>
      </c>
      <c r="C1788" s="10" t="s">
        <v>2080</v>
      </c>
      <c r="D1788" s="10">
        <v>6394</v>
      </c>
      <c r="E1788" s="10" t="s">
        <v>2098</v>
      </c>
      <c r="F1788" s="10">
        <v>0</v>
      </c>
      <c r="G1788" s="10" t="s">
        <v>343</v>
      </c>
      <c r="H1788" s="10">
        <v>0</v>
      </c>
      <c r="I1788" s="10" t="s">
        <v>343</v>
      </c>
      <c r="J1788" s="11">
        <v>2442</v>
      </c>
      <c r="K1788" s="11">
        <v>2596</v>
      </c>
      <c r="L1788" s="11">
        <v>5038</v>
      </c>
      <c r="M1788" s="11">
        <v>2206</v>
      </c>
    </row>
    <row r="1789" spans="1:13" x14ac:dyDescent="0.3">
      <c r="A1789" s="10">
        <v>6712</v>
      </c>
      <c r="B1789" s="10">
        <v>63</v>
      </c>
      <c r="C1789" s="10" t="s">
        <v>2080</v>
      </c>
      <c r="D1789" s="10">
        <v>6395</v>
      </c>
      <c r="E1789" s="10" t="s">
        <v>2099</v>
      </c>
      <c r="F1789" s="10">
        <v>0</v>
      </c>
      <c r="G1789" s="10" t="s">
        <v>343</v>
      </c>
      <c r="H1789" s="10">
        <v>0</v>
      </c>
      <c r="I1789" s="10" t="s">
        <v>343</v>
      </c>
      <c r="J1789" s="11">
        <v>2067</v>
      </c>
      <c r="K1789" s="11">
        <v>2292</v>
      </c>
      <c r="L1789" s="11">
        <v>4359</v>
      </c>
      <c r="M1789" s="11">
        <v>2223</v>
      </c>
    </row>
    <row r="1790" spans="1:13" x14ac:dyDescent="0.3">
      <c r="A1790" s="10">
        <v>6712</v>
      </c>
      <c r="B1790" s="10">
        <v>63</v>
      </c>
      <c r="C1790" s="10" t="s">
        <v>2080</v>
      </c>
      <c r="D1790" s="10">
        <v>6396</v>
      </c>
      <c r="E1790" s="10" t="s">
        <v>2100</v>
      </c>
      <c r="F1790" s="10">
        <v>0</v>
      </c>
      <c r="G1790" s="10" t="s">
        <v>343</v>
      </c>
      <c r="H1790" s="10">
        <v>0</v>
      </c>
      <c r="I1790" s="10" t="s">
        <v>343</v>
      </c>
      <c r="J1790" s="11">
        <v>2859</v>
      </c>
      <c r="K1790" s="11">
        <v>3379</v>
      </c>
      <c r="L1790" s="11">
        <v>6238</v>
      </c>
      <c r="M1790" s="11">
        <v>2772</v>
      </c>
    </row>
    <row r="1791" spans="1:13" x14ac:dyDescent="0.3">
      <c r="A1791" s="10">
        <v>6712</v>
      </c>
      <c r="B1791" s="10">
        <v>63</v>
      </c>
      <c r="C1791" s="10" t="s">
        <v>2080</v>
      </c>
      <c r="D1791" s="10">
        <v>6397</v>
      </c>
      <c r="E1791" s="10" t="s">
        <v>2101</v>
      </c>
      <c r="F1791" s="10">
        <v>0</v>
      </c>
      <c r="G1791" s="10" t="s">
        <v>343</v>
      </c>
      <c r="H1791" s="10">
        <v>0</v>
      </c>
      <c r="I1791" s="10" t="s">
        <v>343</v>
      </c>
      <c r="J1791" s="11">
        <v>2902</v>
      </c>
      <c r="K1791" s="11">
        <v>2964</v>
      </c>
      <c r="L1791" s="11">
        <v>5866</v>
      </c>
      <c r="M1791" s="11">
        <v>2183</v>
      </c>
    </row>
    <row r="1792" spans="1:13" x14ac:dyDescent="0.3">
      <c r="A1792" s="10">
        <v>6712</v>
      </c>
      <c r="B1792" s="10">
        <v>63</v>
      </c>
      <c r="C1792" s="10" t="s">
        <v>2080</v>
      </c>
      <c r="D1792" s="10">
        <v>6398</v>
      </c>
      <c r="E1792" s="10" t="s">
        <v>2102</v>
      </c>
      <c r="F1792" s="10">
        <v>0</v>
      </c>
      <c r="G1792" s="10" t="s">
        <v>343</v>
      </c>
      <c r="H1792" s="10">
        <v>0</v>
      </c>
      <c r="I1792" s="10" t="s">
        <v>343</v>
      </c>
      <c r="J1792" s="11">
        <v>21349</v>
      </c>
      <c r="K1792" s="11">
        <v>21525</v>
      </c>
      <c r="L1792" s="11">
        <v>42874</v>
      </c>
      <c r="M1792" s="11">
        <v>20802</v>
      </c>
    </row>
    <row r="1793" spans="1:13" x14ac:dyDescent="0.3">
      <c r="A1793" s="10">
        <v>6712</v>
      </c>
      <c r="B1793" s="10">
        <v>63</v>
      </c>
      <c r="C1793" s="10" t="s">
        <v>2080</v>
      </c>
      <c r="D1793" s="10">
        <v>6399</v>
      </c>
      <c r="E1793" s="10" t="s">
        <v>2103</v>
      </c>
      <c r="F1793" s="10">
        <v>0</v>
      </c>
      <c r="G1793" s="10" t="s">
        <v>343</v>
      </c>
      <c r="H1793" s="10">
        <v>0</v>
      </c>
      <c r="I1793" s="10" t="s">
        <v>343</v>
      </c>
      <c r="J1793" s="11">
        <v>7065</v>
      </c>
      <c r="K1793" s="11">
        <v>7993</v>
      </c>
      <c r="L1793" s="11">
        <v>15058</v>
      </c>
      <c r="M1793" s="11">
        <v>7599</v>
      </c>
    </row>
    <row r="1794" spans="1:13" x14ac:dyDescent="0.3">
      <c r="A1794" s="10">
        <v>6712</v>
      </c>
      <c r="B1794" s="10">
        <v>64</v>
      </c>
      <c r="C1794" s="10" t="s">
        <v>2104</v>
      </c>
      <c r="D1794" s="10">
        <v>0</v>
      </c>
      <c r="E1794" s="10" t="s">
        <v>343</v>
      </c>
      <c r="F1794" s="10">
        <v>0</v>
      </c>
      <c r="G1794" s="10" t="s">
        <v>343</v>
      </c>
      <c r="H1794" s="10">
        <v>0</v>
      </c>
      <c r="I1794" s="10" t="s">
        <v>343</v>
      </c>
      <c r="J1794" s="11">
        <v>277179</v>
      </c>
      <c r="K1794" s="11">
        <v>296209</v>
      </c>
      <c r="L1794" s="11">
        <v>573388</v>
      </c>
      <c r="M1794" s="11">
        <v>229235</v>
      </c>
    </row>
    <row r="1795" spans="1:13" x14ac:dyDescent="0.3">
      <c r="A1795" s="10">
        <v>6712</v>
      </c>
      <c r="B1795" s="10">
        <v>64</v>
      </c>
      <c r="C1795" s="10" t="s">
        <v>2104</v>
      </c>
      <c r="D1795" s="10">
        <v>6401</v>
      </c>
      <c r="E1795" s="10" t="s">
        <v>2105</v>
      </c>
      <c r="F1795" s="10">
        <v>0</v>
      </c>
      <c r="G1795" s="10" t="s">
        <v>343</v>
      </c>
      <c r="H1795" s="10">
        <v>0</v>
      </c>
      <c r="I1795" s="10" t="s">
        <v>343</v>
      </c>
      <c r="J1795" s="11">
        <v>28840</v>
      </c>
      <c r="K1795" s="11">
        <v>31136</v>
      </c>
      <c r="L1795" s="11">
        <v>59976</v>
      </c>
      <c r="M1795" s="11">
        <v>23787</v>
      </c>
    </row>
    <row r="1796" spans="1:13" x14ac:dyDescent="0.3">
      <c r="A1796" s="10">
        <v>6712</v>
      </c>
      <c r="B1796" s="10">
        <v>64</v>
      </c>
      <c r="C1796" s="10" t="s">
        <v>2104</v>
      </c>
      <c r="D1796" s="10">
        <v>6402</v>
      </c>
      <c r="E1796" s="10" t="s">
        <v>2106</v>
      </c>
      <c r="F1796" s="10">
        <v>0</v>
      </c>
      <c r="G1796" s="10" t="s">
        <v>343</v>
      </c>
      <c r="H1796" s="10">
        <v>0</v>
      </c>
      <c r="I1796" s="10" t="s">
        <v>343</v>
      </c>
      <c r="J1796" s="11">
        <v>21876</v>
      </c>
      <c r="K1796" s="11">
        <v>22173</v>
      </c>
      <c r="L1796" s="11">
        <v>44049</v>
      </c>
      <c r="M1796" s="11">
        <v>15097</v>
      </c>
    </row>
    <row r="1797" spans="1:13" x14ac:dyDescent="0.3">
      <c r="A1797" s="10">
        <v>6712</v>
      </c>
      <c r="B1797" s="10">
        <v>64</v>
      </c>
      <c r="C1797" s="10" t="s">
        <v>2104</v>
      </c>
      <c r="D1797" s="10">
        <v>6403</v>
      </c>
      <c r="E1797" s="10" t="s">
        <v>2107</v>
      </c>
      <c r="F1797" s="10">
        <v>0</v>
      </c>
      <c r="G1797" s="10" t="s">
        <v>343</v>
      </c>
      <c r="H1797" s="10">
        <v>0</v>
      </c>
      <c r="I1797" s="10" t="s">
        <v>343</v>
      </c>
      <c r="J1797" s="11">
        <v>22494</v>
      </c>
      <c r="K1797" s="11">
        <v>23070</v>
      </c>
      <c r="L1797" s="11">
        <v>45564</v>
      </c>
      <c r="M1797" s="11">
        <v>14916</v>
      </c>
    </row>
    <row r="1798" spans="1:13" x14ac:dyDescent="0.3">
      <c r="A1798" s="10">
        <v>6712</v>
      </c>
      <c r="B1798" s="10">
        <v>64</v>
      </c>
      <c r="C1798" s="10" t="s">
        <v>2104</v>
      </c>
      <c r="D1798" s="10">
        <v>6404</v>
      </c>
      <c r="E1798" s="10" t="s">
        <v>2108</v>
      </c>
      <c r="F1798" s="10">
        <v>0</v>
      </c>
      <c r="G1798" s="10" t="s">
        <v>343</v>
      </c>
      <c r="H1798" s="10">
        <v>0</v>
      </c>
      <c r="I1798" s="10" t="s">
        <v>343</v>
      </c>
      <c r="J1798" s="11">
        <v>28261</v>
      </c>
      <c r="K1798" s="11">
        <v>29822</v>
      </c>
      <c r="L1798" s="11">
        <v>58083</v>
      </c>
      <c r="M1798" s="11">
        <v>21194</v>
      </c>
    </row>
    <row r="1799" spans="1:13" x14ac:dyDescent="0.3">
      <c r="A1799" s="10">
        <v>6712</v>
      </c>
      <c r="B1799" s="10">
        <v>64</v>
      </c>
      <c r="C1799" s="10" t="s">
        <v>2104</v>
      </c>
      <c r="D1799" s="10">
        <v>6405</v>
      </c>
      <c r="E1799" s="10" t="s">
        <v>2109</v>
      </c>
      <c r="F1799" s="10">
        <v>0</v>
      </c>
      <c r="G1799" s="10" t="s">
        <v>343</v>
      </c>
      <c r="H1799" s="10">
        <v>0</v>
      </c>
      <c r="I1799" s="10" t="s">
        <v>343</v>
      </c>
      <c r="J1799" s="11">
        <v>33764</v>
      </c>
      <c r="K1799" s="11">
        <v>35097</v>
      </c>
      <c r="L1799" s="11">
        <v>68861</v>
      </c>
      <c r="M1799" s="11">
        <v>27910</v>
      </c>
    </row>
    <row r="1800" spans="1:13" x14ac:dyDescent="0.3">
      <c r="A1800" s="10">
        <v>6712</v>
      </c>
      <c r="B1800" s="10">
        <v>64</v>
      </c>
      <c r="C1800" s="10" t="s">
        <v>2104</v>
      </c>
      <c r="D1800" s="10">
        <v>6406</v>
      </c>
      <c r="E1800" s="10" t="s">
        <v>2110</v>
      </c>
      <c r="F1800" s="10">
        <v>0</v>
      </c>
      <c r="G1800" s="10" t="s">
        <v>343</v>
      </c>
      <c r="H1800" s="10">
        <v>0</v>
      </c>
      <c r="I1800" s="10" t="s">
        <v>343</v>
      </c>
      <c r="J1800" s="11">
        <v>28734</v>
      </c>
      <c r="K1800" s="11">
        <v>31204</v>
      </c>
      <c r="L1800" s="11">
        <v>59938</v>
      </c>
      <c r="M1800" s="11">
        <v>23244</v>
      </c>
    </row>
    <row r="1801" spans="1:13" x14ac:dyDescent="0.3">
      <c r="A1801" s="10">
        <v>6712</v>
      </c>
      <c r="B1801" s="10">
        <v>64</v>
      </c>
      <c r="C1801" s="10" t="s">
        <v>2104</v>
      </c>
      <c r="D1801" s="10">
        <v>6407</v>
      </c>
      <c r="E1801" s="10" t="s">
        <v>2111</v>
      </c>
      <c r="F1801" s="10">
        <v>0</v>
      </c>
      <c r="G1801" s="10" t="s">
        <v>343</v>
      </c>
      <c r="H1801" s="10">
        <v>0</v>
      </c>
      <c r="I1801" s="10" t="s">
        <v>343</v>
      </c>
      <c r="J1801" s="11">
        <v>23522</v>
      </c>
      <c r="K1801" s="11">
        <v>25651</v>
      </c>
      <c r="L1801" s="11">
        <v>49173</v>
      </c>
      <c r="M1801" s="11">
        <v>20740</v>
      </c>
    </row>
    <row r="1802" spans="1:13" x14ac:dyDescent="0.3">
      <c r="A1802" s="10">
        <v>6712</v>
      </c>
      <c r="B1802" s="10">
        <v>64</v>
      </c>
      <c r="C1802" s="10" t="s">
        <v>2104</v>
      </c>
      <c r="D1802" s="10">
        <v>6408</v>
      </c>
      <c r="E1802" s="10" t="s">
        <v>2112</v>
      </c>
      <c r="F1802" s="10">
        <v>0</v>
      </c>
      <c r="G1802" s="10" t="s">
        <v>343</v>
      </c>
      <c r="H1802" s="10">
        <v>0</v>
      </c>
      <c r="I1802" s="10" t="s">
        <v>343</v>
      </c>
      <c r="J1802" s="11">
        <v>10601</v>
      </c>
      <c r="K1802" s="11">
        <v>11306</v>
      </c>
      <c r="L1802" s="11">
        <v>21907</v>
      </c>
      <c r="M1802" s="11">
        <v>8404</v>
      </c>
    </row>
    <row r="1803" spans="1:13" x14ac:dyDescent="0.3">
      <c r="A1803" s="10">
        <v>6712</v>
      </c>
      <c r="B1803" s="10">
        <v>64</v>
      </c>
      <c r="C1803" s="10" t="s">
        <v>2104</v>
      </c>
      <c r="D1803" s="10">
        <v>6409</v>
      </c>
      <c r="E1803" s="10" t="s">
        <v>2113</v>
      </c>
      <c r="F1803" s="10">
        <v>0</v>
      </c>
      <c r="G1803" s="10" t="s">
        <v>343</v>
      </c>
      <c r="H1803" s="10">
        <v>0</v>
      </c>
      <c r="I1803" s="10" t="s">
        <v>343</v>
      </c>
      <c r="J1803" s="11">
        <v>20175</v>
      </c>
      <c r="K1803" s="11">
        <v>20797</v>
      </c>
      <c r="L1803" s="11">
        <v>40972</v>
      </c>
      <c r="M1803" s="11">
        <v>15441</v>
      </c>
    </row>
    <row r="1804" spans="1:13" x14ac:dyDescent="0.3">
      <c r="A1804" s="10">
        <v>6712</v>
      </c>
      <c r="B1804" s="10">
        <v>64</v>
      </c>
      <c r="C1804" s="10" t="s">
        <v>2104</v>
      </c>
      <c r="D1804" s="10">
        <v>6484</v>
      </c>
      <c r="E1804" s="10" t="s">
        <v>1835</v>
      </c>
      <c r="F1804" s="10">
        <v>0</v>
      </c>
      <c r="G1804" s="10" t="s">
        <v>343</v>
      </c>
      <c r="H1804" s="10">
        <v>0</v>
      </c>
      <c r="I1804" s="10" t="s">
        <v>343</v>
      </c>
      <c r="J1804" s="11">
        <v>3946</v>
      </c>
      <c r="K1804" s="11">
        <v>4136</v>
      </c>
      <c r="L1804" s="11">
        <v>8082</v>
      </c>
      <c r="M1804" s="11">
        <v>3514</v>
      </c>
    </row>
    <row r="1805" spans="1:13" x14ac:dyDescent="0.3">
      <c r="A1805" s="10">
        <v>6712</v>
      </c>
      <c r="B1805" s="10">
        <v>64</v>
      </c>
      <c r="C1805" s="10" t="s">
        <v>2104</v>
      </c>
      <c r="D1805" s="10">
        <v>6485</v>
      </c>
      <c r="E1805" s="10" t="s">
        <v>2114</v>
      </c>
      <c r="F1805" s="10">
        <v>0</v>
      </c>
      <c r="G1805" s="10" t="s">
        <v>343</v>
      </c>
      <c r="H1805" s="10">
        <v>0</v>
      </c>
      <c r="I1805" s="10" t="s">
        <v>343</v>
      </c>
      <c r="J1805" s="11">
        <v>3627</v>
      </c>
      <c r="K1805" s="11">
        <v>3902</v>
      </c>
      <c r="L1805" s="11">
        <v>7529</v>
      </c>
      <c r="M1805" s="11">
        <v>2861</v>
      </c>
    </row>
    <row r="1806" spans="1:13" x14ac:dyDescent="0.3">
      <c r="A1806" s="10">
        <v>6712</v>
      </c>
      <c r="B1806" s="10">
        <v>64</v>
      </c>
      <c r="C1806" s="10" t="s">
        <v>2104</v>
      </c>
      <c r="D1806" s="10">
        <v>6486</v>
      </c>
      <c r="E1806" s="10" t="s">
        <v>595</v>
      </c>
      <c r="F1806" s="10">
        <v>0</v>
      </c>
      <c r="G1806" s="10" t="s">
        <v>343</v>
      </c>
      <c r="H1806" s="10">
        <v>0</v>
      </c>
      <c r="I1806" s="10" t="s">
        <v>343</v>
      </c>
      <c r="J1806" s="11">
        <v>7396</v>
      </c>
      <c r="K1806" s="11">
        <v>8346</v>
      </c>
      <c r="L1806" s="11">
        <v>15742</v>
      </c>
      <c r="M1806" s="11">
        <v>7465</v>
      </c>
    </row>
    <row r="1807" spans="1:13" x14ac:dyDescent="0.3">
      <c r="A1807" s="10">
        <v>6712</v>
      </c>
      <c r="B1807" s="10">
        <v>64</v>
      </c>
      <c r="C1807" s="10" t="s">
        <v>2104</v>
      </c>
      <c r="D1807" s="10">
        <v>6487</v>
      </c>
      <c r="E1807" s="10" t="s">
        <v>2115</v>
      </c>
      <c r="F1807" s="10">
        <v>0</v>
      </c>
      <c r="G1807" s="10" t="s">
        <v>343</v>
      </c>
      <c r="H1807" s="10">
        <v>0</v>
      </c>
      <c r="I1807" s="10" t="s">
        <v>343</v>
      </c>
      <c r="J1807" s="11">
        <v>3334</v>
      </c>
      <c r="K1807" s="11">
        <v>3687</v>
      </c>
      <c r="L1807" s="11">
        <v>7021</v>
      </c>
      <c r="M1807" s="11">
        <v>3106</v>
      </c>
    </row>
    <row r="1808" spans="1:13" x14ac:dyDescent="0.3">
      <c r="A1808" s="10">
        <v>6712</v>
      </c>
      <c r="B1808" s="10">
        <v>64</v>
      </c>
      <c r="C1808" s="10" t="s">
        <v>2104</v>
      </c>
      <c r="D1808" s="10">
        <v>6488</v>
      </c>
      <c r="E1808" s="10" t="s">
        <v>2116</v>
      </c>
      <c r="F1808" s="10">
        <v>0</v>
      </c>
      <c r="G1808" s="10" t="s">
        <v>343</v>
      </c>
      <c r="H1808" s="10">
        <v>0</v>
      </c>
      <c r="I1808" s="10" t="s">
        <v>343</v>
      </c>
      <c r="J1808" s="11">
        <v>1383</v>
      </c>
      <c r="K1808" s="11">
        <v>1591</v>
      </c>
      <c r="L1808" s="11">
        <v>2974</v>
      </c>
      <c r="M1808" s="11">
        <v>1724</v>
      </c>
    </row>
    <row r="1809" spans="1:13" x14ac:dyDescent="0.3">
      <c r="A1809" s="10">
        <v>6712</v>
      </c>
      <c r="B1809" s="10">
        <v>64</v>
      </c>
      <c r="C1809" s="10" t="s">
        <v>2104</v>
      </c>
      <c r="D1809" s="10">
        <v>6489</v>
      </c>
      <c r="E1809" s="10" t="s">
        <v>2117</v>
      </c>
      <c r="F1809" s="10">
        <v>0</v>
      </c>
      <c r="G1809" s="10" t="s">
        <v>343</v>
      </c>
      <c r="H1809" s="10">
        <v>0</v>
      </c>
      <c r="I1809" s="10" t="s">
        <v>343</v>
      </c>
      <c r="J1809" s="11">
        <v>3280</v>
      </c>
      <c r="K1809" s="11">
        <v>3802</v>
      </c>
      <c r="L1809" s="11">
        <v>7082</v>
      </c>
      <c r="M1809" s="11">
        <v>3614</v>
      </c>
    </row>
    <row r="1810" spans="1:13" x14ac:dyDescent="0.3">
      <c r="A1810" s="10">
        <v>6712</v>
      </c>
      <c r="B1810" s="10">
        <v>64</v>
      </c>
      <c r="C1810" s="10" t="s">
        <v>2104</v>
      </c>
      <c r="D1810" s="10">
        <v>6490</v>
      </c>
      <c r="E1810" s="10" t="s">
        <v>2118</v>
      </c>
      <c r="F1810" s="10">
        <v>0</v>
      </c>
      <c r="G1810" s="10" t="s">
        <v>343</v>
      </c>
      <c r="H1810" s="10">
        <v>0</v>
      </c>
      <c r="I1810" s="10" t="s">
        <v>343</v>
      </c>
      <c r="J1810" s="11">
        <v>2955</v>
      </c>
      <c r="K1810" s="11">
        <v>3335</v>
      </c>
      <c r="L1810" s="11">
        <v>6290</v>
      </c>
      <c r="M1810" s="11">
        <v>3722</v>
      </c>
    </row>
    <row r="1811" spans="1:13" x14ac:dyDescent="0.3">
      <c r="A1811" s="10">
        <v>6712</v>
      </c>
      <c r="B1811" s="10">
        <v>64</v>
      </c>
      <c r="C1811" s="10" t="s">
        <v>2104</v>
      </c>
      <c r="D1811" s="10">
        <v>6491</v>
      </c>
      <c r="E1811" s="10" t="s">
        <v>2119</v>
      </c>
      <c r="F1811" s="10">
        <v>0</v>
      </c>
      <c r="G1811" s="10" t="s">
        <v>343</v>
      </c>
      <c r="H1811" s="10">
        <v>0</v>
      </c>
      <c r="I1811" s="10" t="s">
        <v>343</v>
      </c>
      <c r="J1811" s="11">
        <v>6961</v>
      </c>
      <c r="K1811" s="11">
        <v>7619</v>
      </c>
      <c r="L1811" s="11">
        <v>14580</v>
      </c>
      <c r="M1811" s="11">
        <v>5984</v>
      </c>
    </row>
    <row r="1812" spans="1:13" x14ac:dyDescent="0.3">
      <c r="A1812" s="10">
        <v>6712</v>
      </c>
      <c r="B1812" s="10">
        <v>64</v>
      </c>
      <c r="C1812" s="10" t="s">
        <v>2104</v>
      </c>
      <c r="D1812" s="10">
        <v>6492</v>
      </c>
      <c r="E1812" s="10" t="s">
        <v>2120</v>
      </c>
      <c r="F1812" s="10">
        <v>0</v>
      </c>
      <c r="G1812" s="10" t="s">
        <v>343</v>
      </c>
      <c r="H1812" s="10">
        <v>0</v>
      </c>
      <c r="I1812" s="10" t="s">
        <v>343</v>
      </c>
      <c r="J1812" s="11">
        <v>1877</v>
      </c>
      <c r="K1812" s="11">
        <v>2088</v>
      </c>
      <c r="L1812" s="11">
        <v>3965</v>
      </c>
      <c r="M1812" s="11">
        <v>2090</v>
      </c>
    </row>
    <row r="1813" spans="1:13" x14ac:dyDescent="0.3">
      <c r="A1813" s="10">
        <v>6712</v>
      </c>
      <c r="B1813" s="10">
        <v>64</v>
      </c>
      <c r="C1813" s="10" t="s">
        <v>2104</v>
      </c>
      <c r="D1813" s="10">
        <v>6493</v>
      </c>
      <c r="E1813" s="10" t="s">
        <v>2121</v>
      </c>
      <c r="F1813" s="10">
        <v>0</v>
      </c>
      <c r="G1813" s="10" t="s">
        <v>343</v>
      </c>
      <c r="H1813" s="10">
        <v>0</v>
      </c>
      <c r="I1813" s="10" t="s">
        <v>343</v>
      </c>
      <c r="J1813" s="11">
        <v>1375</v>
      </c>
      <c r="K1813" s="11">
        <v>1551</v>
      </c>
      <c r="L1813" s="11">
        <v>2926</v>
      </c>
      <c r="M1813" s="11">
        <v>1685</v>
      </c>
    </row>
    <row r="1814" spans="1:13" x14ac:dyDescent="0.3">
      <c r="A1814" s="10">
        <v>6712</v>
      </c>
      <c r="B1814" s="10">
        <v>64</v>
      </c>
      <c r="C1814" s="10" t="s">
        <v>2104</v>
      </c>
      <c r="D1814" s="10">
        <v>6494</v>
      </c>
      <c r="E1814" s="10" t="s">
        <v>2122</v>
      </c>
      <c r="F1814" s="10">
        <v>0</v>
      </c>
      <c r="G1814" s="10" t="s">
        <v>343</v>
      </c>
      <c r="H1814" s="10">
        <v>0</v>
      </c>
      <c r="I1814" s="10" t="s">
        <v>343</v>
      </c>
      <c r="J1814" s="11">
        <v>3277</v>
      </c>
      <c r="K1814" s="11">
        <v>3626</v>
      </c>
      <c r="L1814" s="11">
        <v>6903</v>
      </c>
      <c r="M1814" s="11">
        <v>2472</v>
      </c>
    </row>
    <row r="1815" spans="1:13" x14ac:dyDescent="0.3">
      <c r="A1815" s="10">
        <v>6712</v>
      </c>
      <c r="B1815" s="10">
        <v>64</v>
      </c>
      <c r="C1815" s="10" t="s">
        <v>2104</v>
      </c>
      <c r="D1815" s="10">
        <v>6495</v>
      </c>
      <c r="E1815" s="10" t="s">
        <v>2123</v>
      </c>
      <c r="F1815" s="10">
        <v>0</v>
      </c>
      <c r="G1815" s="10" t="s">
        <v>343</v>
      </c>
      <c r="H1815" s="10">
        <v>0</v>
      </c>
      <c r="I1815" s="10" t="s">
        <v>343</v>
      </c>
      <c r="J1815" s="11">
        <v>1645</v>
      </c>
      <c r="K1815" s="11">
        <v>1792</v>
      </c>
      <c r="L1815" s="11">
        <v>3437</v>
      </c>
      <c r="M1815" s="11">
        <v>1761</v>
      </c>
    </row>
    <row r="1816" spans="1:13" x14ac:dyDescent="0.3">
      <c r="A1816" s="10">
        <v>6712</v>
      </c>
      <c r="B1816" s="10">
        <v>64</v>
      </c>
      <c r="C1816" s="10" t="s">
        <v>2104</v>
      </c>
      <c r="D1816" s="10">
        <v>6496</v>
      </c>
      <c r="E1816" s="10" t="s">
        <v>839</v>
      </c>
      <c r="F1816" s="10">
        <v>0</v>
      </c>
      <c r="G1816" s="10" t="s">
        <v>343</v>
      </c>
      <c r="H1816" s="10">
        <v>0</v>
      </c>
      <c r="I1816" s="10" t="s">
        <v>343</v>
      </c>
      <c r="J1816" s="11">
        <v>3238</v>
      </c>
      <c r="K1816" s="11">
        <v>3783</v>
      </c>
      <c r="L1816" s="11">
        <v>7021</v>
      </c>
      <c r="M1816" s="11">
        <v>2721</v>
      </c>
    </row>
    <row r="1817" spans="1:13" x14ac:dyDescent="0.3">
      <c r="A1817" s="10">
        <v>6712</v>
      </c>
      <c r="B1817" s="10">
        <v>64</v>
      </c>
      <c r="C1817" s="10" t="s">
        <v>2104</v>
      </c>
      <c r="D1817" s="10">
        <v>6497</v>
      </c>
      <c r="E1817" s="10" t="s">
        <v>2124</v>
      </c>
      <c r="F1817" s="10">
        <v>0</v>
      </c>
      <c r="G1817" s="10" t="s">
        <v>343</v>
      </c>
      <c r="H1817" s="10">
        <v>0</v>
      </c>
      <c r="I1817" s="10" t="s">
        <v>343</v>
      </c>
      <c r="J1817" s="11">
        <v>1927</v>
      </c>
      <c r="K1817" s="11">
        <v>2151</v>
      </c>
      <c r="L1817" s="11">
        <v>4078</v>
      </c>
      <c r="M1817" s="11">
        <v>1735</v>
      </c>
    </row>
    <row r="1818" spans="1:13" x14ac:dyDescent="0.3">
      <c r="A1818" s="10">
        <v>6712</v>
      </c>
      <c r="B1818" s="10">
        <v>64</v>
      </c>
      <c r="C1818" s="10" t="s">
        <v>2104</v>
      </c>
      <c r="D1818" s="10">
        <v>6498</v>
      </c>
      <c r="E1818" s="10" t="s">
        <v>2125</v>
      </c>
      <c r="F1818" s="10">
        <v>0</v>
      </c>
      <c r="G1818" s="10" t="s">
        <v>343</v>
      </c>
      <c r="H1818" s="10">
        <v>0</v>
      </c>
      <c r="I1818" s="10" t="s">
        <v>343</v>
      </c>
      <c r="J1818" s="11">
        <v>6506</v>
      </c>
      <c r="K1818" s="11">
        <v>7398</v>
      </c>
      <c r="L1818" s="11">
        <v>13904</v>
      </c>
      <c r="M1818" s="11">
        <v>6855</v>
      </c>
    </row>
    <row r="1819" spans="1:13" x14ac:dyDescent="0.3">
      <c r="A1819" s="10">
        <v>6712</v>
      </c>
      <c r="B1819" s="10">
        <v>64</v>
      </c>
      <c r="C1819" s="10" t="s">
        <v>2104</v>
      </c>
      <c r="D1819" s="10">
        <v>6499</v>
      </c>
      <c r="E1819" s="10" t="s">
        <v>2126</v>
      </c>
      <c r="F1819" s="10">
        <v>0</v>
      </c>
      <c r="G1819" s="10" t="s">
        <v>343</v>
      </c>
      <c r="H1819" s="10">
        <v>0</v>
      </c>
      <c r="I1819" s="10" t="s">
        <v>343</v>
      </c>
      <c r="J1819" s="11">
        <v>6185</v>
      </c>
      <c r="K1819" s="11">
        <v>7146</v>
      </c>
      <c r="L1819" s="11">
        <v>13331</v>
      </c>
      <c r="M1819" s="11">
        <v>7193</v>
      </c>
    </row>
    <row r="1820" spans="1:13" x14ac:dyDescent="0.3">
      <c r="A1820" s="10">
        <v>6712</v>
      </c>
      <c r="B1820" s="10">
        <v>65</v>
      </c>
      <c r="C1820" s="10" t="s">
        <v>2127</v>
      </c>
      <c r="D1820" s="10">
        <v>0</v>
      </c>
      <c r="E1820" s="10" t="s">
        <v>343</v>
      </c>
      <c r="F1820" s="10">
        <v>0</v>
      </c>
      <c r="G1820" s="10" t="s">
        <v>343</v>
      </c>
      <c r="H1820" s="10">
        <v>0</v>
      </c>
      <c r="I1820" s="10" t="s">
        <v>343</v>
      </c>
      <c r="J1820" s="11">
        <v>409596</v>
      </c>
      <c r="K1820" s="11">
        <v>429520</v>
      </c>
      <c r="L1820" s="11">
        <v>839116</v>
      </c>
      <c r="M1820" s="11">
        <v>372740</v>
      </c>
    </row>
    <row r="1821" spans="1:13" x14ac:dyDescent="0.3">
      <c r="A1821" s="10">
        <v>6712</v>
      </c>
      <c r="B1821" s="10">
        <v>65</v>
      </c>
      <c r="C1821" s="10" t="s">
        <v>2127</v>
      </c>
      <c r="D1821" s="10">
        <v>6501</v>
      </c>
      <c r="E1821" s="10" t="s">
        <v>2128</v>
      </c>
      <c r="F1821" s="10">
        <v>0</v>
      </c>
      <c r="G1821" s="10" t="s">
        <v>343</v>
      </c>
      <c r="H1821" s="10">
        <v>0</v>
      </c>
      <c r="I1821" s="10" t="s">
        <v>343</v>
      </c>
      <c r="J1821" s="11">
        <v>87748</v>
      </c>
      <c r="K1821" s="11">
        <v>94344</v>
      </c>
      <c r="L1821" s="11">
        <v>182092</v>
      </c>
      <c r="M1821" s="11">
        <v>92279</v>
      </c>
    </row>
    <row r="1822" spans="1:13" x14ac:dyDescent="0.3">
      <c r="A1822" s="10">
        <v>6712</v>
      </c>
      <c r="B1822" s="10">
        <v>65</v>
      </c>
      <c r="C1822" s="10" t="s">
        <v>2127</v>
      </c>
      <c r="D1822" s="10">
        <v>6502</v>
      </c>
      <c r="E1822" s="10" t="s">
        <v>2129</v>
      </c>
      <c r="F1822" s="10">
        <v>0</v>
      </c>
      <c r="G1822" s="10" t="s">
        <v>343</v>
      </c>
      <c r="H1822" s="10">
        <v>0</v>
      </c>
      <c r="I1822" s="10" t="s">
        <v>343</v>
      </c>
      <c r="J1822" s="11">
        <v>32799</v>
      </c>
      <c r="K1822" s="11">
        <v>33301</v>
      </c>
      <c r="L1822" s="11">
        <v>66100</v>
      </c>
      <c r="M1822" s="11">
        <v>24693</v>
      </c>
    </row>
    <row r="1823" spans="1:13" x14ac:dyDescent="0.3">
      <c r="A1823" s="10">
        <v>6712</v>
      </c>
      <c r="B1823" s="10">
        <v>65</v>
      </c>
      <c r="C1823" s="10" t="s">
        <v>2127</v>
      </c>
      <c r="D1823" s="10">
        <v>6503</v>
      </c>
      <c r="E1823" s="10" t="s">
        <v>2130</v>
      </c>
      <c r="F1823" s="10">
        <v>0</v>
      </c>
      <c r="G1823" s="10" t="s">
        <v>343</v>
      </c>
      <c r="H1823" s="10">
        <v>0</v>
      </c>
      <c r="I1823" s="10" t="s">
        <v>343</v>
      </c>
      <c r="J1823" s="11">
        <v>18303</v>
      </c>
      <c r="K1823" s="11">
        <v>17984</v>
      </c>
      <c r="L1823" s="11">
        <v>36287</v>
      </c>
      <c r="M1823" s="11">
        <v>12891</v>
      </c>
    </row>
    <row r="1824" spans="1:13" x14ac:dyDescent="0.3">
      <c r="A1824" s="10">
        <v>6712</v>
      </c>
      <c r="B1824" s="10">
        <v>65</v>
      </c>
      <c r="C1824" s="10" t="s">
        <v>2127</v>
      </c>
      <c r="D1824" s="10">
        <v>6504</v>
      </c>
      <c r="E1824" s="10" t="s">
        <v>2131</v>
      </c>
      <c r="F1824" s="10">
        <v>0</v>
      </c>
      <c r="G1824" s="10" t="s">
        <v>343</v>
      </c>
      <c r="H1824" s="10">
        <v>0</v>
      </c>
      <c r="I1824" s="10" t="s">
        <v>343</v>
      </c>
      <c r="J1824" s="11">
        <v>36094</v>
      </c>
      <c r="K1824" s="11">
        <v>37438</v>
      </c>
      <c r="L1824" s="11">
        <v>73532</v>
      </c>
      <c r="M1824" s="11">
        <v>27265</v>
      </c>
    </row>
    <row r="1825" spans="1:13" x14ac:dyDescent="0.3">
      <c r="A1825" s="10">
        <v>6712</v>
      </c>
      <c r="B1825" s="10">
        <v>65</v>
      </c>
      <c r="C1825" s="10" t="s">
        <v>2127</v>
      </c>
      <c r="D1825" s="10">
        <v>6505</v>
      </c>
      <c r="E1825" s="10" t="s">
        <v>2132</v>
      </c>
      <c r="F1825" s="10">
        <v>0</v>
      </c>
      <c r="G1825" s="10" t="s">
        <v>343</v>
      </c>
      <c r="H1825" s="10">
        <v>0</v>
      </c>
      <c r="I1825" s="10" t="s">
        <v>343</v>
      </c>
      <c r="J1825" s="11">
        <v>15503</v>
      </c>
      <c r="K1825" s="11">
        <v>16434</v>
      </c>
      <c r="L1825" s="11">
        <v>31937</v>
      </c>
      <c r="M1825" s="11">
        <v>12352</v>
      </c>
    </row>
    <row r="1826" spans="1:13" x14ac:dyDescent="0.3">
      <c r="A1826" s="10">
        <v>6712</v>
      </c>
      <c r="B1826" s="10">
        <v>65</v>
      </c>
      <c r="C1826" s="10" t="s">
        <v>2127</v>
      </c>
      <c r="D1826" s="10">
        <v>6506</v>
      </c>
      <c r="E1826" s="10" t="s">
        <v>2133</v>
      </c>
      <c r="F1826" s="10">
        <v>0</v>
      </c>
      <c r="G1826" s="10" t="s">
        <v>343</v>
      </c>
      <c r="H1826" s="10">
        <v>0</v>
      </c>
      <c r="I1826" s="10" t="s">
        <v>343</v>
      </c>
      <c r="J1826" s="11">
        <v>38585</v>
      </c>
      <c r="K1826" s="11">
        <v>40733</v>
      </c>
      <c r="L1826" s="11">
        <v>79318</v>
      </c>
      <c r="M1826" s="11">
        <v>31721</v>
      </c>
    </row>
    <row r="1827" spans="1:13" x14ac:dyDescent="0.3">
      <c r="A1827" s="10">
        <v>6712</v>
      </c>
      <c r="B1827" s="10">
        <v>65</v>
      </c>
      <c r="C1827" s="10" t="s">
        <v>2127</v>
      </c>
      <c r="D1827" s="10">
        <v>6507</v>
      </c>
      <c r="E1827" s="10" t="s">
        <v>2134</v>
      </c>
      <c r="F1827" s="10">
        <v>0</v>
      </c>
      <c r="G1827" s="10" t="s">
        <v>343</v>
      </c>
      <c r="H1827" s="10">
        <v>0</v>
      </c>
      <c r="I1827" s="10" t="s">
        <v>343</v>
      </c>
      <c r="J1827" s="11">
        <v>14342</v>
      </c>
      <c r="K1827" s="11">
        <v>14685</v>
      </c>
      <c r="L1827" s="11">
        <v>29027</v>
      </c>
      <c r="M1827" s="11">
        <v>11675</v>
      </c>
    </row>
    <row r="1828" spans="1:13" x14ac:dyDescent="0.3">
      <c r="A1828" s="10">
        <v>6712</v>
      </c>
      <c r="B1828" s="10">
        <v>65</v>
      </c>
      <c r="C1828" s="10" t="s">
        <v>2127</v>
      </c>
      <c r="D1828" s="10">
        <v>6508</v>
      </c>
      <c r="E1828" s="10" t="s">
        <v>2135</v>
      </c>
      <c r="F1828" s="10">
        <v>0</v>
      </c>
      <c r="G1828" s="10" t="s">
        <v>343</v>
      </c>
      <c r="H1828" s="10">
        <v>0</v>
      </c>
      <c r="I1828" s="10" t="s">
        <v>343</v>
      </c>
      <c r="J1828" s="11">
        <v>55920</v>
      </c>
      <c r="K1828" s="11">
        <v>57530</v>
      </c>
      <c r="L1828" s="11">
        <v>113450</v>
      </c>
      <c r="M1828" s="11">
        <v>45986</v>
      </c>
    </row>
    <row r="1829" spans="1:13" x14ac:dyDescent="0.3">
      <c r="A1829" s="10">
        <v>6712</v>
      </c>
      <c r="B1829" s="10">
        <v>65</v>
      </c>
      <c r="C1829" s="10" t="s">
        <v>2127</v>
      </c>
      <c r="D1829" s="10">
        <v>6509</v>
      </c>
      <c r="E1829" s="10" t="s">
        <v>2136</v>
      </c>
      <c r="F1829" s="10">
        <v>0</v>
      </c>
      <c r="G1829" s="10" t="s">
        <v>343</v>
      </c>
      <c r="H1829" s="10">
        <v>0</v>
      </c>
      <c r="I1829" s="10" t="s">
        <v>343</v>
      </c>
      <c r="J1829" s="11">
        <v>18860</v>
      </c>
      <c r="K1829" s="11">
        <v>19082</v>
      </c>
      <c r="L1829" s="11">
        <v>37942</v>
      </c>
      <c r="M1829" s="11">
        <v>15431</v>
      </c>
    </row>
    <row r="1830" spans="1:13" x14ac:dyDescent="0.3">
      <c r="A1830" s="10">
        <v>6712</v>
      </c>
      <c r="B1830" s="10">
        <v>65</v>
      </c>
      <c r="C1830" s="10" t="s">
        <v>2127</v>
      </c>
      <c r="D1830" s="10">
        <v>6580</v>
      </c>
      <c r="E1830" s="10" t="s">
        <v>2137</v>
      </c>
      <c r="F1830" s="10">
        <v>0</v>
      </c>
      <c r="G1830" s="10" t="s">
        <v>343</v>
      </c>
      <c r="H1830" s="10">
        <v>0</v>
      </c>
      <c r="I1830" s="10" t="s">
        <v>343</v>
      </c>
      <c r="J1830" s="11">
        <v>15918</v>
      </c>
      <c r="K1830" s="11">
        <v>13364</v>
      </c>
      <c r="L1830" s="11">
        <v>29282</v>
      </c>
      <c r="M1830" s="11">
        <v>14707</v>
      </c>
    </row>
    <row r="1831" spans="1:13" x14ac:dyDescent="0.3">
      <c r="A1831" s="10">
        <v>6712</v>
      </c>
      <c r="B1831" s="10">
        <v>65</v>
      </c>
      <c r="C1831" s="10" t="s">
        <v>2127</v>
      </c>
      <c r="D1831" s="10">
        <v>6581</v>
      </c>
      <c r="E1831" s="10" t="s">
        <v>2138</v>
      </c>
      <c r="F1831" s="10">
        <v>0</v>
      </c>
      <c r="G1831" s="10" t="s">
        <v>343</v>
      </c>
      <c r="H1831" s="10">
        <v>0</v>
      </c>
      <c r="I1831" s="10" t="s">
        <v>343</v>
      </c>
      <c r="J1831" s="11">
        <v>3395</v>
      </c>
      <c r="K1831" s="11">
        <v>3447</v>
      </c>
      <c r="L1831" s="11">
        <v>6842</v>
      </c>
      <c r="M1831" s="11">
        <v>2773</v>
      </c>
    </row>
    <row r="1832" spans="1:13" x14ac:dyDescent="0.3">
      <c r="A1832" s="10">
        <v>6712</v>
      </c>
      <c r="B1832" s="10">
        <v>65</v>
      </c>
      <c r="C1832" s="10" t="s">
        <v>2127</v>
      </c>
      <c r="D1832" s="10">
        <v>6582</v>
      </c>
      <c r="E1832" s="10" t="s">
        <v>2139</v>
      </c>
      <c r="F1832" s="10">
        <v>0</v>
      </c>
      <c r="G1832" s="10" t="s">
        <v>343</v>
      </c>
      <c r="H1832" s="10">
        <v>0</v>
      </c>
      <c r="I1832" s="10" t="s">
        <v>343</v>
      </c>
      <c r="J1832" s="11">
        <v>2115</v>
      </c>
      <c r="K1832" s="11">
        <v>2259</v>
      </c>
      <c r="L1832" s="11">
        <v>4374</v>
      </c>
      <c r="M1832" s="11">
        <v>1733</v>
      </c>
    </row>
    <row r="1833" spans="1:13" x14ac:dyDescent="0.3">
      <c r="A1833" s="10">
        <v>6712</v>
      </c>
      <c r="B1833" s="10">
        <v>65</v>
      </c>
      <c r="C1833" s="10" t="s">
        <v>2127</v>
      </c>
      <c r="D1833" s="10">
        <v>6583</v>
      </c>
      <c r="E1833" s="10" t="s">
        <v>2140</v>
      </c>
      <c r="F1833" s="10">
        <v>0</v>
      </c>
      <c r="G1833" s="10" t="s">
        <v>343</v>
      </c>
      <c r="H1833" s="10">
        <v>0</v>
      </c>
      <c r="I1833" s="10" t="s">
        <v>343</v>
      </c>
      <c r="J1833" s="11">
        <v>3796</v>
      </c>
      <c r="K1833" s="11">
        <v>4276</v>
      </c>
      <c r="L1833" s="11">
        <v>8072</v>
      </c>
      <c r="M1833" s="11">
        <v>4608</v>
      </c>
    </row>
    <row r="1834" spans="1:13" x14ac:dyDescent="0.3">
      <c r="A1834" s="10">
        <v>6712</v>
      </c>
      <c r="B1834" s="10">
        <v>65</v>
      </c>
      <c r="C1834" s="10" t="s">
        <v>2127</v>
      </c>
      <c r="D1834" s="10">
        <v>6584</v>
      </c>
      <c r="E1834" s="10" t="s">
        <v>2141</v>
      </c>
      <c r="F1834" s="10">
        <v>0</v>
      </c>
      <c r="G1834" s="10" t="s">
        <v>343</v>
      </c>
      <c r="H1834" s="10">
        <v>0</v>
      </c>
      <c r="I1834" s="10" t="s">
        <v>343</v>
      </c>
      <c r="J1834" s="11">
        <v>2955</v>
      </c>
      <c r="K1834" s="11">
        <v>3023</v>
      </c>
      <c r="L1834" s="11">
        <v>5978</v>
      </c>
      <c r="M1834" s="11">
        <v>2159</v>
      </c>
    </row>
    <row r="1835" spans="1:13" x14ac:dyDescent="0.3">
      <c r="A1835" s="10">
        <v>6712</v>
      </c>
      <c r="B1835" s="10">
        <v>65</v>
      </c>
      <c r="C1835" s="10" t="s">
        <v>2127</v>
      </c>
      <c r="D1835" s="10">
        <v>6585</v>
      </c>
      <c r="E1835" s="10" t="s">
        <v>2142</v>
      </c>
      <c r="F1835" s="10">
        <v>0</v>
      </c>
      <c r="G1835" s="10" t="s">
        <v>343</v>
      </c>
      <c r="H1835" s="10">
        <v>0</v>
      </c>
      <c r="I1835" s="10" t="s">
        <v>343</v>
      </c>
      <c r="J1835" s="11">
        <v>4089</v>
      </c>
      <c r="K1835" s="11">
        <v>4213</v>
      </c>
      <c r="L1835" s="11">
        <v>8302</v>
      </c>
      <c r="M1835" s="11">
        <v>3282</v>
      </c>
    </row>
    <row r="1836" spans="1:13" x14ac:dyDescent="0.3">
      <c r="A1836" s="10">
        <v>6712</v>
      </c>
      <c r="B1836" s="10">
        <v>65</v>
      </c>
      <c r="C1836" s="10" t="s">
        <v>2127</v>
      </c>
      <c r="D1836" s="10">
        <v>6586</v>
      </c>
      <c r="E1836" s="10" t="s">
        <v>2143</v>
      </c>
      <c r="F1836" s="10">
        <v>0</v>
      </c>
      <c r="G1836" s="10" t="s">
        <v>343</v>
      </c>
      <c r="H1836" s="10">
        <v>0</v>
      </c>
      <c r="I1836" s="10" t="s">
        <v>343</v>
      </c>
      <c r="J1836" s="11">
        <v>5130</v>
      </c>
      <c r="K1836" s="11">
        <v>5002</v>
      </c>
      <c r="L1836" s="11">
        <v>10132</v>
      </c>
      <c r="M1836" s="11">
        <v>4971</v>
      </c>
    </row>
    <row r="1837" spans="1:13" x14ac:dyDescent="0.3">
      <c r="A1837" s="10">
        <v>6712</v>
      </c>
      <c r="B1837" s="10">
        <v>65</v>
      </c>
      <c r="C1837" s="10" t="s">
        <v>2127</v>
      </c>
      <c r="D1837" s="10">
        <v>6587</v>
      </c>
      <c r="E1837" s="10" t="s">
        <v>2144</v>
      </c>
      <c r="F1837" s="10">
        <v>0</v>
      </c>
      <c r="G1837" s="10" t="s">
        <v>343</v>
      </c>
      <c r="H1837" s="10">
        <v>0</v>
      </c>
      <c r="I1837" s="10" t="s">
        <v>343</v>
      </c>
      <c r="J1837" s="11">
        <v>1620</v>
      </c>
      <c r="K1837" s="11">
        <v>1778</v>
      </c>
      <c r="L1837" s="11">
        <v>3398</v>
      </c>
      <c r="M1837" s="11">
        <v>1704</v>
      </c>
    </row>
    <row r="1838" spans="1:13" x14ac:dyDescent="0.3">
      <c r="A1838" s="10">
        <v>6712</v>
      </c>
      <c r="B1838" s="10">
        <v>65</v>
      </c>
      <c r="C1838" s="10" t="s">
        <v>2127</v>
      </c>
      <c r="D1838" s="10">
        <v>6588</v>
      </c>
      <c r="E1838" s="10" t="s">
        <v>2145</v>
      </c>
      <c r="F1838" s="10">
        <v>0</v>
      </c>
      <c r="G1838" s="10" t="s">
        <v>343</v>
      </c>
      <c r="H1838" s="10">
        <v>0</v>
      </c>
      <c r="I1838" s="10" t="s">
        <v>343</v>
      </c>
      <c r="J1838" s="11">
        <v>1852</v>
      </c>
      <c r="K1838" s="11">
        <v>2139</v>
      </c>
      <c r="L1838" s="11">
        <v>3991</v>
      </c>
      <c r="M1838" s="11">
        <v>1751</v>
      </c>
    </row>
    <row r="1839" spans="1:13" x14ac:dyDescent="0.3">
      <c r="A1839" s="10">
        <v>6712</v>
      </c>
      <c r="B1839" s="10">
        <v>65</v>
      </c>
      <c r="C1839" s="10" t="s">
        <v>2127</v>
      </c>
      <c r="D1839" s="10">
        <v>6589</v>
      </c>
      <c r="E1839" s="10" t="s">
        <v>2146</v>
      </c>
      <c r="F1839" s="10">
        <v>0</v>
      </c>
      <c r="G1839" s="10" t="s">
        <v>343</v>
      </c>
      <c r="H1839" s="10">
        <v>0</v>
      </c>
      <c r="I1839" s="10" t="s">
        <v>343</v>
      </c>
      <c r="J1839" s="11">
        <v>3688</v>
      </c>
      <c r="K1839" s="11">
        <v>4138</v>
      </c>
      <c r="L1839" s="11">
        <v>7826</v>
      </c>
      <c r="M1839" s="11">
        <v>4216</v>
      </c>
    </row>
    <row r="1840" spans="1:13" x14ac:dyDescent="0.3">
      <c r="A1840" s="10">
        <v>6712</v>
      </c>
      <c r="B1840" s="10">
        <v>65</v>
      </c>
      <c r="C1840" s="10" t="s">
        <v>2127</v>
      </c>
      <c r="D1840" s="10">
        <v>6590</v>
      </c>
      <c r="E1840" s="10" t="s">
        <v>2147</v>
      </c>
      <c r="F1840" s="10">
        <v>0</v>
      </c>
      <c r="G1840" s="10" t="s">
        <v>343</v>
      </c>
      <c r="H1840" s="10">
        <v>0</v>
      </c>
      <c r="I1840" s="10" t="s">
        <v>343</v>
      </c>
      <c r="J1840" s="11">
        <v>1472</v>
      </c>
      <c r="K1840" s="11">
        <v>1534</v>
      </c>
      <c r="L1840" s="11">
        <v>3006</v>
      </c>
      <c r="M1840" s="11">
        <v>1600</v>
      </c>
    </row>
    <row r="1841" spans="1:13" x14ac:dyDescent="0.3">
      <c r="A1841" s="10">
        <v>6712</v>
      </c>
      <c r="B1841" s="10">
        <v>65</v>
      </c>
      <c r="C1841" s="10" t="s">
        <v>2127</v>
      </c>
      <c r="D1841" s="10">
        <v>6591</v>
      </c>
      <c r="E1841" s="10" t="s">
        <v>2148</v>
      </c>
      <c r="F1841" s="10">
        <v>0</v>
      </c>
      <c r="G1841" s="10" t="s">
        <v>343</v>
      </c>
      <c r="H1841" s="10">
        <v>0</v>
      </c>
      <c r="I1841" s="10" t="s">
        <v>343</v>
      </c>
      <c r="J1841" s="10">
        <v>500</v>
      </c>
      <c r="K1841" s="10">
        <v>603</v>
      </c>
      <c r="L1841" s="11">
        <v>1103</v>
      </c>
      <c r="M1841" s="10">
        <v>556</v>
      </c>
    </row>
    <row r="1842" spans="1:13" x14ac:dyDescent="0.3">
      <c r="A1842" s="10">
        <v>6712</v>
      </c>
      <c r="B1842" s="10">
        <v>65</v>
      </c>
      <c r="C1842" s="10" t="s">
        <v>2127</v>
      </c>
      <c r="D1842" s="10">
        <v>6592</v>
      </c>
      <c r="E1842" s="10" t="s">
        <v>2149</v>
      </c>
      <c r="F1842" s="10">
        <v>0</v>
      </c>
      <c r="G1842" s="10" t="s">
        <v>343</v>
      </c>
      <c r="H1842" s="10">
        <v>0</v>
      </c>
      <c r="I1842" s="10" t="s">
        <v>343</v>
      </c>
      <c r="J1842" s="10">
        <v>747</v>
      </c>
      <c r="K1842" s="10">
        <v>770</v>
      </c>
      <c r="L1842" s="11">
        <v>1517</v>
      </c>
      <c r="M1842" s="10">
        <v>625</v>
      </c>
    </row>
    <row r="1843" spans="1:13" x14ac:dyDescent="0.3">
      <c r="A1843" s="10">
        <v>6712</v>
      </c>
      <c r="B1843" s="10">
        <v>65</v>
      </c>
      <c r="C1843" s="10" t="s">
        <v>2127</v>
      </c>
      <c r="D1843" s="10">
        <v>6593</v>
      </c>
      <c r="E1843" s="10" t="s">
        <v>2150</v>
      </c>
      <c r="F1843" s="10">
        <v>0</v>
      </c>
      <c r="G1843" s="10" t="s">
        <v>343</v>
      </c>
      <c r="H1843" s="10">
        <v>0</v>
      </c>
      <c r="I1843" s="10" t="s">
        <v>343</v>
      </c>
      <c r="J1843" s="11">
        <v>5591</v>
      </c>
      <c r="K1843" s="11">
        <v>5878</v>
      </c>
      <c r="L1843" s="11">
        <v>11469</v>
      </c>
      <c r="M1843" s="11">
        <v>4699</v>
      </c>
    </row>
    <row r="1844" spans="1:13" x14ac:dyDescent="0.3">
      <c r="A1844" s="10">
        <v>6712</v>
      </c>
      <c r="B1844" s="10">
        <v>65</v>
      </c>
      <c r="C1844" s="10" t="s">
        <v>2127</v>
      </c>
      <c r="D1844" s="10">
        <v>6594</v>
      </c>
      <c r="E1844" s="10" t="s">
        <v>2151</v>
      </c>
      <c r="F1844" s="10">
        <v>0</v>
      </c>
      <c r="G1844" s="10" t="s">
        <v>343</v>
      </c>
      <c r="H1844" s="10">
        <v>0</v>
      </c>
      <c r="I1844" s="10" t="s">
        <v>343</v>
      </c>
      <c r="J1844" s="11">
        <v>1653</v>
      </c>
      <c r="K1844" s="11">
        <v>1813</v>
      </c>
      <c r="L1844" s="11">
        <v>3466</v>
      </c>
      <c r="M1844" s="11">
        <v>1361</v>
      </c>
    </row>
    <row r="1845" spans="1:13" x14ac:dyDescent="0.3">
      <c r="A1845" s="10">
        <v>6712</v>
      </c>
      <c r="B1845" s="10">
        <v>65</v>
      </c>
      <c r="C1845" s="10" t="s">
        <v>2127</v>
      </c>
      <c r="D1845" s="10">
        <v>6595</v>
      </c>
      <c r="E1845" s="10" t="s">
        <v>2152</v>
      </c>
      <c r="F1845" s="10">
        <v>0</v>
      </c>
      <c r="G1845" s="10" t="s">
        <v>343</v>
      </c>
      <c r="H1845" s="10">
        <v>0</v>
      </c>
      <c r="I1845" s="10" t="s">
        <v>343</v>
      </c>
      <c r="J1845" s="11">
        <v>1891</v>
      </c>
      <c r="K1845" s="11">
        <v>2117</v>
      </c>
      <c r="L1845" s="11">
        <v>4008</v>
      </c>
      <c r="M1845" s="11">
        <v>2041</v>
      </c>
    </row>
    <row r="1846" spans="1:13" x14ac:dyDescent="0.3">
      <c r="A1846" s="10">
        <v>6712</v>
      </c>
      <c r="B1846" s="10">
        <v>65</v>
      </c>
      <c r="C1846" s="10" t="s">
        <v>2127</v>
      </c>
      <c r="D1846" s="10">
        <v>6596</v>
      </c>
      <c r="E1846" s="10" t="s">
        <v>2153</v>
      </c>
      <c r="F1846" s="10">
        <v>0</v>
      </c>
      <c r="G1846" s="10" t="s">
        <v>343</v>
      </c>
      <c r="H1846" s="10">
        <v>0</v>
      </c>
      <c r="I1846" s="10" t="s">
        <v>343</v>
      </c>
      <c r="J1846" s="11">
        <v>2546</v>
      </c>
      <c r="K1846" s="11">
        <v>2712</v>
      </c>
      <c r="L1846" s="11">
        <v>5258</v>
      </c>
      <c r="M1846" s="11">
        <v>2690</v>
      </c>
    </row>
    <row r="1847" spans="1:13" x14ac:dyDescent="0.3">
      <c r="A1847" s="10">
        <v>6712</v>
      </c>
      <c r="B1847" s="10">
        <v>65</v>
      </c>
      <c r="C1847" s="10" t="s">
        <v>2127</v>
      </c>
      <c r="D1847" s="10">
        <v>6597</v>
      </c>
      <c r="E1847" s="10" t="s">
        <v>2154</v>
      </c>
      <c r="F1847" s="10">
        <v>0</v>
      </c>
      <c r="G1847" s="10" t="s">
        <v>343</v>
      </c>
      <c r="H1847" s="10">
        <v>0</v>
      </c>
      <c r="I1847" s="10" t="s">
        <v>343</v>
      </c>
      <c r="J1847" s="11">
        <v>4195</v>
      </c>
      <c r="K1847" s="11">
        <v>4501</v>
      </c>
      <c r="L1847" s="11">
        <v>8696</v>
      </c>
      <c r="M1847" s="11">
        <v>4202</v>
      </c>
    </row>
    <row r="1848" spans="1:13" x14ac:dyDescent="0.3">
      <c r="A1848" s="10">
        <v>6712</v>
      </c>
      <c r="B1848" s="10">
        <v>65</v>
      </c>
      <c r="C1848" s="10" t="s">
        <v>2127</v>
      </c>
      <c r="D1848" s="10">
        <v>6598</v>
      </c>
      <c r="E1848" s="10" t="s">
        <v>1806</v>
      </c>
      <c r="F1848" s="10">
        <v>0</v>
      </c>
      <c r="G1848" s="10" t="s">
        <v>343</v>
      </c>
      <c r="H1848" s="10">
        <v>0</v>
      </c>
      <c r="I1848" s="10" t="s">
        <v>343</v>
      </c>
      <c r="J1848" s="10">
        <v>894</v>
      </c>
      <c r="K1848" s="10">
        <v>990</v>
      </c>
      <c r="L1848" s="11">
        <v>1884</v>
      </c>
      <c r="M1848" s="10">
        <v>827</v>
      </c>
    </row>
    <row r="1849" spans="1:13" x14ac:dyDescent="0.3">
      <c r="A1849" s="10">
        <v>6712</v>
      </c>
      <c r="B1849" s="10">
        <v>65</v>
      </c>
      <c r="C1849" s="10" t="s">
        <v>2127</v>
      </c>
      <c r="D1849" s="10">
        <v>6599</v>
      </c>
      <c r="E1849" s="10" t="s">
        <v>2155</v>
      </c>
      <c r="F1849" s="10">
        <v>0</v>
      </c>
      <c r="G1849" s="10" t="s">
        <v>343</v>
      </c>
      <c r="H1849" s="10">
        <v>0</v>
      </c>
      <c r="I1849" s="10" t="s">
        <v>343</v>
      </c>
      <c r="J1849" s="11">
        <v>27395</v>
      </c>
      <c r="K1849" s="11">
        <v>33432</v>
      </c>
      <c r="L1849" s="11">
        <v>60827</v>
      </c>
      <c r="M1849" s="11">
        <v>37942</v>
      </c>
    </row>
    <row r="1850" spans="1:13" x14ac:dyDescent="0.3">
      <c r="A1850" s="10">
        <v>6712</v>
      </c>
      <c r="B1850" s="10">
        <v>66</v>
      </c>
      <c r="C1850" s="10" t="s">
        <v>2156</v>
      </c>
      <c r="D1850" s="10">
        <v>0</v>
      </c>
      <c r="E1850" s="10" t="s">
        <v>343</v>
      </c>
      <c r="F1850" s="10">
        <v>0</v>
      </c>
      <c r="G1850" s="10" t="s">
        <v>343</v>
      </c>
      <c r="H1850" s="10">
        <v>0</v>
      </c>
      <c r="I1850" s="10" t="s">
        <v>343</v>
      </c>
      <c r="J1850" s="11">
        <v>251787</v>
      </c>
      <c r="K1850" s="11">
        <v>265521</v>
      </c>
      <c r="L1850" s="11">
        <v>517308</v>
      </c>
      <c r="M1850" s="11">
        <v>206966</v>
      </c>
    </row>
    <row r="1851" spans="1:13" x14ac:dyDescent="0.3">
      <c r="A1851" s="10">
        <v>6712</v>
      </c>
      <c r="B1851" s="10">
        <v>66</v>
      </c>
      <c r="C1851" s="10" t="s">
        <v>2156</v>
      </c>
      <c r="D1851" s="10">
        <v>6601</v>
      </c>
      <c r="E1851" s="10" t="s">
        <v>2157</v>
      </c>
      <c r="F1851" s="10">
        <v>0</v>
      </c>
      <c r="G1851" s="10" t="s">
        <v>343</v>
      </c>
      <c r="H1851" s="10">
        <v>0</v>
      </c>
      <c r="I1851" s="10" t="s">
        <v>343</v>
      </c>
      <c r="J1851" s="11">
        <v>34873</v>
      </c>
      <c r="K1851" s="11">
        <v>37236</v>
      </c>
      <c r="L1851" s="11">
        <v>72109</v>
      </c>
      <c r="M1851" s="11">
        <v>27851</v>
      </c>
    </row>
    <row r="1852" spans="1:13" x14ac:dyDescent="0.3">
      <c r="A1852" s="10">
        <v>6712</v>
      </c>
      <c r="B1852" s="10">
        <v>66</v>
      </c>
      <c r="C1852" s="10" t="s">
        <v>2156</v>
      </c>
      <c r="D1852" s="10">
        <v>6602</v>
      </c>
      <c r="E1852" s="10" t="s">
        <v>2158</v>
      </c>
      <c r="F1852" s="10">
        <v>0</v>
      </c>
      <c r="G1852" s="10" t="s">
        <v>343</v>
      </c>
      <c r="H1852" s="10">
        <v>0</v>
      </c>
      <c r="I1852" s="10" t="s">
        <v>343</v>
      </c>
      <c r="J1852" s="11">
        <v>8362</v>
      </c>
      <c r="K1852" s="11">
        <v>8635</v>
      </c>
      <c r="L1852" s="11">
        <v>16997</v>
      </c>
      <c r="M1852" s="11">
        <v>6110</v>
      </c>
    </row>
    <row r="1853" spans="1:13" x14ac:dyDescent="0.3">
      <c r="A1853" s="10">
        <v>6712</v>
      </c>
      <c r="B1853" s="10">
        <v>66</v>
      </c>
      <c r="C1853" s="10" t="s">
        <v>2156</v>
      </c>
      <c r="D1853" s="10">
        <v>6603</v>
      </c>
      <c r="E1853" s="10" t="s">
        <v>2159</v>
      </c>
      <c r="F1853" s="10">
        <v>0</v>
      </c>
      <c r="G1853" s="10" t="s">
        <v>343</v>
      </c>
      <c r="H1853" s="10">
        <v>0</v>
      </c>
      <c r="I1853" s="10" t="s">
        <v>343</v>
      </c>
      <c r="J1853" s="11">
        <v>16603</v>
      </c>
      <c r="K1853" s="11">
        <v>17065</v>
      </c>
      <c r="L1853" s="11">
        <v>33668</v>
      </c>
      <c r="M1853" s="11">
        <v>12035</v>
      </c>
    </row>
    <row r="1854" spans="1:13" x14ac:dyDescent="0.3">
      <c r="A1854" s="10">
        <v>6712</v>
      </c>
      <c r="B1854" s="10">
        <v>66</v>
      </c>
      <c r="C1854" s="10" t="s">
        <v>2156</v>
      </c>
      <c r="D1854" s="10">
        <v>6604</v>
      </c>
      <c r="E1854" s="10" t="s">
        <v>2160</v>
      </c>
      <c r="F1854" s="10">
        <v>0</v>
      </c>
      <c r="G1854" s="10" t="s">
        <v>343</v>
      </c>
      <c r="H1854" s="10">
        <v>0</v>
      </c>
      <c r="I1854" s="10" t="s">
        <v>343</v>
      </c>
      <c r="J1854" s="11">
        <v>21200</v>
      </c>
      <c r="K1854" s="11">
        <v>22435</v>
      </c>
      <c r="L1854" s="11">
        <v>43635</v>
      </c>
      <c r="M1854" s="11">
        <v>16534</v>
      </c>
    </row>
    <row r="1855" spans="1:13" x14ac:dyDescent="0.3">
      <c r="A1855" s="10">
        <v>6712</v>
      </c>
      <c r="B1855" s="10">
        <v>66</v>
      </c>
      <c r="C1855" s="10" t="s">
        <v>2156</v>
      </c>
      <c r="D1855" s="10">
        <v>6605</v>
      </c>
      <c r="E1855" s="10" t="s">
        <v>2161</v>
      </c>
      <c r="F1855" s="10">
        <v>0</v>
      </c>
      <c r="G1855" s="10" t="s">
        <v>343</v>
      </c>
      <c r="H1855" s="10">
        <v>0</v>
      </c>
      <c r="I1855" s="10" t="s">
        <v>343</v>
      </c>
      <c r="J1855" s="11">
        <v>9561</v>
      </c>
      <c r="K1855" s="11">
        <v>10267</v>
      </c>
      <c r="L1855" s="11">
        <v>19828</v>
      </c>
      <c r="M1855" s="11">
        <v>8198</v>
      </c>
    </row>
    <row r="1856" spans="1:13" x14ac:dyDescent="0.3">
      <c r="A1856" s="10">
        <v>6712</v>
      </c>
      <c r="B1856" s="10">
        <v>66</v>
      </c>
      <c r="C1856" s="10" t="s">
        <v>2156</v>
      </c>
      <c r="D1856" s="10">
        <v>6606</v>
      </c>
      <c r="E1856" s="10" t="s">
        <v>2162</v>
      </c>
      <c r="F1856" s="10">
        <v>0</v>
      </c>
      <c r="G1856" s="10" t="s">
        <v>343</v>
      </c>
      <c r="H1856" s="10">
        <v>0</v>
      </c>
      <c r="I1856" s="10" t="s">
        <v>343</v>
      </c>
      <c r="J1856" s="11">
        <v>26120</v>
      </c>
      <c r="K1856" s="11">
        <v>27296</v>
      </c>
      <c r="L1856" s="11">
        <v>53416</v>
      </c>
      <c r="M1856" s="11">
        <v>19461</v>
      </c>
    </row>
    <row r="1857" spans="1:13" x14ac:dyDescent="0.3">
      <c r="A1857" s="10">
        <v>6712</v>
      </c>
      <c r="B1857" s="10">
        <v>66</v>
      </c>
      <c r="C1857" s="10" t="s">
        <v>2156</v>
      </c>
      <c r="D1857" s="10">
        <v>6607</v>
      </c>
      <c r="E1857" s="10" t="s">
        <v>2163</v>
      </c>
      <c r="F1857" s="10">
        <v>0</v>
      </c>
      <c r="G1857" s="10" t="s">
        <v>343</v>
      </c>
      <c r="H1857" s="10">
        <v>0</v>
      </c>
      <c r="I1857" s="10" t="s">
        <v>343</v>
      </c>
      <c r="J1857" s="11">
        <v>12436</v>
      </c>
      <c r="K1857" s="11">
        <v>12757</v>
      </c>
      <c r="L1857" s="11">
        <v>25193</v>
      </c>
      <c r="M1857" s="11">
        <v>9050</v>
      </c>
    </row>
    <row r="1858" spans="1:13" x14ac:dyDescent="0.3">
      <c r="A1858" s="10">
        <v>6712</v>
      </c>
      <c r="B1858" s="10">
        <v>66</v>
      </c>
      <c r="C1858" s="10" t="s">
        <v>2156</v>
      </c>
      <c r="D1858" s="10">
        <v>6608</v>
      </c>
      <c r="E1858" s="10" t="s">
        <v>2164</v>
      </c>
      <c r="F1858" s="10">
        <v>0</v>
      </c>
      <c r="G1858" s="10" t="s">
        <v>343</v>
      </c>
      <c r="H1858" s="10">
        <v>0</v>
      </c>
      <c r="I1858" s="10" t="s">
        <v>343</v>
      </c>
      <c r="J1858" s="11">
        <v>16149</v>
      </c>
      <c r="K1858" s="11">
        <v>16770</v>
      </c>
      <c r="L1858" s="11">
        <v>32919</v>
      </c>
      <c r="M1858" s="11">
        <v>13175</v>
      </c>
    </row>
    <row r="1859" spans="1:13" x14ac:dyDescent="0.3">
      <c r="A1859" s="10">
        <v>6712</v>
      </c>
      <c r="B1859" s="10">
        <v>66</v>
      </c>
      <c r="C1859" s="10" t="s">
        <v>2156</v>
      </c>
      <c r="D1859" s="10">
        <v>6609</v>
      </c>
      <c r="E1859" s="10" t="s">
        <v>2165</v>
      </c>
      <c r="F1859" s="10">
        <v>0</v>
      </c>
      <c r="G1859" s="10" t="s">
        <v>343</v>
      </c>
      <c r="H1859" s="10">
        <v>0</v>
      </c>
      <c r="I1859" s="10" t="s">
        <v>343</v>
      </c>
      <c r="J1859" s="11">
        <v>8724</v>
      </c>
      <c r="K1859" s="11">
        <v>8850</v>
      </c>
      <c r="L1859" s="11">
        <v>17574</v>
      </c>
      <c r="M1859" s="11">
        <v>6349</v>
      </c>
    </row>
    <row r="1860" spans="1:13" x14ac:dyDescent="0.3">
      <c r="A1860" s="10">
        <v>6712</v>
      </c>
      <c r="B1860" s="10">
        <v>66</v>
      </c>
      <c r="C1860" s="10" t="s">
        <v>2156</v>
      </c>
      <c r="D1860" s="10">
        <v>6610</v>
      </c>
      <c r="E1860" s="10" t="s">
        <v>2166</v>
      </c>
      <c r="F1860" s="10">
        <v>0</v>
      </c>
      <c r="G1860" s="10" t="s">
        <v>343</v>
      </c>
      <c r="H1860" s="10">
        <v>0</v>
      </c>
      <c r="I1860" s="10" t="s">
        <v>343</v>
      </c>
      <c r="J1860" s="11">
        <v>13972</v>
      </c>
      <c r="K1860" s="11">
        <v>14588</v>
      </c>
      <c r="L1860" s="11">
        <v>28560</v>
      </c>
      <c r="M1860" s="11">
        <v>11128</v>
      </c>
    </row>
    <row r="1861" spans="1:13" x14ac:dyDescent="0.3">
      <c r="A1861" s="10">
        <v>6712</v>
      </c>
      <c r="B1861" s="10">
        <v>66</v>
      </c>
      <c r="C1861" s="10" t="s">
        <v>2156</v>
      </c>
      <c r="D1861" s="10">
        <v>6611</v>
      </c>
      <c r="E1861" s="10" t="s">
        <v>2167</v>
      </c>
      <c r="F1861" s="10">
        <v>0</v>
      </c>
      <c r="G1861" s="10" t="s">
        <v>343</v>
      </c>
      <c r="H1861" s="10">
        <v>0</v>
      </c>
      <c r="I1861" s="10" t="s">
        <v>343</v>
      </c>
      <c r="J1861" s="11">
        <v>8248</v>
      </c>
      <c r="K1861" s="11">
        <v>8524</v>
      </c>
      <c r="L1861" s="11">
        <v>16772</v>
      </c>
      <c r="M1861" s="11">
        <v>6604</v>
      </c>
    </row>
    <row r="1862" spans="1:13" x14ac:dyDescent="0.3">
      <c r="A1862" s="10">
        <v>6712</v>
      </c>
      <c r="B1862" s="10">
        <v>66</v>
      </c>
      <c r="C1862" s="10" t="s">
        <v>2156</v>
      </c>
      <c r="D1862" s="10">
        <v>6612</v>
      </c>
      <c r="E1862" s="10" t="s">
        <v>2168</v>
      </c>
      <c r="F1862" s="10">
        <v>0</v>
      </c>
      <c r="G1862" s="10" t="s">
        <v>343</v>
      </c>
      <c r="H1862" s="10">
        <v>0</v>
      </c>
      <c r="I1862" s="10" t="s">
        <v>343</v>
      </c>
      <c r="J1862" s="11">
        <v>15139</v>
      </c>
      <c r="K1862" s="11">
        <v>15524</v>
      </c>
      <c r="L1862" s="11">
        <v>30663</v>
      </c>
      <c r="M1862" s="11">
        <v>11520</v>
      </c>
    </row>
    <row r="1863" spans="1:13" x14ac:dyDescent="0.3">
      <c r="A1863" s="10">
        <v>6712</v>
      </c>
      <c r="B1863" s="10">
        <v>66</v>
      </c>
      <c r="C1863" s="10" t="s">
        <v>2156</v>
      </c>
      <c r="D1863" s="10">
        <v>6676</v>
      </c>
      <c r="E1863" s="10" t="s">
        <v>2169</v>
      </c>
      <c r="F1863" s="10">
        <v>0</v>
      </c>
      <c r="G1863" s="10" t="s">
        <v>343</v>
      </c>
      <c r="H1863" s="10">
        <v>0</v>
      </c>
      <c r="I1863" s="10" t="s">
        <v>343</v>
      </c>
      <c r="J1863" s="11">
        <v>3280</v>
      </c>
      <c r="K1863" s="11">
        <v>3442</v>
      </c>
      <c r="L1863" s="11">
        <v>6722</v>
      </c>
      <c r="M1863" s="11">
        <v>2419</v>
      </c>
    </row>
    <row r="1864" spans="1:13" x14ac:dyDescent="0.3">
      <c r="A1864" s="10">
        <v>6712</v>
      </c>
      <c r="B1864" s="10">
        <v>66</v>
      </c>
      <c r="C1864" s="10" t="s">
        <v>2156</v>
      </c>
      <c r="D1864" s="10">
        <v>6677</v>
      </c>
      <c r="E1864" s="10" t="s">
        <v>2170</v>
      </c>
      <c r="F1864" s="10">
        <v>0</v>
      </c>
      <c r="G1864" s="10" t="s">
        <v>343</v>
      </c>
      <c r="H1864" s="10">
        <v>0</v>
      </c>
      <c r="I1864" s="10" t="s">
        <v>343</v>
      </c>
      <c r="J1864" s="11">
        <v>1641</v>
      </c>
      <c r="K1864" s="11">
        <v>1694</v>
      </c>
      <c r="L1864" s="11">
        <v>3335</v>
      </c>
      <c r="M1864" s="11">
        <v>1192</v>
      </c>
    </row>
    <row r="1865" spans="1:13" x14ac:dyDescent="0.3">
      <c r="A1865" s="10">
        <v>6712</v>
      </c>
      <c r="B1865" s="10">
        <v>66</v>
      </c>
      <c r="C1865" s="10" t="s">
        <v>2156</v>
      </c>
      <c r="D1865" s="10">
        <v>6678</v>
      </c>
      <c r="E1865" s="10" t="s">
        <v>2171</v>
      </c>
      <c r="F1865" s="10">
        <v>0</v>
      </c>
      <c r="G1865" s="10" t="s">
        <v>343</v>
      </c>
      <c r="H1865" s="10">
        <v>0</v>
      </c>
      <c r="I1865" s="10" t="s">
        <v>343</v>
      </c>
      <c r="J1865" s="11">
        <v>3173</v>
      </c>
      <c r="K1865" s="11">
        <v>3486</v>
      </c>
      <c r="L1865" s="11">
        <v>6659</v>
      </c>
      <c r="M1865" s="11">
        <v>3145</v>
      </c>
    </row>
    <row r="1866" spans="1:13" x14ac:dyDescent="0.3">
      <c r="A1866" s="10">
        <v>6712</v>
      </c>
      <c r="B1866" s="10">
        <v>66</v>
      </c>
      <c r="C1866" s="10" t="s">
        <v>2156</v>
      </c>
      <c r="D1866" s="10">
        <v>6679</v>
      </c>
      <c r="E1866" s="10" t="s">
        <v>2172</v>
      </c>
      <c r="F1866" s="10">
        <v>0</v>
      </c>
      <c r="G1866" s="10" t="s">
        <v>343</v>
      </c>
      <c r="H1866" s="10">
        <v>0</v>
      </c>
      <c r="I1866" s="10" t="s">
        <v>343</v>
      </c>
      <c r="J1866" s="11">
        <v>2811</v>
      </c>
      <c r="K1866" s="11">
        <v>2991</v>
      </c>
      <c r="L1866" s="11">
        <v>5802</v>
      </c>
      <c r="M1866" s="11">
        <v>2787</v>
      </c>
    </row>
    <row r="1867" spans="1:13" x14ac:dyDescent="0.3">
      <c r="A1867" s="10">
        <v>6712</v>
      </c>
      <c r="B1867" s="10">
        <v>66</v>
      </c>
      <c r="C1867" s="10" t="s">
        <v>2156</v>
      </c>
      <c r="D1867" s="10">
        <v>6680</v>
      </c>
      <c r="E1867" s="10" t="s">
        <v>2173</v>
      </c>
      <c r="F1867" s="10">
        <v>0</v>
      </c>
      <c r="G1867" s="10" t="s">
        <v>343</v>
      </c>
      <c r="H1867" s="10">
        <v>0</v>
      </c>
      <c r="I1867" s="10" t="s">
        <v>343</v>
      </c>
      <c r="J1867" s="11">
        <v>2281</v>
      </c>
      <c r="K1867" s="11">
        <v>2372</v>
      </c>
      <c r="L1867" s="11">
        <v>4653</v>
      </c>
      <c r="M1867" s="11">
        <v>1656</v>
      </c>
    </row>
    <row r="1868" spans="1:13" x14ac:dyDescent="0.3">
      <c r="A1868" s="10">
        <v>6712</v>
      </c>
      <c r="B1868" s="10">
        <v>66</v>
      </c>
      <c r="C1868" s="10" t="s">
        <v>2156</v>
      </c>
      <c r="D1868" s="10">
        <v>6681</v>
      </c>
      <c r="E1868" s="10" t="s">
        <v>2174</v>
      </c>
      <c r="F1868" s="10">
        <v>0</v>
      </c>
      <c r="G1868" s="10" t="s">
        <v>343</v>
      </c>
      <c r="H1868" s="10">
        <v>0</v>
      </c>
      <c r="I1868" s="10" t="s">
        <v>343</v>
      </c>
      <c r="J1868" s="11">
        <v>4458</v>
      </c>
      <c r="K1868" s="11">
        <v>4521</v>
      </c>
      <c r="L1868" s="11">
        <v>8979</v>
      </c>
      <c r="M1868" s="11">
        <v>3230</v>
      </c>
    </row>
    <row r="1869" spans="1:13" x14ac:dyDescent="0.3">
      <c r="A1869" s="10">
        <v>6712</v>
      </c>
      <c r="B1869" s="10">
        <v>66</v>
      </c>
      <c r="C1869" s="10" t="s">
        <v>2156</v>
      </c>
      <c r="D1869" s="10">
        <v>6682</v>
      </c>
      <c r="E1869" s="10" t="s">
        <v>2175</v>
      </c>
      <c r="F1869" s="10">
        <v>0</v>
      </c>
      <c r="G1869" s="10" t="s">
        <v>343</v>
      </c>
      <c r="H1869" s="10">
        <v>0</v>
      </c>
      <c r="I1869" s="10" t="s">
        <v>343</v>
      </c>
      <c r="J1869" s="11">
        <v>1057</v>
      </c>
      <c r="K1869" s="11">
        <v>1069</v>
      </c>
      <c r="L1869" s="11">
        <v>2126</v>
      </c>
      <c r="M1869" s="10">
        <v>934</v>
      </c>
    </row>
    <row r="1870" spans="1:13" x14ac:dyDescent="0.3">
      <c r="A1870" s="10">
        <v>6712</v>
      </c>
      <c r="B1870" s="10">
        <v>66</v>
      </c>
      <c r="C1870" s="10" t="s">
        <v>2156</v>
      </c>
      <c r="D1870" s="10">
        <v>6683</v>
      </c>
      <c r="E1870" s="10" t="s">
        <v>2176</v>
      </c>
      <c r="F1870" s="10">
        <v>0</v>
      </c>
      <c r="G1870" s="10" t="s">
        <v>343</v>
      </c>
      <c r="H1870" s="10">
        <v>0</v>
      </c>
      <c r="I1870" s="10" t="s">
        <v>343</v>
      </c>
      <c r="J1870" s="11">
        <v>2450</v>
      </c>
      <c r="K1870" s="11">
        <v>2700</v>
      </c>
      <c r="L1870" s="11">
        <v>5150</v>
      </c>
      <c r="M1870" s="11">
        <v>2464</v>
      </c>
    </row>
    <row r="1871" spans="1:13" x14ac:dyDescent="0.3">
      <c r="A1871" s="10">
        <v>6712</v>
      </c>
      <c r="B1871" s="10">
        <v>66</v>
      </c>
      <c r="C1871" s="10" t="s">
        <v>2156</v>
      </c>
      <c r="D1871" s="10">
        <v>6684</v>
      </c>
      <c r="E1871" s="10" t="s">
        <v>2177</v>
      </c>
      <c r="F1871" s="10">
        <v>0</v>
      </c>
      <c r="G1871" s="10" t="s">
        <v>343</v>
      </c>
      <c r="H1871" s="10">
        <v>0</v>
      </c>
      <c r="I1871" s="10" t="s">
        <v>343</v>
      </c>
      <c r="J1871" s="11">
        <v>1931</v>
      </c>
      <c r="K1871" s="11">
        <v>2103</v>
      </c>
      <c r="L1871" s="11">
        <v>4034</v>
      </c>
      <c r="M1871" s="11">
        <v>1810</v>
      </c>
    </row>
    <row r="1872" spans="1:13" x14ac:dyDescent="0.3">
      <c r="A1872" s="10">
        <v>6712</v>
      </c>
      <c r="B1872" s="10">
        <v>66</v>
      </c>
      <c r="C1872" s="10" t="s">
        <v>2156</v>
      </c>
      <c r="D1872" s="10">
        <v>6685</v>
      </c>
      <c r="E1872" s="10" t="s">
        <v>2178</v>
      </c>
      <c r="F1872" s="10">
        <v>0</v>
      </c>
      <c r="G1872" s="10" t="s">
        <v>343</v>
      </c>
      <c r="H1872" s="10">
        <v>0</v>
      </c>
      <c r="I1872" s="10" t="s">
        <v>343</v>
      </c>
      <c r="J1872" s="11">
        <v>2019</v>
      </c>
      <c r="K1872" s="11">
        <v>2072</v>
      </c>
      <c r="L1872" s="11">
        <v>4091</v>
      </c>
      <c r="M1872" s="11">
        <v>1945</v>
      </c>
    </row>
    <row r="1873" spans="1:13" x14ac:dyDescent="0.3">
      <c r="A1873" s="10">
        <v>6712</v>
      </c>
      <c r="B1873" s="10">
        <v>66</v>
      </c>
      <c r="C1873" s="10" t="s">
        <v>2156</v>
      </c>
      <c r="D1873" s="10">
        <v>6686</v>
      </c>
      <c r="E1873" s="10" t="s">
        <v>2179</v>
      </c>
      <c r="F1873" s="10">
        <v>0</v>
      </c>
      <c r="G1873" s="10" t="s">
        <v>343</v>
      </c>
      <c r="H1873" s="10">
        <v>0</v>
      </c>
      <c r="I1873" s="10" t="s">
        <v>343</v>
      </c>
      <c r="J1873" s="11">
        <v>2115</v>
      </c>
      <c r="K1873" s="11">
        <v>2444</v>
      </c>
      <c r="L1873" s="11">
        <v>4559</v>
      </c>
      <c r="M1873" s="11">
        <v>2293</v>
      </c>
    </row>
    <row r="1874" spans="1:13" x14ac:dyDescent="0.3">
      <c r="A1874" s="10">
        <v>6712</v>
      </c>
      <c r="B1874" s="10">
        <v>66</v>
      </c>
      <c r="C1874" s="10" t="s">
        <v>2156</v>
      </c>
      <c r="D1874" s="10">
        <v>6687</v>
      </c>
      <c r="E1874" s="10" t="s">
        <v>2180</v>
      </c>
      <c r="F1874" s="10">
        <v>0</v>
      </c>
      <c r="G1874" s="10" t="s">
        <v>343</v>
      </c>
      <c r="H1874" s="10">
        <v>0</v>
      </c>
      <c r="I1874" s="10" t="s">
        <v>343</v>
      </c>
      <c r="J1874" s="11">
        <v>1010</v>
      </c>
      <c r="K1874" s="11">
        <v>1097</v>
      </c>
      <c r="L1874" s="11">
        <v>2107</v>
      </c>
      <c r="M1874" s="10">
        <v>833</v>
      </c>
    </row>
    <row r="1875" spans="1:13" x14ac:dyDescent="0.3">
      <c r="A1875" s="10">
        <v>6712</v>
      </c>
      <c r="B1875" s="10">
        <v>66</v>
      </c>
      <c r="C1875" s="10" t="s">
        <v>2156</v>
      </c>
      <c r="D1875" s="10">
        <v>6688</v>
      </c>
      <c r="E1875" s="10" t="s">
        <v>2181</v>
      </c>
      <c r="F1875" s="10">
        <v>0</v>
      </c>
      <c r="G1875" s="10" t="s">
        <v>343</v>
      </c>
      <c r="H1875" s="10">
        <v>0</v>
      </c>
      <c r="I1875" s="10" t="s">
        <v>343</v>
      </c>
      <c r="J1875" s="11">
        <v>1118</v>
      </c>
      <c r="K1875" s="11">
        <v>1200</v>
      </c>
      <c r="L1875" s="11">
        <v>2318</v>
      </c>
      <c r="M1875" s="11">
        <v>1041</v>
      </c>
    </row>
    <row r="1876" spans="1:13" x14ac:dyDescent="0.3">
      <c r="A1876" s="10">
        <v>6712</v>
      </c>
      <c r="B1876" s="10">
        <v>66</v>
      </c>
      <c r="C1876" s="10" t="s">
        <v>2156</v>
      </c>
      <c r="D1876" s="10">
        <v>6689</v>
      </c>
      <c r="E1876" s="10" t="s">
        <v>1825</v>
      </c>
      <c r="F1876" s="10">
        <v>0</v>
      </c>
      <c r="G1876" s="10" t="s">
        <v>343</v>
      </c>
      <c r="H1876" s="10">
        <v>0</v>
      </c>
      <c r="I1876" s="10" t="s">
        <v>343</v>
      </c>
      <c r="J1876" s="10">
        <v>739</v>
      </c>
      <c r="K1876" s="10">
        <v>719</v>
      </c>
      <c r="L1876" s="11">
        <v>1458</v>
      </c>
      <c r="M1876" s="10">
        <v>538</v>
      </c>
    </row>
    <row r="1877" spans="1:13" x14ac:dyDescent="0.3">
      <c r="A1877" s="10">
        <v>6712</v>
      </c>
      <c r="B1877" s="10">
        <v>66</v>
      </c>
      <c r="C1877" s="10" t="s">
        <v>2156</v>
      </c>
      <c r="D1877" s="10">
        <v>6690</v>
      </c>
      <c r="E1877" s="10" t="s">
        <v>2182</v>
      </c>
      <c r="F1877" s="10">
        <v>0</v>
      </c>
      <c r="G1877" s="10" t="s">
        <v>343</v>
      </c>
      <c r="H1877" s="10">
        <v>0</v>
      </c>
      <c r="I1877" s="10" t="s">
        <v>343</v>
      </c>
      <c r="J1877" s="10">
        <v>778</v>
      </c>
      <c r="K1877" s="10">
        <v>771</v>
      </c>
      <c r="L1877" s="11">
        <v>1549</v>
      </c>
      <c r="M1877" s="10">
        <v>660</v>
      </c>
    </row>
    <row r="1878" spans="1:13" x14ac:dyDescent="0.3">
      <c r="A1878" s="10">
        <v>6712</v>
      </c>
      <c r="B1878" s="10">
        <v>66</v>
      </c>
      <c r="C1878" s="10" t="s">
        <v>2156</v>
      </c>
      <c r="D1878" s="10">
        <v>6691</v>
      </c>
      <c r="E1878" s="10" t="s">
        <v>2183</v>
      </c>
      <c r="F1878" s="10">
        <v>0</v>
      </c>
      <c r="G1878" s="10" t="s">
        <v>343</v>
      </c>
      <c r="H1878" s="10">
        <v>0</v>
      </c>
      <c r="I1878" s="10" t="s">
        <v>343</v>
      </c>
      <c r="J1878" s="10">
        <v>696</v>
      </c>
      <c r="K1878" s="10">
        <v>761</v>
      </c>
      <c r="L1878" s="11">
        <v>1457</v>
      </c>
      <c r="M1878" s="10">
        <v>651</v>
      </c>
    </row>
    <row r="1879" spans="1:13" x14ac:dyDescent="0.3">
      <c r="A1879" s="10">
        <v>6712</v>
      </c>
      <c r="B1879" s="10">
        <v>66</v>
      </c>
      <c r="C1879" s="10" t="s">
        <v>2156</v>
      </c>
      <c r="D1879" s="10">
        <v>6692</v>
      </c>
      <c r="E1879" s="10" t="s">
        <v>2184</v>
      </c>
      <c r="F1879" s="10">
        <v>0</v>
      </c>
      <c r="G1879" s="10" t="s">
        <v>343</v>
      </c>
      <c r="H1879" s="10">
        <v>0</v>
      </c>
      <c r="I1879" s="10" t="s">
        <v>343</v>
      </c>
      <c r="J1879" s="11">
        <v>4288</v>
      </c>
      <c r="K1879" s="11">
        <v>4553</v>
      </c>
      <c r="L1879" s="11">
        <v>8841</v>
      </c>
      <c r="M1879" s="11">
        <v>3671</v>
      </c>
    </row>
    <row r="1880" spans="1:13" x14ac:dyDescent="0.3">
      <c r="A1880" s="10">
        <v>6712</v>
      </c>
      <c r="B1880" s="10">
        <v>66</v>
      </c>
      <c r="C1880" s="10" t="s">
        <v>2156</v>
      </c>
      <c r="D1880" s="10">
        <v>6693</v>
      </c>
      <c r="E1880" s="10" t="s">
        <v>2185</v>
      </c>
      <c r="F1880" s="10">
        <v>0</v>
      </c>
      <c r="G1880" s="10" t="s">
        <v>343</v>
      </c>
      <c r="H1880" s="10">
        <v>0</v>
      </c>
      <c r="I1880" s="10" t="s">
        <v>343</v>
      </c>
      <c r="J1880" s="11">
        <v>1573</v>
      </c>
      <c r="K1880" s="11">
        <v>1629</v>
      </c>
      <c r="L1880" s="11">
        <v>3202</v>
      </c>
      <c r="M1880" s="11">
        <v>1303</v>
      </c>
    </row>
    <row r="1881" spans="1:13" x14ac:dyDescent="0.3">
      <c r="A1881" s="10">
        <v>6712</v>
      </c>
      <c r="B1881" s="10">
        <v>66</v>
      </c>
      <c r="C1881" s="10" t="s">
        <v>2156</v>
      </c>
      <c r="D1881" s="10">
        <v>6694</v>
      </c>
      <c r="E1881" s="10" t="s">
        <v>1833</v>
      </c>
      <c r="F1881" s="10">
        <v>0</v>
      </c>
      <c r="G1881" s="10" t="s">
        <v>343</v>
      </c>
      <c r="H1881" s="10">
        <v>0</v>
      </c>
      <c r="I1881" s="10" t="s">
        <v>343</v>
      </c>
      <c r="J1881" s="11">
        <v>1432</v>
      </c>
      <c r="K1881" s="11">
        <v>1535</v>
      </c>
      <c r="L1881" s="11">
        <v>2967</v>
      </c>
      <c r="M1881" s="11">
        <v>1220</v>
      </c>
    </row>
    <row r="1882" spans="1:13" x14ac:dyDescent="0.3">
      <c r="A1882" s="10">
        <v>6712</v>
      </c>
      <c r="B1882" s="10">
        <v>66</v>
      </c>
      <c r="C1882" s="10" t="s">
        <v>2156</v>
      </c>
      <c r="D1882" s="10">
        <v>6695</v>
      </c>
      <c r="E1882" s="10" t="s">
        <v>2186</v>
      </c>
      <c r="F1882" s="10">
        <v>0</v>
      </c>
      <c r="G1882" s="10" t="s">
        <v>343</v>
      </c>
      <c r="H1882" s="10">
        <v>0</v>
      </c>
      <c r="I1882" s="10" t="s">
        <v>343</v>
      </c>
      <c r="J1882" s="11">
        <v>1419</v>
      </c>
      <c r="K1882" s="11">
        <v>1462</v>
      </c>
      <c r="L1882" s="11">
        <v>2881</v>
      </c>
      <c r="M1882" s="11">
        <v>1077</v>
      </c>
    </row>
    <row r="1883" spans="1:13" x14ac:dyDescent="0.3">
      <c r="A1883" s="10">
        <v>6712</v>
      </c>
      <c r="B1883" s="10">
        <v>66</v>
      </c>
      <c r="C1883" s="10" t="s">
        <v>2156</v>
      </c>
      <c r="D1883" s="10">
        <v>6696</v>
      </c>
      <c r="E1883" s="10" t="s">
        <v>2187</v>
      </c>
      <c r="F1883" s="10">
        <v>0</v>
      </c>
      <c r="G1883" s="10" t="s">
        <v>343</v>
      </c>
      <c r="H1883" s="10">
        <v>0</v>
      </c>
      <c r="I1883" s="10" t="s">
        <v>343</v>
      </c>
      <c r="J1883" s="11">
        <v>1489</v>
      </c>
      <c r="K1883" s="11">
        <v>1625</v>
      </c>
      <c r="L1883" s="11">
        <v>3114</v>
      </c>
      <c r="M1883" s="11">
        <v>1232</v>
      </c>
    </row>
    <row r="1884" spans="1:13" x14ac:dyDescent="0.3">
      <c r="A1884" s="10">
        <v>6712</v>
      </c>
      <c r="B1884" s="10">
        <v>66</v>
      </c>
      <c r="C1884" s="10" t="s">
        <v>2156</v>
      </c>
      <c r="D1884" s="10">
        <v>6697</v>
      </c>
      <c r="E1884" s="10" t="s">
        <v>2188</v>
      </c>
      <c r="F1884" s="10">
        <v>0</v>
      </c>
      <c r="G1884" s="10" t="s">
        <v>343</v>
      </c>
      <c r="H1884" s="10">
        <v>0</v>
      </c>
      <c r="I1884" s="10" t="s">
        <v>343</v>
      </c>
      <c r="J1884" s="11">
        <v>3495</v>
      </c>
      <c r="K1884" s="11">
        <v>3924</v>
      </c>
      <c r="L1884" s="11">
        <v>7419</v>
      </c>
      <c r="M1884" s="11">
        <v>3736</v>
      </c>
    </row>
    <row r="1885" spans="1:13" x14ac:dyDescent="0.3">
      <c r="A1885" s="10">
        <v>6712</v>
      </c>
      <c r="B1885" s="10">
        <v>66</v>
      </c>
      <c r="C1885" s="10" t="s">
        <v>2156</v>
      </c>
      <c r="D1885" s="10">
        <v>6698</v>
      </c>
      <c r="E1885" s="10" t="s">
        <v>2189</v>
      </c>
      <c r="F1885" s="10">
        <v>0</v>
      </c>
      <c r="G1885" s="10" t="s">
        <v>343</v>
      </c>
      <c r="H1885" s="10">
        <v>0</v>
      </c>
      <c r="I1885" s="10" t="s">
        <v>343</v>
      </c>
      <c r="J1885" s="11">
        <v>5767</v>
      </c>
      <c r="K1885" s="11">
        <v>6674</v>
      </c>
      <c r="L1885" s="11">
        <v>12441</v>
      </c>
      <c r="M1885" s="11">
        <v>6387</v>
      </c>
    </row>
    <row r="1886" spans="1:13" x14ac:dyDescent="0.3">
      <c r="A1886" s="10">
        <v>6712</v>
      </c>
      <c r="B1886" s="10">
        <v>66</v>
      </c>
      <c r="C1886" s="10" t="s">
        <v>2156</v>
      </c>
      <c r="D1886" s="10">
        <v>6699</v>
      </c>
      <c r="E1886" s="10" t="s">
        <v>2190</v>
      </c>
      <c r="F1886" s="10">
        <v>0</v>
      </c>
      <c r="G1886" s="10" t="s">
        <v>343</v>
      </c>
      <c r="H1886" s="10">
        <v>0</v>
      </c>
      <c r="I1886" s="10" t="s">
        <v>343</v>
      </c>
      <c r="J1886" s="11">
        <v>9380</v>
      </c>
      <c r="K1886" s="11">
        <v>10730</v>
      </c>
      <c r="L1886" s="11">
        <v>20110</v>
      </c>
      <c r="M1886" s="11">
        <v>12727</v>
      </c>
    </row>
    <row r="1887" spans="1:13" x14ac:dyDescent="0.3">
      <c r="A1887" s="10">
        <v>6712</v>
      </c>
      <c r="B1887" s="10">
        <v>67</v>
      </c>
      <c r="C1887" s="10" t="s">
        <v>2191</v>
      </c>
      <c r="D1887" s="10">
        <v>0</v>
      </c>
      <c r="E1887" s="10" t="s">
        <v>343</v>
      </c>
      <c r="F1887" s="10">
        <v>0</v>
      </c>
      <c r="G1887" s="10" t="s">
        <v>343</v>
      </c>
      <c r="H1887" s="10">
        <v>0</v>
      </c>
      <c r="I1887" s="10" t="s">
        <v>343</v>
      </c>
      <c r="J1887" s="11">
        <v>472067</v>
      </c>
      <c r="K1887" s="11">
        <v>488651</v>
      </c>
      <c r="L1887" s="11">
        <v>960718</v>
      </c>
      <c r="M1887" s="11">
        <v>382224</v>
      </c>
    </row>
    <row r="1888" spans="1:13" x14ac:dyDescent="0.3">
      <c r="A1888" s="10">
        <v>6712</v>
      </c>
      <c r="B1888" s="10">
        <v>67</v>
      </c>
      <c r="C1888" s="10" t="s">
        <v>2191</v>
      </c>
      <c r="D1888" s="10">
        <v>6701</v>
      </c>
      <c r="E1888" s="10" t="s">
        <v>2192</v>
      </c>
      <c r="F1888" s="10">
        <v>0</v>
      </c>
      <c r="G1888" s="10" t="s">
        <v>343</v>
      </c>
      <c r="H1888" s="10">
        <v>0</v>
      </c>
      <c r="I1888" s="10" t="s">
        <v>343</v>
      </c>
      <c r="J1888" s="11">
        <v>78298</v>
      </c>
      <c r="K1888" s="11">
        <v>78940</v>
      </c>
      <c r="L1888" s="11">
        <v>157238</v>
      </c>
      <c r="M1888" s="11">
        <v>65186</v>
      </c>
    </row>
    <row r="1889" spans="1:13" x14ac:dyDescent="0.3">
      <c r="A1889" s="10">
        <v>6712</v>
      </c>
      <c r="B1889" s="10">
        <v>67</v>
      </c>
      <c r="C1889" s="10" t="s">
        <v>2191</v>
      </c>
      <c r="D1889" s="10">
        <v>6702</v>
      </c>
      <c r="E1889" s="10" t="s">
        <v>2193</v>
      </c>
      <c r="F1889" s="10">
        <v>0</v>
      </c>
      <c r="G1889" s="10" t="s">
        <v>343</v>
      </c>
      <c r="H1889" s="10">
        <v>0</v>
      </c>
      <c r="I1889" s="10" t="s">
        <v>343</v>
      </c>
      <c r="J1889" s="11">
        <v>33181</v>
      </c>
      <c r="K1889" s="11">
        <v>33447</v>
      </c>
      <c r="L1889" s="11">
        <v>66628</v>
      </c>
      <c r="M1889" s="11">
        <v>28853</v>
      </c>
    </row>
    <row r="1890" spans="1:13" x14ac:dyDescent="0.3">
      <c r="A1890" s="10">
        <v>6712</v>
      </c>
      <c r="B1890" s="10">
        <v>67</v>
      </c>
      <c r="C1890" s="10" t="s">
        <v>2191</v>
      </c>
      <c r="D1890" s="10">
        <v>6703</v>
      </c>
      <c r="E1890" s="10" t="s">
        <v>2194</v>
      </c>
      <c r="F1890" s="10">
        <v>0</v>
      </c>
      <c r="G1890" s="10" t="s">
        <v>343</v>
      </c>
      <c r="H1890" s="10">
        <v>0</v>
      </c>
      <c r="I1890" s="10" t="s">
        <v>343</v>
      </c>
      <c r="J1890" s="11">
        <v>68898</v>
      </c>
      <c r="K1890" s="11">
        <v>72868</v>
      </c>
      <c r="L1890" s="11">
        <v>141766</v>
      </c>
      <c r="M1890" s="11">
        <v>51250</v>
      </c>
    </row>
    <row r="1891" spans="1:13" x14ac:dyDescent="0.3">
      <c r="A1891" s="10">
        <v>6712</v>
      </c>
      <c r="B1891" s="10">
        <v>67</v>
      </c>
      <c r="C1891" s="10" t="s">
        <v>2191</v>
      </c>
      <c r="D1891" s="10">
        <v>6704</v>
      </c>
      <c r="E1891" s="10" t="s">
        <v>2195</v>
      </c>
      <c r="F1891" s="10">
        <v>0</v>
      </c>
      <c r="G1891" s="10" t="s">
        <v>343</v>
      </c>
      <c r="H1891" s="10">
        <v>0</v>
      </c>
      <c r="I1891" s="10" t="s">
        <v>343</v>
      </c>
      <c r="J1891" s="11">
        <v>28559</v>
      </c>
      <c r="K1891" s="11">
        <v>30087</v>
      </c>
      <c r="L1891" s="11">
        <v>58646</v>
      </c>
      <c r="M1891" s="11">
        <v>19775</v>
      </c>
    </row>
    <row r="1892" spans="1:13" x14ac:dyDescent="0.3">
      <c r="A1892" s="10">
        <v>6712</v>
      </c>
      <c r="B1892" s="10">
        <v>67</v>
      </c>
      <c r="C1892" s="10" t="s">
        <v>2191</v>
      </c>
      <c r="D1892" s="10">
        <v>6705</v>
      </c>
      <c r="E1892" s="10" t="s">
        <v>2196</v>
      </c>
      <c r="F1892" s="10">
        <v>0</v>
      </c>
      <c r="G1892" s="10" t="s">
        <v>343</v>
      </c>
      <c r="H1892" s="10">
        <v>0</v>
      </c>
      <c r="I1892" s="10" t="s">
        <v>343</v>
      </c>
      <c r="J1892" s="11">
        <v>48551</v>
      </c>
      <c r="K1892" s="11">
        <v>49903</v>
      </c>
      <c r="L1892" s="11">
        <v>98454</v>
      </c>
      <c r="M1892" s="11">
        <v>34906</v>
      </c>
    </row>
    <row r="1893" spans="1:13" x14ac:dyDescent="0.3">
      <c r="A1893" s="10">
        <v>6712</v>
      </c>
      <c r="B1893" s="10">
        <v>67</v>
      </c>
      <c r="C1893" s="10" t="s">
        <v>2191</v>
      </c>
      <c r="D1893" s="10">
        <v>6706</v>
      </c>
      <c r="E1893" s="10" t="s">
        <v>2197</v>
      </c>
      <c r="F1893" s="10">
        <v>0</v>
      </c>
      <c r="G1893" s="10" t="s">
        <v>343</v>
      </c>
      <c r="H1893" s="10">
        <v>0</v>
      </c>
      <c r="I1893" s="10" t="s">
        <v>343</v>
      </c>
      <c r="J1893" s="11">
        <v>27699</v>
      </c>
      <c r="K1893" s="11">
        <v>28225</v>
      </c>
      <c r="L1893" s="11">
        <v>55924</v>
      </c>
      <c r="M1893" s="11">
        <v>20467</v>
      </c>
    </row>
    <row r="1894" spans="1:13" x14ac:dyDescent="0.3">
      <c r="A1894" s="10">
        <v>6712</v>
      </c>
      <c r="B1894" s="10">
        <v>67</v>
      </c>
      <c r="C1894" s="10" t="s">
        <v>2191</v>
      </c>
      <c r="D1894" s="10">
        <v>6707</v>
      </c>
      <c r="E1894" s="10" t="s">
        <v>2198</v>
      </c>
      <c r="F1894" s="10">
        <v>0</v>
      </c>
      <c r="G1894" s="10" t="s">
        <v>343</v>
      </c>
      <c r="H1894" s="10">
        <v>0</v>
      </c>
      <c r="I1894" s="10" t="s">
        <v>343</v>
      </c>
      <c r="J1894" s="11">
        <v>36867</v>
      </c>
      <c r="K1894" s="11">
        <v>37520</v>
      </c>
      <c r="L1894" s="11">
        <v>74387</v>
      </c>
      <c r="M1894" s="11">
        <v>26138</v>
      </c>
    </row>
    <row r="1895" spans="1:13" x14ac:dyDescent="0.3">
      <c r="A1895" s="10">
        <v>6712</v>
      </c>
      <c r="B1895" s="10">
        <v>67</v>
      </c>
      <c r="C1895" s="10" t="s">
        <v>2191</v>
      </c>
      <c r="D1895" s="10">
        <v>6708</v>
      </c>
      <c r="E1895" s="10" t="s">
        <v>2199</v>
      </c>
      <c r="F1895" s="10">
        <v>0</v>
      </c>
      <c r="G1895" s="10" t="s">
        <v>343</v>
      </c>
      <c r="H1895" s="10">
        <v>0</v>
      </c>
      <c r="I1895" s="10" t="s">
        <v>343</v>
      </c>
      <c r="J1895" s="11">
        <v>30585</v>
      </c>
      <c r="K1895" s="11">
        <v>31299</v>
      </c>
      <c r="L1895" s="11">
        <v>61884</v>
      </c>
      <c r="M1895" s="11">
        <v>26852</v>
      </c>
    </row>
    <row r="1896" spans="1:13" x14ac:dyDescent="0.3">
      <c r="A1896" s="10">
        <v>6712</v>
      </c>
      <c r="B1896" s="10">
        <v>67</v>
      </c>
      <c r="C1896" s="10" t="s">
        <v>2191</v>
      </c>
      <c r="D1896" s="10">
        <v>6709</v>
      </c>
      <c r="E1896" s="10" t="s">
        <v>2200</v>
      </c>
      <c r="F1896" s="10">
        <v>0</v>
      </c>
      <c r="G1896" s="10" t="s">
        <v>343</v>
      </c>
      <c r="H1896" s="10">
        <v>0</v>
      </c>
      <c r="I1896" s="10" t="s">
        <v>343</v>
      </c>
      <c r="J1896" s="11">
        <v>9472</v>
      </c>
      <c r="K1896" s="11">
        <v>9136</v>
      </c>
      <c r="L1896" s="11">
        <v>18608</v>
      </c>
      <c r="M1896" s="11">
        <v>7610</v>
      </c>
    </row>
    <row r="1897" spans="1:13" x14ac:dyDescent="0.3">
      <c r="A1897" s="10">
        <v>6712</v>
      </c>
      <c r="B1897" s="10">
        <v>67</v>
      </c>
      <c r="C1897" s="10" t="s">
        <v>2191</v>
      </c>
      <c r="D1897" s="10">
        <v>6710</v>
      </c>
      <c r="E1897" s="10" t="s">
        <v>2201</v>
      </c>
      <c r="F1897" s="10">
        <v>0</v>
      </c>
      <c r="G1897" s="10" t="s">
        <v>343</v>
      </c>
      <c r="H1897" s="10">
        <v>0</v>
      </c>
      <c r="I1897" s="10" t="s">
        <v>343</v>
      </c>
      <c r="J1897" s="11">
        <v>13723</v>
      </c>
      <c r="K1897" s="11">
        <v>14042</v>
      </c>
      <c r="L1897" s="11">
        <v>27765</v>
      </c>
      <c r="M1897" s="11">
        <v>9636</v>
      </c>
    </row>
    <row r="1898" spans="1:13" x14ac:dyDescent="0.3">
      <c r="A1898" s="10">
        <v>6712</v>
      </c>
      <c r="B1898" s="10">
        <v>67</v>
      </c>
      <c r="C1898" s="10" t="s">
        <v>2191</v>
      </c>
      <c r="D1898" s="10">
        <v>6711</v>
      </c>
      <c r="E1898" s="10" t="s">
        <v>2202</v>
      </c>
      <c r="F1898" s="10">
        <v>0</v>
      </c>
      <c r="G1898" s="10" t="s">
        <v>343</v>
      </c>
      <c r="H1898" s="10">
        <v>0</v>
      </c>
      <c r="I1898" s="10" t="s">
        <v>343</v>
      </c>
      <c r="J1898" s="11">
        <v>18245</v>
      </c>
      <c r="K1898" s="11">
        <v>18203</v>
      </c>
      <c r="L1898" s="11">
        <v>36448</v>
      </c>
      <c r="M1898" s="11">
        <v>13251</v>
      </c>
    </row>
    <row r="1899" spans="1:13" x14ac:dyDescent="0.3">
      <c r="A1899" s="10">
        <v>6712</v>
      </c>
      <c r="B1899" s="10">
        <v>67</v>
      </c>
      <c r="C1899" s="10" t="s">
        <v>2191</v>
      </c>
      <c r="D1899" s="10">
        <v>6778</v>
      </c>
      <c r="E1899" s="10" t="s">
        <v>2203</v>
      </c>
      <c r="F1899" s="10">
        <v>0</v>
      </c>
      <c r="G1899" s="10" t="s">
        <v>343</v>
      </c>
      <c r="H1899" s="10">
        <v>0</v>
      </c>
      <c r="I1899" s="10" t="s">
        <v>343</v>
      </c>
      <c r="J1899" s="11">
        <v>2565</v>
      </c>
      <c r="K1899" s="11">
        <v>2792</v>
      </c>
      <c r="L1899" s="11">
        <v>5357</v>
      </c>
      <c r="M1899" s="11">
        <v>3336</v>
      </c>
    </row>
    <row r="1900" spans="1:13" x14ac:dyDescent="0.3">
      <c r="A1900" s="10">
        <v>6712</v>
      </c>
      <c r="B1900" s="10">
        <v>67</v>
      </c>
      <c r="C1900" s="10" t="s">
        <v>2191</v>
      </c>
      <c r="D1900" s="10">
        <v>6779</v>
      </c>
      <c r="E1900" s="10" t="s">
        <v>2204</v>
      </c>
      <c r="F1900" s="10">
        <v>0</v>
      </c>
      <c r="G1900" s="10" t="s">
        <v>343</v>
      </c>
      <c r="H1900" s="10">
        <v>0</v>
      </c>
      <c r="I1900" s="10" t="s">
        <v>343</v>
      </c>
      <c r="J1900" s="11">
        <v>3172</v>
      </c>
      <c r="K1900" s="11">
        <v>3222</v>
      </c>
      <c r="L1900" s="11">
        <v>6394</v>
      </c>
      <c r="M1900" s="11">
        <v>2250</v>
      </c>
    </row>
    <row r="1901" spans="1:13" x14ac:dyDescent="0.3">
      <c r="A1901" s="10">
        <v>6712</v>
      </c>
      <c r="B1901" s="10">
        <v>67</v>
      </c>
      <c r="C1901" s="10" t="s">
        <v>2191</v>
      </c>
      <c r="D1901" s="10">
        <v>6780</v>
      </c>
      <c r="E1901" s="10" t="s">
        <v>2205</v>
      </c>
      <c r="F1901" s="10">
        <v>0</v>
      </c>
      <c r="G1901" s="10" t="s">
        <v>343</v>
      </c>
      <c r="H1901" s="10">
        <v>0</v>
      </c>
      <c r="I1901" s="10" t="s">
        <v>343</v>
      </c>
      <c r="J1901" s="11">
        <v>2874</v>
      </c>
      <c r="K1901" s="11">
        <v>2867</v>
      </c>
      <c r="L1901" s="11">
        <v>5741</v>
      </c>
      <c r="M1901" s="11">
        <v>1955</v>
      </c>
    </row>
    <row r="1902" spans="1:13" x14ac:dyDescent="0.3">
      <c r="A1902" s="10">
        <v>6712</v>
      </c>
      <c r="B1902" s="10">
        <v>67</v>
      </c>
      <c r="C1902" s="10" t="s">
        <v>2191</v>
      </c>
      <c r="D1902" s="10">
        <v>6781</v>
      </c>
      <c r="E1902" s="10" t="s">
        <v>2206</v>
      </c>
      <c r="F1902" s="10">
        <v>0</v>
      </c>
      <c r="G1902" s="10" t="s">
        <v>343</v>
      </c>
      <c r="H1902" s="10">
        <v>0</v>
      </c>
      <c r="I1902" s="10" t="s">
        <v>343</v>
      </c>
      <c r="J1902" s="11">
        <v>4614</v>
      </c>
      <c r="K1902" s="11">
        <v>4798</v>
      </c>
      <c r="L1902" s="11">
        <v>9412</v>
      </c>
      <c r="M1902" s="11">
        <v>3126</v>
      </c>
    </row>
    <row r="1903" spans="1:13" x14ac:dyDescent="0.3">
      <c r="A1903" s="10">
        <v>6712</v>
      </c>
      <c r="B1903" s="10">
        <v>67</v>
      </c>
      <c r="C1903" s="10" t="s">
        <v>2191</v>
      </c>
      <c r="D1903" s="10">
        <v>6782</v>
      </c>
      <c r="E1903" s="10" t="s">
        <v>2207</v>
      </c>
      <c r="F1903" s="10">
        <v>0</v>
      </c>
      <c r="G1903" s="10" t="s">
        <v>343</v>
      </c>
      <c r="H1903" s="10">
        <v>0</v>
      </c>
      <c r="I1903" s="10" t="s">
        <v>343</v>
      </c>
      <c r="J1903" s="11">
        <v>5971</v>
      </c>
      <c r="K1903" s="11">
        <v>6711</v>
      </c>
      <c r="L1903" s="11">
        <v>12682</v>
      </c>
      <c r="M1903" s="11">
        <v>5901</v>
      </c>
    </row>
    <row r="1904" spans="1:13" x14ac:dyDescent="0.3">
      <c r="A1904" s="10">
        <v>6712</v>
      </c>
      <c r="B1904" s="10">
        <v>67</v>
      </c>
      <c r="C1904" s="10" t="s">
        <v>2191</v>
      </c>
      <c r="D1904" s="10">
        <v>6783</v>
      </c>
      <c r="E1904" s="10" t="s">
        <v>2208</v>
      </c>
      <c r="F1904" s="10">
        <v>0</v>
      </c>
      <c r="G1904" s="10" t="s">
        <v>343</v>
      </c>
      <c r="H1904" s="10">
        <v>0</v>
      </c>
      <c r="I1904" s="10" t="s">
        <v>343</v>
      </c>
      <c r="J1904" s="11">
        <v>3636</v>
      </c>
      <c r="K1904" s="11">
        <v>3693</v>
      </c>
      <c r="L1904" s="11">
        <v>7329</v>
      </c>
      <c r="M1904" s="11">
        <v>2659</v>
      </c>
    </row>
    <row r="1905" spans="1:13" x14ac:dyDescent="0.3">
      <c r="A1905" s="10">
        <v>6712</v>
      </c>
      <c r="B1905" s="10">
        <v>67</v>
      </c>
      <c r="C1905" s="10" t="s">
        <v>2191</v>
      </c>
      <c r="D1905" s="10">
        <v>6784</v>
      </c>
      <c r="E1905" s="10" t="s">
        <v>2209</v>
      </c>
      <c r="F1905" s="10">
        <v>0</v>
      </c>
      <c r="G1905" s="10" t="s">
        <v>343</v>
      </c>
      <c r="H1905" s="10">
        <v>0</v>
      </c>
      <c r="I1905" s="10" t="s">
        <v>343</v>
      </c>
      <c r="J1905" s="11">
        <v>1769</v>
      </c>
      <c r="K1905" s="11">
        <v>1992</v>
      </c>
      <c r="L1905" s="11">
        <v>3761</v>
      </c>
      <c r="M1905" s="11">
        <v>1570</v>
      </c>
    </row>
    <row r="1906" spans="1:13" x14ac:dyDescent="0.3">
      <c r="A1906" s="10">
        <v>6712</v>
      </c>
      <c r="B1906" s="10">
        <v>67</v>
      </c>
      <c r="C1906" s="10" t="s">
        <v>2191</v>
      </c>
      <c r="D1906" s="10">
        <v>6785</v>
      </c>
      <c r="E1906" s="10" t="s">
        <v>2210</v>
      </c>
      <c r="F1906" s="10">
        <v>0</v>
      </c>
      <c r="G1906" s="10" t="s">
        <v>343</v>
      </c>
      <c r="H1906" s="10">
        <v>0</v>
      </c>
      <c r="I1906" s="10" t="s">
        <v>343</v>
      </c>
      <c r="J1906" s="11">
        <v>1565</v>
      </c>
      <c r="K1906" s="11">
        <v>1698</v>
      </c>
      <c r="L1906" s="11">
        <v>3263</v>
      </c>
      <c r="M1906" s="11">
        <v>1108</v>
      </c>
    </row>
    <row r="1907" spans="1:13" x14ac:dyDescent="0.3">
      <c r="A1907" s="10">
        <v>6712</v>
      </c>
      <c r="B1907" s="10">
        <v>67</v>
      </c>
      <c r="C1907" s="10" t="s">
        <v>2191</v>
      </c>
      <c r="D1907" s="10">
        <v>6786</v>
      </c>
      <c r="E1907" s="10" t="s">
        <v>2211</v>
      </c>
      <c r="F1907" s="10">
        <v>0</v>
      </c>
      <c r="G1907" s="10" t="s">
        <v>343</v>
      </c>
      <c r="H1907" s="10">
        <v>0</v>
      </c>
      <c r="I1907" s="10" t="s">
        <v>343</v>
      </c>
      <c r="J1907" s="11">
        <v>3996</v>
      </c>
      <c r="K1907" s="11">
        <v>4242</v>
      </c>
      <c r="L1907" s="11">
        <v>8238</v>
      </c>
      <c r="M1907" s="11">
        <v>5186</v>
      </c>
    </row>
    <row r="1908" spans="1:13" x14ac:dyDescent="0.3">
      <c r="A1908" s="10">
        <v>6712</v>
      </c>
      <c r="B1908" s="10">
        <v>67</v>
      </c>
      <c r="C1908" s="10" t="s">
        <v>2191</v>
      </c>
      <c r="D1908" s="10">
        <v>6787</v>
      </c>
      <c r="E1908" s="10" t="s">
        <v>1375</v>
      </c>
      <c r="F1908" s="10">
        <v>0</v>
      </c>
      <c r="G1908" s="10" t="s">
        <v>343</v>
      </c>
      <c r="H1908" s="10">
        <v>0</v>
      </c>
      <c r="I1908" s="10" t="s">
        <v>343</v>
      </c>
      <c r="J1908" s="11">
        <v>3284</v>
      </c>
      <c r="K1908" s="11">
        <v>3656</v>
      </c>
      <c r="L1908" s="11">
        <v>6940</v>
      </c>
      <c r="M1908" s="11">
        <v>3906</v>
      </c>
    </row>
    <row r="1909" spans="1:13" x14ac:dyDescent="0.3">
      <c r="A1909" s="10">
        <v>6712</v>
      </c>
      <c r="B1909" s="10">
        <v>67</v>
      </c>
      <c r="C1909" s="10" t="s">
        <v>2191</v>
      </c>
      <c r="D1909" s="10">
        <v>6788</v>
      </c>
      <c r="E1909" s="10" t="s">
        <v>2212</v>
      </c>
      <c r="F1909" s="10">
        <v>0</v>
      </c>
      <c r="G1909" s="10" t="s">
        <v>343</v>
      </c>
      <c r="H1909" s="10">
        <v>0</v>
      </c>
      <c r="I1909" s="10" t="s">
        <v>343</v>
      </c>
      <c r="J1909" s="11">
        <v>1897</v>
      </c>
      <c r="K1909" s="11">
        <v>2137</v>
      </c>
      <c r="L1909" s="11">
        <v>4034</v>
      </c>
      <c r="M1909" s="11">
        <v>1781</v>
      </c>
    </row>
    <row r="1910" spans="1:13" x14ac:dyDescent="0.3">
      <c r="A1910" s="10">
        <v>6712</v>
      </c>
      <c r="B1910" s="10">
        <v>67</v>
      </c>
      <c r="C1910" s="10" t="s">
        <v>2191</v>
      </c>
      <c r="D1910" s="10">
        <v>6789</v>
      </c>
      <c r="E1910" s="10" t="s">
        <v>2213</v>
      </c>
      <c r="F1910" s="10">
        <v>0</v>
      </c>
      <c r="G1910" s="10" t="s">
        <v>343</v>
      </c>
      <c r="H1910" s="10">
        <v>0</v>
      </c>
      <c r="I1910" s="10" t="s">
        <v>343</v>
      </c>
      <c r="J1910" s="11">
        <v>3016</v>
      </c>
      <c r="K1910" s="11">
        <v>3331</v>
      </c>
      <c r="L1910" s="11">
        <v>6347</v>
      </c>
      <c r="M1910" s="11">
        <v>3004</v>
      </c>
    </row>
    <row r="1911" spans="1:13" x14ac:dyDescent="0.3">
      <c r="A1911" s="10">
        <v>6712</v>
      </c>
      <c r="B1911" s="10">
        <v>67</v>
      </c>
      <c r="C1911" s="10" t="s">
        <v>2191</v>
      </c>
      <c r="D1911" s="10">
        <v>6790</v>
      </c>
      <c r="E1911" s="10" t="s">
        <v>2214</v>
      </c>
      <c r="F1911" s="10">
        <v>0</v>
      </c>
      <c r="G1911" s="10" t="s">
        <v>343</v>
      </c>
      <c r="H1911" s="10">
        <v>0</v>
      </c>
      <c r="I1911" s="10" t="s">
        <v>343</v>
      </c>
      <c r="J1911" s="11">
        <v>10253</v>
      </c>
      <c r="K1911" s="11">
        <v>11339</v>
      </c>
      <c r="L1911" s="11">
        <v>21592</v>
      </c>
      <c r="M1911" s="11">
        <v>9093</v>
      </c>
    </row>
    <row r="1912" spans="1:13" x14ac:dyDescent="0.3">
      <c r="A1912" s="10">
        <v>6712</v>
      </c>
      <c r="B1912" s="10">
        <v>67</v>
      </c>
      <c r="C1912" s="10" t="s">
        <v>2191</v>
      </c>
      <c r="D1912" s="10">
        <v>6791</v>
      </c>
      <c r="E1912" s="10" t="s">
        <v>2215</v>
      </c>
      <c r="F1912" s="10">
        <v>0</v>
      </c>
      <c r="G1912" s="10" t="s">
        <v>343</v>
      </c>
      <c r="H1912" s="10">
        <v>0</v>
      </c>
      <c r="I1912" s="10" t="s">
        <v>343</v>
      </c>
      <c r="J1912" s="11">
        <v>3426</v>
      </c>
      <c r="K1912" s="11">
        <v>3580</v>
      </c>
      <c r="L1912" s="11">
        <v>7006</v>
      </c>
      <c r="M1912" s="11">
        <v>3080</v>
      </c>
    </row>
    <row r="1913" spans="1:13" x14ac:dyDescent="0.3">
      <c r="A1913" s="10">
        <v>6712</v>
      </c>
      <c r="B1913" s="10">
        <v>67</v>
      </c>
      <c r="C1913" s="10" t="s">
        <v>2191</v>
      </c>
      <c r="D1913" s="10">
        <v>6792</v>
      </c>
      <c r="E1913" s="10" t="s">
        <v>2216</v>
      </c>
      <c r="F1913" s="10">
        <v>0</v>
      </c>
      <c r="G1913" s="10" t="s">
        <v>343</v>
      </c>
      <c r="H1913" s="10">
        <v>0</v>
      </c>
      <c r="I1913" s="10" t="s">
        <v>343</v>
      </c>
      <c r="J1913" s="11">
        <v>2589</v>
      </c>
      <c r="K1913" s="11">
        <v>2919</v>
      </c>
      <c r="L1913" s="11">
        <v>5508</v>
      </c>
      <c r="M1913" s="11">
        <v>2697</v>
      </c>
    </row>
    <row r="1914" spans="1:13" x14ac:dyDescent="0.3">
      <c r="A1914" s="10">
        <v>6712</v>
      </c>
      <c r="B1914" s="10">
        <v>67</v>
      </c>
      <c r="C1914" s="10" t="s">
        <v>2191</v>
      </c>
      <c r="D1914" s="10">
        <v>6793</v>
      </c>
      <c r="E1914" s="10" t="s">
        <v>815</v>
      </c>
      <c r="F1914" s="10">
        <v>0</v>
      </c>
      <c r="G1914" s="10" t="s">
        <v>343</v>
      </c>
      <c r="H1914" s="10">
        <v>0</v>
      </c>
      <c r="I1914" s="10" t="s">
        <v>343</v>
      </c>
      <c r="J1914" s="11">
        <v>1192</v>
      </c>
      <c r="K1914" s="11">
        <v>1188</v>
      </c>
      <c r="L1914" s="11">
        <v>2380</v>
      </c>
      <c r="M1914" s="11">
        <v>1001</v>
      </c>
    </row>
    <row r="1915" spans="1:13" x14ac:dyDescent="0.3">
      <c r="A1915" s="10">
        <v>6712</v>
      </c>
      <c r="B1915" s="10">
        <v>67</v>
      </c>
      <c r="C1915" s="10" t="s">
        <v>2191</v>
      </c>
      <c r="D1915" s="10">
        <v>6794</v>
      </c>
      <c r="E1915" s="10" t="s">
        <v>2217</v>
      </c>
      <c r="F1915" s="10">
        <v>0</v>
      </c>
      <c r="G1915" s="10" t="s">
        <v>343</v>
      </c>
      <c r="H1915" s="10">
        <v>0</v>
      </c>
      <c r="I1915" s="10" t="s">
        <v>343</v>
      </c>
      <c r="J1915" s="11">
        <v>1146</v>
      </c>
      <c r="K1915" s="11">
        <v>1288</v>
      </c>
      <c r="L1915" s="11">
        <v>2434</v>
      </c>
      <c r="M1915" s="11">
        <v>1087</v>
      </c>
    </row>
    <row r="1916" spans="1:13" x14ac:dyDescent="0.3">
      <c r="A1916" s="10">
        <v>6712</v>
      </c>
      <c r="B1916" s="10">
        <v>67</v>
      </c>
      <c r="C1916" s="10" t="s">
        <v>2191</v>
      </c>
      <c r="D1916" s="10">
        <v>6795</v>
      </c>
      <c r="E1916" s="10" t="s">
        <v>2218</v>
      </c>
      <c r="F1916" s="10">
        <v>0</v>
      </c>
      <c r="G1916" s="10" t="s">
        <v>343</v>
      </c>
      <c r="H1916" s="10">
        <v>0</v>
      </c>
      <c r="I1916" s="10" t="s">
        <v>343</v>
      </c>
      <c r="J1916" s="11">
        <v>1727</v>
      </c>
      <c r="K1916" s="11">
        <v>1649</v>
      </c>
      <c r="L1916" s="11">
        <v>3376</v>
      </c>
      <c r="M1916" s="11">
        <v>1867</v>
      </c>
    </row>
    <row r="1917" spans="1:13" x14ac:dyDescent="0.3">
      <c r="A1917" s="10">
        <v>6712</v>
      </c>
      <c r="B1917" s="10">
        <v>67</v>
      </c>
      <c r="C1917" s="10" t="s">
        <v>2191</v>
      </c>
      <c r="D1917" s="10">
        <v>6796</v>
      </c>
      <c r="E1917" s="10" t="s">
        <v>2219</v>
      </c>
      <c r="F1917" s="10">
        <v>0</v>
      </c>
      <c r="G1917" s="10" t="s">
        <v>343</v>
      </c>
      <c r="H1917" s="10">
        <v>0</v>
      </c>
      <c r="I1917" s="10" t="s">
        <v>343</v>
      </c>
      <c r="J1917" s="11">
        <v>1536</v>
      </c>
      <c r="K1917" s="11">
        <v>1760</v>
      </c>
      <c r="L1917" s="11">
        <v>3296</v>
      </c>
      <c r="M1917" s="11">
        <v>1355</v>
      </c>
    </row>
    <row r="1918" spans="1:13" x14ac:dyDescent="0.3">
      <c r="A1918" s="10">
        <v>6712</v>
      </c>
      <c r="B1918" s="10">
        <v>67</v>
      </c>
      <c r="C1918" s="10" t="s">
        <v>2191</v>
      </c>
      <c r="D1918" s="10">
        <v>6797</v>
      </c>
      <c r="E1918" s="10" t="s">
        <v>2220</v>
      </c>
      <c r="F1918" s="10">
        <v>0</v>
      </c>
      <c r="G1918" s="10" t="s">
        <v>343</v>
      </c>
      <c r="H1918" s="10">
        <v>0</v>
      </c>
      <c r="I1918" s="10" t="s">
        <v>343</v>
      </c>
      <c r="J1918" s="11">
        <v>3501</v>
      </c>
      <c r="K1918" s="11">
        <v>3858</v>
      </c>
      <c r="L1918" s="11">
        <v>7359</v>
      </c>
      <c r="M1918" s="11">
        <v>2653</v>
      </c>
    </row>
    <row r="1919" spans="1:13" x14ac:dyDescent="0.3">
      <c r="A1919" s="10">
        <v>6712</v>
      </c>
      <c r="B1919" s="10">
        <v>67</v>
      </c>
      <c r="C1919" s="10" t="s">
        <v>2191</v>
      </c>
      <c r="D1919" s="10">
        <v>6798</v>
      </c>
      <c r="E1919" s="10" t="s">
        <v>2221</v>
      </c>
      <c r="F1919" s="10">
        <v>0</v>
      </c>
      <c r="G1919" s="10" t="s">
        <v>343</v>
      </c>
      <c r="H1919" s="10">
        <v>0</v>
      </c>
      <c r="I1919" s="10" t="s">
        <v>343</v>
      </c>
      <c r="J1919" s="11">
        <v>5153</v>
      </c>
      <c r="K1919" s="11">
        <v>5783</v>
      </c>
      <c r="L1919" s="11">
        <v>10936</v>
      </c>
      <c r="M1919" s="11">
        <v>6740</v>
      </c>
    </row>
    <row r="1920" spans="1:13" x14ac:dyDescent="0.3">
      <c r="A1920" s="10">
        <v>6712</v>
      </c>
      <c r="B1920" s="10">
        <v>67</v>
      </c>
      <c r="C1920" s="10" t="s">
        <v>2191</v>
      </c>
      <c r="D1920" s="10">
        <v>6799</v>
      </c>
      <c r="E1920" s="10" t="s">
        <v>2222</v>
      </c>
      <c r="F1920" s="10">
        <v>0</v>
      </c>
      <c r="G1920" s="10" t="s">
        <v>343</v>
      </c>
      <c r="H1920" s="10">
        <v>0</v>
      </c>
      <c r="I1920" s="10" t="s">
        <v>343</v>
      </c>
      <c r="J1920" s="11">
        <v>9107</v>
      </c>
      <c r="K1920" s="11">
        <v>10478</v>
      </c>
      <c r="L1920" s="11">
        <v>19585</v>
      </c>
      <c r="M1920" s="11">
        <v>12945</v>
      </c>
    </row>
    <row r="1921" spans="1:13" x14ac:dyDescent="0.3">
      <c r="A1921" s="10">
        <v>6712</v>
      </c>
      <c r="B1921" s="10">
        <v>70</v>
      </c>
      <c r="C1921" s="10" t="s">
        <v>2223</v>
      </c>
      <c r="D1921" s="10">
        <v>0</v>
      </c>
      <c r="E1921" s="10" t="s">
        <v>343</v>
      </c>
      <c r="F1921" s="10">
        <v>0</v>
      </c>
      <c r="G1921" s="10" t="s">
        <v>343</v>
      </c>
      <c r="H1921" s="10">
        <v>0</v>
      </c>
      <c r="I1921" s="10" t="s">
        <v>343</v>
      </c>
      <c r="J1921" s="11">
        <v>418947</v>
      </c>
      <c r="K1921" s="11">
        <v>445090</v>
      </c>
      <c r="L1921" s="11">
        <v>864037</v>
      </c>
      <c r="M1921" s="11">
        <v>350718</v>
      </c>
    </row>
    <row r="1922" spans="1:13" x14ac:dyDescent="0.3">
      <c r="A1922" s="10">
        <v>6712</v>
      </c>
      <c r="B1922" s="10">
        <v>70</v>
      </c>
      <c r="C1922" s="10" t="s">
        <v>2223</v>
      </c>
      <c r="D1922" s="10">
        <v>7001</v>
      </c>
      <c r="E1922" s="10" t="s">
        <v>2224</v>
      </c>
      <c r="F1922" s="10">
        <v>0</v>
      </c>
      <c r="G1922" s="10" t="s">
        <v>343</v>
      </c>
      <c r="H1922" s="10">
        <v>0</v>
      </c>
      <c r="I1922" s="10" t="s">
        <v>343</v>
      </c>
      <c r="J1922" s="11">
        <v>60153</v>
      </c>
      <c r="K1922" s="11">
        <v>63962</v>
      </c>
      <c r="L1922" s="11">
        <v>124115</v>
      </c>
      <c r="M1922" s="11">
        <v>52162</v>
      </c>
    </row>
    <row r="1923" spans="1:13" x14ac:dyDescent="0.3">
      <c r="A1923" s="10">
        <v>6712</v>
      </c>
      <c r="B1923" s="10">
        <v>70</v>
      </c>
      <c r="C1923" s="10" t="s">
        <v>2223</v>
      </c>
      <c r="D1923" s="10">
        <v>7002</v>
      </c>
      <c r="E1923" s="10" t="s">
        <v>2225</v>
      </c>
      <c r="F1923" s="10">
        <v>0</v>
      </c>
      <c r="G1923" s="10" t="s">
        <v>343</v>
      </c>
      <c r="H1923" s="10">
        <v>0</v>
      </c>
      <c r="I1923" s="10" t="s">
        <v>343</v>
      </c>
      <c r="J1923" s="11">
        <v>28696</v>
      </c>
      <c r="K1923" s="11">
        <v>29645</v>
      </c>
      <c r="L1923" s="11">
        <v>58341</v>
      </c>
      <c r="M1923" s="11">
        <v>20865</v>
      </c>
    </row>
    <row r="1924" spans="1:13" x14ac:dyDescent="0.3">
      <c r="A1924" s="10">
        <v>6712</v>
      </c>
      <c r="B1924" s="10">
        <v>70</v>
      </c>
      <c r="C1924" s="10" t="s">
        <v>2223</v>
      </c>
      <c r="D1924" s="10">
        <v>7003</v>
      </c>
      <c r="E1924" s="10" t="s">
        <v>2226</v>
      </c>
      <c r="F1924" s="10">
        <v>0</v>
      </c>
      <c r="G1924" s="10" t="s">
        <v>343</v>
      </c>
      <c r="H1924" s="10">
        <v>0</v>
      </c>
      <c r="I1924" s="10" t="s">
        <v>343</v>
      </c>
      <c r="J1924" s="11">
        <v>25022</v>
      </c>
      <c r="K1924" s="11">
        <v>23126</v>
      </c>
      <c r="L1924" s="11">
        <v>48148</v>
      </c>
      <c r="M1924" s="11">
        <v>15578</v>
      </c>
    </row>
    <row r="1925" spans="1:13" x14ac:dyDescent="0.3">
      <c r="A1925" s="10">
        <v>6712</v>
      </c>
      <c r="B1925" s="10">
        <v>70</v>
      </c>
      <c r="C1925" s="10" t="s">
        <v>2223</v>
      </c>
      <c r="D1925" s="10">
        <v>7004</v>
      </c>
      <c r="E1925" s="10" t="s">
        <v>2227</v>
      </c>
      <c r="F1925" s="10">
        <v>0</v>
      </c>
      <c r="G1925" s="10" t="s">
        <v>343</v>
      </c>
      <c r="H1925" s="10">
        <v>0</v>
      </c>
      <c r="I1925" s="10" t="s">
        <v>343</v>
      </c>
      <c r="J1925" s="11">
        <v>34870</v>
      </c>
      <c r="K1925" s="11">
        <v>37345</v>
      </c>
      <c r="L1925" s="11">
        <v>72215</v>
      </c>
      <c r="M1925" s="11">
        <v>24547</v>
      </c>
    </row>
    <row r="1926" spans="1:13" x14ac:dyDescent="0.3">
      <c r="A1926" s="10">
        <v>6712</v>
      </c>
      <c r="B1926" s="10">
        <v>70</v>
      </c>
      <c r="C1926" s="10" t="s">
        <v>2223</v>
      </c>
      <c r="D1926" s="10">
        <v>7005</v>
      </c>
      <c r="E1926" s="10" t="s">
        <v>2228</v>
      </c>
      <c r="F1926" s="10">
        <v>0</v>
      </c>
      <c r="G1926" s="10" t="s">
        <v>343</v>
      </c>
      <c r="H1926" s="10">
        <v>0</v>
      </c>
      <c r="I1926" s="10" t="s">
        <v>343</v>
      </c>
      <c r="J1926" s="11">
        <v>46318</v>
      </c>
      <c r="K1926" s="11">
        <v>50415</v>
      </c>
      <c r="L1926" s="11">
        <v>96733</v>
      </c>
      <c r="M1926" s="11">
        <v>39680</v>
      </c>
    </row>
    <row r="1927" spans="1:13" x14ac:dyDescent="0.3">
      <c r="A1927" s="10">
        <v>6712</v>
      </c>
      <c r="B1927" s="10">
        <v>70</v>
      </c>
      <c r="C1927" s="10" t="s">
        <v>2223</v>
      </c>
      <c r="D1927" s="10">
        <v>7006</v>
      </c>
      <c r="E1927" s="10" t="s">
        <v>2229</v>
      </c>
      <c r="F1927" s="10">
        <v>0</v>
      </c>
      <c r="G1927" s="10" t="s">
        <v>343</v>
      </c>
      <c r="H1927" s="10">
        <v>0</v>
      </c>
      <c r="I1927" s="10" t="s">
        <v>343</v>
      </c>
      <c r="J1927" s="11">
        <v>8438</v>
      </c>
      <c r="K1927" s="11">
        <v>9222</v>
      </c>
      <c r="L1927" s="11">
        <v>17660</v>
      </c>
      <c r="M1927" s="11">
        <v>6927</v>
      </c>
    </row>
    <row r="1928" spans="1:13" x14ac:dyDescent="0.3">
      <c r="A1928" s="10">
        <v>6712</v>
      </c>
      <c r="B1928" s="10">
        <v>70</v>
      </c>
      <c r="C1928" s="10" t="s">
        <v>2223</v>
      </c>
      <c r="D1928" s="10">
        <v>7007</v>
      </c>
      <c r="E1928" s="10" t="s">
        <v>2230</v>
      </c>
      <c r="F1928" s="10">
        <v>0</v>
      </c>
      <c r="G1928" s="10" t="s">
        <v>343</v>
      </c>
      <c r="H1928" s="10">
        <v>0</v>
      </c>
      <c r="I1928" s="10" t="s">
        <v>343</v>
      </c>
      <c r="J1928" s="11">
        <v>34461</v>
      </c>
      <c r="K1928" s="11">
        <v>36798</v>
      </c>
      <c r="L1928" s="11">
        <v>71259</v>
      </c>
      <c r="M1928" s="11">
        <v>27161</v>
      </c>
    </row>
    <row r="1929" spans="1:13" x14ac:dyDescent="0.3">
      <c r="A1929" s="10">
        <v>6712</v>
      </c>
      <c r="B1929" s="10">
        <v>70</v>
      </c>
      <c r="C1929" s="10" t="s">
        <v>2223</v>
      </c>
      <c r="D1929" s="10">
        <v>7008</v>
      </c>
      <c r="E1929" s="10" t="s">
        <v>2231</v>
      </c>
      <c r="F1929" s="10">
        <v>0</v>
      </c>
      <c r="G1929" s="10" t="s">
        <v>343</v>
      </c>
      <c r="H1929" s="10">
        <v>0</v>
      </c>
      <c r="I1929" s="10" t="s">
        <v>343</v>
      </c>
      <c r="J1929" s="11">
        <v>25565</v>
      </c>
      <c r="K1929" s="11">
        <v>26158</v>
      </c>
      <c r="L1929" s="11">
        <v>51723</v>
      </c>
      <c r="M1929" s="11">
        <v>19939</v>
      </c>
    </row>
    <row r="1930" spans="1:13" x14ac:dyDescent="0.3">
      <c r="A1930" s="10">
        <v>6712</v>
      </c>
      <c r="B1930" s="10">
        <v>70</v>
      </c>
      <c r="C1930" s="10" t="s">
        <v>2223</v>
      </c>
      <c r="D1930" s="10">
        <v>7009</v>
      </c>
      <c r="E1930" s="10" t="s">
        <v>2232</v>
      </c>
      <c r="F1930" s="10">
        <v>0</v>
      </c>
      <c r="G1930" s="10" t="s">
        <v>343</v>
      </c>
      <c r="H1930" s="10">
        <v>0</v>
      </c>
      <c r="I1930" s="10" t="s">
        <v>343</v>
      </c>
      <c r="J1930" s="11">
        <v>5071</v>
      </c>
      <c r="K1930" s="11">
        <v>5598</v>
      </c>
      <c r="L1930" s="11">
        <v>10669</v>
      </c>
      <c r="M1930" s="11">
        <v>3836</v>
      </c>
    </row>
    <row r="1931" spans="1:13" x14ac:dyDescent="0.3">
      <c r="A1931" s="10">
        <v>6712</v>
      </c>
      <c r="B1931" s="10">
        <v>70</v>
      </c>
      <c r="C1931" s="10" t="s">
        <v>2223</v>
      </c>
      <c r="D1931" s="10">
        <v>7010</v>
      </c>
      <c r="E1931" s="10" t="s">
        <v>2233</v>
      </c>
      <c r="F1931" s="10">
        <v>0</v>
      </c>
      <c r="G1931" s="10" t="s">
        <v>343</v>
      </c>
      <c r="H1931" s="10">
        <v>0</v>
      </c>
      <c r="I1931" s="10" t="s">
        <v>343</v>
      </c>
      <c r="J1931" s="11">
        <v>12777</v>
      </c>
      <c r="K1931" s="11">
        <v>12288</v>
      </c>
      <c r="L1931" s="11">
        <v>25065</v>
      </c>
      <c r="M1931" s="11">
        <v>10157</v>
      </c>
    </row>
    <row r="1932" spans="1:13" x14ac:dyDescent="0.3">
      <c r="A1932" s="10">
        <v>6712</v>
      </c>
      <c r="B1932" s="10">
        <v>70</v>
      </c>
      <c r="C1932" s="10" t="s">
        <v>2223</v>
      </c>
      <c r="D1932" s="10">
        <v>7070</v>
      </c>
      <c r="E1932" s="10" t="s">
        <v>2234</v>
      </c>
      <c r="F1932" s="10">
        <v>0</v>
      </c>
      <c r="G1932" s="10" t="s">
        <v>343</v>
      </c>
      <c r="H1932" s="10">
        <v>0</v>
      </c>
      <c r="I1932" s="10" t="s">
        <v>343</v>
      </c>
      <c r="J1932" s="11">
        <v>3322</v>
      </c>
      <c r="K1932" s="11">
        <v>3706</v>
      </c>
      <c r="L1932" s="11">
        <v>7028</v>
      </c>
      <c r="M1932" s="11">
        <v>3366</v>
      </c>
    </row>
    <row r="1933" spans="1:13" x14ac:dyDescent="0.3">
      <c r="A1933" s="10">
        <v>6712</v>
      </c>
      <c r="B1933" s="10">
        <v>70</v>
      </c>
      <c r="C1933" s="10" t="s">
        <v>2223</v>
      </c>
      <c r="D1933" s="10">
        <v>7071</v>
      </c>
      <c r="E1933" s="10" t="s">
        <v>2235</v>
      </c>
      <c r="F1933" s="10">
        <v>0</v>
      </c>
      <c r="G1933" s="10" t="s">
        <v>343</v>
      </c>
      <c r="H1933" s="10">
        <v>0</v>
      </c>
      <c r="I1933" s="10" t="s">
        <v>343</v>
      </c>
      <c r="J1933" s="11">
        <v>2534</v>
      </c>
      <c r="K1933" s="11">
        <v>2675</v>
      </c>
      <c r="L1933" s="11">
        <v>5209</v>
      </c>
      <c r="M1933" s="11">
        <v>2007</v>
      </c>
    </row>
    <row r="1934" spans="1:13" x14ac:dyDescent="0.3">
      <c r="A1934" s="10">
        <v>6712</v>
      </c>
      <c r="B1934" s="10">
        <v>70</v>
      </c>
      <c r="C1934" s="10" t="s">
        <v>2223</v>
      </c>
      <c r="D1934" s="10">
        <v>7072</v>
      </c>
      <c r="E1934" s="10" t="s">
        <v>2236</v>
      </c>
      <c r="F1934" s="10">
        <v>0</v>
      </c>
      <c r="G1934" s="10" t="s">
        <v>343</v>
      </c>
      <c r="H1934" s="10">
        <v>0</v>
      </c>
      <c r="I1934" s="10" t="s">
        <v>343</v>
      </c>
      <c r="J1934" s="11">
        <v>7654</v>
      </c>
      <c r="K1934" s="11">
        <v>8712</v>
      </c>
      <c r="L1934" s="11">
        <v>16366</v>
      </c>
      <c r="M1934" s="11">
        <v>7156</v>
      </c>
    </row>
    <row r="1935" spans="1:13" x14ac:dyDescent="0.3">
      <c r="A1935" s="10">
        <v>6712</v>
      </c>
      <c r="B1935" s="10">
        <v>70</v>
      </c>
      <c r="C1935" s="10" t="s">
        <v>2223</v>
      </c>
      <c r="D1935" s="10">
        <v>7073</v>
      </c>
      <c r="E1935" s="10" t="s">
        <v>2122</v>
      </c>
      <c r="F1935" s="10">
        <v>0</v>
      </c>
      <c r="G1935" s="10" t="s">
        <v>343</v>
      </c>
      <c r="H1935" s="10">
        <v>0</v>
      </c>
      <c r="I1935" s="10" t="s">
        <v>343</v>
      </c>
      <c r="J1935" s="11">
        <v>6903</v>
      </c>
      <c r="K1935" s="11">
        <v>7043</v>
      </c>
      <c r="L1935" s="11">
        <v>13946</v>
      </c>
      <c r="M1935" s="11">
        <v>4712</v>
      </c>
    </row>
    <row r="1936" spans="1:13" x14ac:dyDescent="0.3">
      <c r="A1936" s="10">
        <v>6712</v>
      </c>
      <c r="B1936" s="10">
        <v>70</v>
      </c>
      <c r="C1936" s="10" t="s">
        <v>2223</v>
      </c>
      <c r="D1936" s="10">
        <v>7074</v>
      </c>
      <c r="E1936" s="10" t="s">
        <v>2237</v>
      </c>
      <c r="F1936" s="10">
        <v>0</v>
      </c>
      <c r="G1936" s="10" t="s">
        <v>343</v>
      </c>
      <c r="H1936" s="10">
        <v>0</v>
      </c>
      <c r="I1936" s="10" t="s">
        <v>343</v>
      </c>
      <c r="J1936" s="11">
        <v>4122</v>
      </c>
      <c r="K1936" s="11">
        <v>4646</v>
      </c>
      <c r="L1936" s="11">
        <v>8768</v>
      </c>
      <c r="M1936" s="11">
        <v>3860</v>
      </c>
    </row>
    <row r="1937" spans="1:13" x14ac:dyDescent="0.3">
      <c r="A1937" s="10">
        <v>6712</v>
      </c>
      <c r="B1937" s="10">
        <v>70</v>
      </c>
      <c r="C1937" s="10" t="s">
        <v>2223</v>
      </c>
      <c r="D1937" s="10">
        <v>7075</v>
      </c>
      <c r="E1937" s="10" t="s">
        <v>2238</v>
      </c>
      <c r="F1937" s="10">
        <v>0</v>
      </c>
      <c r="G1937" s="10" t="s">
        <v>343</v>
      </c>
      <c r="H1937" s="10">
        <v>0</v>
      </c>
      <c r="I1937" s="10" t="s">
        <v>343</v>
      </c>
      <c r="J1937" s="11">
        <v>6154</v>
      </c>
      <c r="K1937" s="11">
        <v>6710</v>
      </c>
      <c r="L1937" s="11">
        <v>12864</v>
      </c>
      <c r="M1937" s="11">
        <v>4138</v>
      </c>
    </row>
    <row r="1938" spans="1:13" x14ac:dyDescent="0.3">
      <c r="A1938" s="10">
        <v>6712</v>
      </c>
      <c r="B1938" s="10">
        <v>70</v>
      </c>
      <c r="C1938" s="10" t="s">
        <v>2223</v>
      </c>
      <c r="D1938" s="10">
        <v>7076</v>
      </c>
      <c r="E1938" s="10" t="s">
        <v>2239</v>
      </c>
      <c r="F1938" s="10">
        <v>0</v>
      </c>
      <c r="G1938" s="10" t="s">
        <v>343</v>
      </c>
      <c r="H1938" s="10">
        <v>0</v>
      </c>
      <c r="I1938" s="10" t="s">
        <v>343</v>
      </c>
      <c r="J1938" s="11">
        <v>5694</v>
      </c>
      <c r="K1938" s="11">
        <v>6309</v>
      </c>
      <c r="L1938" s="11">
        <v>12003</v>
      </c>
      <c r="M1938" s="11">
        <v>4825</v>
      </c>
    </row>
    <row r="1939" spans="1:13" x14ac:dyDescent="0.3">
      <c r="A1939" s="10">
        <v>6712</v>
      </c>
      <c r="B1939" s="10">
        <v>70</v>
      </c>
      <c r="C1939" s="10" t="s">
        <v>2223</v>
      </c>
      <c r="D1939" s="10">
        <v>7077</v>
      </c>
      <c r="E1939" s="10" t="s">
        <v>2240</v>
      </c>
      <c r="F1939" s="10">
        <v>0</v>
      </c>
      <c r="G1939" s="10" t="s">
        <v>343</v>
      </c>
      <c r="H1939" s="10">
        <v>0</v>
      </c>
      <c r="I1939" s="10" t="s">
        <v>343</v>
      </c>
      <c r="J1939" s="10">
        <v>633</v>
      </c>
      <c r="K1939" s="10">
        <v>704</v>
      </c>
      <c r="L1939" s="11">
        <v>1337</v>
      </c>
      <c r="M1939" s="10">
        <v>569</v>
      </c>
    </row>
    <row r="1940" spans="1:13" x14ac:dyDescent="0.3">
      <c r="A1940" s="10">
        <v>6712</v>
      </c>
      <c r="B1940" s="10">
        <v>70</v>
      </c>
      <c r="C1940" s="10" t="s">
        <v>2223</v>
      </c>
      <c r="D1940" s="10">
        <v>7078</v>
      </c>
      <c r="E1940" s="10" t="s">
        <v>2241</v>
      </c>
      <c r="F1940" s="10">
        <v>0</v>
      </c>
      <c r="G1940" s="10" t="s">
        <v>343</v>
      </c>
      <c r="H1940" s="10">
        <v>0</v>
      </c>
      <c r="I1940" s="10" t="s">
        <v>343</v>
      </c>
      <c r="J1940" s="11">
        <v>1305</v>
      </c>
      <c r="K1940" s="11">
        <v>1394</v>
      </c>
      <c r="L1940" s="11">
        <v>2699</v>
      </c>
      <c r="M1940" s="11">
        <v>1449</v>
      </c>
    </row>
    <row r="1941" spans="1:13" x14ac:dyDescent="0.3">
      <c r="A1941" s="10">
        <v>6712</v>
      </c>
      <c r="B1941" s="10">
        <v>70</v>
      </c>
      <c r="C1941" s="10" t="s">
        <v>2223</v>
      </c>
      <c r="D1941" s="10">
        <v>7079</v>
      </c>
      <c r="E1941" s="10" t="s">
        <v>2242</v>
      </c>
      <c r="F1941" s="10">
        <v>0</v>
      </c>
      <c r="G1941" s="10" t="s">
        <v>343</v>
      </c>
      <c r="H1941" s="10">
        <v>0</v>
      </c>
      <c r="I1941" s="10" t="s">
        <v>343</v>
      </c>
      <c r="J1941" s="11">
        <v>1740</v>
      </c>
      <c r="K1941" s="11">
        <v>2025</v>
      </c>
      <c r="L1941" s="11">
        <v>3765</v>
      </c>
      <c r="M1941" s="11">
        <v>2282</v>
      </c>
    </row>
    <row r="1942" spans="1:13" x14ac:dyDescent="0.3">
      <c r="A1942" s="10">
        <v>6712</v>
      </c>
      <c r="B1942" s="10">
        <v>70</v>
      </c>
      <c r="C1942" s="10" t="s">
        <v>2223</v>
      </c>
      <c r="D1942" s="10">
        <v>7080</v>
      </c>
      <c r="E1942" s="10" t="s">
        <v>2243</v>
      </c>
      <c r="F1942" s="10">
        <v>0</v>
      </c>
      <c r="G1942" s="10" t="s">
        <v>343</v>
      </c>
      <c r="H1942" s="10">
        <v>0</v>
      </c>
      <c r="I1942" s="10" t="s">
        <v>343</v>
      </c>
      <c r="J1942" s="11">
        <v>5287</v>
      </c>
      <c r="K1942" s="11">
        <v>5840</v>
      </c>
      <c r="L1942" s="11">
        <v>11127</v>
      </c>
      <c r="M1942" s="11">
        <v>5599</v>
      </c>
    </row>
    <row r="1943" spans="1:13" x14ac:dyDescent="0.3">
      <c r="A1943" s="10">
        <v>6712</v>
      </c>
      <c r="B1943" s="10">
        <v>70</v>
      </c>
      <c r="C1943" s="10" t="s">
        <v>2223</v>
      </c>
      <c r="D1943" s="10">
        <v>7081</v>
      </c>
      <c r="E1943" s="10" t="s">
        <v>2244</v>
      </c>
      <c r="F1943" s="10">
        <v>0</v>
      </c>
      <c r="G1943" s="10" t="s">
        <v>343</v>
      </c>
      <c r="H1943" s="10">
        <v>0</v>
      </c>
      <c r="I1943" s="10" t="s">
        <v>343</v>
      </c>
      <c r="J1943" s="11">
        <v>2752</v>
      </c>
      <c r="K1943" s="11">
        <v>3044</v>
      </c>
      <c r="L1943" s="11">
        <v>5796</v>
      </c>
      <c r="M1943" s="11">
        <v>2484</v>
      </c>
    </row>
    <row r="1944" spans="1:13" x14ac:dyDescent="0.3">
      <c r="A1944" s="10">
        <v>6712</v>
      </c>
      <c r="B1944" s="10">
        <v>70</v>
      </c>
      <c r="C1944" s="10" t="s">
        <v>2223</v>
      </c>
      <c r="D1944" s="10">
        <v>7082</v>
      </c>
      <c r="E1944" s="10" t="s">
        <v>2245</v>
      </c>
      <c r="F1944" s="10">
        <v>0</v>
      </c>
      <c r="G1944" s="10" t="s">
        <v>343</v>
      </c>
      <c r="H1944" s="10">
        <v>0</v>
      </c>
      <c r="I1944" s="10" t="s">
        <v>343</v>
      </c>
      <c r="J1944" s="11">
        <v>3528</v>
      </c>
      <c r="K1944" s="11">
        <v>3763</v>
      </c>
      <c r="L1944" s="11">
        <v>7291</v>
      </c>
      <c r="M1944" s="11">
        <v>2763</v>
      </c>
    </row>
    <row r="1945" spans="1:13" x14ac:dyDescent="0.3">
      <c r="A1945" s="10">
        <v>6712</v>
      </c>
      <c r="B1945" s="10">
        <v>70</v>
      </c>
      <c r="C1945" s="10" t="s">
        <v>2223</v>
      </c>
      <c r="D1945" s="10">
        <v>7083</v>
      </c>
      <c r="E1945" s="10" t="s">
        <v>2246</v>
      </c>
      <c r="F1945" s="10">
        <v>0</v>
      </c>
      <c r="G1945" s="10" t="s">
        <v>343</v>
      </c>
      <c r="H1945" s="10">
        <v>0</v>
      </c>
      <c r="I1945" s="10" t="s">
        <v>343</v>
      </c>
      <c r="J1945" s="11">
        <v>5028</v>
      </c>
      <c r="K1945" s="11">
        <v>5360</v>
      </c>
      <c r="L1945" s="11">
        <v>10388</v>
      </c>
      <c r="M1945" s="11">
        <v>3893</v>
      </c>
    </row>
    <row r="1946" spans="1:13" x14ac:dyDescent="0.3">
      <c r="A1946" s="10">
        <v>6712</v>
      </c>
      <c r="B1946" s="10">
        <v>70</v>
      </c>
      <c r="C1946" s="10" t="s">
        <v>2223</v>
      </c>
      <c r="D1946" s="10">
        <v>7084</v>
      </c>
      <c r="E1946" s="10" t="s">
        <v>2247</v>
      </c>
      <c r="F1946" s="10">
        <v>0</v>
      </c>
      <c r="G1946" s="10" t="s">
        <v>343</v>
      </c>
      <c r="H1946" s="10">
        <v>0</v>
      </c>
      <c r="I1946" s="10" t="s">
        <v>343</v>
      </c>
      <c r="J1946" s="11">
        <v>7546</v>
      </c>
      <c r="K1946" s="11">
        <v>8316</v>
      </c>
      <c r="L1946" s="11">
        <v>15862</v>
      </c>
      <c r="M1946" s="11">
        <v>6970</v>
      </c>
    </row>
    <row r="1947" spans="1:13" x14ac:dyDescent="0.3">
      <c r="A1947" s="10">
        <v>6712</v>
      </c>
      <c r="B1947" s="10">
        <v>70</v>
      </c>
      <c r="C1947" s="10" t="s">
        <v>2223</v>
      </c>
      <c r="D1947" s="10">
        <v>7085</v>
      </c>
      <c r="E1947" s="10" t="s">
        <v>2248</v>
      </c>
      <c r="F1947" s="10">
        <v>0</v>
      </c>
      <c r="G1947" s="10" t="s">
        <v>343</v>
      </c>
      <c r="H1947" s="10">
        <v>0</v>
      </c>
      <c r="I1947" s="10" t="s">
        <v>343</v>
      </c>
      <c r="J1947" s="10">
        <v>781</v>
      </c>
      <c r="K1947" s="10">
        <v>814</v>
      </c>
      <c r="L1947" s="11">
        <v>1595</v>
      </c>
      <c r="M1947" s="10">
        <v>750</v>
      </c>
    </row>
    <row r="1948" spans="1:13" x14ac:dyDescent="0.3">
      <c r="A1948" s="10">
        <v>6712</v>
      </c>
      <c r="B1948" s="10">
        <v>70</v>
      </c>
      <c r="C1948" s="10" t="s">
        <v>2223</v>
      </c>
      <c r="D1948" s="10">
        <v>7086</v>
      </c>
      <c r="E1948" s="10" t="s">
        <v>2249</v>
      </c>
      <c r="F1948" s="10">
        <v>0</v>
      </c>
      <c r="G1948" s="10" t="s">
        <v>343</v>
      </c>
      <c r="H1948" s="10">
        <v>0</v>
      </c>
      <c r="I1948" s="10" t="s">
        <v>343</v>
      </c>
      <c r="J1948" s="11">
        <v>9616</v>
      </c>
      <c r="K1948" s="11">
        <v>10326</v>
      </c>
      <c r="L1948" s="11">
        <v>19942</v>
      </c>
      <c r="M1948" s="11">
        <v>8822</v>
      </c>
    </row>
    <row r="1949" spans="1:13" x14ac:dyDescent="0.3">
      <c r="A1949" s="10">
        <v>6712</v>
      </c>
      <c r="B1949" s="10">
        <v>70</v>
      </c>
      <c r="C1949" s="10" t="s">
        <v>2223</v>
      </c>
      <c r="D1949" s="10">
        <v>7087</v>
      </c>
      <c r="E1949" s="10" t="s">
        <v>2250</v>
      </c>
      <c r="F1949" s="10">
        <v>0</v>
      </c>
      <c r="G1949" s="10" t="s">
        <v>343</v>
      </c>
      <c r="H1949" s="10">
        <v>0</v>
      </c>
      <c r="I1949" s="10" t="s">
        <v>343</v>
      </c>
      <c r="J1949" s="11">
        <v>3695</v>
      </c>
      <c r="K1949" s="11">
        <v>4087</v>
      </c>
      <c r="L1949" s="11">
        <v>7782</v>
      </c>
      <c r="M1949" s="11">
        <v>4028</v>
      </c>
    </row>
    <row r="1950" spans="1:13" x14ac:dyDescent="0.3">
      <c r="A1950" s="10">
        <v>6712</v>
      </c>
      <c r="B1950" s="10">
        <v>70</v>
      </c>
      <c r="C1950" s="10" t="s">
        <v>2223</v>
      </c>
      <c r="D1950" s="10">
        <v>7088</v>
      </c>
      <c r="E1950" s="10" t="s">
        <v>2251</v>
      </c>
      <c r="F1950" s="10">
        <v>0</v>
      </c>
      <c r="G1950" s="10" t="s">
        <v>343</v>
      </c>
      <c r="H1950" s="10">
        <v>0</v>
      </c>
      <c r="I1950" s="10" t="s">
        <v>343</v>
      </c>
      <c r="J1950" s="11">
        <v>4870</v>
      </c>
      <c r="K1950" s="11">
        <v>5400</v>
      </c>
      <c r="L1950" s="11">
        <v>10270</v>
      </c>
      <c r="M1950" s="11">
        <v>3637</v>
      </c>
    </row>
    <row r="1951" spans="1:13" x14ac:dyDescent="0.3">
      <c r="A1951" s="10">
        <v>6712</v>
      </c>
      <c r="B1951" s="10">
        <v>70</v>
      </c>
      <c r="C1951" s="10" t="s">
        <v>2223</v>
      </c>
      <c r="D1951" s="10">
        <v>7089</v>
      </c>
      <c r="E1951" s="10" t="s">
        <v>2252</v>
      </c>
      <c r="F1951" s="10">
        <v>0</v>
      </c>
      <c r="G1951" s="10" t="s">
        <v>343</v>
      </c>
      <c r="H1951" s="10">
        <v>0</v>
      </c>
      <c r="I1951" s="10" t="s">
        <v>343</v>
      </c>
      <c r="J1951" s="11">
        <v>3204</v>
      </c>
      <c r="K1951" s="11">
        <v>3670</v>
      </c>
      <c r="L1951" s="11">
        <v>6874</v>
      </c>
      <c r="M1951" s="11">
        <v>3361</v>
      </c>
    </row>
    <row r="1952" spans="1:13" x14ac:dyDescent="0.3">
      <c r="A1952" s="10">
        <v>6712</v>
      </c>
      <c r="B1952" s="10">
        <v>70</v>
      </c>
      <c r="C1952" s="10" t="s">
        <v>2223</v>
      </c>
      <c r="D1952" s="10">
        <v>7090</v>
      </c>
      <c r="E1952" s="10" t="s">
        <v>2253</v>
      </c>
      <c r="F1952" s="10">
        <v>0</v>
      </c>
      <c r="G1952" s="10" t="s">
        <v>343</v>
      </c>
      <c r="H1952" s="10">
        <v>0</v>
      </c>
      <c r="I1952" s="10" t="s">
        <v>343</v>
      </c>
      <c r="J1952" s="11">
        <v>1733</v>
      </c>
      <c r="K1952" s="11">
        <v>1730</v>
      </c>
      <c r="L1952" s="11">
        <v>3463</v>
      </c>
      <c r="M1952" s="11">
        <v>1934</v>
      </c>
    </row>
    <row r="1953" spans="1:13" x14ac:dyDescent="0.3">
      <c r="A1953" s="10">
        <v>6712</v>
      </c>
      <c r="B1953" s="10">
        <v>70</v>
      </c>
      <c r="C1953" s="10" t="s">
        <v>2223</v>
      </c>
      <c r="D1953" s="10">
        <v>7091</v>
      </c>
      <c r="E1953" s="10" t="s">
        <v>2254</v>
      </c>
      <c r="F1953" s="10">
        <v>0</v>
      </c>
      <c r="G1953" s="10" t="s">
        <v>343</v>
      </c>
      <c r="H1953" s="10">
        <v>0</v>
      </c>
      <c r="I1953" s="10" t="s">
        <v>343</v>
      </c>
      <c r="J1953" s="11">
        <v>1897</v>
      </c>
      <c r="K1953" s="11">
        <v>1901</v>
      </c>
      <c r="L1953" s="11">
        <v>3798</v>
      </c>
      <c r="M1953" s="11">
        <v>2012</v>
      </c>
    </row>
    <row r="1954" spans="1:13" x14ac:dyDescent="0.3">
      <c r="A1954" s="10">
        <v>6712</v>
      </c>
      <c r="B1954" s="10">
        <v>70</v>
      </c>
      <c r="C1954" s="10" t="s">
        <v>2223</v>
      </c>
      <c r="D1954" s="10">
        <v>7092</v>
      </c>
      <c r="E1954" s="10" t="s">
        <v>2255</v>
      </c>
      <c r="F1954" s="10">
        <v>0</v>
      </c>
      <c r="G1954" s="10" t="s">
        <v>343</v>
      </c>
      <c r="H1954" s="10">
        <v>0</v>
      </c>
      <c r="I1954" s="10" t="s">
        <v>343</v>
      </c>
      <c r="J1954" s="11">
        <v>1249</v>
      </c>
      <c r="K1954" s="11">
        <v>1223</v>
      </c>
      <c r="L1954" s="11">
        <v>2472</v>
      </c>
      <c r="M1954" s="10">
        <v>862</v>
      </c>
    </row>
    <row r="1955" spans="1:13" x14ac:dyDescent="0.3">
      <c r="A1955" s="10">
        <v>6712</v>
      </c>
      <c r="B1955" s="10">
        <v>70</v>
      </c>
      <c r="C1955" s="10" t="s">
        <v>2223</v>
      </c>
      <c r="D1955" s="10">
        <v>7093</v>
      </c>
      <c r="E1955" s="10" t="s">
        <v>2256</v>
      </c>
      <c r="F1955" s="10">
        <v>0</v>
      </c>
      <c r="G1955" s="10" t="s">
        <v>343</v>
      </c>
      <c r="H1955" s="10">
        <v>0</v>
      </c>
      <c r="I1955" s="10" t="s">
        <v>343</v>
      </c>
      <c r="J1955" s="11">
        <v>2207</v>
      </c>
      <c r="K1955" s="11">
        <v>2536</v>
      </c>
      <c r="L1955" s="11">
        <v>4743</v>
      </c>
      <c r="M1955" s="11">
        <v>3798</v>
      </c>
    </row>
    <row r="1956" spans="1:13" x14ac:dyDescent="0.3">
      <c r="A1956" s="10">
        <v>6712</v>
      </c>
      <c r="B1956" s="10">
        <v>70</v>
      </c>
      <c r="C1956" s="10" t="s">
        <v>2223</v>
      </c>
      <c r="D1956" s="10">
        <v>7094</v>
      </c>
      <c r="E1956" s="10" t="s">
        <v>2257</v>
      </c>
      <c r="F1956" s="10">
        <v>0</v>
      </c>
      <c r="G1956" s="10" t="s">
        <v>343</v>
      </c>
      <c r="H1956" s="10">
        <v>0</v>
      </c>
      <c r="I1956" s="10" t="s">
        <v>343</v>
      </c>
      <c r="J1956" s="11">
        <v>5301</v>
      </c>
      <c r="K1956" s="11">
        <v>5761</v>
      </c>
      <c r="L1956" s="11">
        <v>11062</v>
      </c>
      <c r="M1956" s="11">
        <v>4694</v>
      </c>
    </row>
    <row r="1957" spans="1:13" x14ac:dyDescent="0.3">
      <c r="A1957" s="10">
        <v>6712</v>
      </c>
      <c r="B1957" s="10">
        <v>70</v>
      </c>
      <c r="C1957" s="10" t="s">
        <v>2223</v>
      </c>
      <c r="D1957" s="10">
        <v>7095</v>
      </c>
      <c r="E1957" s="10" t="s">
        <v>2258</v>
      </c>
      <c r="F1957" s="10">
        <v>0</v>
      </c>
      <c r="G1957" s="10" t="s">
        <v>343</v>
      </c>
      <c r="H1957" s="10">
        <v>0</v>
      </c>
      <c r="I1957" s="10" t="s">
        <v>343</v>
      </c>
      <c r="J1957" s="11">
        <v>8940</v>
      </c>
      <c r="K1957" s="11">
        <v>8092</v>
      </c>
      <c r="L1957" s="11">
        <v>17032</v>
      </c>
      <c r="M1957" s="11">
        <v>7609</v>
      </c>
    </row>
    <row r="1958" spans="1:13" x14ac:dyDescent="0.3">
      <c r="A1958" s="10">
        <v>6712</v>
      </c>
      <c r="B1958" s="10">
        <v>70</v>
      </c>
      <c r="C1958" s="10" t="s">
        <v>2223</v>
      </c>
      <c r="D1958" s="10">
        <v>7096</v>
      </c>
      <c r="E1958" s="10" t="s">
        <v>2259</v>
      </c>
      <c r="F1958" s="10">
        <v>0</v>
      </c>
      <c r="G1958" s="10" t="s">
        <v>343</v>
      </c>
      <c r="H1958" s="10">
        <v>0</v>
      </c>
      <c r="I1958" s="10" t="s">
        <v>343</v>
      </c>
      <c r="J1958" s="11">
        <v>4401</v>
      </c>
      <c r="K1958" s="11">
        <v>4930</v>
      </c>
      <c r="L1958" s="11">
        <v>9331</v>
      </c>
      <c r="M1958" s="11">
        <v>3450</v>
      </c>
    </row>
    <row r="1959" spans="1:13" x14ac:dyDescent="0.3">
      <c r="A1959" s="10">
        <v>6712</v>
      </c>
      <c r="B1959" s="10">
        <v>70</v>
      </c>
      <c r="C1959" s="10" t="s">
        <v>2223</v>
      </c>
      <c r="D1959" s="10">
        <v>7097</v>
      </c>
      <c r="E1959" s="10" t="s">
        <v>2260</v>
      </c>
      <c r="F1959" s="10">
        <v>0</v>
      </c>
      <c r="G1959" s="10" t="s">
        <v>343</v>
      </c>
      <c r="H1959" s="10">
        <v>0</v>
      </c>
      <c r="I1959" s="10" t="s">
        <v>343</v>
      </c>
      <c r="J1959" s="11">
        <v>3770</v>
      </c>
      <c r="K1959" s="11">
        <v>4178</v>
      </c>
      <c r="L1959" s="11">
        <v>7948</v>
      </c>
      <c r="M1959" s="11">
        <v>3801</v>
      </c>
    </row>
    <row r="1960" spans="1:13" x14ac:dyDescent="0.3">
      <c r="A1960" s="10">
        <v>6712</v>
      </c>
      <c r="B1960" s="10">
        <v>70</v>
      </c>
      <c r="C1960" s="10" t="s">
        <v>2223</v>
      </c>
      <c r="D1960" s="10">
        <v>7098</v>
      </c>
      <c r="E1960" s="10" t="s">
        <v>2261</v>
      </c>
      <c r="F1960" s="10">
        <v>0</v>
      </c>
      <c r="G1960" s="10" t="s">
        <v>343</v>
      </c>
      <c r="H1960" s="10">
        <v>0</v>
      </c>
      <c r="I1960" s="10" t="s">
        <v>343</v>
      </c>
      <c r="J1960" s="11">
        <v>6807</v>
      </c>
      <c r="K1960" s="11">
        <v>7837</v>
      </c>
      <c r="L1960" s="11">
        <v>14644</v>
      </c>
      <c r="M1960" s="11">
        <v>8367</v>
      </c>
    </row>
    <row r="1961" spans="1:13" x14ac:dyDescent="0.3">
      <c r="A1961" s="10">
        <v>6712</v>
      </c>
      <c r="B1961" s="10">
        <v>70</v>
      </c>
      <c r="C1961" s="10" t="s">
        <v>2223</v>
      </c>
      <c r="D1961" s="10">
        <v>7099</v>
      </c>
      <c r="E1961" s="10" t="s">
        <v>2262</v>
      </c>
      <c r="F1961" s="10">
        <v>0</v>
      </c>
      <c r="G1961" s="10" t="s">
        <v>343</v>
      </c>
      <c r="H1961" s="10">
        <v>0</v>
      </c>
      <c r="I1961" s="10" t="s">
        <v>343</v>
      </c>
      <c r="J1961" s="11">
        <v>14903</v>
      </c>
      <c r="K1961" s="11">
        <v>17801</v>
      </c>
      <c r="L1961" s="11">
        <v>32704</v>
      </c>
      <c r="M1961" s="11">
        <v>16668</v>
      </c>
    </row>
    <row r="1962" spans="1:13" x14ac:dyDescent="0.3">
      <c r="A1962" s="10">
        <v>6712</v>
      </c>
      <c r="B1962" s="10">
        <v>71</v>
      </c>
      <c r="C1962" s="10" t="s">
        <v>2263</v>
      </c>
      <c r="D1962" s="10">
        <v>0</v>
      </c>
      <c r="E1962" s="10" t="s">
        <v>343</v>
      </c>
      <c r="F1962" s="10">
        <v>0</v>
      </c>
      <c r="G1962" s="10" t="s">
        <v>343</v>
      </c>
      <c r="H1962" s="10">
        <v>0</v>
      </c>
      <c r="I1962" s="10" t="s">
        <v>343</v>
      </c>
      <c r="J1962" s="11">
        <v>447653</v>
      </c>
      <c r="K1962" s="11">
        <v>448698</v>
      </c>
      <c r="L1962" s="11">
        <v>896351</v>
      </c>
      <c r="M1962" s="11">
        <v>370344</v>
      </c>
    </row>
    <row r="1963" spans="1:13" x14ac:dyDescent="0.3">
      <c r="A1963" s="10">
        <v>6712</v>
      </c>
      <c r="B1963" s="10">
        <v>71</v>
      </c>
      <c r="C1963" s="10" t="s">
        <v>2263</v>
      </c>
      <c r="D1963" s="10">
        <v>7101</v>
      </c>
      <c r="E1963" s="10" t="s">
        <v>2264</v>
      </c>
      <c r="F1963" s="10">
        <v>0</v>
      </c>
      <c r="G1963" s="10" t="s">
        <v>343</v>
      </c>
      <c r="H1963" s="10">
        <v>0</v>
      </c>
      <c r="I1963" s="10" t="s">
        <v>343</v>
      </c>
      <c r="J1963" s="11">
        <v>53705</v>
      </c>
      <c r="K1963" s="11">
        <v>43933</v>
      </c>
      <c r="L1963" s="11">
        <v>97638</v>
      </c>
      <c r="M1963" s="11">
        <v>41020</v>
      </c>
    </row>
    <row r="1964" spans="1:13" x14ac:dyDescent="0.3">
      <c r="A1964" s="10">
        <v>6712</v>
      </c>
      <c r="B1964" s="10">
        <v>71</v>
      </c>
      <c r="C1964" s="10" t="s">
        <v>2263</v>
      </c>
      <c r="D1964" s="10">
        <v>7102</v>
      </c>
      <c r="E1964" s="10" t="s">
        <v>2265</v>
      </c>
      <c r="F1964" s="10">
        <v>0</v>
      </c>
      <c r="G1964" s="10" t="s">
        <v>343</v>
      </c>
      <c r="H1964" s="10">
        <v>0</v>
      </c>
      <c r="I1964" s="10" t="s">
        <v>343</v>
      </c>
      <c r="J1964" s="11">
        <v>31203</v>
      </c>
      <c r="K1964" s="11">
        <v>29496</v>
      </c>
      <c r="L1964" s="11">
        <v>60699</v>
      </c>
      <c r="M1964" s="11">
        <v>21755</v>
      </c>
    </row>
    <row r="1965" spans="1:13" x14ac:dyDescent="0.3">
      <c r="A1965" s="10">
        <v>6712</v>
      </c>
      <c r="B1965" s="10">
        <v>71</v>
      </c>
      <c r="C1965" s="10" t="s">
        <v>2263</v>
      </c>
      <c r="D1965" s="10">
        <v>7103</v>
      </c>
      <c r="E1965" s="10" t="s">
        <v>2266</v>
      </c>
      <c r="F1965" s="10">
        <v>0</v>
      </c>
      <c r="G1965" s="10" t="s">
        <v>343</v>
      </c>
      <c r="H1965" s="10">
        <v>0</v>
      </c>
      <c r="I1965" s="10" t="s">
        <v>343</v>
      </c>
      <c r="J1965" s="11">
        <v>24053</v>
      </c>
      <c r="K1965" s="11">
        <v>24276</v>
      </c>
      <c r="L1965" s="11">
        <v>48329</v>
      </c>
      <c r="M1965" s="11">
        <v>19491</v>
      </c>
    </row>
    <row r="1966" spans="1:13" x14ac:dyDescent="0.3">
      <c r="A1966" s="10">
        <v>6712</v>
      </c>
      <c r="B1966" s="10">
        <v>71</v>
      </c>
      <c r="C1966" s="10" t="s">
        <v>2263</v>
      </c>
      <c r="D1966" s="10">
        <v>7104</v>
      </c>
      <c r="E1966" s="10" t="s">
        <v>2267</v>
      </c>
      <c r="F1966" s="10">
        <v>0</v>
      </c>
      <c r="G1966" s="10" t="s">
        <v>343</v>
      </c>
      <c r="H1966" s="10">
        <v>0</v>
      </c>
      <c r="I1966" s="10" t="s">
        <v>343</v>
      </c>
      <c r="J1966" s="11">
        <v>13294</v>
      </c>
      <c r="K1966" s="11">
        <v>12550</v>
      </c>
      <c r="L1966" s="11">
        <v>25844</v>
      </c>
      <c r="M1966" s="11">
        <v>10672</v>
      </c>
    </row>
    <row r="1967" spans="1:13" x14ac:dyDescent="0.3">
      <c r="A1967" s="10">
        <v>6712</v>
      </c>
      <c r="B1967" s="10">
        <v>71</v>
      </c>
      <c r="C1967" s="10" t="s">
        <v>2263</v>
      </c>
      <c r="D1967" s="10">
        <v>7105</v>
      </c>
      <c r="E1967" s="10" t="s">
        <v>2268</v>
      </c>
      <c r="F1967" s="10">
        <v>0</v>
      </c>
      <c r="G1967" s="10" t="s">
        <v>343</v>
      </c>
      <c r="H1967" s="10">
        <v>0</v>
      </c>
      <c r="I1967" s="10" t="s">
        <v>343</v>
      </c>
      <c r="J1967" s="11">
        <v>43866</v>
      </c>
      <c r="K1967" s="11">
        <v>46774</v>
      </c>
      <c r="L1967" s="11">
        <v>90640</v>
      </c>
      <c r="M1967" s="11">
        <v>33417</v>
      </c>
    </row>
    <row r="1968" spans="1:13" x14ac:dyDescent="0.3">
      <c r="A1968" s="10">
        <v>6712</v>
      </c>
      <c r="B1968" s="10">
        <v>71</v>
      </c>
      <c r="C1968" s="10" t="s">
        <v>2263</v>
      </c>
      <c r="D1968" s="10">
        <v>7106</v>
      </c>
      <c r="E1968" s="10" t="s">
        <v>2269</v>
      </c>
      <c r="F1968" s="10">
        <v>0</v>
      </c>
      <c r="G1968" s="10" t="s">
        <v>343</v>
      </c>
      <c r="H1968" s="10">
        <v>0</v>
      </c>
      <c r="I1968" s="10" t="s">
        <v>343</v>
      </c>
      <c r="J1968" s="11">
        <v>28199</v>
      </c>
      <c r="K1968" s="11">
        <v>30128</v>
      </c>
      <c r="L1968" s="11">
        <v>58327</v>
      </c>
      <c r="M1968" s="11">
        <v>25626</v>
      </c>
    </row>
    <row r="1969" spans="1:13" x14ac:dyDescent="0.3">
      <c r="A1969" s="10">
        <v>6712</v>
      </c>
      <c r="B1969" s="10">
        <v>71</v>
      </c>
      <c r="C1969" s="10" t="s">
        <v>2263</v>
      </c>
      <c r="D1969" s="10">
        <v>7107</v>
      </c>
      <c r="E1969" s="10" t="s">
        <v>2270</v>
      </c>
      <c r="F1969" s="10">
        <v>0</v>
      </c>
      <c r="G1969" s="10" t="s">
        <v>343</v>
      </c>
      <c r="H1969" s="10">
        <v>0</v>
      </c>
      <c r="I1969" s="10" t="s">
        <v>343</v>
      </c>
      <c r="J1969" s="11">
        <v>35360</v>
      </c>
      <c r="K1969" s="11">
        <v>32903</v>
      </c>
      <c r="L1969" s="11">
        <v>68263</v>
      </c>
      <c r="M1969" s="11">
        <v>28793</v>
      </c>
    </row>
    <row r="1970" spans="1:13" x14ac:dyDescent="0.3">
      <c r="A1970" s="10">
        <v>6712</v>
      </c>
      <c r="B1970" s="10">
        <v>71</v>
      </c>
      <c r="C1970" s="10" t="s">
        <v>2263</v>
      </c>
      <c r="D1970" s="10">
        <v>7108</v>
      </c>
      <c r="E1970" s="10" t="s">
        <v>2271</v>
      </c>
      <c r="F1970" s="10">
        <v>0</v>
      </c>
      <c r="G1970" s="10" t="s">
        <v>343</v>
      </c>
      <c r="H1970" s="10">
        <v>0</v>
      </c>
      <c r="I1970" s="10" t="s">
        <v>343</v>
      </c>
      <c r="J1970" s="11">
        <v>23025</v>
      </c>
      <c r="K1970" s="11">
        <v>21665</v>
      </c>
      <c r="L1970" s="11">
        <v>44690</v>
      </c>
      <c r="M1970" s="11">
        <v>12951</v>
      </c>
    </row>
    <row r="1971" spans="1:13" x14ac:dyDescent="0.3">
      <c r="A1971" s="10">
        <v>6712</v>
      </c>
      <c r="B1971" s="10">
        <v>71</v>
      </c>
      <c r="C1971" s="10" t="s">
        <v>2263</v>
      </c>
      <c r="D1971" s="10">
        <v>7109</v>
      </c>
      <c r="E1971" s="10" t="s">
        <v>2272</v>
      </c>
      <c r="F1971" s="10">
        <v>0</v>
      </c>
      <c r="G1971" s="10" t="s">
        <v>343</v>
      </c>
      <c r="H1971" s="10">
        <v>0</v>
      </c>
      <c r="I1971" s="10" t="s">
        <v>343</v>
      </c>
      <c r="J1971" s="11">
        <v>15680</v>
      </c>
      <c r="K1971" s="11">
        <v>16736</v>
      </c>
      <c r="L1971" s="11">
        <v>32416</v>
      </c>
      <c r="M1971" s="11">
        <v>11959</v>
      </c>
    </row>
    <row r="1972" spans="1:13" x14ac:dyDescent="0.3">
      <c r="A1972" s="10">
        <v>6712</v>
      </c>
      <c r="B1972" s="10">
        <v>71</v>
      </c>
      <c r="C1972" s="10" t="s">
        <v>2263</v>
      </c>
      <c r="D1972" s="10">
        <v>7110</v>
      </c>
      <c r="E1972" s="10" t="s">
        <v>2273</v>
      </c>
      <c r="F1972" s="10">
        <v>0</v>
      </c>
      <c r="G1972" s="10" t="s">
        <v>343</v>
      </c>
      <c r="H1972" s="10">
        <v>0</v>
      </c>
      <c r="I1972" s="10" t="s">
        <v>343</v>
      </c>
      <c r="J1972" s="11">
        <v>26726</v>
      </c>
      <c r="K1972" s="11">
        <v>27010</v>
      </c>
      <c r="L1972" s="11">
        <v>53736</v>
      </c>
      <c r="M1972" s="11">
        <v>19798</v>
      </c>
    </row>
    <row r="1973" spans="1:13" x14ac:dyDescent="0.3">
      <c r="A1973" s="10">
        <v>6712</v>
      </c>
      <c r="B1973" s="10">
        <v>71</v>
      </c>
      <c r="C1973" s="10" t="s">
        <v>2263</v>
      </c>
      <c r="D1973" s="10">
        <v>7111</v>
      </c>
      <c r="E1973" s="10" t="s">
        <v>2274</v>
      </c>
      <c r="F1973" s="10">
        <v>0</v>
      </c>
      <c r="G1973" s="10" t="s">
        <v>343</v>
      </c>
      <c r="H1973" s="10">
        <v>0</v>
      </c>
      <c r="I1973" s="10" t="s">
        <v>343</v>
      </c>
      <c r="J1973" s="11">
        <v>15566</v>
      </c>
      <c r="K1973" s="11">
        <v>15737</v>
      </c>
      <c r="L1973" s="11">
        <v>31303</v>
      </c>
      <c r="M1973" s="11">
        <v>11387</v>
      </c>
    </row>
    <row r="1974" spans="1:13" x14ac:dyDescent="0.3">
      <c r="A1974" s="10">
        <v>6712</v>
      </c>
      <c r="B1974" s="10">
        <v>71</v>
      </c>
      <c r="C1974" s="10" t="s">
        <v>2263</v>
      </c>
      <c r="D1974" s="10">
        <v>7112</v>
      </c>
      <c r="E1974" s="10" t="s">
        <v>2275</v>
      </c>
      <c r="F1974" s="10">
        <v>0</v>
      </c>
      <c r="G1974" s="10" t="s">
        <v>343</v>
      </c>
      <c r="H1974" s="10">
        <v>0</v>
      </c>
      <c r="I1974" s="10" t="s">
        <v>343</v>
      </c>
      <c r="J1974" s="11">
        <v>13847</v>
      </c>
      <c r="K1974" s="11">
        <v>13510</v>
      </c>
      <c r="L1974" s="11">
        <v>27357</v>
      </c>
      <c r="M1974" s="11">
        <v>10106</v>
      </c>
    </row>
    <row r="1975" spans="1:13" x14ac:dyDescent="0.3">
      <c r="A1975" s="10">
        <v>6712</v>
      </c>
      <c r="B1975" s="10">
        <v>71</v>
      </c>
      <c r="C1975" s="10" t="s">
        <v>2263</v>
      </c>
      <c r="D1975" s="10">
        <v>7113</v>
      </c>
      <c r="E1975" s="10" t="s">
        <v>2276</v>
      </c>
      <c r="F1975" s="10">
        <v>0</v>
      </c>
      <c r="G1975" s="10" t="s">
        <v>343</v>
      </c>
      <c r="H1975" s="10">
        <v>0</v>
      </c>
      <c r="I1975" s="10" t="s">
        <v>343</v>
      </c>
      <c r="J1975" s="11">
        <v>16684</v>
      </c>
      <c r="K1975" s="11">
        <v>17414</v>
      </c>
      <c r="L1975" s="11">
        <v>34098</v>
      </c>
      <c r="M1975" s="11">
        <v>12599</v>
      </c>
    </row>
    <row r="1976" spans="1:13" x14ac:dyDescent="0.3">
      <c r="A1976" s="10">
        <v>6712</v>
      </c>
      <c r="B1976" s="10">
        <v>71</v>
      </c>
      <c r="C1976" s="10" t="s">
        <v>2263</v>
      </c>
      <c r="D1976" s="10">
        <v>7167</v>
      </c>
      <c r="E1976" s="10" t="s">
        <v>2277</v>
      </c>
      <c r="F1976" s="10">
        <v>0</v>
      </c>
      <c r="G1976" s="10" t="s">
        <v>343</v>
      </c>
      <c r="H1976" s="10">
        <v>0</v>
      </c>
      <c r="I1976" s="10" t="s">
        <v>343</v>
      </c>
      <c r="J1976" s="11">
        <v>3576</v>
      </c>
      <c r="K1976" s="11">
        <v>3593</v>
      </c>
      <c r="L1976" s="11">
        <v>7169</v>
      </c>
      <c r="M1976" s="11">
        <v>2701</v>
      </c>
    </row>
    <row r="1977" spans="1:13" x14ac:dyDescent="0.3">
      <c r="A1977" s="10">
        <v>6712</v>
      </c>
      <c r="B1977" s="10">
        <v>71</v>
      </c>
      <c r="C1977" s="10" t="s">
        <v>2263</v>
      </c>
      <c r="D1977" s="10">
        <v>7168</v>
      </c>
      <c r="E1977" s="10" t="s">
        <v>2278</v>
      </c>
      <c r="F1977" s="10">
        <v>0</v>
      </c>
      <c r="G1977" s="10" t="s">
        <v>343</v>
      </c>
      <c r="H1977" s="10">
        <v>0</v>
      </c>
      <c r="I1977" s="10" t="s">
        <v>343</v>
      </c>
      <c r="J1977" s="11">
        <v>1727</v>
      </c>
      <c r="K1977" s="11">
        <v>1940</v>
      </c>
      <c r="L1977" s="11">
        <v>3667</v>
      </c>
      <c r="M1977" s="11">
        <v>1261</v>
      </c>
    </row>
    <row r="1978" spans="1:13" x14ac:dyDescent="0.3">
      <c r="A1978" s="10">
        <v>6712</v>
      </c>
      <c r="B1978" s="10">
        <v>71</v>
      </c>
      <c r="C1978" s="10" t="s">
        <v>2263</v>
      </c>
      <c r="D1978" s="10">
        <v>7169</v>
      </c>
      <c r="E1978" s="10" t="s">
        <v>2279</v>
      </c>
      <c r="F1978" s="10">
        <v>0</v>
      </c>
      <c r="G1978" s="10" t="s">
        <v>343</v>
      </c>
      <c r="H1978" s="10">
        <v>0</v>
      </c>
      <c r="I1978" s="10" t="s">
        <v>343</v>
      </c>
      <c r="J1978" s="11">
        <v>13488</v>
      </c>
      <c r="K1978" s="11">
        <v>15102</v>
      </c>
      <c r="L1978" s="11">
        <v>28590</v>
      </c>
      <c r="M1978" s="11">
        <v>17024</v>
      </c>
    </row>
    <row r="1979" spans="1:13" x14ac:dyDescent="0.3">
      <c r="A1979" s="10">
        <v>6712</v>
      </c>
      <c r="B1979" s="10">
        <v>71</v>
      </c>
      <c r="C1979" s="10" t="s">
        <v>2263</v>
      </c>
      <c r="D1979" s="10">
        <v>7170</v>
      </c>
      <c r="E1979" s="10" t="s">
        <v>2280</v>
      </c>
      <c r="F1979" s="10">
        <v>0</v>
      </c>
      <c r="G1979" s="10" t="s">
        <v>343</v>
      </c>
      <c r="H1979" s="10">
        <v>0</v>
      </c>
      <c r="I1979" s="10" t="s">
        <v>343</v>
      </c>
      <c r="J1979" s="11">
        <v>5707</v>
      </c>
      <c r="K1979" s="11">
        <v>6074</v>
      </c>
      <c r="L1979" s="11">
        <v>11781</v>
      </c>
      <c r="M1979" s="11">
        <v>5465</v>
      </c>
    </row>
    <row r="1980" spans="1:13" x14ac:dyDescent="0.3">
      <c r="A1980" s="10">
        <v>6712</v>
      </c>
      <c r="B1980" s="10">
        <v>71</v>
      </c>
      <c r="C1980" s="10" t="s">
        <v>2263</v>
      </c>
      <c r="D1980" s="10">
        <v>7171</v>
      </c>
      <c r="E1980" s="10" t="s">
        <v>2281</v>
      </c>
      <c r="F1980" s="10">
        <v>0</v>
      </c>
      <c r="G1980" s="10" t="s">
        <v>343</v>
      </c>
      <c r="H1980" s="10">
        <v>0</v>
      </c>
      <c r="I1980" s="10" t="s">
        <v>343</v>
      </c>
      <c r="J1980" s="11">
        <v>4357</v>
      </c>
      <c r="K1980" s="11">
        <v>4873</v>
      </c>
      <c r="L1980" s="11">
        <v>9230</v>
      </c>
      <c r="M1980" s="11">
        <v>4148</v>
      </c>
    </row>
    <row r="1981" spans="1:13" x14ac:dyDescent="0.3">
      <c r="A1981" s="10">
        <v>6712</v>
      </c>
      <c r="B1981" s="10">
        <v>71</v>
      </c>
      <c r="C1981" s="10" t="s">
        <v>2263</v>
      </c>
      <c r="D1981" s="10">
        <v>7172</v>
      </c>
      <c r="E1981" s="10" t="s">
        <v>2282</v>
      </c>
      <c r="F1981" s="10">
        <v>0</v>
      </c>
      <c r="G1981" s="10" t="s">
        <v>343</v>
      </c>
      <c r="H1981" s="10">
        <v>0</v>
      </c>
      <c r="I1981" s="10" t="s">
        <v>343</v>
      </c>
      <c r="J1981" s="11">
        <v>4399</v>
      </c>
      <c r="K1981" s="11">
        <v>4932</v>
      </c>
      <c r="L1981" s="11">
        <v>9331</v>
      </c>
      <c r="M1981" s="11">
        <v>4092</v>
      </c>
    </row>
    <row r="1982" spans="1:13" x14ac:dyDescent="0.3">
      <c r="A1982" s="10">
        <v>6712</v>
      </c>
      <c r="B1982" s="10">
        <v>71</v>
      </c>
      <c r="C1982" s="10" t="s">
        <v>2263</v>
      </c>
      <c r="D1982" s="10">
        <v>7173</v>
      </c>
      <c r="E1982" s="10" t="s">
        <v>2283</v>
      </c>
      <c r="F1982" s="10">
        <v>0</v>
      </c>
      <c r="G1982" s="10" t="s">
        <v>343</v>
      </c>
      <c r="H1982" s="10">
        <v>0</v>
      </c>
      <c r="I1982" s="10" t="s">
        <v>343</v>
      </c>
      <c r="J1982" s="11">
        <v>2107</v>
      </c>
      <c r="K1982" s="11">
        <v>2268</v>
      </c>
      <c r="L1982" s="11">
        <v>4375</v>
      </c>
      <c r="M1982" s="11">
        <v>1899</v>
      </c>
    </row>
    <row r="1983" spans="1:13" x14ac:dyDescent="0.3">
      <c r="A1983" s="10">
        <v>6712</v>
      </c>
      <c r="B1983" s="10">
        <v>71</v>
      </c>
      <c r="C1983" s="10" t="s">
        <v>2263</v>
      </c>
      <c r="D1983" s="10">
        <v>7174</v>
      </c>
      <c r="E1983" s="10" t="s">
        <v>2284</v>
      </c>
      <c r="F1983" s="10">
        <v>0</v>
      </c>
      <c r="G1983" s="10" t="s">
        <v>343</v>
      </c>
      <c r="H1983" s="10">
        <v>0</v>
      </c>
      <c r="I1983" s="10" t="s">
        <v>343</v>
      </c>
      <c r="J1983" s="11">
        <v>1185</v>
      </c>
      <c r="K1983" s="11">
        <v>1248</v>
      </c>
      <c r="L1983" s="11">
        <v>2433</v>
      </c>
      <c r="M1983" s="11">
        <v>1333</v>
      </c>
    </row>
    <row r="1984" spans="1:13" x14ac:dyDescent="0.3">
      <c r="A1984" s="10">
        <v>6712</v>
      </c>
      <c r="B1984" s="10">
        <v>71</v>
      </c>
      <c r="C1984" s="10" t="s">
        <v>2263</v>
      </c>
      <c r="D1984" s="10">
        <v>7175</v>
      </c>
      <c r="E1984" s="10" t="s">
        <v>2285</v>
      </c>
      <c r="F1984" s="10">
        <v>0</v>
      </c>
      <c r="G1984" s="10" t="s">
        <v>343</v>
      </c>
      <c r="H1984" s="10">
        <v>0</v>
      </c>
      <c r="I1984" s="10" t="s">
        <v>343</v>
      </c>
      <c r="J1984" s="11">
        <v>1046</v>
      </c>
      <c r="K1984" s="11">
        <v>1157</v>
      </c>
      <c r="L1984" s="11">
        <v>2203</v>
      </c>
      <c r="M1984" s="10">
        <v>978</v>
      </c>
    </row>
    <row r="1985" spans="1:13" x14ac:dyDescent="0.3">
      <c r="A1985" s="10">
        <v>6712</v>
      </c>
      <c r="B1985" s="10">
        <v>71</v>
      </c>
      <c r="C1985" s="10" t="s">
        <v>2263</v>
      </c>
      <c r="D1985" s="10">
        <v>7176</v>
      </c>
      <c r="E1985" s="10" t="s">
        <v>2286</v>
      </c>
      <c r="F1985" s="10">
        <v>0</v>
      </c>
      <c r="G1985" s="10" t="s">
        <v>343</v>
      </c>
      <c r="H1985" s="10">
        <v>0</v>
      </c>
      <c r="I1985" s="10" t="s">
        <v>343</v>
      </c>
      <c r="J1985" s="11">
        <v>1317</v>
      </c>
      <c r="K1985" s="11">
        <v>1331</v>
      </c>
      <c r="L1985" s="11">
        <v>2648</v>
      </c>
      <c r="M1985" s="11">
        <v>1409</v>
      </c>
    </row>
    <row r="1986" spans="1:13" x14ac:dyDescent="0.3">
      <c r="A1986" s="10">
        <v>6712</v>
      </c>
      <c r="B1986" s="10">
        <v>71</v>
      </c>
      <c r="C1986" s="10" t="s">
        <v>2263</v>
      </c>
      <c r="D1986" s="10">
        <v>7177</v>
      </c>
      <c r="E1986" s="10" t="s">
        <v>2287</v>
      </c>
      <c r="F1986" s="10">
        <v>0</v>
      </c>
      <c r="G1986" s="10" t="s">
        <v>343</v>
      </c>
      <c r="H1986" s="10">
        <v>0</v>
      </c>
      <c r="I1986" s="10" t="s">
        <v>343</v>
      </c>
      <c r="J1986" s="11">
        <v>1872</v>
      </c>
      <c r="K1986" s="11">
        <v>2113</v>
      </c>
      <c r="L1986" s="11">
        <v>3985</v>
      </c>
      <c r="M1986" s="11">
        <v>1879</v>
      </c>
    </row>
    <row r="1987" spans="1:13" x14ac:dyDescent="0.3">
      <c r="A1987" s="10">
        <v>6712</v>
      </c>
      <c r="B1987" s="10">
        <v>71</v>
      </c>
      <c r="C1987" s="10" t="s">
        <v>2263</v>
      </c>
      <c r="D1987" s="10">
        <v>7178</v>
      </c>
      <c r="E1987" s="10" t="s">
        <v>2288</v>
      </c>
      <c r="F1987" s="10">
        <v>0</v>
      </c>
      <c r="G1987" s="10" t="s">
        <v>343</v>
      </c>
      <c r="H1987" s="10">
        <v>0</v>
      </c>
      <c r="I1987" s="10" t="s">
        <v>343</v>
      </c>
      <c r="J1987" s="11">
        <v>2389</v>
      </c>
      <c r="K1987" s="11">
        <v>2693</v>
      </c>
      <c r="L1987" s="11">
        <v>5082</v>
      </c>
      <c r="M1987" s="11">
        <v>2286</v>
      </c>
    </row>
    <row r="1988" spans="1:13" x14ac:dyDescent="0.3">
      <c r="A1988" s="10">
        <v>6712</v>
      </c>
      <c r="B1988" s="10">
        <v>71</v>
      </c>
      <c r="C1988" s="10" t="s">
        <v>2263</v>
      </c>
      <c r="D1988" s="10">
        <v>7179</v>
      </c>
      <c r="E1988" s="10" t="s">
        <v>2289</v>
      </c>
      <c r="F1988" s="10">
        <v>0</v>
      </c>
      <c r="G1988" s="10" t="s">
        <v>343</v>
      </c>
      <c r="H1988" s="10">
        <v>0</v>
      </c>
      <c r="I1988" s="10" t="s">
        <v>343</v>
      </c>
      <c r="J1988" s="11">
        <v>4974</v>
      </c>
      <c r="K1988" s="11">
        <v>4795</v>
      </c>
      <c r="L1988" s="11">
        <v>9769</v>
      </c>
      <c r="M1988" s="11">
        <v>2731</v>
      </c>
    </row>
    <row r="1989" spans="1:13" x14ac:dyDescent="0.3">
      <c r="A1989" s="10">
        <v>6712</v>
      </c>
      <c r="B1989" s="10">
        <v>71</v>
      </c>
      <c r="C1989" s="10" t="s">
        <v>2263</v>
      </c>
      <c r="D1989" s="10">
        <v>7180</v>
      </c>
      <c r="E1989" s="10" t="s">
        <v>2290</v>
      </c>
      <c r="F1989" s="10">
        <v>0</v>
      </c>
      <c r="G1989" s="10" t="s">
        <v>343</v>
      </c>
      <c r="H1989" s="10">
        <v>0</v>
      </c>
      <c r="I1989" s="10" t="s">
        <v>343</v>
      </c>
      <c r="J1989" s="11">
        <v>1547</v>
      </c>
      <c r="K1989" s="11">
        <v>1505</v>
      </c>
      <c r="L1989" s="11">
        <v>3052</v>
      </c>
      <c r="M1989" s="11">
        <v>1633</v>
      </c>
    </row>
    <row r="1990" spans="1:13" x14ac:dyDescent="0.3">
      <c r="A1990" s="10">
        <v>6712</v>
      </c>
      <c r="B1990" s="10">
        <v>71</v>
      </c>
      <c r="C1990" s="10" t="s">
        <v>2263</v>
      </c>
      <c r="D1990" s="10">
        <v>7181</v>
      </c>
      <c r="E1990" s="10" t="s">
        <v>2291</v>
      </c>
      <c r="F1990" s="10">
        <v>0</v>
      </c>
      <c r="G1990" s="10" t="s">
        <v>343</v>
      </c>
      <c r="H1990" s="10">
        <v>0</v>
      </c>
      <c r="I1990" s="10" t="s">
        <v>343</v>
      </c>
      <c r="J1990" s="11">
        <v>1488</v>
      </c>
      <c r="K1990" s="11">
        <v>1557</v>
      </c>
      <c r="L1990" s="11">
        <v>3045</v>
      </c>
      <c r="M1990" s="11">
        <v>1015</v>
      </c>
    </row>
    <row r="1991" spans="1:13" x14ac:dyDescent="0.3">
      <c r="A1991" s="10">
        <v>6712</v>
      </c>
      <c r="B1991" s="10">
        <v>71</v>
      </c>
      <c r="C1991" s="10" t="s">
        <v>2263</v>
      </c>
      <c r="D1991" s="10">
        <v>7182</v>
      </c>
      <c r="E1991" s="10" t="s">
        <v>2292</v>
      </c>
      <c r="F1991" s="10">
        <v>0</v>
      </c>
      <c r="G1991" s="10" t="s">
        <v>343</v>
      </c>
      <c r="H1991" s="10">
        <v>0</v>
      </c>
      <c r="I1991" s="10" t="s">
        <v>343</v>
      </c>
      <c r="J1991" s="11">
        <v>2297</v>
      </c>
      <c r="K1991" s="11">
        <v>2560</v>
      </c>
      <c r="L1991" s="11">
        <v>4857</v>
      </c>
      <c r="M1991" s="11">
        <v>1637</v>
      </c>
    </row>
    <row r="1992" spans="1:13" x14ac:dyDescent="0.3">
      <c r="A1992" s="10">
        <v>6712</v>
      </c>
      <c r="B1992" s="10">
        <v>71</v>
      </c>
      <c r="C1992" s="10" t="s">
        <v>2263</v>
      </c>
      <c r="D1992" s="10">
        <v>7183</v>
      </c>
      <c r="E1992" s="10" t="s">
        <v>2293</v>
      </c>
      <c r="F1992" s="10">
        <v>0</v>
      </c>
      <c r="G1992" s="10" t="s">
        <v>343</v>
      </c>
      <c r="H1992" s="10">
        <v>0</v>
      </c>
      <c r="I1992" s="10" t="s">
        <v>343</v>
      </c>
      <c r="J1992" s="10">
        <v>872</v>
      </c>
      <c r="K1992" s="10">
        <v>906</v>
      </c>
      <c r="L1992" s="11">
        <v>1778</v>
      </c>
      <c r="M1992" s="10">
        <v>669</v>
      </c>
    </row>
    <row r="1993" spans="1:13" x14ac:dyDescent="0.3">
      <c r="A1993" s="10">
        <v>6712</v>
      </c>
      <c r="B1993" s="10">
        <v>71</v>
      </c>
      <c r="C1993" s="10" t="s">
        <v>2263</v>
      </c>
      <c r="D1993" s="10">
        <v>7184</v>
      </c>
      <c r="E1993" s="10" t="s">
        <v>2294</v>
      </c>
      <c r="F1993" s="10">
        <v>0</v>
      </c>
      <c r="G1993" s="10" t="s">
        <v>343</v>
      </c>
      <c r="H1993" s="10">
        <v>0</v>
      </c>
      <c r="I1993" s="10" t="s">
        <v>343</v>
      </c>
      <c r="J1993" s="11">
        <v>4305</v>
      </c>
      <c r="K1993" s="11">
        <v>5046</v>
      </c>
      <c r="L1993" s="11">
        <v>9351</v>
      </c>
      <c r="M1993" s="11">
        <v>5595</v>
      </c>
    </row>
    <row r="1994" spans="1:13" x14ac:dyDescent="0.3">
      <c r="A1994" s="10">
        <v>6712</v>
      </c>
      <c r="B1994" s="10">
        <v>71</v>
      </c>
      <c r="C1994" s="10" t="s">
        <v>2263</v>
      </c>
      <c r="D1994" s="10">
        <v>7185</v>
      </c>
      <c r="E1994" s="10" t="s">
        <v>2295</v>
      </c>
      <c r="F1994" s="10">
        <v>0</v>
      </c>
      <c r="G1994" s="10" t="s">
        <v>343</v>
      </c>
      <c r="H1994" s="10">
        <v>0</v>
      </c>
      <c r="I1994" s="10" t="s">
        <v>343</v>
      </c>
      <c r="J1994" s="11">
        <v>2116</v>
      </c>
      <c r="K1994" s="11">
        <v>2273</v>
      </c>
      <c r="L1994" s="11">
        <v>4389</v>
      </c>
      <c r="M1994" s="11">
        <v>2056</v>
      </c>
    </row>
    <row r="1995" spans="1:13" x14ac:dyDescent="0.3">
      <c r="A1995" s="10">
        <v>6712</v>
      </c>
      <c r="B1995" s="10">
        <v>71</v>
      </c>
      <c r="C1995" s="10" t="s">
        <v>2263</v>
      </c>
      <c r="D1995" s="10">
        <v>7186</v>
      </c>
      <c r="E1995" s="10" t="s">
        <v>2296</v>
      </c>
      <c r="F1995" s="10">
        <v>0</v>
      </c>
      <c r="G1995" s="10" t="s">
        <v>343</v>
      </c>
      <c r="H1995" s="10">
        <v>0</v>
      </c>
      <c r="I1995" s="10" t="s">
        <v>343</v>
      </c>
      <c r="J1995" s="11">
        <v>2949</v>
      </c>
      <c r="K1995" s="11">
        <v>3246</v>
      </c>
      <c r="L1995" s="11">
        <v>6195</v>
      </c>
      <c r="M1995" s="11">
        <v>2327</v>
      </c>
    </row>
    <row r="1996" spans="1:13" x14ac:dyDescent="0.3">
      <c r="A1996" s="10">
        <v>6712</v>
      </c>
      <c r="B1996" s="10">
        <v>71</v>
      </c>
      <c r="C1996" s="10" t="s">
        <v>2263</v>
      </c>
      <c r="D1996" s="10">
        <v>7187</v>
      </c>
      <c r="E1996" s="10" t="s">
        <v>2297</v>
      </c>
      <c r="F1996" s="10">
        <v>0</v>
      </c>
      <c r="G1996" s="10" t="s">
        <v>343</v>
      </c>
      <c r="H1996" s="10">
        <v>0</v>
      </c>
      <c r="I1996" s="10" t="s">
        <v>343</v>
      </c>
      <c r="J1996" s="11">
        <v>4259</v>
      </c>
      <c r="K1996" s="11">
        <v>4625</v>
      </c>
      <c r="L1996" s="11">
        <v>8884</v>
      </c>
      <c r="M1996" s="11">
        <v>4014</v>
      </c>
    </row>
    <row r="1997" spans="1:13" x14ac:dyDescent="0.3">
      <c r="A1997" s="10">
        <v>6712</v>
      </c>
      <c r="B1997" s="10">
        <v>71</v>
      </c>
      <c r="C1997" s="10" t="s">
        <v>2263</v>
      </c>
      <c r="D1997" s="10">
        <v>7188</v>
      </c>
      <c r="E1997" s="10" t="s">
        <v>2298</v>
      </c>
      <c r="F1997" s="10">
        <v>0</v>
      </c>
      <c r="G1997" s="10" t="s">
        <v>343</v>
      </c>
      <c r="H1997" s="10">
        <v>0</v>
      </c>
      <c r="I1997" s="10" t="s">
        <v>343</v>
      </c>
      <c r="J1997" s="11">
        <v>3713</v>
      </c>
      <c r="K1997" s="11">
        <v>4314</v>
      </c>
      <c r="L1997" s="11">
        <v>8027</v>
      </c>
      <c r="M1997" s="11">
        <v>4803</v>
      </c>
    </row>
    <row r="1998" spans="1:13" x14ac:dyDescent="0.3">
      <c r="A1998" s="10">
        <v>6712</v>
      </c>
      <c r="B1998" s="10">
        <v>71</v>
      </c>
      <c r="C1998" s="10" t="s">
        <v>2263</v>
      </c>
      <c r="D1998" s="10">
        <v>7189</v>
      </c>
      <c r="E1998" s="10" t="s">
        <v>2299</v>
      </c>
      <c r="F1998" s="10">
        <v>0</v>
      </c>
      <c r="G1998" s="10" t="s">
        <v>343</v>
      </c>
      <c r="H1998" s="10">
        <v>0</v>
      </c>
      <c r="I1998" s="10" t="s">
        <v>343</v>
      </c>
      <c r="J1998" s="11">
        <v>1526</v>
      </c>
      <c r="K1998" s="11">
        <v>1779</v>
      </c>
      <c r="L1998" s="11">
        <v>3305</v>
      </c>
      <c r="M1998" s="11">
        <v>1530</v>
      </c>
    </row>
    <row r="1999" spans="1:13" x14ac:dyDescent="0.3">
      <c r="A1999" s="10">
        <v>6712</v>
      </c>
      <c r="B1999" s="10">
        <v>71</v>
      </c>
      <c r="C1999" s="10" t="s">
        <v>2263</v>
      </c>
      <c r="D1999" s="10">
        <v>7190</v>
      </c>
      <c r="E1999" s="10" t="s">
        <v>2300</v>
      </c>
      <c r="F1999" s="10">
        <v>0</v>
      </c>
      <c r="G1999" s="10" t="s">
        <v>343</v>
      </c>
      <c r="H1999" s="10">
        <v>0</v>
      </c>
      <c r="I1999" s="10" t="s">
        <v>343</v>
      </c>
      <c r="J1999" s="10">
        <v>482</v>
      </c>
      <c r="K1999" s="10">
        <v>531</v>
      </c>
      <c r="L1999" s="11">
        <v>1013</v>
      </c>
      <c r="M1999" s="10">
        <v>727</v>
      </c>
    </row>
    <row r="2000" spans="1:13" x14ac:dyDescent="0.3">
      <c r="A2000" s="10">
        <v>6712</v>
      </c>
      <c r="B2000" s="10">
        <v>71</v>
      </c>
      <c r="C2000" s="10" t="s">
        <v>2263</v>
      </c>
      <c r="D2000" s="10">
        <v>7191</v>
      </c>
      <c r="E2000" s="10" t="s">
        <v>2301</v>
      </c>
      <c r="F2000" s="10">
        <v>0</v>
      </c>
      <c r="G2000" s="10" t="s">
        <v>343</v>
      </c>
      <c r="H2000" s="10">
        <v>0</v>
      </c>
      <c r="I2000" s="10" t="s">
        <v>343</v>
      </c>
      <c r="J2000" s="11">
        <v>1042</v>
      </c>
      <c r="K2000" s="11">
        <v>1113</v>
      </c>
      <c r="L2000" s="11">
        <v>2155</v>
      </c>
      <c r="M2000" s="10">
        <v>856</v>
      </c>
    </row>
    <row r="2001" spans="1:13" x14ac:dyDescent="0.3">
      <c r="A2001" s="10">
        <v>6712</v>
      </c>
      <c r="B2001" s="10">
        <v>71</v>
      </c>
      <c r="C2001" s="10" t="s">
        <v>2263</v>
      </c>
      <c r="D2001" s="10">
        <v>7192</v>
      </c>
      <c r="E2001" s="10" t="s">
        <v>780</v>
      </c>
      <c r="F2001" s="10">
        <v>0</v>
      </c>
      <c r="G2001" s="10" t="s">
        <v>343</v>
      </c>
      <c r="H2001" s="10">
        <v>0</v>
      </c>
      <c r="I2001" s="10" t="s">
        <v>343</v>
      </c>
      <c r="J2001" s="11">
        <v>3327</v>
      </c>
      <c r="K2001" s="11">
        <v>3365</v>
      </c>
      <c r="L2001" s="11">
        <v>6692</v>
      </c>
      <c r="M2001" s="11">
        <v>2844</v>
      </c>
    </row>
    <row r="2002" spans="1:13" x14ac:dyDescent="0.3">
      <c r="A2002" s="10">
        <v>6712</v>
      </c>
      <c r="B2002" s="10">
        <v>71</v>
      </c>
      <c r="C2002" s="10" t="s">
        <v>2263</v>
      </c>
      <c r="D2002" s="10">
        <v>7193</v>
      </c>
      <c r="E2002" s="10" t="s">
        <v>2302</v>
      </c>
      <c r="F2002" s="10">
        <v>0</v>
      </c>
      <c r="G2002" s="10" t="s">
        <v>343</v>
      </c>
      <c r="H2002" s="10">
        <v>0</v>
      </c>
      <c r="I2002" s="10" t="s">
        <v>343</v>
      </c>
      <c r="J2002" s="11">
        <v>1069</v>
      </c>
      <c r="K2002" s="11">
        <v>1051</v>
      </c>
      <c r="L2002" s="11">
        <v>2120</v>
      </c>
      <c r="M2002" s="10">
        <v>925</v>
      </c>
    </row>
    <row r="2003" spans="1:13" x14ac:dyDescent="0.3">
      <c r="A2003" s="10">
        <v>6712</v>
      </c>
      <c r="B2003" s="10">
        <v>71</v>
      </c>
      <c r="C2003" s="10" t="s">
        <v>2263</v>
      </c>
      <c r="D2003" s="10">
        <v>7194</v>
      </c>
      <c r="E2003" s="10" t="s">
        <v>2303</v>
      </c>
      <c r="F2003" s="10">
        <v>0</v>
      </c>
      <c r="G2003" s="10" t="s">
        <v>343</v>
      </c>
      <c r="H2003" s="10">
        <v>0</v>
      </c>
      <c r="I2003" s="10" t="s">
        <v>343</v>
      </c>
      <c r="J2003" s="11">
        <v>1933</v>
      </c>
      <c r="K2003" s="11">
        <v>1981</v>
      </c>
      <c r="L2003" s="11">
        <v>3914</v>
      </c>
      <c r="M2003" s="11">
        <v>1726</v>
      </c>
    </row>
    <row r="2004" spans="1:13" x14ac:dyDescent="0.3">
      <c r="A2004" s="10">
        <v>6712</v>
      </c>
      <c r="B2004" s="10">
        <v>71</v>
      </c>
      <c r="C2004" s="10" t="s">
        <v>2263</v>
      </c>
      <c r="D2004" s="10">
        <v>7195</v>
      </c>
      <c r="E2004" s="10" t="s">
        <v>760</v>
      </c>
      <c r="F2004" s="10">
        <v>0</v>
      </c>
      <c r="G2004" s="10" t="s">
        <v>343</v>
      </c>
      <c r="H2004" s="10">
        <v>0</v>
      </c>
      <c r="I2004" s="10" t="s">
        <v>343</v>
      </c>
      <c r="J2004" s="11">
        <v>3355</v>
      </c>
      <c r="K2004" s="11">
        <v>3765</v>
      </c>
      <c r="L2004" s="11">
        <v>7120</v>
      </c>
      <c r="M2004" s="11">
        <v>3399</v>
      </c>
    </row>
    <row r="2005" spans="1:13" x14ac:dyDescent="0.3">
      <c r="A2005" s="10">
        <v>6712</v>
      </c>
      <c r="B2005" s="10">
        <v>71</v>
      </c>
      <c r="C2005" s="10" t="s">
        <v>2263</v>
      </c>
      <c r="D2005" s="10">
        <v>7196</v>
      </c>
      <c r="E2005" s="10" t="s">
        <v>2304</v>
      </c>
      <c r="F2005" s="10">
        <v>0</v>
      </c>
      <c r="G2005" s="10" t="s">
        <v>343</v>
      </c>
      <c r="H2005" s="10">
        <v>0</v>
      </c>
      <c r="I2005" s="10" t="s">
        <v>343</v>
      </c>
      <c r="J2005" s="11">
        <v>2599</v>
      </c>
      <c r="K2005" s="11">
        <v>2814</v>
      </c>
      <c r="L2005" s="11">
        <v>5413</v>
      </c>
      <c r="M2005" s="11">
        <v>2480</v>
      </c>
    </row>
    <row r="2006" spans="1:13" x14ac:dyDescent="0.3">
      <c r="A2006" s="10">
        <v>6712</v>
      </c>
      <c r="B2006" s="10">
        <v>71</v>
      </c>
      <c r="C2006" s="10" t="s">
        <v>2263</v>
      </c>
      <c r="D2006" s="10">
        <v>7197</v>
      </c>
      <c r="E2006" s="10" t="s">
        <v>2305</v>
      </c>
      <c r="F2006" s="10">
        <v>0</v>
      </c>
      <c r="G2006" s="10" t="s">
        <v>343</v>
      </c>
      <c r="H2006" s="10">
        <v>0</v>
      </c>
      <c r="I2006" s="10" t="s">
        <v>343</v>
      </c>
      <c r="J2006" s="11">
        <v>3029</v>
      </c>
      <c r="K2006" s="11">
        <v>3428</v>
      </c>
      <c r="L2006" s="11">
        <v>6457</v>
      </c>
      <c r="M2006" s="11">
        <v>3967</v>
      </c>
    </row>
    <row r="2007" spans="1:13" x14ac:dyDescent="0.3">
      <c r="A2007" s="10">
        <v>6712</v>
      </c>
      <c r="B2007" s="10">
        <v>71</v>
      </c>
      <c r="C2007" s="10" t="s">
        <v>2263</v>
      </c>
      <c r="D2007" s="10">
        <v>7198</v>
      </c>
      <c r="E2007" s="10" t="s">
        <v>2306</v>
      </c>
      <c r="F2007" s="10">
        <v>0</v>
      </c>
      <c r="G2007" s="10" t="s">
        <v>343</v>
      </c>
      <c r="H2007" s="10">
        <v>0</v>
      </c>
      <c r="I2007" s="10" t="s">
        <v>343</v>
      </c>
      <c r="J2007" s="11">
        <v>4904</v>
      </c>
      <c r="K2007" s="11">
        <v>5453</v>
      </c>
      <c r="L2007" s="11">
        <v>10357</v>
      </c>
      <c r="M2007" s="11">
        <v>5177</v>
      </c>
    </row>
    <row r="2008" spans="1:13" x14ac:dyDescent="0.3">
      <c r="A2008" s="10">
        <v>6712</v>
      </c>
      <c r="B2008" s="10">
        <v>71</v>
      </c>
      <c r="C2008" s="10" t="s">
        <v>2263</v>
      </c>
      <c r="D2008" s="10">
        <v>7199</v>
      </c>
      <c r="E2008" s="10" t="s">
        <v>2307</v>
      </c>
      <c r="F2008" s="10">
        <v>0</v>
      </c>
      <c r="G2008" s="10" t="s">
        <v>343</v>
      </c>
      <c r="H2008" s="10">
        <v>0</v>
      </c>
      <c r="I2008" s="10" t="s">
        <v>343</v>
      </c>
      <c r="J2008" s="11">
        <v>11489</v>
      </c>
      <c r="K2008" s="11">
        <v>13135</v>
      </c>
      <c r="L2008" s="11">
        <v>24624</v>
      </c>
      <c r="M2008" s="11">
        <v>16184</v>
      </c>
    </row>
    <row r="2009" spans="1:13" x14ac:dyDescent="0.3">
      <c r="A2009" s="10">
        <v>6712</v>
      </c>
      <c r="B2009" s="10">
        <v>72</v>
      </c>
      <c r="C2009" s="10" t="s">
        <v>2308</v>
      </c>
      <c r="D2009" s="10">
        <v>0</v>
      </c>
      <c r="E2009" s="10" t="s">
        <v>343</v>
      </c>
      <c r="F2009" s="10">
        <v>0</v>
      </c>
      <c r="G2009" s="10" t="s">
        <v>343</v>
      </c>
      <c r="H2009" s="10">
        <v>0</v>
      </c>
      <c r="I2009" s="10" t="s">
        <v>343</v>
      </c>
      <c r="J2009" s="11">
        <v>395769</v>
      </c>
      <c r="K2009" s="11">
        <v>426442</v>
      </c>
      <c r="L2009" s="11">
        <v>822211</v>
      </c>
      <c r="M2009" s="11">
        <v>324002</v>
      </c>
    </row>
    <row r="2010" spans="1:13" x14ac:dyDescent="0.3">
      <c r="A2010" s="10">
        <v>6712</v>
      </c>
      <c r="B2010" s="10">
        <v>72</v>
      </c>
      <c r="C2010" s="10" t="s">
        <v>2308</v>
      </c>
      <c r="D2010" s="10">
        <v>7201</v>
      </c>
      <c r="E2010" s="10" t="s">
        <v>2309</v>
      </c>
      <c r="F2010" s="10">
        <v>0</v>
      </c>
      <c r="G2010" s="10" t="s">
        <v>343</v>
      </c>
      <c r="H2010" s="10">
        <v>0</v>
      </c>
      <c r="I2010" s="10" t="s">
        <v>343</v>
      </c>
      <c r="J2010" s="11">
        <v>50456</v>
      </c>
      <c r="K2010" s="11">
        <v>56290</v>
      </c>
      <c r="L2010" s="11">
        <v>106746</v>
      </c>
      <c r="M2010" s="11">
        <v>40705</v>
      </c>
    </row>
    <row r="2011" spans="1:13" x14ac:dyDescent="0.3">
      <c r="A2011" s="10">
        <v>6712</v>
      </c>
      <c r="B2011" s="10">
        <v>72</v>
      </c>
      <c r="C2011" s="10" t="s">
        <v>2308</v>
      </c>
      <c r="D2011" s="10">
        <v>7202</v>
      </c>
      <c r="E2011" s="10" t="s">
        <v>2310</v>
      </c>
      <c r="F2011" s="10">
        <v>0</v>
      </c>
      <c r="G2011" s="10" t="s">
        <v>343</v>
      </c>
      <c r="H2011" s="10">
        <v>0</v>
      </c>
      <c r="I2011" s="10" t="s">
        <v>343</v>
      </c>
      <c r="J2011" s="11">
        <v>19559</v>
      </c>
      <c r="K2011" s="11">
        <v>20966</v>
      </c>
      <c r="L2011" s="11">
        <v>40525</v>
      </c>
      <c r="M2011" s="11">
        <v>15842</v>
      </c>
    </row>
    <row r="2012" spans="1:13" x14ac:dyDescent="0.3">
      <c r="A2012" s="10">
        <v>6712</v>
      </c>
      <c r="B2012" s="10">
        <v>72</v>
      </c>
      <c r="C2012" s="10" t="s">
        <v>2308</v>
      </c>
      <c r="D2012" s="10">
        <v>7203</v>
      </c>
      <c r="E2012" s="10" t="s">
        <v>2311</v>
      </c>
      <c r="F2012" s="10">
        <v>0</v>
      </c>
      <c r="G2012" s="10" t="s">
        <v>343</v>
      </c>
      <c r="H2012" s="10">
        <v>0</v>
      </c>
      <c r="I2012" s="10" t="s">
        <v>343</v>
      </c>
      <c r="J2012" s="11">
        <v>30223</v>
      </c>
      <c r="K2012" s="11">
        <v>30947</v>
      </c>
      <c r="L2012" s="11">
        <v>61170</v>
      </c>
      <c r="M2012" s="11">
        <v>24388</v>
      </c>
    </row>
    <row r="2013" spans="1:13" x14ac:dyDescent="0.3">
      <c r="A2013" s="10">
        <v>6712</v>
      </c>
      <c r="B2013" s="10">
        <v>72</v>
      </c>
      <c r="C2013" s="10" t="s">
        <v>2308</v>
      </c>
      <c r="D2013" s="10">
        <v>7204</v>
      </c>
      <c r="E2013" s="10" t="s">
        <v>2312</v>
      </c>
      <c r="F2013" s="10">
        <v>0</v>
      </c>
      <c r="G2013" s="10" t="s">
        <v>343</v>
      </c>
      <c r="H2013" s="10">
        <v>0</v>
      </c>
      <c r="I2013" s="10" t="s">
        <v>343</v>
      </c>
      <c r="J2013" s="11">
        <v>27813</v>
      </c>
      <c r="K2013" s="11">
        <v>29197</v>
      </c>
      <c r="L2013" s="11">
        <v>57010</v>
      </c>
      <c r="M2013" s="11">
        <v>20334</v>
      </c>
    </row>
    <row r="2014" spans="1:13" x14ac:dyDescent="0.3">
      <c r="A2014" s="10">
        <v>6712</v>
      </c>
      <c r="B2014" s="10">
        <v>72</v>
      </c>
      <c r="C2014" s="10" t="s">
        <v>2308</v>
      </c>
      <c r="D2014" s="10">
        <v>7205</v>
      </c>
      <c r="E2014" s="10" t="s">
        <v>2313</v>
      </c>
      <c r="F2014" s="10">
        <v>0</v>
      </c>
      <c r="G2014" s="10" t="s">
        <v>343</v>
      </c>
      <c r="H2014" s="10">
        <v>0</v>
      </c>
      <c r="I2014" s="10" t="s">
        <v>343</v>
      </c>
      <c r="J2014" s="11">
        <v>18804</v>
      </c>
      <c r="K2014" s="11">
        <v>20602</v>
      </c>
      <c r="L2014" s="11">
        <v>39406</v>
      </c>
      <c r="M2014" s="11">
        <v>15689</v>
      </c>
    </row>
    <row r="2015" spans="1:13" x14ac:dyDescent="0.3">
      <c r="A2015" s="10">
        <v>6712</v>
      </c>
      <c r="B2015" s="10">
        <v>72</v>
      </c>
      <c r="C2015" s="10" t="s">
        <v>2308</v>
      </c>
      <c r="D2015" s="10">
        <v>7206</v>
      </c>
      <c r="E2015" s="10" t="s">
        <v>2314</v>
      </c>
      <c r="F2015" s="10">
        <v>0</v>
      </c>
      <c r="G2015" s="10" t="s">
        <v>343</v>
      </c>
      <c r="H2015" s="10">
        <v>0</v>
      </c>
      <c r="I2015" s="10" t="s">
        <v>343</v>
      </c>
      <c r="J2015" s="11">
        <v>19315</v>
      </c>
      <c r="K2015" s="11">
        <v>20878</v>
      </c>
      <c r="L2015" s="11">
        <v>40193</v>
      </c>
      <c r="M2015" s="11">
        <v>15607</v>
      </c>
    </row>
    <row r="2016" spans="1:13" x14ac:dyDescent="0.3">
      <c r="A2016" s="10">
        <v>6712</v>
      </c>
      <c r="B2016" s="10">
        <v>72</v>
      </c>
      <c r="C2016" s="10" t="s">
        <v>2308</v>
      </c>
      <c r="D2016" s="10">
        <v>7207</v>
      </c>
      <c r="E2016" s="10" t="s">
        <v>2315</v>
      </c>
      <c r="F2016" s="10">
        <v>0</v>
      </c>
      <c r="G2016" s="10" t="s">
        <v>343</v>
      </c>
      <c r="H2016" s="10">
        <v>0</v>
      </c>
      <c r="I2016" s="10" t="s">
        <v>343</v>
      </c>
      <c r="J2016" s="11">
        <v>53361</v>
      </c>
      <c r="K2016" s="11">
        <v>55629</v>
      </c>
      <c r="L2016" s="11">
        <v>108990</v>
      </c>
      <c r="M2016" s="11">
        <v>37714</v>
      </c>
    </row>
    <row r="2017" spans="1:13" x14ac:dyDescent="0.3">
      <c r="A2017" s="10">
        <v>6712</v>
      </c>
      <c r="B2017" s="10">
        <v>72</v>
      </c>
      <c r="C2017" s="10" t="s">
        <v>2308</v>
      </c>
      <c r="D2017" s="10">
        <v>7208</v>
      </c>
      <c r="E2017" s="10" t="s">
        <v>2316</v>
      </c>
      <c r="F2017" s="10">
        <v>0</v>
      </c>
      <c r="G2017" s="10" t="s">
        <v>343</v>
      </c>
      <c r="H2017" s="10">
        <v>0</v>
      </c>
      <c r="I2017" s="10" t="s">
        <v>343</v>
      </c>
      <c r="J2017" s="11">
        <v>18647</v>
      </c>
      <c r="K2017" s="11">
        <v>20253</v>
      </c>
      <c r="L2017" s="11">
        <v>38900</v>
      </c>
      <c r="M2017" s="11">
        <v>15603</v>
      </c>
    </row>
    <row r="2018" spans="1:13" x14ac:dyDescent="0.3">
      <c r="A2018" s="10">
        <v>6712</v>
      </c>
      <c r="B2018" s="10">
        <v>72</v>
      </c>
      <c r="C2018" s="10" t="s">
        <v>2308</v>
      </c>
      <c r="D2018" s="10">
        <v>7209</v>
      </c>
      <c r="E2018" s="10" t="s">
        <v>2317</v>
      </c>
      <c r="F2018" s="10">
        <v>0</v>
      </c>
      <c r="G2018" s="10" t="s">
        <v>343</v>
      </c>
      <c r="H2018" s="10">
        <v>0</v>
      </c>
      <c r="I2018" s="10" t="s">
        <v>343</v>
      </c>
      <c r="J2018" s="11">
        <v>31338</v>
      </c>
      <c r="K2018" s="11">
        <v>33245</v>
      </c>
      <c r="L2018" s="11">
        <v>64583</v>
      </c>
      <c r="M2018" s="11">
        <v>22947</v>
      </c>
    </row>
    <row r="2019" spans="1:13" x14ac:dyDescent="0.3">
      <c r="A2019" s="10">
        <v>6712</v>
      </c>
      <c r="B2019" s="10">
        <v>72</v>
      </c>
      <c r="C2019" s="10" t="s">
        <v>2308</v>
      </c>
      <c r="D2019" s="10">
        <v>7210</v>
      </c>
      <c r="E2019" s="10" t="s">
        <v>2318</v>
      </c>
      <c r="F2019" s="10">
        <v>0</v>
      </c>
      <c r="G2019" s="10" t="s">
        <v>343</v>
      </c>
      <c r="H2019" s="10">
        <v>0</v>
      </c>
      <c r="I2019" s="10" t="s">
        <v>343</v>
      </c>
      <c r="J2019" s="11">
        <v>22593</v>
      </c>
      <c r="K2019" s="11">
        <v>23740</v>
      </c>
      <c r="L2019" s="11">
        <v>46333</v>
      </c>
      <c r="M2019" s="11">
        <v>17555</v>
      </c>
    </row>
    <row r="2020" spans="1:13" x14ac:dyDescent="0.3">
      <c r="A2020" s="10">
        <v>6712</v>
      </c>
      <c r="B2020" s="10">
        <v>72</v>
      </c>
      <c r="C2020" s="10" t="s">
        <v>2308</v>
      </c>
      <c r="D2020" s="10">
        <v>7265</v>
      </c>
      <c r="E2020" s="10" t="s">
        <v>820</v>
      </c>
      <c r="F2020" s="10">
        <v>0</v>
      </c>
      <c r="G2020" s="10" t="s">
        <v>343</v>
      </c>
      <c r="H2020" s="10">
        <v>0</v>
      </c>
      <c r="I2020" s="10" t="s">
        <v>343</v>
      </c>
      <c r="J2020" s="11">
        <v>2099</v>
      </c>
      <c r="K2020" s="11">
        <v>2302</v>
      </c>
      <c r="L2020" s="11">
        <v>4401</v>
      </c>
      <c r="M2020" s="11">
        <v>1828</v>
      </c>
    </row>
    <row r="2021" spans="1:13" x14ac:dyDescent="0.3">
      <c r="A2021" s="10">
        <v>6712</v>
      </c>
      <c r="B2021" s="10">
        <v>72</v>
      </c>
      <c r="C2021" s="10" t="s">
        <v>2308</v>
      </c>
      <c r="D2021" s="10">
        <v>7266</v>
      </c>
      <c r="E2021" s="10" t="s">
        <v>2319</v>
      </c>
      <c r="F2021" s="10">
        <v>0</v>
      </c>
      <c r="G2021" s="10" t="s">
        <v>343</v>
      </c>
      <c r="H2021" s="10">
        <v>0</v>
      </c>
      <c r="I2021" s="10" t="s">
        <v>343</v>
      </c>
      <c r="J2021" s="11">
        <v>7595</v>
      </c>
      <c r="K2021" s="11">
        <v>8031</v>
      </c>
      <c r="L2021" s="11">
        <v>15626</v>
      </c>
      <c r="M2021" s="11">
        <v>6169</v>
      </c>
    </row>
    <row r="2022" spans="1:13" x14ac:dyDescent="0.3">
      <c r="A2022" s="10">
        <v>6712</v>
      </c>
      <c r="B2022" s="10">
        <v>72</v>
      </c>
      <c r="C2022" s="10" t="s">
        <v>2308</v>
      </c>
      <c r="D2022" s="10">
        <v>7267</v>
      </c>
      <c r="E2022" s="10" t="s">
        <v>2320</v>
      </c>
      <c r="F2022" s="10">
        <v>0</v>
      </c>
      <c r="G2022" s="10" t="s">
        <v>343</v>
      </c>
      <c r="H2022" s="10">
        <v>0</v>
      </c>
      <c r="I2022" s="10" t="s">
        <v>343</v>
      </c>
      <c r="J2022" s="11">
        <v>3568</v>
      </c>
      <c r="K2022" s="11">
        <v>3733</v>
      </c>
      <c r="L2022" s="11">
        <v>7301</v>
      </c>
      <c r="M2022" s="11">
        <v>2042</v>
      </c>
    </row>
    <row r="2023" spans="1:13" x14ac:dyDescent="0.3">
      <c r="A2023" s="10">
        <v>6712</v>
      </c>
      <c r="B2023" s="10">
        <v>72</v>
      </c>
      <c r="C2023" s="10" t="s">
        <v>2308</v>
      </c>
      <c r="D2023" s="10">
        <v>7268</v>
      </c>
      <c r="E2023" s="10" t="s">
        <v>2321</v>
      </c>
      <c r="F2023" s="10">
        <v>0</v>
      </c>
      <c r="G2023" s="10" t="s">
        <v>343</v>
      </c>
      <c r="H2023" s="10">
        <v>0</v>
      </c>
      <c r="I2023" s="10" t="s">
        <v>343</v>
      </c>
      <c r="J2023" s="11">
        <v>4428</v>
      </c>
      <c r="K2023" s="11">
        <v>4535</v>
      </c>
      <c r="L2023" s="11">
        <v>8963</v>
      </c>
      <c r="M2023" s="11">
        <v>3526</v>
      </c>
    </row>
    <row r="2024" spans="1:13" x14ac:dyDescent="0.3">
      <c r="A2024" s="10">
        <v>6712</v>
      </c>
      <c r="B2024" s="10">
        <v>72</v>
      </c>
      <c r="C2024" s="10" t="s">
        <v>2308</v>
      </c>
      <c r="D2024" s="10">
        <v>7269</v>
      </c>
      <c r="E2024" s="10" t="s">
        <v>2322</v>
      </c>
      <c r="F2024" s="10">
        <v>0</v>
      </c>
      <c r="G2024" s="10" t="s">
        <v>343</v>
      </c>
      <c r="H2024" s="10">
        <v>0</v>
      </c>
      <c r="I2024" s="10" t="s">
        <v>343</v>
      </c>
      <c r="J2024" s="11">
        <v>3097</v>
      </c>
      <c r="K2024" s="11">
        <v>3544</v>
      </c>
      <c r="L2024" s="11">
        <v>6641</v>
      </c>
      <c r="M2024" s="11">
        <v>2939</v>
      </c>
    </row>
    <row r="2025" spans="1:13" x14ac:dyDescent="0.3">
      <c r="A2025" s="10">
        <v>6712</v>
      </c>
      <c r="B2025" s="10">
        <v>72</v>
      </c>
      <c r="C2025" s="10" t="s">
        <v>2308</v>
      </c>
      <c r="D2025" s="10">
        <v>7270</v>
      </c>
      <c r="E2025" s="10" t="s">
        <v>2323</v>
      </c>
      <c r="F2025" s="10">
        <v>0</v>
      </c>
      <c r="G2025" s="10" t="s">
        <v>343</v>
      </c>
      <c r="H2025" s="10">
        <v>0</v>
      </c>
      <c r="I2025" s="10" t="s">
        <v>343</v>
      </c>
      <c r="J2025" s="10">
        <v>900</v>
      </c>
      <c r="K2025" s="10">
        <v>961</v>
      </c>
      <c r="L2025" s="11">
        <v>1861</v>
      </c>
      <c r="M2025" s="10">
        <v>599</v>
      </c>
    </row>
    <row r="2026" spans="1:13" x14ac:dyDescent="0.3">
      <c r="A2026" s="10">
        <v>6712</v>
      </c>
      <c r="B2026" s="10">
        <v>72</v>
      </c>
      <c r="C2026" s="10" t="s">
        <v>2308</v>
      </c>
      <c r="D2026" s="10">
        <v>7271</v>
      </c>
      <c r="E2026" s="10" t="s">
        <v>2324</v>
      </c>
      <c r="F2026" s="10">
        <v>0</v>
      </c>
      <c r="G2026" s="10" t="s">
        <v>343</v>
      </c>
      <c r="H2026" s="10">
        <v>0</v>
      </c>
      <c r="I2026" s="10" t="s">
        <v>343</v>
      </c>
      <c r="J2026" s="11">
        <v>4251</v>
      </c>
      <c r="K2026" s="11">
        <v>5046</v>
      </c>
      <c r="L2026" s="11">
        <v>9297</v>
      </c>
      <c r="M2026" s="11">
        <v>5656</v>
      </c>
    </row>
    <row r="2027" spans="1:13" x14ac:dyDescent="0.3">
      <c r="A2027" s="10">
        <v>6712</v>
      </c>
      <c r="B2027" s="10">
        <v>72</v>
      </c>
      <c r="C2027" s="10" t="s">
        <v>2308</v>
      </c>
      <c r="D2027" s="10">
        <v>7272</v>
      </c>
      <c r="E2027" s="10" t="s">
        <v>2325</v>
      </c>
      <c r="F2027" s="10">
        <v>0</v>
      </c>
      <c r="G2027" s="10" t="s">
        <v>343</v>
      </c>
      <c r="H2027" s="10">
        <v>0</v>
      </c>
      <c r="I2027" s="10" t="s">
        <v>343</v>
      </c>
      <c r="J2027" s="11">
        <v>2600</v>
      </c>
      <c r="K2027" s="11">
        <v>2798</v>
      </c>
      <c r="L2027" s="11">
        <v>5398</v>
      </c>
      <c r="M2027" s="11">
        <v>1981</v>
      </c>
    </row>
    <row r="2028" spans="1:13" x14ac:dyDescent="0.3">
      <c r="A2028" s="10">
        <v>6712</v>
      </c>
      <c r="B2028" s="10">
        <v>72</v>
      </c>
      <c r="C2028" s="10" t="s">
        <v>2308</v>
      </c>
      <c r="D2028" s="10">
        <v>7273</v>
      </c>
      <c r="E2028" s="10" t="s">
        <v>2326</v>
      </c>
      <c r="F2028" s="10">
        <v>0</v>
      </c>
      <c r="G2028" s="10" t="s">
        <v>343</v>
      </c>
      <c r="H2028" s="10">
        <v>0</v>
      </c>
      <c r="I2028" s="10" t="s">
        <v>343</v>
      </c>
      <c r="J2028" s="11">
        <v>3612</v>
      </c>
      <c r="K2028" s="11">
        <v>3847</v>
      </c>
      <c r="L2028" s="11">
        <v>7459</v>
      </c>
      <c r="M2028" s="11">
        <v>2116</v>
      </c>
    </row>
    <row r="2029" spans="1:13" x14ac:dyDescent="0.3">
      <c r="A2029" s="10">
        <v>6712</v>
      </c>
      <c r="B2029" s="10">
        <v>72</v>
      </c>
      <c r="C2029" s="10" t="s">
        <v>2308</v>
      </c>
      <c r="D2029" s="10">
        <v>7274</v>
      </c>
      <c r="E2029" s="10" t="s">
        <v>2327</v>
      </c>
      <c r="F2029" s="10">
        <v>0</v>
      </c>
      <c r="G2029" s="10" t="s">
        <v>343</v>
      </c>
      <c r="H2029" s="10">
        <v>0</v>
      </c>
      <c r="I2029" s="10" t="s">
        <v>343</v>
      </c>
      <c r="J2029" s="11">
        <v>2532</v>
      </c>
      <c r="K2029" s="11">
        <v>2756</v>
      </c>
      <c r="L2029" s="11">
        <v>5288</v>
      </c>
      <c r="M2029" s="11">
        <v>2107</v>
      </c>
    </row>
    <row r="2030" spans="1:13" x14ac:dyDescent="0.3">
      <c r="A2030" s="10">
        <v>6712</v>
      </c>
      <c r="B2030" s="10">
        <v>72</v>
      </c>
      <c r="C2030" s="10" t="s">
        <v>2308</v>
      </c>
      <c r="D2030" s="10">
        <v>7275</v>
      </c>
      <c r="E2030" s="10" t="s">
        <v>2328</v>
      </c>
      <c r="F2030" s="10">
        <v>0</v>
      </c>
      <c r="G2030" s="10" t="s">
        <v>343</v>
      </c>
      <c r="H2030" s="10">
        <v>0</v>
      </c>
      <c r="I2030" s="10" t="s">
        <v>343</v>
      </c>
      <c r="J2030" s="11">
        <v>3878</v>
      </c>
      <c r="K2030" s="11">
        <v>4244</v>
      </c>
      <c r="L2030" s="11">
        <v>8122</v>
      </c>
      <c r="M2030" s="11">
        <v>2994</v>
      </c>
    </row>
    <row r="2031" spans="1:13" x14ac:dyDescent="0.3">
      <c r="A2031" s="10">
        <v>6712</v>
      </c>
      <c r="B2031" s="10">
        <v>72</v>
      </c>
      <c r="C2031" s="10" t="s">
        <v>2308</v>
      </c>
      <c r="D2031" s="10">
        <v>7276</v>
      </c>
      <c r="E2031" s="10" t="s">
        <v>2329</v>
      </c>
      <c r="F2031" s="10">
        <v>0</v>
      </c>
      <c r="G2031" s="10" t="s">
        <v>343</v>
      </c>
      <c r="H2031" s="10">
        <v>0</v>
      </c>
      <c r="I2031" s="10" t="s">
        <v>343</v>
      </c>
      <c r="J2031" s="11">
        <v>2617</v>
      </c>
      <c r="K2031" s="11">
        <v>2662</v>
      </c>
      <c r="L2031" s="11">
        <v>5279</v>
      </c>
      <c r="M2031" s="11">
        <v>1991</v>
      </c>
    </row>
    <row r="2032" spans="1:13" x14ac:dyDescent="0.3">
      <c r="A2032" s="10">
        <v>6712</v>
      </c>
      <c r="B2032" s="10">
        <v>72</v>
      </c>
      <c r="C2032" s="10" t="s">
        <v>2308</v>
      </c>
      <c r="D2032" s="10">
        <v>7277</v>
      </c>
      <c r="E2032" s="10" t="s">
        <v>2063</v>
      </c>
      <c r="F2032" s="10">
        <v>0</v>
      </c>
      <c r="G2032" s="10" t="s">
        <v>343</v>
      </c>
      <c r="H2032" s="10">
        <v>0</v>
      </c>
      <c r="I2032" s="10" t="s">
        <v>343</v>
      </c>
      <c r="J2032" s="11">
        <v>3209</v>
      </c>
      <c r="K2032" s="11">
        <v>3568</v>
      </c>
      <c r="L2032" s="11">
        <v>6777</v>
      </c>
      <c r="M2032" s="11">
        <v>2877</v>
      </c>
    </row>
    <row r="2033" spans="1:13" x14ac:dyDescent="0.3">
      <c r="A2033" s="10">
        <v>6712</v>
      </c>
      <c r="B2033" s="10">
        <v>72</v>
      </c>
      <c r="C2033" s="10" t="s">
        <v>2308</v>
      </c>
      <c r="D2033" s="10">
        <v>7278</v>
      </c>
      <c r="E2033" s="10" t="s">
        <v>2330</v>
      </c>
      <c r="F2033" s="10">
        <v>0</v>
      </c>
      <c r="G2033" s="10" t="s">
        <v>343</v>
      </c>
      <c r="H2033" s="10">
        <v>0</v>
      </c>
      <c r="I2033" s="10" t="s">
        <v>343</v>
      </c>
      <c r="J2033" s="11">
        <v>2896</v>
      </c>
      <c r="K2033" s="11">
        <v>3082</v>
      </c>
      <c r="L2033" s="11">
        <v>5978</v>
      </c>
      <c r="M2033" s="11">
        <v>2140</v>
      </c>
    </row>
    <row r="2034" spans="1:13" x14ac:dyDescent="0.3">
      <c r="A2034" s="10">
        <v>6712</v>
      </c>
      <c r="B2034" s="10">
        <v>72</v>
      </c>
      <c r="C2034" s="10" t="s">
        <v>2308</v>
      </c>
      <c r="D2034" s="10">
        <v>7279</v>
      </c>
      <c r="E2034" s="10" t="s">
        <v>2331</v>
      </c>
      <c r="F2034" s="10">
        <v>0</v>
      </c>
      <c r="G2034" s="10" t="s">
        <v>343</v>
      </c>
      <c r="H2034" s="10">
        <v>0</v>
      </c>
      <c r="I2034" s="10" t="s">
        <v>343</v>
      </c>
      <c r="J2034" s="11">
        <v>1103</v>
      </c>
      <c r="K2034" s="11">
        <v>1257</v>
      </c>
      <c r="L2034" s="11">
        <v>2360</v>
      </c>
      <c r="M2034" s="11">
        <v>1166</v>
      </c>
    </row>
    <row r="2035" spans="1:13" x14ac:dyDescent="0.3">
      <c r="A2035" s="10">
        <v>6712</v>
      </c>
      <c r="B2035" s="10">
        <v>72</v>
      </c>
      <c r="C2035" s="10" t="s">
        <v>2308</v>
      </c>
      <c r="D2035" s="10">
        <v>7280</v>
      </c>
      <c r="E2035" s="10" t="s">
        <v>2332</v>
      </c>
      <c r="F2035" s="10">
        <v>0</v>
      </c>
      <c r="G2035" s="10" t="s">
        <v>343</v>
      </c>
      <c r="H2035" s="10">
        <v>0</v>
      </c>
      <c r="I2035" s="10" t="s">
        <v>343</v>
      </c>
      <c r="J2035" s="11">
        <v>3414</v>
      </c>
      <c r="K2035" s="11">
        <v>3839</v>
      </c>
      <c r="L2035" s="11">
        <v>7253</v>
      </c>
      <c r="M2035" s="11">
        <v>3699</v>
      </c>
    </row>
    <row r="2036" spans="1:13" x14ac:dyDescent="0.3">
      <c r="A2036" s="10">
        <v>6712</v>
      </c>
      <c r="B2036" s="10">
        <v>72</v>
      </c>
      <c r="C2036" s="10" t="s">
        <v>2308</v>
      </c>
      <c r="D2036" s="10">
        <v>7281</v>
      </c>
      <c r="E2036" s="10" t="s">
        <v>2333</v>
      </c>
      <c r="F2036" s="10">
        <v>0</v>
      </c>
      <c r="G2036" s="10" t="s">
        <v>343</v>
      </c>
      <c r="H2036" s="10">
        <v>0</v>
      </c>
      <c r="I2036" s="10" t="s">
        <v>343</v>
      </c>
      <c r="J2036" s="11">
        <v>1280</v>
      </c>
      <c r="K2036" s="11">
        <v>1440</v>
      </c>
      <c r="L2036" s="11">
        <v>2720</v>
      </c>
      <c r="M2036" s="11">
        <v>1083</v>
      </c>
    </row>
    <row r="2037" spans="1:13" x14ac:dyDescent="0.3">
      <c r="A2037" s="10">
        <v>6712</v>
      </c>
      <c r="B2037" s="10">
        <v>72</v>
      </c>
      <c r="C2037" s="10" t="s">
        <v>2308</v>
      </c>
      <c r="D2037" s="10">
        <v>7282</v>
      </c>
      <c r="E2037" s="10" t="s">
        <v>2334</v>
      </c>
      <c r="F2037" s="10">
        <v>0</v>
      </c>
      <c r="G2037" s="10" t="s">
        <v>343</v>
      </c>
      <c r="H2037" s="10">
        <v>0</v>
      </c>
      <c r="I2037" s="10" t="s">
        <v>343</v>
      </c>
      <c r="J2037" s="11">
        <v>5723</v>
      </c>
      <c r="K2037" s="11">
        <v>6521</v>
      </c>
      <c r="L2037" s="11">
        <v>12244</v>
      </c>
      <c r="M2037" s="11">
        <v>6947</v>
      </c>
    </row>
    <row r="2038" spans="1:13" x14ac:dyDescent="0.3">
      <c r="A2038" s="10">
        <v>6712</v>
      </c>
      <c r="B2038" s="10">
        <v>72</v>
      </c>
      <c r="C2038" s="10" t="s">
        <v>2308</v>
      </c>
      <c r="D2038" s="10">
        <v>7283</v>
      </c>
      <c r="E2038" s="10" t="s">
        <v>2335</v>
      </c>
      <c r="F2038" s="10">
        <v>0</v>
      </c>
      <c r="G2038" s="10" t="s">
        <v>343</v>
      </c>
      <c r="H2038" s="10">
        <v>0</v>
      </c>
      <c r="I2038" s="10" t="s">
        <v>343</v>
      </c>
      <c r="J2038" s="11">
        <v>1507</v>
      </c>
      <c r="K2038" s="11">
        <v>1770</v>
      </c>
      <c r="L2038" s="11">
        <v>3277</v>
      </c>
      <c r="M2038" s="11">
        <v>1336</v>
      </c>
    </row>
    <row r="2039" spans="1:13" x14ac:dyDescent="0.3">
      <c r="A2039" s="10">
        <v>6712</v>
      </c>
      <c r="B2039" s="10">
        <v>72</v>
      </c>
      <c r="C2039" s="10" t="s">
        <v>2308</v>
      </c>
      <c r="D2039" s="10">
        <v>7284</v>
      </c>
      <c r="E2039" s="10" t="s">
        <v>2336</v>
      </c>
      <c r="F2039" s="10">
        <v>0</v>
      </c>
      <c r="G2039" s="10" t="s">
        <v>343</v>
      </c>
      <c r="H2039" s="10">
        <v>0</v>
      </c>
      <c r="I2039" s="10" t="s">
        <v>343</v>
      </c>
      <c r="J2039" s="11">
        <v>1187</v>
      </c>
      <c r="K2039" s="11">
        <v>1160</v>
      </c>
      <c r="L2039" s="11">
        <v>2347</v>
      </c>
      <c r="M2039" s="11">
        <v>1074</v>
      </c>
    </row>
    <row r="2040" spans="1:13" x14ac:dyDescent="0.3">
      <c r="A2040" s="10">
        <v>6712</v>
      </c>
      <c r="B2040" s="10">
        <v>72</v>
      </c>
      <c r="C2040" s="10" t="s">
        <v>2308</v>
      </c>
      <c r="D2040" s="10">
        <v>7285</v>
      </c>
      <c r="E2040" s="10" t="s">
        <v>2337</v>
      </c>
      <c r="F2040" s="10">
        <v>0</v>
      </c>
      <c r="G2040" s="10" t="s">
        <v>343</v>
      </c>
      <c r="H2040" s="10">
        <v>0</v>
      </c>
      <c r="I2040" s="10" t="s">
        <v>343</v>
      </c>
      <c r="J2040" s="11">
        <v>1370</v>
      </c>
      <c r="K2040" s="11">
        <v>1487</v>
      </c>
      <c r="L2040" s="11">
        <v>2857</v>
      </c>
      <c r="M2040" s="11">
        <v>1425</v>
      </c>
    </row>
    <row r="2041" spans="1:13" x14ac:dyDescent="0.3">
      <c r="A2041" s="10">
        <v>6712</v>
      </c>
      <c r="B2041" s="10">
        <v>72</v>
      </c>
      <c r="C2041" s="10" t="s">
        <v>2308</v>
      </c>
      <c r="D2041" s="10">
        <v>7286</v>
      </c>
      <c r="E2041" s="10" t="s">
        <v>2338</v>
      </c>
      <c r="F2041" s="10">
        <v>0</v>
      </c>
      <c r="G2041" s="10" t="s">
        <v>343</v>
      </c>
      <c r="H2041" s="10">
        <v>0</v>
      </c>
      <c r="I2041" s="10" t="s">
        <v>343</v>
      </c>
      <c r="J2041" s="11">
        <v>2557</v>
      </c>
      <c r="K2041" s="11">
        <v>2878</v>
      </c>
      <c r="L2041" s="11">
        <v>5435</v>
      </c>
      <c r="M2041" s="11">
        <v>2699</v>
      </c>
    </row>
    <row r="2042" spans="1:13" x14ac:dyDescent="0.3">
      <c r="A2042" s="10">
        <v>6712</v>
      </c>
      <c r="B2042" s="10">
        <v>72</v>
      </c>
      <c r="C2042" s="10" t="s">
        <v>2308</v>
      </c>
      <c r="D2042" s="10">
        <v>7287</v>
      </c>
      <c r="E2042" s="10" t="s">
        <v>2339</v>
      </c>
      <c r="F2042" s="10">
        <v>0</v>
      </c>
      <c r="G2042" s="10" t="s">
        <v>343</v>
      </c>
      <c r="H2042" s="10">
        <v>0</v>
      </c>
      <c r="I2042" s="10" t="s">
        <v>343</v>
      </c>
      <c r="J2042" s="10">
        <v>808</v>
      </c>
      <c r="K2042" s="10">
        <v>861</v>
      </c>
      <c r="L2042" s="11">
        <v>1669</v>
      </c>
      <c r="M2042" s="10">
        <v>619</v>
      </c>
    </row>
    <row r="2043" spans="1:13" x14ac:dyDescent="0.3">
      <c r="A2043" s="10">
        <v>6712</v>
      </c>
      <c r="B2043" s="10">
        <v>72</v>
      </c>
      <c r="C2043" s="10" t="s">
        <v>2308</v>
      </c>
      <c r="D2043" s="10">
        <v>7288</v>
      </c>
      <c r="E2043" s="10" t="s">
        <v>2340</v>
      </c>
      <c r="F2043" s="10">
        <v>0</v>
      </c>
      <c r="G2043" s="10" t="s">
        <v>343</v>
      </c>
      <c r="H2043" s="10">
        <v>0</v>
      </c>
      <c r="I2043" s="10" t="s">
        <v>343</v>
      </c>
      <c r="J2043" s="10">
        <v>571</v>
      </c>
      <c r="K2043" s="10">
        <v>569</v>
      </c>
      <c r="L2043" s="11">
        <v>1140</v>
      </c>
      <c r="M2043" s="10">
        <v>461</v>
      </c>
    </row>
    <row r="2044" spans="1:13" x14ac:dyDescent="0.3">
      <c r="A2044" s="10">
        <v>6712</v>
      </c>
      <c r="B2044" s="10">
        <v>72</v>
      </c>
      <c r="C2044" s="10" t="s">
        <v>2308</v>
      </c>
      <c r="D2044" s="10">
        <v>7289</v>
      </c>
      <c r="E2044" s="10" t="s">
        <v>2341</v>
      </c>
      <c r="F2044" s="10">
        <v>0</v>
      </c>
      <c r="G2044" s="10" t="s">
        <v>343</v>
      </c>
      <c r="H2044" s="10">
        <v>0</v>
      </c>
      <c r="I2044" s="10" t="s">
        <v>343</v>
      </c>
      <c r="J2044" s="10">
        <v>880</v>
      </c>
      <c r="K2044" s="10">
        <v>913</v>
      </c>
      <c r="L2044" s="11">
        <v>1793</v>
      </c>
      <c r="M2044" s="10">
        <v>693</v>
      </c>
    </row>
    <row r="2045" spans="1:13" x14ac:dyDescent="0.3">
      <c r="A2045" s="10">
        <v>6712</v>
      </c>
      <c r="B2045" s="10">
        <v>72</v>
      </c>
      <c r="C2045" s="10" t="s">
        <v>2308</v>
      </c>
      <c r="D2045" s="10">
        <v>7290</v>
      </c>
      <c r="E2045" s="10" t="s">
        <v>2342</v>
      </c>
      <c r="F2045" s="10">
        <v>0</v>
      </c>
      <c r="G2045" s="10" t="s">
        <v>343</v>
      </c>
      <c r="H2045" s="10">
        <v>0</v>
      </c>
      <c r="I2045" s="10" t="s">
        <v>343</v>
      </c>
      <c r="J2045" s="10">
        <v>709</v>
      </c>
      <c r="K2045" s="10">
        <v>758</v>
      </c>
      <c r="L2045" s="11">
        <v>1467</v>
      </c>
      <c r="M2045" s="10">
        <v>902</v>
      </c>
    </row>
    <row r="2046" spans="1:13" x14ac:dyDescent="0.3">
      <c r="A2046" s="10">
        <v>6712</v>
      </c>
      <c r="B2046" s="10">
        <v>72</v>
      </c>
      <c r="C2046" s="10" t="s">
        <v>2308</v>
      </c>
      <c r="D2046" s="10">
        <v>7291</v>
      </c>
      <c r="E2046" s="10" t="s">
        <v>2343</v>
      </c>
      <c r="F2046" s="10">
        <v>0</v>
      </c>
      <c r="G2046" s="10" t="s">
        <v>343</v>
      </c>
      <c r="H2046" s="10">
        <v>0</v>
      </c>
      <c r="I2046" s="10" t="s">
        <v>343</v>
      </c>
      <c r="J2046" s="11">
        <v>2592</v>
      </c>
      <c r="K2046" s="11">
        <v>2956</v>
      </c>
      <c r="L2046" s="11">
        <v>5548</v>
      </c>
      <c r="M2046" s="11">
        <v>3456</v>
      </c>
    </row>
    <row r="2047" spans="1:13" x14ac:dyDescent="0.3">
      <c r="A2047" s="10">
        <v>6712</v>
      </c>
      <c r="B2047" s="10">
        <v>72</v>
      </c>
      <c r="C2047" s="10" t="s">
        <v>2308</v>
      </c>
      <c r="D2047" s="10">
        <v>7292</v>
      </c>
      <c r="E2047" s="10" t="s">
        <v>2344</v>
      </c>
      <c r="F2047" s="10">
        <v>0</v>
      </c>
      <c r="G2047" s="10" t="s">
        <v>343</v>
      </c>
      <c r="H2047" s="10">
        <v>0</v>
      </c>
      <c r="I2047" s="10" t="s">
        <v>343</v>
      </c>
      <c r="J2047" s="10">
        <v>892</v>
      </c>
      <c r="K2047" s="11">
        <v>1031</v>
      </c>
      <c r="L2047" s="11">
        <v>1923</v>
      </c>
      <c r="M2047" s="10">
        <v>788</v>
      </c>
    </row>
    <row r="2048" spans="1:13" x14ac:dyDescent="0.3">
      <c r="A2048" s="10">
        <v>6712</v>
      </c>
      <c r="B2048" s="10">
        <v>72</v>
      </c>
      <c r="C2048" s="10" t="s">
        <v>2308</v>
      </c>
      <c r="D2048" s="10">
        <v>7293</v>
      </c>
      <c r="E2048" s="10" t="s">
        <v>2345</v>
      </c>
      <c r="F2048" s="10">
        <v>0</v>
      </c>
      <c r="G2048" s="10" t="s">
        <v>343</v>
      </c>
      <c r="H2048" s="10">
        <v>0</v>
      </c>
      <c r="I2048" s="10" t="s">
        <v>343</v>
      </c>
      <c r="J2048" s="11">
        <v>2030</v>
      </c>
      <c r="K2048" s="11">
        <v>2156</v>
      </c>
      <c r="L2048" s="11">
        <v>4186</v>
      </c>
      <c r="M2048" s="11">
        <v>1721</v>
      </c>
    </row>
    <row r="2049" spans="1:13" x14ac:dyDescent="0.3">
      <c r="A2049" s="10">
        <v>6712</v>
      </c>
      <c r="B2049" s="10">
        <v>72</v>
      </c>
      <c r="C2049" s="10" t="s">
        <v>2308</v>
      </c>
      <c r="D2049" s="10">
        <v>7294</v>
      </c>
      <c r="E2049" s="10" t="s">
        <v>2346</v>
      </c>
      <c r="F2049" s="10">
        <v>0</v>
      </c>
      <c r="G2049" s="10" t="s">
        <v>343</v>
      </c>
      <c r="H2049" s="10">
        <v>0</v>
      </c>
      <c r="I2049" s="10" t="s">
        <v>343</v>
      </c>
      <c r="J2049" s="11">
        <v>2495</v>
      </c>
      <c r="K2049" s="11">
        <v>2918</v>
      </c>
      <c r="L2049" s="11">
        <v>5413</v>
      </c>
      <c r="M2049" s="11">
        <v>3334</v>
      </c>
    </row>
    <row r="2050" spans="1:13" x14ac:dyDescent="0.3">
      <c r="A2050" s="10">
        <v>6712</v>
      </c>
      <c r="B2050" s="10">
        <v>72</v>
      </c>
      <c r="C2050" s="10" t="s">
        <v>2308</v>
      </c>
      <c r="D2050" s="10">
        <v>7295</v>
      </c>
      <c r="E2050" s="10" t="s">
        <v>2347</v>
      </c>
      <c r="F2050" s="10">
        <v>0</v>
      </c>
      <c r="G2050" s="10" t="s">
        <v>343</v>
      </c>
      <c r="H2050" s="10">
        <v>0</v>
      </c>
      <c r="I2050" s="10" t="s">
        <v>343</v>
      </c>
      <c r="J2050" s="11">
        <v>3051</v>
      </c>
      <c r="K2050" s="11">
        <v>3281</v>
      </c>
      <c r="L2050" s="11">
        <v>6332</v>
      </c>
      <c r="M2050" s="11">
        <v>2387</v>
      </c>
    </row>
    <row r="2051" spans="1:13" x14ac:dyDescent="0.3">
      <c r="A2051" s="10">
        <v>6712</v>
      </c>
      <c r="B2051" s="10">
        <v>72</v>
      </c>
      <c r="C2051" s="10" t="s">
        <v>2308</v>
      </c>
      <c r="D2051" s="10">
        <v>7296</v>
      </c>
      <c r="E2051" s="10" t="s">
        <v>2348</v>
      </c>
      <c r="F2051" s="10">
        <v>0</v>
      </c>
      <c r="G2051" s="10" t="s">
        <v>343</v>
      </c>
      <c r="H2051" s="10">
        <v>0</v>
      </c>
      <c r="I2051" s="10" t="s">
        <v>343</v>
      </c>
      <c r="J2051" s="11">
        <v>1465</v>
      </c>
      <c r="K2051" s="11">
        <v>1820</v>
      </c>
      <c r="L2051" s="11">
        <v>3285</v>
      </c>
      <c r="M2051" s="11">
        <v>1722</v>
      </c>
    </row>
    <row r="2052" spans="1:13" x14ac:dyDescent="0.3">
      <c r="A2052" s="10">
        <v>6712</v>
      </c>
      <c r="B2052" s="10">
        <v>72</v>
      </c>
      <c r="C2052" s="10" t="s">
        <v>2308</v>
      </c>
      <c r="D2052" s="10">
        <v>7297</v>
      </c>
      <c r="E2052" s="10" t="s">
        <v>2349</v>
      </c>
      <c r="F2052" s="10">
        <v>0</v>
      </c>
      <c r="G2052" s="10" t="s">
        <v>343</v>
      </c>
      <c r="H2052" s="10">
        <v>0</v>
      </c>
      <c r="I2052" s="10" t="s">
        <v>343</v>
      </c>
      <c r="J2052" s="11">
        <v>6583</v>
      </c>
      <c r="K2052" s="11">
        <v>7024</v>
      </c>
      <c r="L2052" s="11">
        <v>13607</v>
      </c>
      <c r="M2052" s="11">
        <v>4599</v>
      </c>
    </row>
    <row r="2053" spans="1:13" x14ac:dyDescent="0.3">
      <c r="A2053" s="10">
        <v>6712</v>
      </c>
      <c r="B2053" s="10">
        <v>72</v>
      </c>
      <c r="C2053" s="10" t="s">
        <v>2308</v>
      </c>
      <c r="D2053" s="10">
        <v>7298</v>
      </c>
      <c r="E2053" s="10" t="s">
        <v>2350</v>
      </c>
      <c r="F2053" s="10">
        <v>0</v>
      </c>
      <c r="G2053" s="10" t="s">
        <v>343</v>
      </c>
      <c r="H2053" s="10">
        <v>0</v>
      </c>
      <c r="I2053" s="10" t="s">
        <v>343</v>
      </c>
      <c r="J2053" s="11">
        <v>5497</v>
      </c>
      <c r="K2053" s="11">
        <v>6294</v>
      </c>
      <c r="L2053" s="11">
        <v>11791</v>
      </c>
      <c r="M2053" s="11">
        <v>5380</v>
      </c>
    </row>
    <row r="2054" spans="1:13" x14ac:dyDescent="0.3">
      <c r="A2054" s="10">
        <v>6712</v>
      </c>
      <c r="B2054" s="10">
        <v>72</v>
      </c>
      <c r="C2054" s="10" t="s">
        <v>2308</v>
      </c>
      <c r="D2054" s="10">
        <v>7299</v>
      </c>
      <c r="E2054" s="10" t="s">
        <v>2351</v>
      </c>
      <c r="F2054" s="10">
        <v>0</v>
      </c>
      <c r="G2054" s="10" t="s">
        <v>343</v>
      </c>
      <c r="H2054" s="10">
        <v>0</v>
      </c>
      <c r="I2054" s="10" t="s">
        <v>343</v>
      </c>
      <c r="J2054" s="11">
        <v>10664</v>
      </c>
      <c r="K2054" s="11">
        <v>12653</v>
      </c>
      <c r="L2054" s="11">
        <v>23317</v>
      </c>
      <c r="M2054" s="11">
        <v>13162</v>
      </c>
    </row>
    <row r="2055" spans="1:13" x14ac:dyDescent="0.3">
      <c r="A2055" s="10">
        <v>6712</v>
      </c>
      <c r="B2055" s="10">
        <v>73</v>
      </c>
      <c r="C2055" s="10" t="s">
        <v>2352</v>
      </c>
      <c r="D2055" s="10">
        <v>0</v>
      </c>
      <c r="E2055" s="10" t="s">
        <v>343</v>
      </c>
      <c r="F2055" s="10">
        <v>0</v>
      </c>
      <c r="G2055" s="10" t="s">
        <v>343</v>
      </c>
      <c r="H2055" s="10">
        <v>0</v>
      </c>
      <c r="I2055" s="10" t="s">
        <v>343</v>
      </c>
      <c r="J2055" s="11">
        <v>443395</v>
      </c>
      <c r="K2055" s="11">
        <v>482363</v>
      </c>
      <c r="L2055" s="11">
        <v>925758</v>
      </c>
      <c r="M2055" s="11">
        <v>442482</v>
      </c>
    </row>
    <row r="2056" spans="1:13" x14ac:dyDescent="0.3">
      <c r="A2056" s="10">
        <v>6712</v>
      </c>
      <c r="B2056" s="10">
        <v>73</v>
      </c>
      <c r="C2056" s="10" t="s">
        <v>2352</v>
      </c>
      <c r="D2056" s="10">
        <v>7301</v>
      </c>
      <c r="E2056" s="10" t="s">
        <v>2353</v>
      </c>
      <c r="F2056" s="10">
        <v>0</v>
      </c>
      <c r="G2056" s="10" t="s">
        <v>343</v>
      </c>
      <c r="H2056" s="10">
        <v>0</v>
      </c>
      <c r="I2056" s="10" t="s">
        <v>343</v>
      </c>
      <c r="J2056" s="11">
        <v>84488</v>
      </c>
      <c r="K2056" s="11">
        <v>92481</v>
      </c>
      <c r="L2056" s="11">
        <v>176969</v>
      </c>
      <c r="M2056" s="11">
        <v>72539</v>
      </c>
    </row>
    <row r="2057" spans="1:13" x14ac:dyDescent="0.3">
      <c r="A2057" s="10">
        <v>6712</v>
      </c>
      <c r="B2057" s="10">
        <v>73</v>
      </c>
      <c r="C2057" s="10" t="s">
        <v>2352</v>
      </c>
      <c r="D2057" s="10">
        <v>7302</v>
      </c>
      <c r="E2057" s="10" t="s">
        <v>2354</v>
      </c>
      <c r="F2057" s="10">
        <v>0</v>
      </c>
      <c r="G2057" s="10" t="s">
        <v>343</v>
      </c>
      <c r="H2057" s="10">
        <v>0</v>
      </c>
      <c r="I2057" s="10" t="s">
        <v>343</v>
      </c>
      <c r="J2057" s="11">
        <v>57664</v>
      </c>
      <c r="K2057" s="11">
        <v>60873</v>
      </c>
      <c r="L2057" s="11">
        <v>118537</v>
      </c>
      <c r="M2057" s="11">
        <v>42452</v>
      </c>
    </row>
    <row r="2058" spans="1:13" x14ac:dyDescent="0.3">
      <c r="A2058" s="10">
        <v>6712</v>
      </c>
      <c r="B2058" s="10">
        <v>73</v>
      </c>
      <c r="C2058" s="10" t="s">
        <v>2352</v>
      </c>
      <c r="D2058" s="10">
        <v>7303</v>
      </c>
      <c r="E2058" s="10" t="s">
        <v>2355</v>
      </c>
      <c r="F2058" s="10">
        <v>0</v>
      </c>
      <c r="G2058" s="10" t="s">
        <v>343</v>
      </c>
      <c r="H2058" s="10">
        <v>0</v>
      </c>
      <c r="I2058" s="10" t="s">
        <v>343</v>
      </c>
      <c r="J2058" s="11">
        <v>48155</v>
      </c>
      <c r="K2058" s="11">
        <v>53201</v>
      </c>
      <c r="L2058" s="11">
        <v>101356</v>
      </c>
      <c r="M2058" s="11">
        <v>41862</v>
      </c>
    </row>
    <row r="2059" spans="1:13" x14ac:dyDescent="0.3">
      <c r="A2059" s="10">
        <v>6712</v>
      </c>
      <c r="B2059" s="10">
        <v>73</v>
      </c>
      <c r="C2059" s="10" t="s">
        <v>2352</v>
      </c>
      <c r="D2059" s="10">
        <v>7304</v>
      </c>
      <c r="E2059" s="10" t="s">
        <v>2356</v>
      </c>
      <c r="F2059" s="10">
        <v>0</v>
      </c>
      <c r="G2059" s="10" t="s">
        <v>343</v>
      </c>
      <c r="H2059" s="10">
        <v>0</v>
      </c>
      <c r="I2059" s="10" t="s">
        <v>343</v>
      </c>
      <c r="J2059" s="11">
        <v>17445</v>
      </c>
      <c r="K2059" s="11">
        <v>18389</v>
      </c>
      <c r="L2059" s="11">
        <v>35834</v>
      </c>
      <c r="M2059" s="11">
        <v>11946</v>
      </c>
    </row>
    <row r="2060" spans="1:13" x14ac:dyDescent="0.3">
      <c r="A2060" s="10">
        <v>6712</v>
      </c>
      <c r="B2060" s="10">
        <v>73</v>
      </c>
      <c r="C2060" s="10" t="s">
        <v>2352</v>
      </c>
      <c r="D2060" s="10">
        <v>7305</v>
      </c>
      <c r="E2060" s="10" t="s">
        <v>2357</v>
      </c>
      <c r="F2060" s="10">
        <v>0</v>
      </c>
      <c r="G2060" s="10" t="s">
        <v>343</v>
      </c>
      <c r="H2060" s="10">
        <v>0</v>
      </c>
      <c r="I2060" s="10" t="s">
        <v>343</v>
      </c>
      <c r="J2060" s="11">
        <v>39587</v>
      </c>
      <c r="K2060" s="11">
        <v>40747</v>
      </c>
      <c r="L2060" s="11">
        <v>80334</v>
      </c>
      <c r="M2060" s="11">
        <v>31433</v>
      </c>
    </row>
    <row r="2061" spans="1:13" x14ac:dyDescent="0.3">
      <c r="A2061" s="10">
        <v>6712</v>
      </c>
      <c r="B2061" s="10">
        <v>73</v>
      </c>
      <c r="C2061" s="10" t="s">
        <v>2352</v>
      </c>
      <c r="D2061" s="10">
        <v>7306</v>
      </c>
      <c r="E2061" s="10" t="s">
        <v>2358</v>
      </c>
      <c r="F2061" s="10">
        <v>0</v>
      </c>
      <c r="G2061" s="10" t="s">
        <v>343</v>
      </c>
      <c r="H2061" s="10">
        <v>0</v>
      </c>
      <c r="I2061" s="10" t="s">
        <v>343</v>
      </c>
      <c r="J2061" s="11">
        <v>47571</v>
      </c>
      <c r="K2061" s="11">
        <v>52910</v>
      </c>
      <c r="L2061" s="11">
        <v>100481</v>
      </c>
      <c r="M2061" s="11">
        <v>52185</v>
      </c>
    </row>
    <row r="2062" spans="1:13" x14ac:dyDescent="0.3">
      <c r="A2062" s="10">
        <v>6712</v>
      </c>
      <c r="B2062" s="10">
        <v>73</v>
      </c>
      <c r="C2062" s="10" t="s">
        <v>2352</v>
      </c>
      <c r="D2062" s="10">
        <v>7307</v>
      </c>
      <c r="E2062" s="10" t="s">
        <v>2359</v>
      </c>
      <c r="F2062" s="10">
        <v>0</v>
      </c>
      <c r="G2062" s="10" t="s">
        <v>343</v>
      </c>
      <c r="H2062" s="10">
        <v>0</v>
      </c>
      <c r="I2062" s="10" t="s">
        <v>343</v>
      </c>
      <c r="J2062" s="11">
        <v>10584</v>
      </c>
      <c r="K2062" s="11">
        <v>12458</v>
      </c>
      <c r="L2062" s="11">
        <v>23042</v>
      </c>
      <c r="M2062" s="11">
        <v>12471</v>
      </c>
    </row>
    <row r="2063" spans="1:13" x14ac:dyDescent="0.3">
      <c r="A2063" s="10">
        <v>6712</v>
      </c>
      <c r="B2063" s="10">
        <v>73</v>
      </c>
      <c r="C2063" s="10" t="s">
        <v>2352</v>
      </c>
      <c r="D2063" s="10">
        <v>7380</v>
      </c>
      <c r="E2063" s="10" t="s">
        <v>2360</v>
      </c>
      <c r="F2063" s="10">
        <v>0</v>
      </c>
      <c r="G2063" s="10" t="s">
        <v>343</v>
      </c>
      <c r="H2063" s="10">
        <v>0</v>
      </c>
      <c r="I2063" s="10" t="s">
        <v>343</v>
      </c>
      <c r="J2063" s="11">
        <v>4598</v>
      </c>
      <c r="K2063" s="11">
        <v>5111</v>
      </c>
      <c r="L2063" s="11">
        <v>9709</v>
      </c>
      <c r="M2063" s="11">
        <v>5079</v>
      </c>
    </row>
    <row r="2064" spans="1:13" x14ac:dyDescent="0.3">
      <c r="A2064" s="10">
        <v>6712</v>
      </c>
      <c r="B2064" s="10">
        <v>73</v>
      </c>
      <c r="C2064" s="10" t="s">
        <v>2352</v>
      </c>
      <c r="D2064" s="10">
        <v>7381</v>
      </c>
      <c r="E2064" s="10" t="s">
        <v>2361</v>
      </c>
      <c r="F2064" s="10">
        <v>0</v>
      </c>
      <c r="G2064" s="10" t="s">
        <v>343</v>
      </c>
      <c r="H2064" s="10">
        <v>0</v>
      </c>
      <c r="I2064" s="10" t="s">
        <v>343</v>
      </c>
      <c r="J2064" s="11">
        <v>7218</v>
      </c>
      <c r="K2064" s="11">
        <v>8384</v>
      </c>
      <c r="L2064" s="11">
        <v>15602</v>
      </c>
      <c r="M2064" s="11">
        <v>9517</v>
      </c>
    </row>
    <row r="2065" spans="1:13" x14ac:dyDescent="0.3">
      <c r="A2065" s="10">
        <v>6712</v>
      </c>
      <c r="B2065" s="10">
        <v>73</v>
      </c>
      <c r="C2065" s="10" t="s">
        <v>2352</v>
      </c>
      <c r="D2065" s="10">
        <v>7382</v>
      </c>
      <c r="E2065" s="10" t="s">
        <v>2362</v>
      </c>
      <c r="F2065" s="10">
        <v>0</v>
      </c>
      <c r="G2065" s="10" t="s">
        <v>343</v>
      </c>
      <c r="H2065" s="10">
        <v>0</v>
      </c>
      <c r="I2065" s="10" t="s">
        <v>343</v>
      </c>
      <c r="J2065" s="11">
        <v>13578</v>
      </c>
      <c r="K2065" s="11">
        <v>15931</v>
      </c>
      <c r="L2065" s="11">
        <v>29509</v>
      </c>
      <c r="M2065" s="11">
        <v>19092</v>
      </c>
    </row>
    <row r="2066" spans="1:13" x14ac:dyDescent="0.3">
      <c r="A2066" s="10">
        <v>6712</v>
      </c>
      <c r="B2066" s="10">
        <v>73</v>
      </c>
      <c r="C2066" s="10" t="s">
        <v>2352</v>
      </c>
      <c r="D2066" s="10">
        <v>7383</v>
      </c>
      <c r="E2066" s="10" t="s">
        <v>2363</v>
      </c>
      <c r="F2066" s="10">
        <v>0</v>
      </c>
      <c r="G2066" s="10" t="s">
        <v>343</v>
      </c>
      <c r="H2066" s="10">
        <v>0</v>
      </c>
      <c r="I2066" s="10" t="s">
        <v>343</v>
      </c>
      <c r="J2066" s="11">
        <v>17045</v>
      </c>
      <c r="K2066" s="11">
        <v>19441</v>
      </c>
      <c r="L2066" s="11">
        <v>36486</v>
      </c>
      <c r="M2066" s="11">
        <v>27294</v>
      </c>
    </row>
    <row r="2067" spans="1:13" x14ac:dyDescent="0.3">
      <c r="A2067" s="10">
        <v>6712</v>
      </c>
      <c r="B2067" s="10">
        <v>73</v>
      </c>
      <c r="C2067" s="10" t="s">
        <v>2352</v>
      </c>
      <c r="D2067" s="10">
        <v>7384</v>
      </c>
      <c r="E2067" s="10" t="s">
        <v>2364</v>
      </c>
      <c r="F2067" s="10">
        <v>0</v>
      </c>
      <c r="G2067" s="10" t="s">
        <v>343</v>
      </c>
      <c r="H2067" s="10">
        <v>0</v>
      </c>
      <c r="I2067" s="10" t="s">
        <v>343</v>
      </c>
      <c r="J2067" s="11">
        <v>5169</v>
      </c>
      <c r="K2067" s="11">
        <v>5783</v>
      </c>
      <c r="L2067" s="11">
        <v>10952</v>
      </c>
      <c r="M2067" s="11">
        <v>4670</v>
      </c>
    </row>
    <row r="2068" spans="1:13" x14ac:dyDescent="0.3">
      <c r="A2068" s="10">
        <v>6712</v>
      </c>
      <c r="B2068" s="10">
        <v>73</v>
      </c>
      <c r="C2068" s="10" t="s">
        <v>2352</v>
      </c>
      <c r="D2068" s="10">
        <v>7385</v>
      </c>
      <c r="E2068" s="10" t="s">
        <v>2365</v>
      </c>
      <c r="F2068" s="10">
        <v>0</v>
      </c>
      <c r="G2068" s="10" t="s">
        <v>343</v>
      </c>
      <c r="H2068" s="10">
        <v>0</v>
      </c>
      <c r="I2068" s="10" t="s">
        <v>343</v>
      </c>
      <c r="J2068" s="11">
        <v>6551</v>
      </c>
      <c r="K2068" s="11">
        <v>5279</v>
      </c>
      <c r="L2068" s="11">
        <v>11830</v>
      </c>
      <c r="M2068" s="11">
        <v>9858</v>
      </c>
    </row>
    <row r="2069" spans="1:13" x14ac:dyDescent="0.3">
      <c r="A2069" s="10">
        <v>6712</v>
      </c>
      <c r="B2069" s="10">
        <v>73</v>
      </c>
      <c r="C2069" s="10" t="s">
        <v>2352</v>
      </c>
      <c r="D2069" s="10">
        <v>7386</v>
      </c>
      <c r="E2069" s="10" t="s">
        <v>2366</v>
      </c>
      <c r="F2069" s="10">
        <v>0</v>
      </c>
      <c r="G2069" s="10" t="s">
        <v>343</v>
      </c>
      <c r="H2069" s="10">
        <v>0</v>
      </c>
      <c r="I2069" s="10" t="s">
        <v>343</v>
      </c>
      <c r="J2069" s="11">
        <v>11551</v>
      </c>
      <c r="K2069" s="11">
        <v>12823</v>
      </c>
      <c r="L2069" s="11">
        <v>24374</v>
      </c>
      <c r="M2069" s="11">
        <v>22440</v>
      </c>
    </row>
    <row r="2070" spans="1:13" x14ac:dyDescent="0.3">
      <c r="A2070" s="10">
        <v>6712</v>
      </c>
      <c r="B2070" s="10">
        <v>73</v>
      </c>
      <c r="C2070" s="10" t="s">
        <v>2352</v>
      </c>
      <c r="D2070" s="10">
        <v>7387</v>
      </c>
      <c r="E2070" s="10" t="s">
        <v>2367</v>
      </c>
      <c r="F2070" s="10">
        <v>0</v>
      </c>
      <c r="G2070" s="10" t="s">
        <v>343</v>
      </c>
      <c r="H2070" s="10">
        <v>0</v>
      </c>
      <c r="I2070" s="10" t="s">
        <v>343</v>
      </c>
      <c r="J2070" s="11">
        <v>8520</v>
      </c>
      <c r="K2070" s="11">
        <v>7587</v>
      </c>
      <c r="L2070" s="11">
        <v>16107</v>
      </c>
      <c r="M2070" s="11">
        <v>9310</v>
      </c>
    </row>
    <row r="2071" spans="1:13" x14ac:dyDescent="0.3">
      <c r="A2071" s="10">
        <v>6712</v>
      </c>
      <c r="B2071" s="10">
        <v>73</v>
      </c>
      <c r="C2071" s="10" t="s">
        <v>2352</v>
      </c>
      <c r="D2071" s="10">
        <v>7388</v>
      </c>
      <c r="E2071" s="10" t="s">
        <v>2368</v>
      </c>
      <c r="F2071" s="10">
        <v>0</v>
      </c>
      <c r="G2071" s="10" t="s">
        <v>343</v>
      </c>
      <c r="H2071" s="10">
        <v>0</v>
      </c>
      <c r="I2071" s="10" t="s">
        <v>343</v>
      </c>
      <c r="J2071" s="10">
        <v>902</v>
      </c>
      <c r="K2071" s="10">
        <v>977</v>
      </c>
      <c r="L2071" s="11">
        <v>1879</v>
      </c>
      <c r="M2071" s="10">
        <v>665</v>
      </c>
    </row>
    <row r="2072" spans="1:13" x14ac:dyDescent="0.3">
      <c r="A2072" s="10">
        <v>6712</v>
      </c>
      <c r="B2072" s="10">
        <v>73</v>
      </c>
      <c r="C2072" s="10" t="s">
        <v>2352</v>
      </c>
      <c r="D2072" s="10">
        <v>7389</v>
      </c>
      <c r="E2072" s="10" t="s">
        <v>2369</v>
      </c>
      <c r="F2072" s="10">
        <v>0</v>
      </c>
      <c r="G2072" s="10" t="s">
        <v>343</v>
      </c>
      <c r="H2072" s="10">
        <v>0</v>
      </c>
      <c r="I2072" s="10" t="s">
        <v>343</v>
      </c>
      <c r="J2072" s="10">
        <v>981</v>
      </c>
      <c r="K2072" s="11">
        <v>1024</v>
      </c>
      <c r="L2072" s="11">
        <v>2005</v>
      </c>
      <c r="M2072" s="10">
        <v>753</v>
      </c>
    </row>
    <row r="2073" spans="1:13" x14ac:dyDescent="0.3">
      <c r="A2073" s="10">
        <v>6712</v>
      </c>
      <c r="B2073" s="10">
        <v>73</v>
      </c>
      <c r="C2073" s="10" t="s">
        <v>2352</v>
      </c>
      <c r="D2073" s="10">
        <v>7390</v>
      </c>
      <c r="E2073" s="10" t="s">
        <v>463</v>
      </c>
      <c r="F2073" s="10">
        <v>0</v>
      </c>
      <c r="G2073" s="10" t="s">
        <v>343</v>
      </c>
      <c r="H2073" s="10">
        <v>0</v>
      </c>
      <c r="I2073" s="10" t="s">
        <v>343</v>
      </c>
      <c r="J2073" s="10">
        <v>976</v>
      </c>
      <c r="K2073" s="11">
        <v>1010</v>
      </c>
      <c r="L2073" s="11">
        <v>1986</v>
      </c>
      <c r="M2073" s="10">
        <v>738</v>
      </c>
    </row>
    <row r="2074" spans="1:13" x14ac:dyDescent="0.3">
      <c r="A2074" s="10">
        <v>6712</v>
      </c>
      <c r="B2074" s="10">
        <v>73</v>
      </c>
      <c r="C2074" s="10" t="s">
        <v>2352</v>
      </c>
      <c r="D2074" s="10">
        <v>7391</v>
      </c>
      <c r="E2074" s="10" t="s">
        <v>2370</v>
      </c>
      <c r="F2074" s="10">
        <v>0</v>
      </c>
      <c r="G2074" s="10" t="s">
        <v>343</v>
      </c>
      <c r="H2074" s="10">
        <v>0</v>
      </c>
      <c r="I2074" s="10" t="s">
        <v>343</v>
      </c>
      <c r="J2074" s="11">
        <v>4169</v>
      </c>
      <c r="K2074" s="11">
        <v>4205</v>
      </c>
      <c r="L2074" s="11">
        <v>8374</v>
      </c>
      <c r="M2074" s="11">
        <v>4440</v>
      </c>
    </row>
    <row r="2075" spans="1:13" x14ac:dyDescent="0.3">
      <c r="A2075" s="10">
        <v>6712</v>
      </c>
      <c r="B2075" s="10">
        <v>73</v>
      </c>
      <c r="C2075" s="10" t="s">
        <v>2352</v>
      </c>
      <c r="D2075" s="10">
        <v>7392</v>
      </c>
      <c r="E2075" s="10" t="s">
        <v>2179</v>
      </c>
      <c r="F2075" s="10">
        <v>0</v>
      </c>
      <c r="G2075" s="10" t="s">
        <v>343</v>
      </c>
      <c r="H2075" s="10">
        <v>0</v>
      </c>
      <c r="I2075" s="10" t="s">
        <v>343</v>
      </c>
      <c r="J2075" s="11">
        <v>6636</v>
      </c>
      <c r="K2075" s="11">
        <v>7291</v>
      </c>
      <c r="L2075" s="11">
        <v>13927</v>
      </c>
      <c r="M2075" s="11">
        <v>5216</v>
      </c>
    </row>
    <row r="2076" spans="1:13" x14ac:dyDescent="0.3">
      <c r="A2076" s="10">
        <v>6712</v>
      </c>
      <c r="B2076" s="10">
        <v>73</v>
      </c>
      <c r="C2076" s="10" t="s">
        <v>2352</v>
      </c>
      <c r="D2076" s="10">
        <v>7393</v>
      </c>
      <c r="E2076" s="10" t="s">
        <v>2371</v>
      </c>
      <c r="F2076" s="10">
        <v>0</v>
      </c>
      <c r="G2076" s="10" t="s">
        <v>343</v>
      </c>
      <c r="H2076" s="10">
        <v>0</v>
      </c>
      <c r="I2076" s="10" t="s">
        <v>343</v>
      </c>
      <c r="J2076" s="11">
        <v>1015</v>
      </c>
      <c r="K2076" s="11">
        <v>1132</v>
      </c>
      <c r="L2076" s="11">
        <v>2147</v>
      </c>
      <c r="M2076" s="10">
        <v>943</v>
      </c>
    </row>
    <row r="2077" spans="1:13" x14ac:dyDescent="0.3">
      <c r="A2077" s="10">
        <v>6712</v>
      </c>
      <c r="B2077" s="10">
        <v>73</v>
      </c>
      <c r="C2077" s="10" t="s">
        <v>2352</v>
      </c>
      <c r="D2077" s="10">
        <v>7394</v>
      </c>
      <c r="E2077" s="10" t="s">
        <v>2372</v>
      </c>
      <c r="F2077" s="10">
        <v>0</v>
      </c>
      <c r="G2077" s="10" t="s">
        <v>343</v>
      </c>
      <c r="H2077" s="10">
        <v>0</v>
      </c>
      <c r="I2077" s="10" t="s">
        <v>343</v>
      </c>
      <c r="J2077" s="11">
        <v>3573</v>
      </c>
      <c r="K2077" s="11">
        <v>4304</v>
      </c>
      <c r="L2077" s="11">
        <v>7877</v>
      </c>
      <c r="M2077" s="11">
        <v>5210</v>
      </c>
    </row>
    <row r="2078" spans="1:13" x14ac:dyDescent="0.3">
      <c r="A2078" s="10">
        <v>6712</v>
      </c>
      <c r="B2078" s="10">
        <v>73</v>
      </c>
      <c r="C2078" s="10" t="s">
        <v>2352</v>
      </c>
      <c r="D2078" s="10">
        <v>7395</v>
      </c>
      <c r="E2078" s="10" t="s">
        <v>2373</v>
      </c>
      <c r="F2078" s="10">
        <v>0</v>
      </c>
      <c r="G2078" s="10" t="s">
        <v>343</v>
      </c>
      <c r="H2078" s="10">
        <v>0</v>
      </c>
      <c r="I2078" s="10" t="s">
        <v>343</v>
      </c>
      <c r="J2078" s="11">
        <v>3151</v>
      </c>
      <c r="K2078" s="11">
        <v>3597</v>
      </c>
      <c r="L2078" s="11">
        <v>6748</v>
      </c>
      <c r="M2078" s="11">
        <v>4369</v>
      </c>
    </row>
    <row r="2079" spans="1:13" x14ac:dyDescent="0.3">
      <c r="A2079" s="10">
        <v>6712</v>
      </c>
      <c r="B2079" s="10">
        <v>73</v>
      </c>
      <c r="C2079" s="10" t="s">
        <v>2352</v>
      </c>
      <c r="D2079" s="10">
        <v>7396</v>
      </c>
      <c r="E2079" s="10" t="s">
        <v>2374</v>
      </c>
      <c r="F2079" s="10">
        <v>0</v>
      </c>
      <c r="G2079" s="10" t="s">
        <v>343</v>
      </c>
      <c r="H2079" s="10">
        <v>0</v>
      </c>
      <c r="I2079" s="10" t="s">
        <v>343</v>
      </c>
      <c r="J2079" s="11">
        <v>5124</v>
      </c>
      <c r="K2079" s="11">
        <v>5668</v>
      </c>
      <c r="L2079" s="11">
        <v>10792</v>
      </c>
      <c r="M2079" s="11">
        <v>4471</v>
      </c>
    </row>
    <row r="2080" spans="1:13" x14ac:dyDescent="0.3">
      <c r="A2080" s="10">
        <v>6712</v>
      </c>
      <c r="B2080" s="10">
        <v>73</v>
      </c>
      <c r="C2080" s="10" t="s">
        <v>2352</v>
      </c>
      <c r="D2080" s="10">
        <v>7397</v>
      </c>
      <c r="E2080" s="10" t="s">
        <v>2375</v>
      </c>
      <c r="F2080" s="10">
        <v>0</v>
      </c>
      <c r="G2080" s="10" t="s">
        <v>343</v>
      </c>
      <c r="H2080" s="10">
        <v>0</v>
      </c>
      <c r="I2080" s="10" t="s">
        <v>343</v>
      </c>
      <c r="J2080" s="11">
        <v>3218</v>
      </c>
      <c r="K2080" s="11">
        <v>3586</v>
      </c>
      <c r="L2080" s="11">
        <v>6804</v>
      </c>
      <c r="M2080" s="11">
        <v>3082</v>
      </c>
    </row>
    <row r="2081" spans="1:13" x14ac:dyDescent="0.3">
      <c r="A2081" s="10">
        <v>6712</v>
      </c>
      <c r="B2081" s="10">
        <v>73</v>
      </c>
      <c r="C2081" s="10" t="s">
        <v>2352</v>
      </c>
      <c r="D2081" s="10">
        <v>7398</v>
      </c>
      <c r="E2081" s="10" t="s">
        <v>2376</v>
      </c>
      <c r="F2081" s="10">
        <v>0</v>
      </c>
      <c r="G2081" s="10" t="s">
        <v>343</v>
      </c>
      <c r="H2081" s="10">
        <v>0</v>
      </c>
      <c r="I2081" s="10" t="s">
        <v>343</v>
      </c>
      <c r="J2081" s="11">
        <v>3010</v>
      </c>
      <c r="K2081" s="11">
        <v>3273</v>
      </c>
      <c r="L2081" s="11">
        <v>6283</v>
      </c>
      <c r="M2081" s="11">
        <v>2278</v>
      </c>
    </row>
    <row r="2082" spans="1:13" x14ac:dyDescent="0.3">
      <c r="A2082" s="10">
        <v>6712</v>
      </c>
      <c r="B2082" s="10">
        <v>73</v>
      </c>
      <c r="C2082" s="10" t="s">
        <v>2352</v>
      </c>
      <c r="D2082" s="10">
        <v>7399</v>
      </c>
      <c r="E2082" s="10" t="s">
        <v>2377</v>
      </c>
      <c r="F2082" s="10">
        <v>0</v>
      </c>
      <c r="G2082" s="10" t="s">
        <v>343</v>
      </c>
      <c r="H2082" s="10">
        <v>0</v>
      </c>
      <c r="I2082" s="10" t="s">
        <v>343</v>
      </c>
      <c r="J2082" s="11">
        <v>30916</v>
      </c>
      <c r="K2082" s="11">
        <v>34898</v>
      </c>
      <c r="L2082" s="11">
        <v>65814</v>
      </c>
      <c r="M2082" s="11">
        <v>38169</v>
      </c>
    </row>
    <row r="2083" spans="1:13" x14ac:dyDescent="0.3">
      <c r="A2083" s="10">
        <v>6712</v>
      </c>
      <c r="B2083" s="10">
        <v>74</v>
      </c>
      <c r="C2083" s="10" t="s">
        <v>2378</v>
      </c>
      <c r="D2083" s="10">
        <v>0</v>
      </c>
      <c r="E2083" s="10" t="s">
        <v>343</v>
      </c>
      <c r="F2083" s="10">
        <v>0</v>
      </c>
      <c r="G2083" s="10" t="s">
        <v>343</v>
      </c>
      <c r="H2083" s="10">
        <v>0</v>
      </c>
      <c r="I2083" s="10" t="s">
        <v>343</v>
      </c>
      <c r="J2083" s="11">
        <v>283460</v>
      </c>
      <c r="K2083" s="11">
        <v>307407</v>
      </c>
      <c r="L2083" s="11">
        <v>590867</v>
      </c>
      <c r="M2083" s="11">
        <v>323332</v>
      </c>
    </row>
    <row r="2084" spans="1:13" x14ac:dyDescent="0.3">
      <c r="A2084" s="10">
        <v>6712</v>
      </c>
      <c r="B2084" s="10">
        <v>74</v>
      </c>
      <c r="C2084" s="10" t="s">
        <v>2378</v>
      </c>
      <c r="D2084" s="10">
        <v>7401</v>
      </c>
      <c r="E2084" s="10" t="s">
        <v>2379</v>
      </c>
      <c r="F2084" s="10">
        <v>0</v>
      </c>
      <c r="G2084" s="10" t="s">
        <v>343</v>
      </c>
      <c r="H2084" s="10">
        <v>0</v>
      </c>
      <c r="I2084" s="10" t="s">
        <v>343</v>
      </c>
      <c r="J2084" s="11">
        <v>103022</v>
      </c>
      <c r="K2084" s="11">
        <v>113467</v>
      </c>
      <c r="L2084" s="11">
        <v>216489</v>
      </c>
      <c r="M2084" s="11">
        <v>126839</v>
      </c>
    </row>
    <row r="2085" spans="1:13" x14ac:dyDescent="0.3">
      <c r="A2085" s="10">
        <v>6712</v>
      </c>
      <c r="B2085" s="10">
        <v>74</v>
      </c>
      <c r="C2085" s="10" t="s">
        <v>2378</v>
      </c>
      <c r="D2085" s="10">
        <v>7402</v>
      </c>
      <c r="E2085" s="10" t="s">
        <v>2380</v>
      </c>
      <c r="F2085" s="10">
        <v>0</v>
      </c>
      <c r="G2085" s="10" t="s">
        <v>343</v>
      </c>
      <c r="H2085" s="10">
        <v>0</v>
      </c>
      <c r="I2085" s="10" t="s">
        <v>343</v>
      </c>
      <c r="J2085" s="11">
        <v>32519</v>
      </c>
      <c r="K2085" s="11">
        <v>35259</v>
      </c>
      <c r="L2085" s="11">
        <v>67778</v>
      </c>
      <c r="M2085" s="11">
        <v>40695</v>
      </c>
    </row>
    <row r="2086" spans="1:13" x14ac:dyDescent="0.3">
      <c r="A2086" s="10">
        <v>6712</v>
      </c>
      <c r="B2086" s="10">
        <v>74</v>
      </c>
      <c r="C2086" s="10" t="s">
        <v>2378</v>
      </c>
      <c r="D2086" s="10">
        <v>7403</v>
      </c>
      <c r="E2086" s="10" t="s">
        <v>2381</v>
      </c>
      <c r="F2086" s="10">
        <v>0</v>
      </c>
      <c r="G2086" s="10" t="s">
        <v>343</v>
      </c>
      <c r="H2086" s="10">
        <v>0</v>
      </c>
      <c r="I2086" s="10" t="s">
        <v>343</v>
      </c>
      <c r="J2086" s="11">
        <v>24371</v>
      </c>
      <c r="K2086" s="11">
        <v>26606</v>
      </c>
      <c r="L2086" s="11">
        <v>50977</v>
      </c>
      <c r="M2086" s="11">
        <v>17232</v>
      </c>
    </row>
    <row r="2087" spans="1:13" x14ac:dyDescent="0.3">
      <c r="A2087" s="10">
        <v>6712</v>
      </c>
      <c r="B2087" s="10">
        <v>74</v>
      </c>
      <c r="C2087" s="10" t="s">
        <v>2378</v>
      </c>
      <c r="D2087" s="10">
        <v>7491</v>
      </c>
      <c r="E2087" s="10" t="s">
        <v>2382</v>
      </c>
      <c r="F2087" s="10">
        <v>0</v>
      </c>
      <c r="G2087" s="10" t="s">
        <v>343</v>
      </c>
      <c r="H2087" s="10">
        <v>0</v>
      </c>
      <c r="I2087" s="10" t="s">
        <v>343</v>
      </c>
      <c r="J2087" s="11">
        <v>19300</v>
      </c>
      <c r="K2087" s="11">
        <v>19707</v>
      </c>
      <c r="L2087" s="11">
        <v>39007</v>
      </c>
      <c r="M2087" s="11">
        <v>24172</v>
      </c>
    </row>
    <row r="2088" spans="1:13" x14ac:dyDescent="0.3">
      <c r="A2088" s="10">
        <v>6712</v>
      </c>
      <c r="B2088" s="10">
        <v>74</v>
      </c>
      <c r="C2088" s="10" t="s">
        <v>2378</v>
      </c>
      <c r="D2088" s="10">
        <v>7492</v>
      </c>
      <c r="E2088" s="10" t="s">
        <v>837</v>
      </c>
      <c r="F2088" s="10">
        <v>0</v>
      </c>
      <c r="G2088" s="10" t="s">
        <v>343</v>
      </c>
      <c r="H2088" s="10">
        <v>0</v>
      </c>
      <c r="I2088" s="10" t="s">
        <v>343</v>
      </c>
      <c r="J2088" s="11">
        <v>13395</v>
      </c>
      <c r="K2088" s="11">
        <v>14943</v>
      </c>
      <c r="L2088" s="11">
        <v>28338</v>
      </c>
      <c r="M2088" s="11">
        <v>17422</v>
      </c>
    </row>
    <row r="2089" spans="1:13" x14ac:dyDescent="0.3">
      <c r="A2089" s="10">
        <v>6712</v>
      </c>
      <c r="B2089" s="10">
        <v>74</v>
      </c>
      <c r="C2089" s="10" t="s">
        <v>2378</v>
      </c>
      <c r="D2089" s="10">
        <v>7493</v>
      </c>
      <c r="E2089" s="10" t="s">
        <v>2383</v>
      </c>
      <c r="F2089" s="10">
        <v>0</v>
      </c>
      <c r="G2089" s="10" t="s">
        <v>343</v>
      </c>
      <c r="H2089" s="10">
        <v>0</v>
      </c>
      <c r="I2089" s="10" t="s">
        <v>343</v>
      </c>
      <c r="J2089" s="11">
        <v>20494</v>
      </c>
      <c r="K2089" s="11">
        <v>21802</v>
      </c>
      <c r="L2089" s="11">
        <v>42296</v>
      </c>
      <c r="M2089" s="11">
        <v>11441</v>
      </c>
    </row>
    <row r="2090" spans="1:13" x14ac:dyDescent="0.3">
      <c r="A2090" s="10">
        <v>6712</v>
      </c>
      <c r="B2090" s="10">
        <v>74</v>
      </c>
      <c r="C2090" s="10" t="s">
        <v>2378</v>
      </c>
      <c r="D2090" s="10">
        <v>7494</v>
      </c>
      <c r="E2090" s="10" t="s">
        <v>2384</v>
      </c>
      <c r="F2090" s="10">
        <v>0</v>
      </c>
      <c r="G2090" s="10" t="s">
        <v>343</v>
      </c>
      <c r="H2090" s="10">
        <v>0</v>
      </c>
      <c r="I2090" s="10" t="s">
        <v>343</v>
      </c>
      <c r="J2090" s="11">
        <v>1351</v>
      </c>
      <c r="K2090" s="11">
        <v>1421</v>
      </c>
      <c r="L2090" s="11">
        <v>2772</v>
      </c>
      <c r="M2090" s="11">
        <v>1062</v>
      </c>
    </row>
    <row r="2091" spans="1:13" x14ac:dyDescent="0.3">
      <c r="A2091" s="10">
        <v>6712</v>
      </c>
      <c r="B2091" s="10">
        <v>74</v>
      </c>
      <c r="C2091" s="10" t="s">
        <v>2378</v>
      </c>
      <c r="D2091" s="10">
        <v>7495</v>
      </c>
      <c r="E2091" s="10" t="s">
        <v>2385</v>
      </c>
      <c r="F2091" s="10">
        <v>0</v>
      </c>
      <c r="G2091" s="10" t="s">
        <v>343</v>
      </c>
      <c r="H2091" s="10">
        <v>0</v>
      </c>
      <c r="I2091" s="10" t="s">
        <v>343</v>
      </c>
      <c r="J2091" s="11">
        <v>2533</v>
      </c>
      <c r="K2091" s="11">
        <v>2688</v>
      </c>
      <c r="L2091" s="11">
        <v>5221</v>
      </c>
      <c r="M2091" s="11">
        <v>1677</v>
      </c>
    </row>
    <row r="2092" spans="1:13" x14ac:dyDescent="0.3">
      <c r="A2092" s="10">
        <v>6712</v>
      </c>
      <c r="B2092" s="10">
        <v>74</v>
      </c>
      <c r="C2092" s="10" t="s">
        <v>2378</v>
      </c>
      <c r="D2092" s="10">
        <v>7496</v>
      </c>
      <c r="E2092" s="10" t="s">
        <v>2386</v>
      </c>
      <c r="F2092" s="10">
        <v>0</v>
      </c>
      <c r="G2092" s="10" t="s">
        <v>343</v>
      </c>
      <c r="H2092" s="10">
        <v>0</v>
      </c>
      <c r="I2092" s="10" t="s">
        <v>343</v>
      </c>
      <c r="J2092" s="11">
        <v>3660</v>
      </c>
      <c r="K2092" s="11">
        <v>3990</v>
      </c>
      <c r="L2092" s="11">
        <v>7650</v>
      </c>
      <c r="M2092" s="11">
        <v>4956</v>
      </c>
    </row>
    <row r="2093" spans="1:13" x14ac:dyDescent="0.3">
      <c r="A2093" s="10">
        <v>6712</v>
      </c>
      <c r="B2093" s="10">
        <v>74</v>
      </c>
      <c r="C2093" s="10" t="s">
        <v>2378</v>
      </c>
      <c r="D2093" s="10">
        <v>7497</v>
      </c>
      <c r="E2093" s="10" t="s">
        <v>2387</v>
      </c>
      <c r="F2093" s="10">
        <v>0</v>
      </c>
      <c r="G2093" s="10" t="s">
        <v>343</v>
      </c>
      <c r="H2093" s="10">
        <v>0</v>
      </c>
      <c r="I2093" s="10" t="s">
        <v>343</v>
      </c>
      <c r="J2093" s="11">
        <v>25497</v>
      </c>
      <c r="K2093" s="11">
        <v>28417</v>
      </c>
      <c r="L2093" s="11">
        <v>53914</v>
      </c>
      <c r="M2093" s="11">
        <v>51913</v>
      </c>
    </row>
    <row r="2094" spans="1:13" x14ac:dyDescent="0.3">
      <c r="A2094" s="10">
        <v>6712</v>
      </c>
      <c r="B2094" s="10">
        <v>74</v>
      </c>
      <c r="C2094" s="10" t="s">
        <v>2378</v>
      </c>
      <c r="D2094" s="10">
        <v>7498</v>
      </c>
      <c r="E2094" s="10" t="s">
        <v>2388</v>
      </c>
      <c r="F2094" s="10">
        <v>0</v>
      </c>
      <c r="G2094" s="10" t="s">
        <v>343</v>
      </c>
      <c r="H2094" s="10">
        <v>0</v>
      </c>
      <c r="I2094" s="10" t="s">
        <v>343</v>
      </c>
      <c r="J2094" s="11">
        <v>11274</v>
      </c>
      <c r="K2094" s="11">
        <v>11930</v>
      </c>
      <c r="L2094" s="11">
        <v>23204</v>
      </c>
      <c r="M2094" s="11">
        <v>6688</v>
      </c>
    </row>
    <row r="2095" spans="1:13" x14ac:dyDescent="0.3">
      <c r="A2095" s="10">
        <v>6712</v>
      </c>
      <c r="B2095" s="10">
        <v>74</v>
      </c>
      <c r="C2095" s="10" t="s">
        <v>2378</v>
      </c>
      <c r="D2095" s="10">
        <v>7499</v>
      </c>
      <c r="E2095" s="10" t="s">
        <v>2389</v>
      </c>
      <c r="F2095" s="10">
        <v>0</v>
      </c>
      <c r="G2095" s="10" t="s">
        <v>343</v>
      </c>
      <c r="H2095" s="10">
        <v>0</v>
      </c>
      <c r="I2095" s="10" t="s">
        <v>343</v>
      </c>
      <c r="J2095" s="11">
        <v>26044</v>
      </c>
      <c r="K2095" s="11">
        <v>27177</v>
      </c>
      <c r="L2095" s="11">
        <v>53221</v>
      </c>
      <c r="M2095" s="11">
        <v>19235</v>
      </c>
    </row>
    <row r="2096" spans="1:13" x14ac:dyDescent="0.3">
      <c r="A2096" s="10">
        <v>6712</v>
      </c>
      <c r="B2096" s="10">
        <v>75</v>
      </c>
      <c r="C2096" s="10" t="s">
        <v>2390</v>
      </c>
      <c r="D2096" s="10">
        <v>0</v>
      </c>
      <c r="E2096" s="10" t="s">
        <v>343</v>
      </c>
      <c r="F2096" s="10">
        <v>0</v>
      </c>
      <c r="G2096" s="10" t="s">
        <v>343</v>
      </c>
      <c r="H2096" s="10">
        <v>0</v>
      </c>
      <c r="I2096" s="10" t="s">
        <v>343</v>
      </c>
      <c r="J2096" s="11">
        <v>89040</v>
      </c>
      <c r="K2096" s="11">
        <v>97744</v>
      </c>
      <c r="L2096" s="11">
        <v>186784</v>
      </c>
      <c r="M2096" s="11">
        <v>77393</v>
      </c>
    </row>
    <row r="2097" spans="1:13" x14ac:dyDescent="0.3">
      <c r="A2097" s="10">
        <v>6712</v>
      </c>
      <c r="B2097" s="10">
        <v>75</v>
      </c>
      <c r="C2097" s="10" t="s">
        <v>2390</v>
      </c>
      <c r="D2097" s="10">
        <v>7501</v>
      </c>
      <c r="E2097" s="10" t="s">
        <v>2391</v>
      </c>
      <c r="F2097" s="10">
        <v>0</v>
      </c>
      <c r="G2097" s="10" t="s">
        <v>343</v>
      </c>
      <c r="H2097" s="10">
        <v>0</v>
      </c>
      <c r="I2097" s="10" t="s">
        <v>343</v>
      </c>
      <c r="J2097" s="11">
        <v>37394</v>
      </c>
      <c r="K2097" s="11">
        <v>40985</v>
      </c>
      <c r="L2097" s="11">
        <v>78379</v>
      </c>
      <c r="M2097" s="11">
        <v>34397</v>
      </c>
    </row>
    <row r="2098" spans="1:13" x14ac:dyDescent="0.3">
      <c r="A2098" s="10">
        <v>6712</v>
      </c>
      <c r="B2098" s="10">
        <v>75</v>
      </c>
      <c r="C2098" s="10" t="s">
        <v>2390</v>
      </c>
      <c r="D2098" s="10">
        <v>7502</v>
      </c>
      <c r="E2098" s="10" t="s">
        <v>2392</v>
      </c>
      <c r="F2098" s="10">
        <v>0</v>
      </c>
      <c r="G2098" s="10" t="s">
        <v>343</v>
      </c>
      <c r="H2098" s="10">
        <v>0</v>
      </c>
      <c r="I2098" s="10" t="s">
        <v>343</v>
      </c>
      <c r="J2098" s="11">
        <v>12533</v>
      </c>
      <c r="K2098" s="11">
        <v>13833</v>
      </c>
      <c r="L2098" s="11">
        <v>26366</v>
      </c>
      <c r="M2098" s="11">
        <v>10382</v>
      </c>
    </row>
    <row r="2099" spans="1:13" x14ac:dyDescent="0.3">
      <c r="A2099" s="10">
        <v>6712</v>
      </c>
      <c r="B2099" s="10">
        <v>75</v>
      </c>
      <c r="C2099" s="10" t="s">
        <v>2390</v>
      </c>
      <c r="D2099" s="10">
        <v>7503</v>
      </c>
      <c r="E2099" s="10" t="s">
        <v>2393</v>
      </c>
      <c r="F2099" s="10">
        <v>0</v>
      </c>
      <c r="G2099" s="10" t="s">
        <v>343</v>
      </c>
      <c r="H2099" s="10">
        <v>0</v>
      </c>
      <c r="I2099" s="10" t="s">
        <v>343</v>
      </c>
      <c r="J2099" s="11">
        <v>22591</v>
      </c>
      <c r="K2099" s="11">
        <v>24417</v>
      </c>
      <c r="L2099" s="11">
        <v>47008</v>
      </c>
      <c r="M2099" s="11">
        <v>16641</v>
      </c>
    </row>
    <row r="2100" spans="1:13" x14ac:dyDescent="0.3">
      <c r="A2100" s="10">
        <v>6712</v>
      </c>
      <c r="B2100" s="10">
        <v>75</v>
      </c>
      <c r="C2100" s="10" t="s">
        <v>2390</v>
      </c>
      <c r="D2100" s="10">
        <v>7595</v>
      </c>
      <c r="E2100" s="10" t="s">
        <v>2394</v>
      </c>
      <c r="F2100" s="10">
        <v>0</v>
      </c>
      <c r="G2100" s="10" t="s">
        <v>343</v>
      </c>
      <c r="H2100" s="10">
        <v>0</v>
      </c>
      <c r="I2100" s="10" t="s">
        <v>343</v>
      </c>
      <c r="J2100" s="10">
        <v>888</v>
      </c>
      <c r="K2100" s="10">
        <v>958</v>
      </c>
      <c r="L2100" s="11">
        <v>1846</v>
      </c>
      <c r="M2100" s="10">
        <v>810</v>
      </c>
    </row>
    <row r="2101" spans="1:13" x14ac:dyDescent="0.3">
      <c r="A2101" s="10">
        <v>6712</v>
      </c>
      <c r="B2101" s="10">
        <v>75</v>
      </c>
      <c r="C2101" s="10" t="s">
        <v>2390</v>
      </c>
      <c r="D2101" s="10">
        <v>7596</v>
      </c>
      <c r="E2101" s="10" t="s">
        <v>2395</v>
      </c>
      <c r="F2101" s="10">
        <v>0</v>
      </c>
      <c r="G2101" s="10" t="s">
        <v>343</v>
      </c>
      <c r="H2101" s="10">
        <v>0</v>
      </c>
      <c r="I2101" s="10" t="s">
        <v>343</v>
      </c>
      <c r="J2101" s="10">
        <v>780</v>
      </c>
      <c r="K2101" s="10">
        <v>915</v>
      </c>
      <c r="L2101" s="11">
        <v>1695</v>
      </c>
      <c r="M2101" s="10">
        <v>865</v>
      </c>
    </row>
    <row r="2102" spans="1:13" x14ac:dyDescent="0.3">
      <c r="A2102" s="10">
        <v>6712</v>
      </c>
      <c r="B2102" s="10">
        <v>75</v>
      </c>
      <c r="C2102" s="10" t="s">
        <v>2390</v>
      </c>
      <c r="D2102" s="10">
        <v>7597</v>
      </c>
      <c r="E2102" s="10" t="s">
        <v>2396</v>
      </c>
      <c r="F2102" s="10">
        <v>0</v>
      </c>
      <c r="G2102" s="10" t="s">
        <v>343</v>
      </c>
      <c r="H2102" s="10">
        <v>0</v>
      </c>
      <c r="I2102" s="10" t="s">
        <v>343</v>
      </c>
      <c r="J2102" s="10">
        <v>973</v>
      </c>
      <c r="K2102" s="11">
        <v>1128</v>
      </c>
      <c r="L2102" s="11">
        <v>2101</v>
      </c>
      <c r="M2102" s="10">
        <v>882</v>
      </c>
    </row>
    <row r="2103" spans="1:13" x14ac:dyDescent="0.3">
      <c r="A2103" s="10">
        <v>6712</v>
      </c>
      <c r="B2103" s="10">
        <v>75</v>
      </c>
      <c r="C2103" s="10" t="s">
        <v>2390</v>
      </c>
      <c r="D2103" s="10">
        <v>7598</v>
      </c>
      <c r="E2103" s="10" t="s">
        <v>2397</v>
      </c>
      <c r="F2103" s="10">
        <v>0</v>
      </c>
      <c r="G2103" s="10" t="s">
        <v>343</v>
      </c>
      <c r="H2103" s="10">
        <v>0</v>
      </c>
      <c r="I2103" s="10" t="s">
        <v>343</v>
      </c>
      <c r="J2103" s="11">
        <v>2071</v>
      </c>
      <c r="K2103" s="11">
        <v>2288</v>
      </c>
      <c r="L2103" s="11">
        <v>4359</v>
      </c>
      <c r="M2103" s="11">
        <v>2028</v>
      </c>
    </row>
    <row r="2104" spans="1:13" x14ac:dyDescent="0.3">
      <c r="A2104" s="10">
        <v>6712</v>
      </c>
      <c r="B2104" s="10">
        <v>75</v>
      </c>
      <c r="C2104" s="10" t="s">
        <v>2390</v>
      </c>
      <c r="D2104" s="10">
        <v>7599</v>
      </c>
      <c r="E2104" s="10" t="s">
        <v>2398</v>
      </c>
      <c r="F2104" s="10">
        <v>0</v>
      </c>
      <c r="G2104" s="10" t="s">
        <v>343</v>
      </c>
      <c r="H2104" s="10">
        <v>0</v>
      </c>
      <c r="I2104" s="10" t="s">
        <v>343</v>
      </c>
      <c r="J2104" s="11">
        <v>11810</v>
      </c>
      <c r="K2104" s="11">
        <v>13220</v>
      </c>
      <c r="L2104" s="11">
        <v>25030</v>
      </c>
      <c r="M2104" s="11">
        <v>11388</v>
      </c>
    </row>
    <row r="2105" spans="1:13" x14ac:dyDescent="0.3">
      <c r="A2105" s="10">
        <v>6712</v>
      </c>
      <c r="B2105" s="10">
        <v>76</v>
      </c>
      <c r="C2105" s="10" t="s">
        <v>2399</v>
      </c>
      <c r="D2105" s="10">
        <v>0</v>
      </c>
      <c r="E2105" s="10" t="s">
        <v>343</v>
      </c>
      <c r="F2105" s="10">
        <v>0</v>
      </c>
      <c r="G2105" s="10" t="s">
        <v>343</v>
      </c>
      <c r="H2105" s="10">
        <v>0</v>
      </c>
      <c r="I2105" s="10" t="s">
        <v>343</v>
      </c>
      <c r="J2105" s="11">
        <v>232930</v>
      </c>
      <c r="K2105" s="11">
        <v>251215</v>
      </c>
      <c r="L2105" s="11">
        <v>484145</v>
      </c>
      <c r="M2105" s="11">
        <v>237512</v>
      </c>
    </row>
    <row r="2106" spans="1:13" x14ac:dyDescent="0.3">
      <c r="A2106" s="10">
        <v>6712</v>
      </c>
      <c r="B2106" s="10">
        <v>76</v>
      </c>
      <c r="C2106" s="10" t="s">
        <v>2399</v>
      </c>
      <c r="D2106" s="10">
        <v>7601</v>
      </c>
      <c r="E2106" s="10" t="s">
        <v>2400</v>
      </c>
      <c r="F2106" s="10">
        <v>0</v>
      </c>
      <c r="G2106" s="10" t="s">
        <v>343</v>
      </c>
      <c r="H2106" s="10">
        <v>0</v>
      </c>
      <c r="I2106" s="10" t="s">
        <v>343</v>
      </c>
      <c r="J2106" s="11">
        <v>42451</v>
      </c>
      <c r="K2106" s="11">
        <v>48646</v>
      </c>
      <c r="L2106" s="11">
        <v>91097</v>
      </c>
      <c r="M2106" s="11">
        <v>37991</v>
      </c>
    </row>
    <row r="2107" spans="1:13" x14ac:dyDescent="0.3">
      <c r="A2107" s="10">
        <v>6712</v>
      </c>
      <c r="B2107" s="10">
        <v>76</v>
      </c>
      <c r="C2107" s="10" t="s">
        <v>2399</v>
      </c>
      <c r="D2107" s="10">
        <v>7602</v>
      </c>
      <c r="E2107" s="10" t="s">
        <v>2401</v>
      </c>
      <c r="F2107" s="10">
        <v>0</v>
      </c>
      <c r="G2107" s="10" t="s">
        <v>343</v>
      </c>
      <c r="H2107" s="10">
        <v>0</v>
      </c>
      <c r="I2107" s="10" t="s">
        <v>343</v>
      </c>
      <c r="J2107" s="11">
        <v>11493</v>
      </c>
      <c r="K2107" s="11">
        <v>12141</v>
      </c>
      <c r="L2107" s="11">
        <v>23634</v>
      </c>
      <c r="M2107" s="11">
        <v>11748</v>
      </c>
    </row>
    <row r="2108" spans="1:13" x14ac:dyDescent="0.3">
      <c r="A2108" s="10">
        <v>6712</v>
      </c>
      <c r="B2108" s="10">
        <v>76</v>
      </c>
      <c r="C2108" s="10" t="s">
        <v>2399</v>
      </c>
      <c r="D2108" s="10">
        <v>7603</v>
      </c>
      <c r="E2108" s="10" t="s">
        <v>2402</v>
      </c>
      <c r="F2108" s="10">
        <v>0</v>
      </c>
      <c r="G2108" s="10" t="s">
        <v>343</v>
      </c>
      <c r="H2108" s="10">
        <v>0</v>
      </c>
      <c r="I2108" s="10" t="s">
        <v>343</v>
      </c>
      <c r="J2108" s="11">
        <v>8238</v>
      </c>
      <c r="K2108" s="11">
        <v>8265</v>
      </c>
      <c r="L2108" s="11">
        <v>16503</v>
      </c>
      <c r="M2108" s="11">
        <v>7327</v>
      </c>
    </row>
    <row r="2109" spans="1:13" x14ac:dyDescent="0.3">
      <c r="A2109" s="10">
        <v>6712</v>
      </c>
      <c r="B2109" s="10">
        <v>76</v>
      </c>
      <c r="C2109" s="10" t="s">
        <v>2399</v>
      </c>
      <c r="D2109" s="10">
        <v>7604</v>
      </c>
      <c r="E2109" s="10" t="s">
        <v>2403</v>
      </c>
      <c r="F2109" s="10">
        <v>0</v>
      </c>
      <c r="G2109" s="10" t="s">
        <v>343</v>
      </c>
      <c r="H2109" s="10">
        <v>0</v>
      </c>
      <c r="I2109" s="10" t="s">
        <v>343</v>
      </c>
      <c r="J2109" s="11">
        <v>11199</v>
      </c>
      <c r="K2109" s="11">
        <v>11323</v>
      </c>
      <c r="L2109" s="11">
        <v>22522</v>
      </c>
      <c r="M2109" s="11">
        <v>9709</v>
      </c>
    </row>
    <row r="2110" spans="1:13" x14ac:dyDescent="0.3">
      <c r="A2110" s="10">
        <v>6712</v>
      </c>
      <c r="B2110" s="10">
        <v>76</v>
      </c>
      <c r="C2110" s="10" t="s">
        <v>2399</v>
      </c>
      <c r="D2110" s="10">
        <v>7605</v>
      </c>
      <c r="E2110" s="10" t="s">
        <v>2404</v>
      </c>
      <c r="F2110" s="10">
        <v>0</v>
      </c>
      <c r="G2110" s="10" t="s">
        <v>343</v>
      </c>
      <c r="H2110" s="10">
        <v>0</v>
      </c>
      <c r="I2110" s="10" t="s">
        <v>343</v>
      </c>
      <c r="J2110" s="11">
        <v>23768</v>
      </c>
      <c r="K2110" s="11">
        <v>25094</v>
      </c>
      <c r="L2110" s="11">
        <v>48862</v>
      </c>
      <c r="M2110" s="11">
        <v>20888</v>
      </c>
    </row>
    <row r="2111" spans="1:13" x14ac:dyDescent="0.3">
      <c r="A2111" s="10">
        <v>6712</v>
      </c>
      <c r="B2111" s="10">
        <v>76</v>
      </c>
      <c r="C2111" s="10" t="s">
        <v>2399</v>
      </c>
      <c r="D2111" s="10">
        <v>7606</v>
      </c>
      <c r="E2111" s="10" t="s">
        <v>2405</v>
      </c>
      <c r="F2111" s="10">
        <v>0</v>
      </c>
      <c r="G2111" s="10" t="s">
        <v>343</v>
      </c>
      <c r="H2111" s="10">
        <v>0</v>
      </c>
      <c r="I2111" s="10" t="s">
        <v>343</v>
      </c>
      <c r="J2111" s="11">
        <v>22932</v>
      </c>
      <c r="K2111" s="11">
        <v>25160</v>
      </c>
      <c r="L2111" s="11">
        <v>48092</v>
      </c>
      <c r="M2111" s="11">
        <v>16808</v>
      </c>
    </row>
    <row r="2112" spans="1:13" x14ac:dyDescent="0.3">
      <c r="A2112" s="10">
        <v>6712</v>
      </c>
      <c r="B2112" s="10">
        <v>76</v>
      </c>
      <c r="C2112" s="10" t="s">
        <v>2399</v>
      </c>
      <c r="D2112" s="10">
        <v>7607</v>
      </c>
      <c r="E2112" s="10" t="s">
        <v>2406</v>
      </c>
      <c r="F2112" s="10">
        <v>0</v>
      </c>
      <c r="G2112" s="10" t="s">
        <v>343</v>
      </c>
      <c r="H2112" s="10">
        <v>0</v>
      </c>
      <c r="I2112" s="10" t="s">
        <v>343</v>
      </c>
      <c r="J2112" s="11">
        <v>17654</v>
      </c>
      <c r="K2112" s="11">
        <v>18305</v>
      </c>
      <c r="L2112" s="11">
        <v>35959</v>
      </c>
      <c r="M2112" s="11">
        <v>12322</v>
      </c>
    </row>
    <row r="2113" spans="1:13" x14ac:dyDescent="0.3">
      <c r="A2113" s="10">
        <v>6712</v>
      </c>
      <c r="B2113" s="10">
        <v>76</v>
      </c>
      <c r="C2113" s="10" t="s">
        <v>2399</v>
      </c>
      <c r="D2113" s="10">
        <v>7608</v>
      </c>
      <c r="E2113" s="10" t="s">
        <v>2407</v>
      </c>
      <c r="F2113" s="10">
        <v>0</v>
      </c>
      <c r="G2113" s="10" t="s">
        <v>343</v>
      </c>
      <c r="H2113" s="10">
        <v>0</v>
      </c>
      <c r="I2113" s="10" t="s">
        <v>343</v>
      </c>
      <c r="J2113" s="11">
        <v>17592</v>
      </c>
      <c r="K2113" s="11">
        <v>16638</v>
      </c>
      <c r="L2113" s="11">
        <v>34230</v>
      </c>
      <c r="M2113" s="11">
        <v>16353</v>
      </c>
    </row>
    <row r="2114" spans="1:13" x14ac:dyDescent="0.3">
      <c r="A2114" s="10">
        <v>6712</v>
      </c>
      <c r="B2114" s="10">
        <v>76</v>
      </c>
      <c r="C2114" s="10" t="s">
        <v>2399</v>
      </c>
      <c r="D2114" s="10">
        <v>7688</v>
      </c>
      <c r="E2114" s="10" t="s">
        <v>2408</v>
      </c>
      <c r="F2114" s="10">
        <v>0</v>
      </c>
      <c r="G2114" s="10" t="s">
        <v>343</v>
      </c>
      <c r="H2114" s="10">
        <v>0</v>
      </c>
      <c r="I2114" s="10" t="s">
        <v>343</v>
      </c>
      <c r="J2114" s="11">
        <v>3069</v>
      </c>
      <c r="K2114" s="11">
        <v>3256</v>
      </c>
      <c r="L2114" s="11">
        <v>6325</v>
      </c>
      <c r="M2114" s="11">
        <v>2276</v>
      </c>
    </row>
    <row r="2115" spans="1:13" x14ac:dyDescent="0.3">
      <c r="A2115" s="10">
        <v>6712</v>
      </c>
      <c r="B2115" s="10">
        <v>76</v>
      </c>
      <c r="C2115" s="10" t="s">
        <v>2399</v>
      </c>
      <c r="D2115" s="10">
        <v>7689</v>
      </c>
      <c r="E2115" s="10" t="s">
        <v>2340</v>
      </c>
      <c r="F2115" s="10">
        <v>0</v>
      </c>
      <c r="G2115" s="10" t="s">
        <v>343</v>
      </c>
      <c r="H2115" s="10">
        <v>0</v>
      </c>
      <c r="I2115" s="10" t="s">
        <v>343</v>
      </c>
      <c r="J2115" s="11">
        <v>5371</v>
      </c>
      <c r="K2115" s="11">
        <v>5747</v>
      </c>
      <c r="L2115" s="11">
        <v>11118</v>
      </c>
      <c r="M2115" s="11">
        <v>4341</v>
      </c>
    </row>
    <row r="2116" spans="1:13" x14ac:dyDescent="0.3">
      <c r="A2116" s="10">
        <v>6712</v>
      </c>
      <c r="B2116" s="10">
        <v>76</v>
      </c>
      <c r="C2116" s="10" t="s">
        <v>2399</v>
      </c>
      <c r="D2116" s="10">
        <v>7690</v>
      </c>
      <c r="E2116" s="10" t="s">
        <v>2409</v>
      </c>
      <c r="F2116" s="10">
        <v>0</v>
      </c>
      <c r="G2116" s="10" t="s">
        <v>343</v>
      </c>
      <c r="H2116" s="10">
        <v>0</v>
      </c>
      <c r="I2116" s="10" t="s">
        <v>343</v>
      </c>
      <c r="J2116" s="11">
        <v>2370</v>
      </c>
      <c r="K2116" s="11">
        <v>2509</v>
      </c>
      <c r="L2116" s="11">
        <v>4879</v>
      </c>
      <c r="M2116" s="11">
        <v>1919</v>
      </c>
    </row>
    <row r="2117" spans="1:13" x14ac:dyDescent="0.3">
      <c r="A2117" s="10">
        <v>6712</v>
      </c>
      <c r="B2117" s="10">
        <v>76</v>
      </c>
      <c r="C2117" s="10" t="s">
        <v>2399</v>
      </c>
      <c r="D2117" s="10">
        <v>7691</v>
      </c>
      <c r="E2117" s="10" t="s">
        <v>2410</v>
      </c>
      <c r="F2117" s="10">
        <v>0</v>
      </c>
      <c r="G2117" s="10" t="s">
        <v>343</v>
      </c>
      <c r="H2117" s="10">
        <v>0</v>
      </c>
      <c r="I2117" s="10" t="s">
        <v>343</v>
      </c>
      <c r="J2117" s="11">
        <v>1689</v>
      </c>
      <c r="K2117" s="11">
        <v>2006</v>
      </c>
      <c r="L2117" s="11">
        <v>3695</v>
      </c>
      <c r="M2117" s="11">
        <v>1784</v>
      </c>
    </row>
    <row r="2118" spans="1:13" x14ac:dyDescent="0.3">
      <c r="A2118" s="10">
        <v>6712</v>
      </c>
      <c r="B2118" s="10">
        <v>76</v>
      </c>
      <c r="C2118" s="10" t="s">
        <v>2399</v>
      </c>
      <c r="D2118" s="10">
        <v>7692</v>
      </c>
      <c r="E2118" s="10" t="s">
        <v>2411</v>
      </c>
      <c r="F2118" s="10">
        <v>0</v>
      </c>
      <c r="G2118" s="10" t="s">
        <v>343</v>
      </c>
      <c r="H2118" s="10">
        <v>0</v>
      </c>
      <c r="I2118" s="10" t="s">
        <v>343</v>
      </c>
      <c r="J2118" s="11">
        <v>1272</v>
      </c>
      <c r="K2118" s="11">
        <v>1408</v>
      </c>
      <c r="L2118" s="11">
        <v>2680</v>
      </c>
      <c r="M2118" s="11">
        <v>1070</v>
      </c>
    </row>
    <row r="2119" spans="1:13" x14ac:dyDescent="0.3">
      <c r="A2119" s="10">
        <v>6712</v>
      </c>
      <c r="B2119" s="10">
        <v>76</v>
      </c>
      <c r="C2119" s="10" t="s">
        <v>2399</v>
      </c>
      <c r="D2119" s="10">
        <v>7693</v>
      </c>
      <c r="E2119" s="10" t="s">
        <v>2412</v>
      </c>
      <c r="F2119" s="10">
        <v>0</v>
      </c>
      <c r="G2119" s="10" t="s">
        <v>343</v>
      </c>
      <c r="H2119" s="10">
        <v>0</v>
      </c>
      <c r="I2119" s="10" t="s">
        <v>343</v>
      </c>
      <c r="J2119" s="11">
        <v>13035</v>
      </c>
      <c r="K2119" s="11">
        <v>14519</v>
      </c>
      <c r="L2119" s="11">
        <v>27554</v>
      </c>
      <c r="M2119" s="11">
        <v>12080</v>
      </c>
    </row>
    <row r="2120" spans="1:13" x14ac:dyDescent="0.3">
      <c r="A2120" s="10">
        <v>6712</v>
      </c>
      <c r="B2120" s="10">
        <v>76</v>
      </c>
      <c r="C2120" s="10" t="s">
        <v>2399</v>
      </c>
      <c r="D2120" s="10">
        <v>7694</v>
      </c>
      <c r="E2120" s="10" t="s">
        <v>2413</v>
      </c>
      <c r="F2120" s="10">
        <v>0</v>
      </c>
      <c r="G2120" s="10" t="s">
        <v>343</v>
      </c>
      <c r="H2120" s="10">
        <v>0</v>
      </c>
      <c r="I2120" s="10" t="s">
        <v>343</v>
      </c>
      <c r="J2120" s="11">
        <v>9185</v>
      </c>
      <c r="K2120" s="11">
        <v>9924</v>
      </c>
      <c r="L2120" s="11">
        <v>19109</v>
      </c>
      <c r="M2120" s="11">
        <v>7778</v>
      </c>
    </row>
    <row r="2121" spans="1:13" x14ac:dyDescent="0.3">
      <c r="A2121" s="10">
        <v>6712</v>
      </c>
      <c r="B2121" s="10">
        <v>76</v>
      </c>
      <c r="C2121" s="10" t="s">
        <v>2399</v>
      </c>
      <c r="D2121" s="10">
        <v>7695</v>
      </c>
      <c r="E2121" s="10" t="s">
        <v>2414</v>
      </c>
      <c r="F2121" s="10">
        <v>0</v>
      </c>
      <c r="G2121" s="10" t="s">
        <v>343</v>
      </c>
      <c r="H2121" s="10">
        <v>0</v>
      </c>
      <c r="I2121" s="10" t="s">
        <v>343</v>
      </c>
      <c r="J2121" s="11">
        <v>7125</v>
      </c>
      <c r="K2121" s="11">
        <v>7805</v>
      </c>
      <c r="L2121" s="11">
        <v>14930</v>
      </c>
      <c r="M2121" s="11">
        <v>8918</v>
      </c>
    </row>
    <row r="2122" spans="1:13" x14ac:dyDescent="0.3">
      <c r="A2122" s="10">
        <v>6712</v>
      </c>
      <c r="B2122" s="10">
        <v>76</v>
      </c>
      <c r="C2122" s="10" t="s">
        <v>2399</v>
      </c>
      <c r="D2122" s="10">
        <v>7696</v>
      </c>
      <c r="E2122" s="10" t="s">
        <v>2415</v>
      </c>
      <c r="F2122" s="10">
        <v>0</v>
      </c>
      <c r="G2122" s="10" t="s">
        <v>343</v>
      </c>
      <c r="H2122" s="10">
        <v>0</v>
      </c>
      <c r="I2122" s="10" t="s">
        <v>343</v>
      </c>
      <c r="J2122" s="11">
        <v>2363</v>
      </c>
      <c r="K2122" s="11">
        <v>2571</v>
      </c>
      <c r="L2122" s="11">
        <v>4934</v>
      </c>
      <c r="M2122" s="11">
        <v>2704</v>
      </c>
    </row>
    <row r="2123" spans="1:13" x14ac:dyDescent="0.3">
      <c r="A2123" s="10">
        <v>6712</v>
      </c>
      <c r="B2123" s="10">
        <v>76</v>
      </c>
      <c r="C2123" s="10" t="s">
        <v>2399</v>
      </c>
      <c r="D2123" s="10">
        <v>7697</v>
      </c>
      <c r="E2123" s="10" t="s">
        <v>2416</v>
      </c>
      <c r="F2123" s="10">
        <v>0</v>
      </c>
      <c r="G2123" s="10" t="s">
        <v>343</v>
      </c>
      <c r="H2123" s="10">
        <v>0</v>
      </c>
      <c r="I2123" s="10" t="s">
        <v>343</v>
      </c>
      <c r="J2123" s="11">
        <v>2754</v>
      </c>
      <c r="K2123" s="11">
        <v>3087</v>
      </c>
      <c r="L2123" s="11">
        <v>5841</v>
      </c>
      <c r="M2123" s="11">
        <v>2095</v>
      </c>
    </row>
    <row r="2124" spans="1:13" x14ac:dyDescent="0.3">
      <c r="A2124" s="10">
        <v>6712</v>
      </c>
      <c r="B2124" s="10">
        <v>76</v>
      </c>
      <c r="C2124" s="10" t="s">
        <v>2399</v>
      </c>
      <c r="D2124" s="10">
        <v>7698</v>
      </c>
      <c r="E2124" s="10" t="s">
        <v>2417</v>
      </c>
      <c r="F2124" s="10">
        <v>0</v>
      </c>
      <c r="G2124" s="10" t="s">
        <v>343</v>
      </c>
      <c r="H2124" s="10">
        <v>0</v>
      </c>
      <c r="I2124" s="10" t="s">
        <v>343</v>
      </c>
      <c r="J2124" s="11">
        <v>20271</v>
      </c>
      <c r="K2124" s="11">
        <v>22448</v>
      </c>
      <c r="L2124" s="11">
        <v>42719</v>
      </c>
      <c r="M2124" s="11">
        <v>48985</v>
      </c>
    </row>
    <row r="2125" spans="1:13" x14ac:dyDescent="0.3">
      <c r="A2125" s="10">
        <v>6712</v>
      </c>
      <c r="B2125" s="10">
        <v>76</v>
      </c>
      <c r="C2125" s="10" t="s">
        <v>2399</v>
      </c>
      <c r="D2125" s="10">
        <v>7699</v>
      </c>
      <c r="E2125" s="10" t="s">
        <v>2418</v>
      </c>
      <c r="F2125" s="10">
        <v>0</v>
      </c>
      <c r="G2125" s="10" t="s">
        <v>343</v>
      </c>
      <c r="H2125" s="10">
        <v>0</v>
      </c>
      <c r="I2125" s="10" t="s">
        <v>343</v>
      </c>
      <c r="J2125" s="11">
        <v>9099</v>
      </c>
      <c r="K2125" s="11">
        <v>10363</v>
      </c>
      <c r="L2125" s="11">
        <v>19462</v>
      </c>
      <c r="M2125" s="11">
        <v>10416</v>
      </c>
    </row>
    <row r="2126" spans="1:13" x14ac:dyDescent="0.3">
      <c r="A2126" s="10">
        <v>6712</v>
      </c>
      <c r="B2126" s="10">
        <v>77</v>
      </c>
      <c r="C2126" s="10" t="s">
        <v>2419</v>
      </c>
      <c r="D2126" s="10">
        <v>0</v>
      </c>
      <c r="E2126" s="10" t="s">
        <v>343</v>
      </c>
      <c r="F2126" s="10">
        <v>0</v>
      </c>
      <c r="G2126" s="10" t="s">
        <v>343</v>
      </c>
      <c r="H2126" s="10">
        <v>0</v>
      </c>
      <c r="I2126" s="10" t="s">
        <v>343</v>
      </c>
      <c r="J2126" s="11">
        <v>270215</v>
      </c>
      <c r="K2126" s="11">
        <v>281554</v>
      </c>
      <c r="L2126" s="11">
        <v>551769</v>
      </c>
      <c r="M2126" s="11">
        <v>293330</v>
      </c>
    </row>
    <row r="2127" spans="1:13" x14ac:dyDescent="0.3">
      <c r="A2127" s="10">
        <v>6712</v>
      </c>
      <c r="B2127" s="10">
        <v>77</v>
      </c>
      <c r="C2127" s="10" t="s">
        <v>2419</v>
      </c>
      <c r="D2127" s="10">
        <v>7701</v>
      </c>
      <c r="E2127" s="10" t="s">
        <v>2420</v>
      </c>
      <c r="F2127" s="10">
        <v>0</v>
      </c>
      <c r="G2127" s="10" t="s">
        <v>343</v>
      </c>
      <c r="H2127" s="10">
        <v>0</v>
      </c>
      <c r="I2127" s="10" t="s">
        <v>343</v>
      </c>
      <c r="J2127" s="11">
        <v>32319</v>
      </c>
      <c r="K2127" s="11">
        <v>32593</v>
      </c>
      <c r="L2127" s="11">
        <v>64912</v>
      </c>
      <c r="M2127" s="11">
        <v>28197</v>
      </c>
    </row>
    <row r="2128" spans="1:13" x14ac:dyDescent="0.3">
      <c r="A2128" s="10">
        <v>6712</v>
      </c>
      <c r="B2128" s="10">
        <v>77</v>
      </c>
      <c r="C2128" s="10" t="s">
        <v>2419</v>
      </c>
      <c r="D2128" s="10">
        <v>7702</v>
      </c>
      <c r="E2128" s="10" t="s">
        <v>2421</v>
      </c>
      <c r="F2128" s="10">
        <v>0</v>
      </c>
      <c r="G2128" s="10" t="s">
        <v>343</v>
      </c>
      <c r="H2128" s="10">
        <v>0</v>
      </c>
      <c r="I2128" s="10" t="s">
        <v>343</v>
      </c>
      <c r="J2128" s="11">
        <v>17085</v>
      </c>
      <c r="K2128" s="11">
        <v>17635</v>
      </c>
      <c r="L2128" s="11">
        <v>34720</v>
      </c>
      <c r="M2128" s="11">
        <v>11953</v>
      </c>
    </row>
    <row r="2129" spans="1:13" x14ac:dyDescent="0.3">
      <c r="A2129" s="10">
        <v>6712</v>
      </c>
      <c r="B2129" s="10">
        <v>77</v>
      </c>
      <c r="C2129" s="10" t="s">
        <v>2419</v>
      </c>
      <c r="D2129" s="10">
        <v>7703</v>
      </c>
      <c r="E2129" s="10" t="s">
        <v>2422</v>
      </c>
      <c r="F2129" s="10">
        <v>0</v>
      </c>
      <c r="G2129" s="10" t="s">
        <v>343</v>
      </c>
      <c r="H2129" s="10">
        <v>0</v>
      </c>
      <c r="I2129" s="10" t="s">
        <v>343</v>
      </c>
      <c r="J2129" s="11">
        <v>21048</v>
      </c>
      <c r="K2129" s="11">
        <v>21550</v>
      </c>
      <c r="L2129" s="11">
        <v>42598</v>
      </c>
      <c r="M2129" s="11">
        <v>15857</v>
      </c>
    </row>
    <row r="2130" spans="1:13" x14ac:dyDescent="0.3">
      <c r="A2130" s="10">
        <v>6712</v>
      </c>
      <c r="B2130" s="10">
        <v>77</v>
      </c>
      <c r="C2130" s="10" t="s">
        <v>2419</v>
      </c>
      <c r="D2130" s="10">
        <v>7704</v>
      </c>
      <c r="E2130" s="10" t="s">
        <v>2423</v>
      </c>
      <c r="F2130" s="10">
        <v>0</v>
      </c>
      <c r="G2130" s="10" t="s">
        <v>343</v>
      </c>
      <c r="H2130" s="10">
        <v>0</v>
      </c>
      <c r="I2130" s="10" t="s">
        <v>343</v>
      </c>
      <c r="J2130" s="11">
        <v>30552</v>
      </c>
      <c r="K2130" s="11">
        <v>31086</v>
      </c>
      <c r="L2130" s="11">
        <v>61638</v>
      </c>
      <c r="M2130" s="11">
        <v>28124</v>
      </c>
    </row>
    <row r="2131" spans="1:13" x14ac:dyDescent="0.3">
      <c r="A2131" s="10">
        <v>6712</v>
      </c>
      <c r="B2131" s="10">
        <v>77</v>
      </c>
      <c r="C2131" s="10" t="s">
        <v>2419</v>
      </c>
      <c r="D2131" s="10">
        <v>7705</v>
      </c>
      <c r="E2131" s="10" t="s">
        <v>2424</v>
      </c>
      <c r="F2131" s="10">
        <v>0</v>
      </c>
      <c r="G2131" s="10" t="s">
        <v>343</v>
      </c>
      <c r="H2131" s="10">
        <v>0</v>
      </c>
      <c r="I2131" s="10" t="s">
        <v>343</v>
      </c>
      <c r="J2131" s="11">
        <v>18256</v>
      </c>
      <c r="K2131" s="11">
        <v>18425</v>
      </c>
      <c r="L2131" s="11">
        <v>36681</v>
      </c>
      <c r="M2131" s="11">
        <v>16976</v>
      </c>
    </row>
    <row r="2132" spans="1:13" x14ac:dyDescent="0.3">
      <c r="A2132" s="10">
        <v>6712</v>
      </c>
      <c r="B2132" s="10">
        <v>77</v>
      </c>
      <c r="C2132" s="10" t="s">
        <v>2419</v>
      </c>
      <c r="D2132" s="10">
        <v>7706</v>
      </c>
      <c r="E2132" s="10" t="s">
        <v>2425</v>
      </c>
      <c r="F2132" s="10">
        <v>0</v>
      </c>
      <c r="G2132" s="10" t="s">
        <v>343</v>
      </c>
      <c r="H2132" s="10">
        <v>0</v>
      </c>
      <c r="I2132" s="10" t="s">
        <v>343</v>
      </c>
      <c r="J2132" s="11">
        <v>21188</v>
      </c>
      <c r="K2132" s="11">
        <v>22661</v>
      </c>
      <c r="L2132" s="11">
        <v>43849</v>
      </c>
      <c r="M2132" s="11">
        <v>23077</v>
      </c>
    </row>
    <row r="2133" spans="1:13" x14ac:dyDescent="0.3">
      <c r="A2133" s="10">
        <v>6712</v>
      </c>
      <c r="B2133" s="10">
        <v>77</v>
      </c>
      <c r="C2133" s="10" t="s">
        <v>2419</v>
      </c>
      <c r="D2133" s="10">
        <v>7707</v>
      </c>
      <c r="E2133" s="10" t="s">
        <v>2426</v>
      </c>
      <c r="F2133" s="10">
        <v>0</v>
      </c>
      <c r="G2133" s="10" t="s">
        <v>343</v>
      </c>
      <c r="H2133" s="10">
        <v>0</v>
      </c>
      <c r="I2133" s="10" t="s">
        <v>343</v>
      </c>
      <c r="J2133" s="11">
        <v>28557</v>
      </c>
      <c r="K2133" s="11">
        <v>31186</v>
      </c>
      <c r="L2133" s="11">
        <v>59743</v>
      </c>
      <c r="M2133" s="11">
        <v>33943</v>
      </c>
    </row>
    <row r="2134" spans="1:13" x14ac:dyDescent="0.3">
      <c r="A2134" s="10">
        <v>6712</v>
      </c>
      <c r="B2134" s="10">
        <v>77</v>
      </c>
      <c r="C2134" s="10" t="s">
        <v>2419</v>
      </c>
      <c r="D2134" s="10">
        <v>7708</v>
      </c>
      <c r="E2134" s="10" t="s">
        <v>2427</v>
      </c>
      <c r="F2134" s="10">
        <v>0</v>
      </c>
      <c r="G2134" s="10" t="s">
        <v>343</v>
      </c>
      <c r="H2134" s="10">
        <v>0</v>
      </c>
      <c r="I2134" s="10" t="s">
        <v>343</v>
      </c>
      <c r="J2134" s="11">
        <v>15698</v>
      </c>
      <c r="K2134" s="11">
        <v>16048</v>
      </c>
      <c r="L2134" s="11">
        <v>31746</v>
      </c>
      <c r="M2134" s="11">
        <v>13284</v>
      </c>
    </row>
    <row r="2135" spans="1:13" x14ac:dyDescent="0.3">
      <c r="A2135" s="10">
        <v>6712</v>
      </c>
      <c r="B2135" s="10">
        <v>77</v>
      </c>
      <c r="C2135" s="10" t="s">
        <v>2419</v>
      </c>
      <c r="D2135" s="10">
        <v>7784</v>
      </c>
      <c r="E2135" s="10" t="s">
        <v>2428</v>
      </c>
      <c r="F2135" s="10">
        <v>0</v>
      </c>
      <c r="G2135" s="10" t="s">
        <v>343</v>
      </c>
      <c r="H2135" s="10">
        <v>0</v>
      </c>
      <c r="I2135" s="10" t="s">
        <v>343</v>
      </c>
      <c r="J2135" s="11">
        <v>6744</v>
      </c>
      <c r="K2135" s="11">
        <v>3073</v>
      </c>
      <c r="L2135" s="11">
        <v>9817</v>
      </c>
      <c r="M2135" s="11">
        <v>6147</v>
      </c>
    </row>
    <row r="2136" spans="1:13" x14ac:dyDescent="0.3">
      <c r="A2136" s="10">
        <v>6712</v>
      </c>
      <c r="B2136" s="10">
        <v>77</v>
      </c>
      <c r="C2136" s="10" t="s">
        <v>2419</v>
      </c>
      <c r="D2136" s="10">
        <v>7785</v>
      </c>
      <c r="E2136" s="10" t="s">
        <v>2429</v>
      </c>
      <c r="F2136" s="10">
        <v>0</v>
      </c>
      <c r="G2136" s="10" t="s">
        <v>343</v>
      </c>
      <c r="H2136" s="10">
        <v>0</v>
      </c>
      <c r="I2136" s="10" t="s">
        <v>343</v>
      </c>
      <c r="J2136" s="11">
        <v>5193</v>
      </c>
      <c r="K2136" s="11">
        <v>5347</v>
      </c>
      <c r="L2136" s="11">
        <v>10540</v>
      </c>
      <c r="M2136" s="11">
        <v>4397</v>
      </c>
    </row>
    <row r="2137" spans="1:13" x14ac:dyDescent="0.3">
      <c r="A2137" s="10">
        <v>6712</v>
      </c>
      <c r="B2137" s="10">
        <v>77</v>
      </c>
      <c r="C2137" s="10" t="s">
        <v>2419</v>
      </c>
      <c r="D2137" s="10">
        <v>7786</v>
      </c>
      <c r="E2137" s="10" t="s">
        <v>2430</v>
      </c>
      <c r="F2137" s="10">
        <v>0</v>
      </c>
      <c r="G2137" s="10" t="s">
        <v>343</v>
      </c>
      <c r="H2137" s="10">
        <v>0</v>
      </c>
      <c r="I2137" s="10" t="s">
        <v>343</v>
      </c>
      <c r="J2137" s="11">
        <v>2395</v>
      </c>
      <c r="K2137" s="11">
        <v>2605</v>
      </c>
      <c r="L2137" s="11">
        <v>5000</v>
      </c>
      <c r="M2137" s="11">
        <v>2993</v>
      </c>
    </row>
    <row r="2138" spans="1:13" x14ac:dyDescent="0.3">
      <c r="A2138" s="10">
        <v>6712</v>
      </c>
      <c r="B2138" s="10">
        <v>77</v>
      </c>
      <c r="C2138" s="10" t="s">
        <v>2419</v>
      </c>
      <c r="D2138" s="10">
        <v>7787</v>
      </c>
      <c r="E2138" s="10" t="s">
        <v>2431</v>
      </c>
      <c r="F2138" s="10">
        <v>0</v>
      </c>
      <c r="G2138" s="10" t="s">
        <v>343</v>
      </c>
      <c r="H2138" s="10">
        <v>0</v>
      </c>
      <c r="I2138" s="10" t="s">
        <v>343</v>
      </c>
      <c r="J2138" s="11">
        <v>3796</v>
      </c>
      <c r="K2138" s="11">
        <v>3809</v>
      </c>
      <c r="L2138" s="11">
        <v>7605</v>
      </c>
      <c r="M2138" s="11">
        <v>3580</v>
      </c>
    </row>
    <row r="2139" spans="1:13" x14ac:dyDescent="0.3">
      <c r="A2139" s="10">
        <v>6712</v>
      </c>
      <c r="B2139" s="10">
        <v>77</v>
      </c>
      <c r="C2139" s="10" t="s">
        <v>2419</v>
      </c>
      <c r="D2139" s="10">
        <v>7788</v>
      </c>
      <c r="E2139" s="10" t="s">
        <v>2432</v>
      </c>
      <c r="F2139" s="10">
        <v>0</v>
      </c>
      <c r="G2139" s="10" t="s">
        <v>343</v>
      </c>
      <c r="H2139" s="10">
        <v>0</v>
      </c>
      <c r="I2139" s="10" t="s">
        <v>343</v>
      </c>
      <c r="J2139" s="11">
        <v>7882</v>
      </c>
      <c r="K2139" s="11">
        <v>8619</v>
      </c>
      <c r="L2139" s="11">
        <v>16501</v>
      </c>
      <c r="M2139" s="11">
        <v>9896</v>
      </c>
    </row>
    <row r="2140" spans="1:13" x14ac:dyDescent="0.3">
      <c r="A2140" s="10">
        <v>6712</v>
      </c>
      <c r="B2140" s="10">
        <v>77</v>
      </c>
      <c r="C2140" s="10" t="s">
        <v>2419</v>
      </c>
      <c r="D2140" s="10">
        <v>7789</v>
      </c>
      <c r="E2140" s="10" t="s">
        <v>2433</v>
      </c>
      <c r="F2140" s="10">
        <v>0</v>
      </c>
      <c r="G2140" s="10" t="s">
        <v>343</v>
      </c>
      <c r="H2140" s="10">
        <v>0</v>
      </c>
      <c r="I2140" s="10" t="s">
        <v>343</v>
      </c>
      <c r="J2140" s="11">
        <v>1459</v>
      </c>
      <c r="K2140" s="11">
        <v>1492</v>
      </c>
      <c r="L2140" s="11">
        <v>2951</v>
      </c>
      <c r="M2140" s="11">
        <v>1647</v>
      </c>
    </row>
    <row r="2141" spans="1:13" x14ac:dyDescent="0.3">
      <c r="A2141" s="10">
        <v>6712</v>
      </c>
      <c r="B2141" s="10">
        <v>77</v>
      </c>
      <c r="C2141" s="10" t="s">
        <v>2419</v>
      </c>
      <c r="D2141" s="10">
        <v>7790</v>
      </c>
      <c r="E2141" s="10" t="s">
        <v>2434</v>
      </c>
      <c r="F2141" s="10">
        <v>0</v>
      </c>
      <c r="G2141" s="10" t="s">
        <v>343</v>
      </c>
      <c r="H2141" s="10">
        <v>0</v>
      </c>
      <c r="I2141" s="10" t="s">
        <v>343</v>
      </c>
      <c r="J2141" s="11">
        <v>3798</v>
      </c>
      <c r="K2141" s="11">
        <v>3929</v>
      </c>
      <c r="L2141" s="11">
        <v>7727</v>
      </c>
      <c r="M2141" s="11">
        <v>3635</v>
      </c>
    </row>
    <row r="2142" spans="1:13" x14ac:dyDescent="0.3">
      <c r="A2142" s="10">
        <v>6712</v>
      </c>
      <c r="B2142" s="10">
        <v>77</v>
      </c>
      <c r="C2142" s="10" t="s">
        <v>2419</v>
      </c>
      <c r="D2142" s="10">
        <v>7791</v>
      </c>
      <c r="E2142" s="10" t="s">
        <v>2435</v>
      </c>
      <c r="F2142" s="10">
        <v>0</v>
      </c>
      <c r="G2142" s="10" t="s">
        <v>343</v>
      </c>
      <c r="H2142" s="10">
        <v>0</v>
      </c>
      <c r="I2142" s="10" t="s">
        <v>343</v>
      </c>
      <c r="J2142" s="11">
        <v>1960</v>
      </c>
      <c r="K2142" s="11">
        <v>2153</v>
      </c>
      <c r="L2142" s="11">
        <v>4113</v>
      </c>
      <c r="M2142" s="11">
        <v>2463</v>
      </c>
    </row>
    <row r="2143" spans="1:13" x14ac:dyDescent="0.3">
      <c r="A2143" s="10">
        <v>6712</v>
      </c>
      <c r="B2143" s="10">
        <v>77</v>
      </c>
      <c r="C2143" s="10" t="s">
        <v>2419</v>
      </c>
      <c r="D2143" s="10">
        <v>7792</v>
      </c>
      <c r="E2143" s="10" t="s">
        <v>2436</v>
      </c>
      <c r="F2143" s="10">
        <v>0</v>
      </c>
      <c r="G2143" s="10" t="s">
        <v>343</v>
      </c>
      <c r="H2143" s="10">
        <v>0</v>
      </c>
      <c r="I2143" s="10" t="s">
        <v>343</v>
      </c>
      <c r="J2143" s="11">
        <v>1233</v>
      </c>
      <c r="K2143" s="11">
        <v>1272</v>
      </c>
      <c r="L2143" s="11">
        <v>2505</v>
      </c>
      <c r="M2143" s="11">
        <v>1678</v>
      </c>
    </row>
    <row r="2144" spans="1:13" x14ac:dyDescent="0.3">
      <c r="A2144" s="10">
        <v>6712</v>
      </c>
      <c r="B2144" s="10">
        <v>77</v>
      </c>
      <c r="C2144" s="10" t="s">
        <v>2419</v>
      </c>
      <c r="D2144" s="10">
        <v>7793</v>
      </c>
      <c r="E2144" s="10" t="s">
        <v>2437</v>
      </c>
      <c r="F2144" s="10">
        <v>0</v>
      </c>
      <c r="G2144" s="10" t="s">
        <v>343</v>
      </c>
      <c r="H2144" s="10">
        <v>0</v>
      </c>
      <c r="I2144" s="10" t="s">
        <v>343</v>
      </c>
      <c r="J2144" s="11">
        <v>2903</v>
      </c>
      <c r="K2144" s="11">
        <v>3327</v>
      </c>
      <c r="L2144" s="11">
        <v>6230</v>
      </c>
      <c r="M2144" s="11">
        <v>3639</v>
      </c>
    </row>
    <row r="2145" spans="1:13" x14ac:dyDescent="0.3">
      <c r="A2145" s="10">
        <v>6712</v>
      </c>
      <c r="B2145" s="10">
        <v>77</v>
      </c>
      <c r="C2145" s="10" t="s">
        <v>2419</v>
      </c>
      <c r="D2145" s="10">
        <v>7794</v>
      </c>
      <c r="E2145" s="10" t="s">
        <v>2438</v>
      </c>
      <c r="F2145" s="10">
        <v>0</v>
      </c>
      <c r="G2145" s="10" t="s">
        <v>343</v>
      </c>
      <c r="H2145" s="10">
        <v>0</v>
      </c>
      <c r="I2145" s="10" t="s">
        <v>343</v>
      </c>
      <c r="J2145" s="11">
        <v>3634</v>
      </c>
      <c r="K2145" s="11">
        <v>3941</v>
      </c>
      <c r="L2145" s="11">
        <v>7575</v>
      </c>
      <c r="M2145" s="11">
        <v>3032</v>
      </c>
    </row>
    <row r="2146" spans="1:13" x14ac:dyDescent="0.3">
      <c r="A2146" s="10">
        <v>6712</v>
      </c>
      <c r="B2146" s="10">
        <v>77</v>
      </c>
      <c r="C2146" s="10" t="s">
        <v>2419</v>
      </c>
      <c r="D2146" s="10">
        <v>7795</v>
      </c>
      <c r="E2146" s="10" t="s">
        <v>2439</v>
      </c>
      <c r="F2146" s="10">
        <v>0</v>
      </c>
      <c r="G2146" s="10" t="s">
        <v>343</v>
      </c>
      <c r="H2146" s="10">
        <v>0</v>
      </c>
      <c r="I2146" s="10" t="s">
        <v>343</v>
      </c>
      <c r="J2146" s="11">
        <v>4071</v>
      </c>
      <c r="K2146" s="11">
        <v>4408</v>
      </c>
      <c r="L2146" s="11">
        <v>8479</v>
      </c>
      <c r="M2146" s="11">
        <v>4434</v>
      </c>
    </row>
    <row r="2147" spans="1:13" x14ac:dyDescent="0.3">
      <c r="A2147" s="10">
        <v>6712</v>
      </c>
      <c r="B2147" s="10">
        <v>77</v>
      </c>
      <c r="C2147" s="10" t="s">
        <v>2419</v>
      </c>
      <c r="D2147" s="10">
        <v>7796</v>
      </c>
      <c r="E2147" s="10" t="s">
        <v>2440</v>
      </c>
      <c r="F2147" s="10">
        <v>0</v>
      </c>
      <c r="G2147" s="10" t="s">
        <v>343</v>
      </c>
      <c r="H2147" s="10">
        <v>0</v>
      </c>
      <c r="I2147" s="10" t="s">
        <v>343</v>
      </c>
      <c r="J2147" s="11">
        <v>2031</v>
      </c>
      <c r="K2147" s="11">
        <v>2180</v>
      </c>
      <c r="L2147" s="11">
        <v>4211</v>
      </c>
      <c r="M2147" s="11">
        <v>1918</v>
      </c>
    </row>
    <row r="2148" spans="1:13" x14ac:dyDescent="0.3">
      <c r="A2148" s="10">
        <v>6712</v>
      </c>
      <c r="B2148" s="10">
        <v>77</v>
      </c>
      <c r="C2148" s="10" t="s">
        <v>2419</v>
      </c>
      <c r="D2148" s="10">
        <v>7797</v>
      </c>
      <c r="E2148" s="10" t="s">
        <v>2441</v>
      </c>
      <c r="F2148" s="10">
        <v>0</v>
      </c>
      <c r="G2148" s="10" t="s">
        <v>343</v>
      </c>
      <c r="H2148" s="10">
        <v>0</v>
      </c>
      <c r="I2148" s="10" t="s">
        <v>343</v>
      </c>
      <c r="J2148" s="11">
        <v>1756</v>
      </c>
      <c r="K2148" s="11">
        <v>1854</v>
      </c>
      <c r="L2148" s="11">
        <v>3610</v>
      </c>
      <c r="M2148" s="11">
        <v>1469</v>
      </c>
    </row>
    <row r="2149" spans="1:13" x14ac:dyDescent="0.3">
      <c r="A2149" s="10">
        <v>6712</v>
      </c>
      <c r="B2149" s="10">
        <v>77</v>
      </c>
      <c r="C2149" s="10" t="s">
        <v>2419</v>
      </c>
      <c r="D2149" s="10">
        <v>7798</v>
      </c>
      <c r="E2149" s="10" t="s">
        <v>2442</v>
      </c>
      <c r="F2149" s="10">
        <v>0</v>
      </c>
      <c r="G2149" s="10" t="s">
        <v>343</v>
      </c>
      <c r="H2149" s="10">
        <v>0</v>
      </c>
      <c r="I2149" s="10" t="s">
        <v>343</v>
      </c>
      <c r="J2149" s="11">
        <v>28609</v>
      </c>
      <c r="K2149" s="11">
        <v>32878</v>
      </c>
      <c r="L2149" s="11">
        <v>61487</v>
      </c>
      <c r="M2149" s="11">
        <v>59601</v>
      </c>
    </row>
    <row r="2150" spans="1:13" x14ac:dyDescent="0.3">
      <c r="A2150" s="10">
        <v>6712</v>
      </c>
      <c r="B2150" s="10">
        <v>77</v>
      </c>
      <c r="C2150" s="10" t="s">
        <v>2419</v>
      </c>
      <c r="D2150" s="10">
        <v>7799</v>
      </c>
      <c r="E2150" s="10" t="s">
        <v>2443</v>
      </c>
      <c r="F2150" s="10">
        <v>0</v>
      </c>
      <c r="G2150" s="10" t="s">
        <v>343</v>
      </c>
      <c r="H2150" s="10">
        <v>0</v>
      </c>
      <c r="I2150" s="10" t="s">
        <v>343</v>
      </c>
      <c r="J2150" s="11">
        <v>8048</v>
      </c>
      <c r="K2150" s="11">
        <v>9483</v>
      </c>
      <c r="L2150" s="11">
        <v>17531</v>
      </c>
      <c r="M2150" s="11">
        <v>11390</v>
      </c>
    </row>
    <row r="2151" spans="1:13" x14ac:dyDescent="0.3">
      <c r="A2151" s="10">
        <v>6712</v>
      </c>
      <c r="B2151" s="10">
        <v>80</v>
      </c>
      <c r="C2151" s="10" t="s">
        <v>2444</v>
      </c>
      <c r="D2151" s="10">
        <v>0</v>
      </c>
      <c r="E2151" s="10" t="s">
        <v>343</v>
      </c>
      <c r="F2151" s="10">
        <v>0</v>
      </c>
      <c r="G2151" s="10" t="s">
        <v>343</v>
      </c>
      <c r="H2151" s="10">
        <v>0</v>
      </c>
      <c r="I2151" s="10" t="s">
        <v>343</v>
      </c>
      <c r="J2151" s="11">
        <v>757539</v>
      </c>
      <c r="K2151" s="11">
        <v>777114</v>
      </c>
      <c r="L2151" s="11">
        <v>1534653</v>
      </c>
      <c r="M2151" s="11">
        <v>616268</v>
      </c>
    </row>
    <row r="2152" spans="1:13" x14ac:dyDescent="0.3">
      <c r="A2152" s="10">
        <v>6712</v>
      </c>
      <c r="B2152" s="10">
        <v>80</v>
      </c>
      <c r="C2152" s="10" t="s">
        <v>2444</v>
      </c>
      <c r="D2152" s="10">
        <v>8001</v>
      </c>
      <c r="E2152" s="10" t="s">
        <v>2445</v>
      </c>
      <c r="F2152" s="10">
        <v>0</v>
      </c>
      <c r="G2152" s="10" t="s">
        <v>343</v>
      </c>
      <c r="H2152" s="10">
        <v>0</v>
      </c>
      <c r="I2152" s="10" t="s">
        <v>343</v>
      </c>
      <c r="J2152" s="11">
        <v>79562</v>
      </c>
      <c r="K2152" s="11">
        <v>82345</v>
      </c>
      <c r="L2152" s="11">
        <v>161907</v>
      </c>
      <c r="M2152" s="11">
        <v>67890</v>
      </c>
    </row>
    <row r="2153" spans="1:13" x14ac:dyDescent="0.3">
      <c r="A2153" s="10">
        <v>6712</v>
      </c>
      <c r="B2153" s="10">
        <v>80</v>
      </c>
      <c r="C2153" s="10" t="s">
        <v>2444</v>
      </c>
      <c r="D2153" s="10">
        <v>8002</v>
      </c>
      <c r="E2153" s="10" t="s">
        <v>2446</v>
      </c>
      <c r="F2153" s="10">
        <v>0</v>
      </c>
      <c r="G2153" s="10" t="s">
        <v>343</v>
      </c>
      <c r="H2153" s="10">
        <v>0</v>
      </c>
      <c r="I2153" s="10" t="s">
        <v>343</v>
      </c>
      <c r="J2153" s="11">
        <v>13425</v>
      </c>
      <c r="K2153" s="11">
        <v>13886</v>
      </c>
      <c r="L2153" s="11">
        <v>27311</v>
      </c>
      <c r="M2153" s="11">
        <v>9589</v>
      </c>
    </row>
    <row r="2154" spans="1:13" x14ac:dyDescent="0.3">
      <c r="A2154" s="10">
        <v>6712</v>
      </c>
      <c r="B2154" s="10">
        <v>80</v>
      </c>
      <c r="C2154" s="10" t="s">
        <v>2444</v>
      </c>
      <c r="D2154" s="10">
        <v>8003</v>
      </c>
      <c r="E2154" s="10" t="s">
        <v>2447</v>
      </c>
      <c r="F2154" s="10">
        <v>0</v>
      </c>
      <c r="G2154" s="10" t="s">
        <v>343</v>
      </c>
      <c r="H2154" s="10">
        <v>0</v>
      </c>
      <c r="I2154" s="10" t="s">
        <v>343</v>
      </c>
      <c r="J2154" s="11">
        <v>19006</v>
      </c>
      <c r="K2154" s="11">
        <v>19954</v>
      </c>
      <c r="L2154" s="11">
        <v>38960</v>
      </c>
      <c r="M2154" s="11">
        <v>15293</v>
      </c>
    </row>
    <row r="2155" spans="1:13" x14ac:dyDescent="0.3">
      <c r="A2155" s="10">
        <v>6712</v>
      </c>
      <c r="B2155" s="10">
        <v>80</v>
      </c>
      <c r="C2155" s="10" t="s">
        <v>2444</v>
      </c>
      <c r="D2155" s="10">
        <v>8004</v>
      </c>
      <c r="E2155" s="10" t="s">
        <v>2448</v>
      </c>
      <c r="F2155" s="10">
        <v>0</v>
      </c>
      <c r="G2155" s="10" t="s">
        <v>343</v>
      </c>
      <c r="H2155" s="10">
        <v>0</v>
      </c>
      <c r="I2155" s="10" t="s">
        <v>343</v>
      </c>
      <c r="J2155" s="11">
        <v>25571</v>
      </c>
      <c r="K2155" s="11">
        <v>26665</v>
      </c>
      <c r="L2155" s="11">
        <v>52236</v>
      </c>
      <c r="M2155" s="11">
        <v>19753</v>
      </c>
    </row>
    <row r="2156" spans="1:13" x14ac:dyDescent="0.3">
      <c r="A2156" s="10">
        <v>6712</v>
      </c>
      <c r="B2156" s="10">
        <v>80</v>
      </c>
      <c r="C2156" s="10" t="s">
        <v>2444</v>
      </c>
      <c r="D2156" s="10">
        <v>8005</v>
      </c>
      <c r="E2156" s="10" t="s">
        <v>2449</v>
      </c>
      <c r="F2156" s="10">
        <v>0</v>
      </c>
      <c r="G2156" s="10" t="s">
        <v>343</v>
      </c>
      <c r="H2156" s="10">
        <v>0</v>
      </c>
      <c r="I2156" s="10" t="s">
        <v>343</v>
      </c>
      <c r="J2156" s="11">
        <v>8743</v>
      </c>
      <c r="K2156" s="11">
        <v>9103</v>
      </c>
      <c r="L2156" s="11">
        <v>17846</v>
      </c>
      <c r="M2156" s="11">
        <v>7525</v>
      </c>
    </row>
    <row r="2157" spans="1:13" x14ac:dyDescent="0.3">
      <c r="A2157" s="10">
        <v>6712</v>
      </c>
      <c r="B2157" s="10">
        <v>80</v>
      </c>
      <c r="C2157" s="10" t="s">
        <v>2444</v>
      </c>
      <c r="D2157" s="10">
        <v>8006</v>
      </c>
      <c r="E2157" s="10" t="s">
        <v>2450</v>
      </c>
      <c r="F2157" s="10">
        <v>0</v>
      </c>
      <c r="G2157" s="10" t="s">
        <v>343</v>
      </c>
      <c r="H2157" s="10">
        <v>0</v>
      </c>
      <c r="I2157" s="10" t="s">
        <v>343</v>
      </c>
      <c r="J2157" s="11">
        <v>20028</v>
      </c>
      <c r="K2157" s="11">
        <v>19917</v>
      </c>
      <c r="L2157" s="11">
        <v>39945</v>
      </c>
      <c r="M2157" s="11">
        <v>15269</v>
      </c>
    </row>
    <row r="2158" spans="1:13" x14ac:dyDescent="0.3">
      <c r="A2158" s="10">
        <v>6712</v>
      </c>
      <c r="B2158" s="10">
        <v>80</v>
      </c>
      <c r="C2158" s="10" t="s">
        <v>2444</v>
      </c>
      <c r="D2158" s="10">
        <v>8007</v>
      </c>
      <c r="E2158" s="10" t="s">
        <v>2451</v>
      </c>
      <c r="F2158" s="10">
        <v>0</v>
      </c>
      <c r="G2158" s="10" t="s">
        <v>343</v>
      </c>
      <c r="H2158" s="10">
        <v>0</v>
      </c>
      <c r="I2158" s="10" t="s">
        <v>343</v>
      </c>
      <c r="J2158" s="11">
        <v>40246</v>
      </c>
      <c r="K2158" s="11">
        <v>40897</v>
      </c>
      <c r="L2158" s="11">
        <v>81143</v>
      </c>
      <c r="M2158" s="11">
        <v>31051</v>
      </c>
    </row>
    <row r="2159" spans="1:13" x14ac:dyDescent="0.3">
      <c r="A2159" s="10">
        <v>6712</v>
      </c>
      <c r="B2159" s="10">
        <v>80</v>
      </c>
      <c r="C2159" s="10" t="s">
        <v>2444</v>
      </c>
      <c r="D2159" s="10">
        <v>8008</v>
      </c>
      <c r="E2159" s="10" t="s">
        <v>2452</v>
      </c>
      <c r="F2159" s="10">
        <v>0</v>
      </c>
      <c r="G2159" s="10" t="s">
        <v>343</v>
      </c>
      <c r="H2159" s="10">
        <v>0</v>
      </c>
      <c r="I2159" s="10" t="s">
        <v>343</v>
      </c>
      <c r="J2159" s="11">
        <v>55911</v>
      </c>
      <c r="K2159" s="11">
        <v>57587</v>
      </c>
      <c r="L2159" s="11">
        <v>113498</v>
      </c>
      <c r="M2159" s="11">
        <v>38972</v>
      </c>
    </row>
    <row r="2160" spans="1:13" x14ac:dyDescent="0.3">
      <c r="A2160" s="10">
        <v>6712</v>
      </c>
      <c r="B2160" s="10">
        <v>80</v>
      </c>
      <c r="C2160" s="10" t="s">
        <v>2444</v>
      </c>
      <c r="D2160" s="10">
        <v>8009</v>
      </c>
      <c r="E2160" s="10" t="s">
        <v>2453</v>
      </c>
      <c r="F2160" s="10">
        <v>0</v>
      </c>
      <c r="G2160" s="10" t="s">
        <v>343</v>
      </c>
      <c r="H2160" s="10">
        <v>0</v>
      </c>
      <c r="I2160" s="10" t="s">
        <v>343</v>
      </c>
      <c r="J2160" s="11">
        <v>58596</v>
      </c>
      <c r="K2160" s="11">
        <v>57458</v>
      </c>
      <c r="L2160" s="11">
        <v>116054</v>
      </c>
      <c r="M2160" s="11">
        <v>50742</v>
      </c>
    </row>
    <row r="2161" spans="1:13" x14ac:dyDescent="0.3">
      <c r="A2161" s="10">
        <v>6712</v>
      </c>
      <c r="B2161" s="10">
        <v>80</v>
      </c>
      <c r="C2161" s="10" t="s">
        <v>2444</v>
      </c>
      <c r="D2161" s="10">
        <v>8010</v>
      </c>
      <c r="E2161" s="10" t="s">
        <v>2454</v>
      </c>
      <c r="F2161" s="10">
        <v>0</v>
      </c>
      <c r="G2161" s="10" t="s">
        <v>343</v>
      </c>
      <c r="H2161" s="10">
        <v>0</v>
      </c>
      <c r="I2161" s="10" t="s">
        <v>343</v>
      </c>
      <c r="J2161" s="11">
        <v>11863</v>
      </c>
      <c r="K2161" s="11">
        <v>12084</v>
      </c>
      <c r="L2161" s="11">
        <v>23947</v>
      </c>
      <c r="M2161" s="11">
        <v>8901</v>
      </c>
    </row>
    <row r="2162" spans="1:13" x14ac:dyDescent="0.3">
      <c r="A2162" s="10">
        <v>6712</v>
      </c>
      <c r="B2162" s="10">
        <v>80</v>
      </c>
      <c r="C2162" s="10" t="s">
        <v>2444</v>
      </c>
      <c r="D2162" s="10">
        <v>8011</v>
      </c>
      <c r="E2162" s="10" t="s">
        <v>2455</v>
      </c>
      <c r="F2162" s="10">
        <v>0</v>
      </c>
      <c r="G2162" s="10" t="s">
        <v>343</v>
      </c>
      <c r="H2162" s="10">
        <v>0</v>
      </c>
      <c r="I2162" s="10" t="s">
        <v>343</v>
      </c>
      <c r="J2162" s="11">
        <v>34488</v>
      </c>
      <c r="K2162" s="11">
        <v>34694</v>
      </c>
      <c r="L2162" s="11">
        <v>69182</v>
      </c>
      <c r="M2162" s="11">
        <v>25093</v>
      </c>
    </row>
    <row r="2163" spans="1:13" x14ac:dyDescent="0.3">
      <c r="A2163" s="10">
        <v>6712</v>
      </c>
      <c r="B2163" s="10">
        <v>80</v>
      </c>
      <c r="C2163" s="10" t="s">
        <v>2444</v>
      </c>
      <c r="D2163" s="10">
        <v>8012</v>
      </c>
      <c r="E2163" s="10" t="s">
        <v>2456</v>
      </c>
      <c r="F2163" s="10">
        <v>0</v>
      </c>
      <c r="G2163" s="10" t="s">
        <v>343</v>
      </c>
      <c r="H2163" s="10">
        <v>0</v>
      </c>
      <c r="I2163" s="10" t="s">
        <v>343</v>
      </c>
      <c r="J2163" s="11">
        <v>38592</v>
      </c>
      <c r="K2163" s="11">
        <v>38076</v>
      </c>
      <c r="L2163" s="11">
        <v>76668</v>
      </c>
      <c r="M2163" s="11">
        <v>27499</v>
      </c>
    </row>
    <row r="2164" spans="1:13" x14ac:dyDescent="0.3">
      <c r="A2164" s="10">
        <v>6712</v>
      </c>
      <c r="B2164" s="10">
        <v>80</v>
      </c>
      <c r="C2164" s="10" t="s">
        <v>2444</v>
      </c>
      <c r="D2164" s="10">
        <v>8013</v>
      </c>
      <c r="E2164" s="10" t="s">
        <v>2457</v>
      </c>
      <c r="F2164" s="10">
        <v>0</v>
      </c>
      <c r="G2164" s="10" t="s">
        <v>343</v>
      </c>
      <c r="H2164" s="10">
        <v>0</v>
      </c>
      <c r="I2164" s="10" t="s">
        <v>343</v>
      </c>
      <c r="J2164" s="11">
        <v>30501</v>
      </c>
      <c r="K2164" s="11">
        <v>30702</v>
      </c>
      <c r="L2164" s="11">
        <v>61203</v>
      </c>
      <c r="M2164" s="11">
        <v>21226</v>
      </c>
    </row>
    <row r="2165" spans="1:13" x14ac:dyDescent="0.3">
      <c r="A2165" s="10">
        <v>6712</v>
      </c>
      <c r="B2165" s="10">
        <v>80</v>
      </c>
      <c r="C2165" s="10" t="s">
        <v>2444</v>
      </c>
      <c r="D2165" s="10">
        <v>8014</v>
      </c>
      <c r="E2165" s="10" t="s">
        <v>2458</v>
      </c>
      <c r="F2165" s="10">
        <v>0</v>
      </c>
      <c r="G2165" s="10" t="s">
        <v>343</v>
      </c>
      <c r="H2165" s="10">
        <v>0</v>
      </c>
      <c r="I2165" s="10" t="s">
        <v>343</v>
      </c>
      <c r="J2165" s="11">
        <v>40428</v>
      </c>
      <c r="K2165" s="11">
        <v>41182</v>
      </c>
      <c r="L2165" s="11">
        <v>81610</v>
      </c>
      <c r="M2165" s="11">
        <v>30774</v>
      </c>
    </row>
    <row r="2166" spans="1:13" x14ac:dyDescent="0.3">
      <c r="A2166" s="10">
        <v>6712</v>
      </c>
      <c r="B2166" s="10">
        <v>80</v>
      </c>
      <c r="C2166" s="10" t="s">
        <v>2444</v>
      </c>
      <c r="D2166" s="10">
        <v>8015</v>
      </c>
      <c r="E2166" s="10" t="s">
        <v>2459</v>
      </c>
      <c r="F2166" s="10">
        <v>0</v>
      </c>
      <c r="G2166" s="10" t="s">
        <v>343</v>
      </c>
      <c r="H2166" s="10">
        <v>0</v>
      </c>
      <c r="I2166" s="10" t="s">
        <v>343</v>
      </c>
      <c r="J2166" s="11">
        <v>10160</v>
      </c>
      <c r="K2166" s="11">
        <v>10556</v>
      </c>
      <c r="L2166" s="11">
        <v>20716</v>
      </c>
      <c r="M2166" s="11">
        <v>10275</v>
      </c>
    </row>
    <row r="2167" spans="1:13" x14ac:dyDescent="0.3">
      <c r="A2167" s="10">
        <v>6712</v>
      </c>
      <c r="B2167" s="10">
        <v>80</v>
      </c>
      <c r="C2167" s="10" t="s">
        <v>2444</v>
      </c>
      <c r="D2167" s="10">
        <v>8016</v>
      </c>
      <c r="E2167" s="10" t="s">
        <v>2460</v>
      </c>
      <c r="F2167" s="10">
        <v>0</v>
      </c>
      <c r="G2167" s="10" t="s">
        <v>343</v>
      </c>
      <c r="H2167" s="10">
        <v>0</v>
      </c>
      <c r="I2167" s="10" t="s">
        <v>343</v>
      </c>
      <c r="J2167" s="11">
        <v>21524</v>
      </c>
      <c r="K2167" s="11">
        <v>21753</v>
      </c>
      <c r="L2167" s="11">
        <v>43277</v>
      </c>
      <c r="M2167" s="11">
        <v>18583</v>
      </c>
    </row>
    <row r="2168" spans="1:13" x14ac:dyDescent="0.3">
      <c r="A2168" s="10">
        <v>6712</v>
      </c>
      <c r="B2168" s="10">
        <v>80</v>
      </c>
      <c r="C2168" s="10" t="s">
        <v>2444</v>
      </c>
      <c r="D2168" s="10">
        <v>8017</v>
      </c>
      <c r="E2168" s="10" t="s">
        <v>2461</v>
      </c>
      <c r="F2168" s="10">
        <v>0</v>
      </c>
      <c r="G2168" s="10" t="s">
        <v>343</v>
      </c>
      <c r="H2168" s="10">
        <v>0</v>
      </c>
      <c r="I2168" s="10" t="s">
        <v>343</v>
      </c>
      <c r="J2168" s="11">
        <v>23939</v>
      </c>
      <c r="K2168" s="11">
        <v>23284</v>
      </c>
      <c r="L2168" s="11">
        <v>47223</v>
      </c>
      <c r="M2168" s="11">
        <v>17409</v>
      </c>
    </row>
    <row r="2169" spans="1:13" x14ac:dyDescent="0.3">
      <c r="A2169" s="10">
        <v>6712</v>
      </c>
      <c r="B2169" s="10">
        <v>80</v>
      </c>
      <c r="C2169" s="10" t="s">
        <v>2444</v>
      </c>
      <c r="D2169" s="10">
        <v>8018</v>
      </c>
      <c r="E2169" s="10" t="s">
        <v>2462</v>
      </c>
      <c r="F2169" s="10">
        <v>0</v>
      </c>
      <c r="G2169" s="10" t="s">
        <v>343</v>
      </c>
      <c r="H2169" s="10">
        <v>0</v>
      </c>
      <c r="I2169" s="10" t="s">
        <v>343</v>
      </c>
      <c r="J2169" s="11">
        <v>9540</v>
      </c>
      <c r="K2169" s="11">
        <v>9505</v>
      </c>
      <c r="L2169" s="11">
        <v>19045</v>
      </c>
      <c r="M2169" s="11">
        <v>7663</v>
      </c>
    </row>
    <row r="2170" spans="1:13" x14ac:dyDescent="0.3">
      <c r="A2170" s="10">
        <v>6712</v>
      </c>
      <c r="B2170" s="10">
        <v>80</v>
      </c>
      <c r="C2170" s="10" t="s">
        <v>2444</v>
      </c>
      <c r="D2170" s="10">
        <v>8019</v>
      </c>
      <c r="E2170" s="10" t="s">
        <v>2463</v>
      </c>
      <c r="F2170" s="10">
        <v>0</v>
      </c>
      <c r="G2170" s="10" t="s">
        <v>343</v>
      </c>
      <c r="H2170" s="10">
        <v>0</v>
      </c>
      <c r="I2170" s="10" t="s">
        <v>343</v>
      </c>
      <c r="J2170" s="11">
        <v>15434</v>
      </c>
      <c r="K2170" s="11">
        <v>15870</v>
      </c>
      <c r="L2170" s="11">
        <v>31304</v>
      </c>
      <c r="M2170" s="11">
        <v>11289</v>
      </c>
    </row>
    <row r="2171" spans="1:13" x14ac:dyDescent="0.3">
      <c r="A2171" s="10">
        <v>6712</v>
      </c>
      <c r="B2171" s="10">
        <v>80</v>
      </c>
      <c r="C2171" s="10" t="s">
        <v>2444</v>
      </c>
      <c r="D2171" s="10">
        <v>8020</v>
      </c>
      <c r="E2171" s="10" t="s">
        <v>2464</v>
      </c>
      <c r="F2171" s="10">
        <v>0</v>
      </c>
      <c r="G2171" s="10" t="s">
        <v>343</v>
      </c>
      <c r="H2171" s="10">
        <v>0</v>
      </c>
      <c r="I2171" s="10" t="s">
        <v>343</v>
      </c>
      <c r="J2171" s="11">
        <v>21995</v>
      </c>
      <c r="K2171" s="11">
        <v>22672</v>
      </c>
      <c r="L2171" s="11">
        <v>44667</v>
      </c>
      <c r="M2171" s="11">
        <v>17455</v>
      </c>
    </row>
    <row r="2172" spans="1:13" x14ac:dyDescent="0.3">
      <c r="A2172" s="10">
        <v>6712</v>
      </c>
      <c r="B2172" s="10">
        <v>80</v>
      </c>
      <c r="C2172" s="10" t="s">
        <v>2444</v>
      </c>
      <c r="D2172" s="10">
        <v>8021</v>
      </c>
      <c r="E2172" s="10" t="s">
        <v>2465</v>
      </c>
      <c r="F2172" s="10">
        <v>0</v>
      </c>
      <c r="G2172" s="10" t="s">
        <v>343</v>
      </c>
      <c r="H2172" s="10">
        <v>0</v>
      </c>
      <c r="I2172" s="10" t="s">
        <v>343</v>
      </c>
      <c r="J2172" s="11">
        <v>17066</v>
      </c>
      <c r="K2172" s="11">
        <v>16910</v>
      </c>
      <c r="L2172" s="11">
        <v>33976</v>
      </c>
      <c r="M2172" s="11">
        <v>12795</v>
      </c>
    </row>
    <row r="2173" spans="1:13" x14ac:dyDescent="0.3">
      <c r="A2173" s="10">
        <v>6712</v>
      </c>
      <c r="B2173" s="10">
        <v>80</v>
      </c>
      <c r="C2173" s="10" t="s">
        <v>2444</v>
      </c>
      <c r="D2173" s="10">
        <v>8022</v>
      </c>
      <c r="E2173" s="10" t="s">
        <v>2466</v>
      </c>
      <c r="F2173" s="10">
        <v>0</v>
      </c>
      <c r="G2173" s="10" t="s">
        <v>343</v>
      </c>
      <c r="H2173" s="10">
        <v>0</v>
      </c>
      <c r="I2173" s="10" t="s">
        <v>343</v>
      </c>
      <c r="J2173" s="11">
        <v>13638</v>
      </c>
      <c r="K2173" s="11">
        <v>14176</v>
      </c>
      <c r="L2173" s="11">
        <v>27814</v>
      </c>
      <c r="M2173" s="11">
        <v>11314</v>
      </c>
    </row>
    <row r="2174" spans="1:13" x14ac:dyDescent="0.3">
      <c r="A2174" s="10">
        <v>6712</v>
      </c>
      <c r="B2174" s="10">
        <v>80</v>
      </c>
      <c r="C2174" s="10" t="s">
        <v>2444</v>
      </c>
      <c r="D2174" s="10">
        <v>8023</v>
      </c>
      <c r="E2174" s="10" t="s">
        <v>621</v>
      </c>
      <c r="F2174" s="10">
        <v>0</v>
      </c>
      <c r="G2174" s="10" t="s">
        <v>343</v>
      </c>
      <c r="H2174" s="10">
        <v>0</v>
      </c>
      <c r="I2174" s="10" t="s">
        <v>343</v>
      </c>
      <c r="J2174" s="11">
        <v>10880</v>
      </c>
      <c r="K2174" s="11">
        <v>11000</v>
      </c>
      <c r="L2174" s="11">
        <v>21880</v>
      </c>
      <c r="M2174" s="11">
        <v>8275</v>
      </c>
    </row>
    <row r="2175" spans="1:13" x14ac:dyDescent="0.3">
      <c r="A2175" s="10">
        <v>6712</v>
      </c>
      <c r="B2175" s="10">
        <v>80</v>
      </c>
      <c r="C2175" s="10" t="s">
        <v>2444</v>
      </c>
      <c r="D2175" s="10">
        <v>8070</v>
      </c>
      <c r="E2175" s="10" t="s">
        <v>2467</v>
      </c>
      <c r="F2175" s="10">
        <v>0</v>
      </c>
      <c r="G2175" s="10" t="s">
        <v>343</v>
      </c>
      <c r="H2175" s="10">
        <v>0</v>
      </c>
      <c r="I2175" s="10" t="s">
        <v>343</v>
      </c>
      <c r="J2175" s="11">
        <v>4027</v>
      </c>
      <c r="K2175" s="11">
        <v>3971</v>
      </c>
      <c r="L2175" s="11">
        <v>7998</v>
      </c>
      <c r="M2175" s="11">
        <v>3014</v>
      </c>
    </row>
    <row r="2176" spans="1:13" x14ac:dyDescent="0.3">
      <c r="A2176" s="10">
        <v>6712</v>
      </c>
      <c r="B2176" s="10">
        <v>80</v>
      </c>
      <c r="C2176" s="10" t="s">
        <v>2444</v>
      </c>
      <c r="D2176" s="10">
        <v>8071</v>
      </c>
      <c r="E2176" s="10" t="s">
        <v>2346</v>
      </c>
      <c r="F2176" s="10">
        <v>0</v>
      </c>
      <c r="G2176" s="10" t="s">
        <v>343</v>
      </c>
      <c r="H2176" s="10">
        <v>0</v>
      </c>
      <c r="I2176" s="10" t="s">
        <v>343</v>
      </c>
      <c r="J2176" s="11">
        <v>4042</v>
      </c>
      <c r="K2176" s="11">
        <v>4070</v>
      </c>
      <c r="L2176" s="11">
        <v>8112</v>
      </c>
      <c r="M2176" s="11">
        <v>3433</v>
      </c>
    </row>
    <row r="2177" spans="1:13" x14ac:dyDescent="0.3">
      <c r="A2177" s="10">
        <v>6712</v>
      </c>
      <c r="B2177" s="10">
        <v>80</v>
      </c>
      <c r="C2177" s="10" t="s">
        <v>2444</v>
      </c>
      <c r="D2177" s="10">
        <v>8072</v>
      </c>
      <c r="E2177" s="10" t="s">
        <v>2468</v>
      </c>
      <c r="F2177" s="10">
        <v>0</v>
      </c>
      <c r="G2177" s="10" t="s">
        <v>343</v>
      </c>
      <c r="H2177" s="10">
        <v>0</v>
      </c>
      <c r="I2177" s="10" t="s">
        <v>343</v>
      </c>
      <c r="J2177" s="11">
        <v>3399</v>
      </c>
      <c r="K2177" s="11">
        <v>3349</v>
      </c>
      <c r="L2177" s="11">
        <v>6748</v>
      </c>
      <c r="M2177" s="11">
        <v>2257</v>
      </c>
    </row>
    <row r="2178" spans="1:13" x14ac:dyDescent="0.3">
      <c r="A2178" s="10">
        <v>6712</v>
      </c>
      <c r="B2178" s="10">
        <v>80</v>
      </c>
      <c r="C2178" s="10" t="s">
        <v>2444</v>
      </c>
      <c r="D2178" s="10">
        <v>8073</v>
      </c>
      <c r="E2178" s="10" t="s">
        <v>2469</v>
      </c>
      <c r="F2178" s="10">
        <v>0</v>
      </c>
      <c r="G2178" s="10" t="s">
        <v>343</v>
      </c>
      <c r="H2178" s="10">
        <v>0</v>
      </c>
      <c r="I2178" s="10" t="s">
        <v>343</v>
      </c>
      <c r="J2178" s="11">
        <v>4527</v>
      </c>
      <c r="K2178" s="11">
        <v>4281</v>
      </c>
      <c r="L2178" s="11">
        <v>8808</v>
      </c>
      <c r="M2178" s="11">
        <v>3001</v>
      </c>
    </row>
    <row r="2179" spans="1:13" x14ac:dyDescent="0.3">
      <c r="A2179" s="10">
        <v>6712</v>
      </c>
      <c r="B2179" s="10">
        <v>80</v>
      </c>
      <c r="C2179" s="10" t="s">
        <v>2444</v>
      </c>
      <c r="D2179" s="10">
        <v>8074</v>
      </c>
      <c r="E2179" s="10" t="s">
        <v>2470</v>
      </c>
      <c r="F2179" s="10">
        <v>0</v>
      </c>
      <c r="G2179" s="10" t="s">
        <v>343</v>
      </c>
      <c r="H2179" s="10">
        <v>0</v>
      </c>
      <c r="I2179" s="10" t="s">
        <v>343</v>
      </c>
      <c r="J2179" s="11">
        <v>7270</v>
      </c>
      <c r="K2179" s="11">
        <v>7337</v>
      </c>
      <c r="L2179" s="11">
        <v>14607</v>
      </c>
      <c r="M2179" s="11">
        <v>6818</v>
      </c>
    </row>
    <row r="2180" spans="1:13" x14ac:dyDescent="0.3">
      <c r="A2180" s="10">
        <v>6712</v>
      </c>
      <c r="B2180" s="10">
        <v>80</v>
      </c>
      <c r="C2180" s="10" t="s">
        <v>2444</v>
      </c>
      <c r="D2180" s="10">
        <v>8075</v>
      </c>
      <c r="E2180" s="10" t="s">
        <v>2471</v>
      </c>
      <c r="F2180" s="10">
        <v>0</v>
      </c>
      <c r="G2180" s="10" t="s">
        <v>343</v>
      </c>
      <c r="H2180" s="10">
        <v>0</v>
      </c>
      <c r="I2180" s="10" t="s">
        <v>343</v>
      </c>
      <c r="J2180" s="11">
        <v>2853</v>
      </c>
      <c r="K2180" s="11">
        <v>2867</v>
      </c>
      <c r="L2180" s="11">
        <v>5720</v>
      </c>
      <c r="M2180" s="11">
        <v>3428</v>
      </c>
    </row>
    <row r="2181" spans="1:13" x14ac:dyDescent="0.3">
      <c r="A2181" s="10">
        <v>6712</v>
      </c>
      <c r="B2181" s="10">
        <v>80</v>
      </c>
      <c r="C2181" s="10" t="s">
        <v>2444</v>
      </c>
      <c r="D2181" s="10">
        <v>8076</v>
      </c>
      <c r="E2181" s="10" t="s">
        <v>2472</v>
      </c>
      <c r="F2181" s="10">
        <v>0</v>
      </c>
      <c r="G2181" s="10" t="s">
        <v>343</v>
      </c>
      <c r="H2181" s="10">
        <v>0</v>
      </c>
      <c r="I2181" s="10" t="s">
        <v>343</v>
      </c>
      <c r="J2181" s="11">
        <v>1883</v>
      </c>
      <c r="K2181" s="11">
        <v>2081</v>
      </c>
      <c r="L2181" s="11">
        <v>3964</v>
      </c>
      <c r="M2181" s="11">
        <v>1928</v>
      </c>
    </row>
    <row r="2182" spans="1:13" x14ac:dyDescent="0.3">
      <c r="A2182" s="10">
        <v>6712</v>
      </c>
      <c r="B2182" s="10">
        <v>80</v>
      </c>
      <c r="C2182" s="10" t="s">
        <v>2444</v>
      </c>
      <c r="D2182" s="10">
        <v>8077</v>
      </c>
      <c r="E2182" s="10" t="s">
        <v>2473</v>
      </c>
      <c r="F2182" s="10">
        <v>0</v>
      </c>
      <c r="G2182" s="10" t="s">
        <v>343</v>
      </c>
      <c r="H2182" s="10">
        <v>0</v>
      </c>
      <c r="I2182" s="10" t="s">
        <v>343</v>
      </c>
      <c r="J2182" s="11">
        <v>2163</v>
      </c>
      <c r="K2182" s="11">
        <v>2204</v>
      </c>
      <c r="L2182" s="11">
        <v>4367</v>
      </c>
      <c r="M2182" s="11">
        <v>2540</v>
      </c>
    </row>
    <row r="2183" spans="1:13" x14ac:dyDescent="0.3">
      <c r="A2183" s="10">
        <v>6712</v>
      </c>
      <c r="B2183" s="10">
        <v>80</v>
      </c>
      <c r="C2183" s="10" t="s">
        <v>2444</v>
      </c>
      <c r="D2183" s="10">
        <v>8078</v>
      </c>
      <c r="E2183" s="10" t="s">
        <v>2474</v>
      </c>
      <c r="F2183" s="10">
        <v>0</v>
      </c>
      <c r="G2183" s="10" t="s">
        <v>343</v>
      </c>
      <c r="H2183" s="10">
        <v>0</v>
      </c>
      <c r="I2183" s="10" t="s">
        <v>343</v>
      </c>
      <c r="J2183" s="11">
        <v>3261</v>
      </c>
      <c r="K2183" s="11">
        <v>3538</v>
      </c>
      <c r="L2183" s="11">
        <v>6799</v>
      </c>
      <c r="M2183" s="11">
        <v>4205</v>
      </c>
    </row>
    <row r="2184" spans="1:13" x14ac:dyDescent="0.3">
      <c r="A2184" s="10">
        <v>6712</v>
      </c>
      <c r="B2184" s="10">
        <v>80</v>
      </c>
      <c r="C2184" s="10" t="s">
        <v>2444</v>
      </c>
      <c r="D2184" s="10">
        <v>8079</v>
      </c>
      <c r="E2184" s="10" t="s">
        <v>2475</v>
      </c>
      <c r="F2184" s="10">
        <v>0</v>
      </c>
      <c r="G2184" s="10" t="s">
        <v>343</v>
      </c>
      <c r="H2184" s="10">
        <v>0</v>
      </c>
      <c r="I2184" s="10" t="s">
        <v>343</v>
      </c>
      <c r="J2184" s="11">
        <v>4252</v>
      </c>
      <c r="K2184" s="11">
        <v>4215</v>
      </c>
      <c r="L2184" s="11">
        <v>8467</v>
      </c>
      <c r="M2184" s="11">
        <v>2924</v>
      </c>
    </row>
    <row r="2185" spans="1:13" x14ac:dyDescent="0.3">
      <c r="A2185" s="10">
        <v>6712</v>
      </c>
      <c r="B2185" s="10">
        <v>80</v>
      </c>
      <c r="C2185" s="10" t="s">
        <v>2444</v>
      </c>
      <c r="D2185" s="10">
        <v>8080</v>
      </c>
      <c r="E2185" s="10" t="s">
        <v>2476</v>
      </c>
      <c r="F2185" s="10">
        <v>0</v>
      </c>
      <c r="G2185" s="10" t="s">
        <v>343</v>
      </c>
      <c r="H2185" s="10">
        <v>0</v>
      </c>
      <c r="I2185" s="10" t="s">
        <v>343</v>
      </c>
      <c r="J2185" s="11">
        <v>3599</v>
      </c>
      <c r="K2185" s="11">
        <v>3938</v>
      </c>
      <c r="L2185" s="11">
        <v>7537</v>
      </c>
      <c r="M2185" s="11">
        <v>3468</v>
      </c>
    </row>
    <row r="2186" spans="1:13" x14ac:dyDescent="0.3">
      <c r="A2186" s="10">
        <v>6712</v>
      </c>
      <c r="B2186" s="10">
        <v>80</v>
      </c>
      <c r="C2186" s="10" t="s">
        <v>2444</v>
      </c>
      <c r="D2186" s="10">
        <v>8081</v>
      </c>
      <c r="E2186" s="10" t="s">
        <v>2477</v>
      </c>
      <c r="F2186" s="10">
        <v>0</v>
      </c>
      <c r="G2186" s="10" t="s">
        <v>343</v>
      </c>
      <c r="H2186" s="10">
        <v>0</v>
      </c>
      <c r="I2186" s="10" t="s">
        <v>343</v>
      </c>
      <c r="J2186" s="11">
        <v>2085</v>
      </c>
      <c r="K2186" s="11">
        <v>2218</v>
      </c>
      <c r="L2186" s="11">
        <v>4303</v>
      </c>
      <c r="M2186" s="11">
        <v>1399</v>
      </c>
    </row>
    <row r="2187" spans="1:13" x14ac:dyDescent="0.3">
      <c r="A2187" s="10">
        <v>6712</v>
      </c>
      <c r="B2187" s="10">
        <v>80</v>
      </c>
      <c r="C2187" s="10" t="s">
        <v>2444</v>
      </c>
      <c r="D2187" s="10">
        <v>8082</v>
      </c>
      <c r="E2187" s="10" t="s">
        <v>2412</v>
      </c>
      <c r="F2187" s="10">
        <v>0</v>
      </c>
      <c r="G2187" s="10" t="s">
        <v>343</v>
      </c>
      <c r="H2187" s="10">
        <v>0</v>
      </c>
      <c r="I2187" s="10" t="s">
        <v>343</v>
      </c>
      <c r="J2187" s="11">
        <v>2418</v>
      </c>
      <c r="K2187" s="11">
        <v>2600</v>
      </c>
      <c r="L2187" s="11">
        <v>5018</v>
      </c>
      <c r="M2187" s="11">
        <v>3140</v>
      </c>
    </row>
    <row r="2188" spans="1:13" x14ac:dyDescent="0.3">
      <c r="A2188" s="10">
        <v>6712</v>
      </c>
      <c r="B2188" s="10">
        <v>80</v>
      </c>
      <c r="C2188" s="10" t="s">
        <v>2444</v>
      </c>
      <c r="D2188" s="10">
        <v>8083</v>
      </c>
      <c r="E2188" s="10" t="s">
        <v>2478</v>
      </c>
      <c r="F2188" s="10">
        <v>0</v>
      </c>
      <c r="G2188" s="10" t="s">
        <v>343</v>
      </c>
      <c r="H2188" s="10">
        <v>0</v>
      </c>
      <c r="I2188" s="10" t="s">
        <v>343</v>
      </c>
      <c r="J2188" s="11">
        <v>1023</v>
      </c>
      <c r="K2188" s="11">
        <v>1086</v>
      </c>
      <c r="L2188" s="11">
        <v>2109</v>
      </c>
      <c r="M2188" s="11">
        <v>1167</v>
      </c>
    </row>
    <row r="2189" spans="1:13" x14ac:dyDescent="0.3">
      <c r="A2189" s="10">
        <v>6712</v>
      </c>
      <c r="B2189" s="10">
        <v>80</v>
      </c>
      <c r="C2189" s="10" t="s">
        <v>2444</v>
      </c>
      <c r="D2189" s="10">
        <v>8084</v>
      </c>
      <c r="E2189" s="10" t="s">
        <v>553</v>
      </c>
      <c r="F2189" s="10">
        <v>0</v>
      </c>
      <c r="G2189" s="10" t="s">
        <v>343</v>
      </c>
      <c r="H2189" s="10">
        <v>0</v>
      </c>
      <c r="I2189" s="10" t="s">
        <v>343</v>
      </c>
      <c r="J2189" s="11">
        <v>1305</v>
      </c>
      <c r="K2189" s="11">
        <v>1466</v>
      </c>
      <c r="L2189" s="11">
        <v>2771</v>
      </c>
      <c r="M2189" s="11">
        <v>1838</v>
      </c>
    </row>
    <row r="2190" spans="1:13" x14ac:dyDescent="0.3">
      <c r="A2190" s="10">
        <v>6712</v>
      </c>
      <c r="B2190" s="10">
        <v>80</v>
      </c>
      <c r="C2190" s="10" t="s">
        <v>2444</v>
      </c>
      <c r="D2190" s="10">
        <v>8085</v>
      </c>
      <c r="E2190" s="10" t="s">
        <v>2479</v>
      </c>
      <c r="F2190" s="10">
        <v>0</v>
      </c>
      <c r="G2190" s="10" t="s">
        <v>343</v>
      </c>
      <c r="H2190" s="10">
        <v>0</v>
      </c>
      <c r="I2190" s="10" t="s">
        <v>343</v>
      </c>
      <c r="J2190" s="11">
        <v>1557</v>
      </c>
      <c r="K2190" s="11">
        <v>1829</v>
      </c>
      <c r="L2190" s="11">
        <v>3386</v>
      </c>
      <c r="M2190" s="11">
        <v>1687</v>
      </c>
    </row>
    <row r="2191" spans="1:13" x14ac:dyDescent="0.3">
      <c r="A2191" s="10">
        <v>6712</v>
      </c>
      <c r="B2191" s="10">
        <v>80</v>
      </c>
      <c r="C2191" s="10" t="s">
        <v>2444</v>
      </c>
      <c r="D2191" s="10">
        <v>8086</v>
      </c>
      <c r="E2191" s="10" t="s">
        <v>2480</v>
      </c>
      <c r="F2191" s="10">
        <v>0</v>
      </c>
      <c r="G2191" s="10" t="s">
        <v>343</v>
      </c>
      <c r="H2191" s="10">
        <v>0</v>
      </c>
      <c r="I2191" s="10" t="s">
        <v>343</v>
      </c>
      <c r="J2191" s="10">
        <v>782</v>
      </c>
      <c r="K2191" s="10">
        <v>831</v>
      </c>
      <c r="L2191" s="11">
        <v>1613</v>
      </c>
      <c r="M2191" s="10">
        <v>802</v>
      </c>
    </row>
    <row r="2192" spans="1:13" x14ac:dyDescent="0.3">
      <c r="A2192" s="10">
        <v>6712</v>
      </c>
      <c r="B2192" s="10">
        <v>80</v>
      </c>
      <c r="C2192" s="10" t="s">
        <v>2444</v>
      </c>
      <c r="D2192" s="10">
        <v>8087</v>
      </c>
      <c r="E2192" s="10" t="s">
        <v>2481</v>
      </c>
      <c r="F2192" s="10">
        <v>0</v>
      </c>
      <c r="G2192" s="10" t="s">
        <v>343</v>
      </c>
      <c r="H2192" s="10">
        <v>0</v>
      </c>
      <c r="I2192" s="10" t="s">
        <v>343</v>
      </c>
      <c r="J2192" s="11">
        <v>1300</v>
      </c>
      <c r="K2192" s="11">
        <v>1396</v>
      </c>
      <c r="L2192" s="11">
        <v>2696</v>
      </c>
      <c r="M2192" s="11">
        <v>1158</v>
      </c>
    </row>
    <row r="2193" spans="1:13" x14ac:dyDescent="0.3">
      <c r="A2193" s="10">
        <v>6712</v>
      </c>
      <c r="B2193" s="10">
        <v>80</v>
      </c>
      <c r="C2193" s="10" t="s">
        <v>2444</v>
      </c>
      <c r="D2193" s="10">
        <v>8088</v>
      </c>
      <c r="E2193" s="10" t="s">
        <v>2482</v>
      </c>
      <c r="F2193" s="10">
        <v>0</v>
      </c>
      <c r="G2193" s="10" t="s">
        <v>343</v>
      </c>
      <c r="H2193" s="10">
        <v>0</v>
      </c>
      <c r="I2193" s="10" t="s">
        <v>343</v>
      </c>
      <c r="J2193" s="11">
        <v>1126</v>
      </c>
      <c r="K2193" s="11">
        <v>1171</v>
      </c>
      <c r="L2193" s="11">
        <v>2297</v>
      </c>
      <c r="M2193" s="11">
        <v>1273</v>
      </c>
    </row>
    <row r="2194" spans="1:13" x14ac:dyDescent="0.3">
      <c r="A2194" s="10">
        <v>6712</v>
      </c>
      <c r="B2194" s="10">
        <v>80</v>
      </c>
      <c r="C2194" s="10" t="s">
        <v>2444</v>
      </c>
      <c r="D2194" s="10">
        <v>8089</v>
      </c>
      <c r="E2194" s="10" t="s">
        <v>2483</v>
      </c>
      <c r="F2194" s="10">
        <v>0</v>
      </c>
      <c r="G2194" s="10" t="s">
        <v>343</v>
      </c>
      <c r="H2194" s="10">
        <v>0</v>
      </c>
      <c r="I2194" s="10" t="s">
        <v>343</v>
      </c>
      <c r="J2194" s="11">
        <v>1183</v>
      </c>
      <c r="K2194" s="11">
        <v>1216</v>
      </c>
      <c r="L2194" s="11">
        <v>2399</v>
      </c>
      <c r="M2194" s="11">
        <v>1313</v>
      </c>
    </row>
    <row r="2195" spans="1:13" x14ac:dyDescent="0.3">
      <c r="A2195" s="10">
        <v>6712</v>
      </c>
      <c r="B2195" s="10">
        <v>80</v>
      </c>
      <c r="C2195" s="10" t="s">
        <v>2444</v>
      </c>
      <c r="D2195" s="10">
        <v>8090</v>
      </c>
      <c r="E2195" s="10" t="s">
        <v>2484</v>
      </c>
      <c r="F2195" s="10">
        <v>0</v>
      </c>
      <c r="G2195" s="10" t="s">
        <v>343</v>
      </c>
      <c r="H2195" s="10">
        <v>0</v>
      </c>
      <c r="I2195" s="10" t="s">
        <v>343</v>
      </c>
      <c r="J2195" s="11">
        <v>3442</v>
      </c>
      <c r="K2195" s="11">
        <v>3832</v>
      </c>
      <c r="L2195" s="11">
        <v>7274</v>
      </c>
      <c r="M2195" s="11">
        <v>4043</v>
      </c>
    </row>
    <row r="2196" spans="1:13" x14ac:dyDescent="0.3">
      <c r="A2196" s="10">
        <v>6712</v>
      </c>
      <c r="B2196" s="10">
        <v>80</v>
      </c>
      <c r="C2196" s="10" t="s">
        <v>2444</v>
      </c>
      <c r="D2196" s="10">
        <v>8091</v>
      </c>
      <c r="E2196" s="10" t="s">
        <v>2485</v>
      </c>
      <c r="F2196" s="10">
        <v>0</v>
      </c>
      <c r="G2196" s="10" t="s">
        <v>343</v>
      </c>
      <c r="H2196" s="10">
        <v>0</v>
      </c>
      <c r="I2196" s="10" t="s">
        <v>343</v>
      </c>
      <c r="J2196" s="10">
        <v>866</v>
      </c>
      <c r="K2196" s="10">
        <v>956</v>
      </c>
      <c r="L2196" s="11">
        <v>1822</v>
      </c>
      <c r="M2196" s="11">
        <v>1051</v>
      </c>
    </row>
    <row r="2197" spans="1:13" x14ac:dyDescent="0.3">
      <c r="A2197" s="10">
        <v>6712</v>
      </c>
      <c r="B2197" s="10">
        <v>80</v>
      </c>
      <c r="C2197" s="10" t="s">
        <v>2444</v>
      </c>
      <c r="D2197" s="10">
        <v>8092</v>
      </c>
      <c r="E2197" s="10" t="s">
        <v>2486</v>
      </c>
      <c r="F2197" s="10">
        <v>0</v>
      </c>
      <c r="G2197" s="10" t="s">
        <v>343</v>
      </c>
      <c r="H2197" s="10">
        <v>0</v>
      </c>
      <c r="I2197" s="10" t="s">
        <v>343</v>
      </c>
      <c r="J2197" s="11">
        <v>3264</v>
      </c>
      <c r="K2197" s="11">
        <v>3404</v>
      </c>
      <c r="L2197" s="11">
        <v>6668</v>
      </c>
      <c r="M2197" s="11">
        <v>2856</v>
      </c>
    </row>
    <row r="2198" spans="1:13" x14ac:dyDescent="0.3">
      <c r="A2198" s="10">
        <v>6712</v>
      </c>
      <c r="B2198" s="10">
        <v>80</v>
      </c>
      <c r="C2198" s="10" t="s">
        <v>2444</v>
      </c>
      <c r="D2198" s="10">
        <v>8093</v>
      </c>
      <c r="E2198" s="10" t="s">
        <v>2487</v>
      </c>
      <c r="F2198" s="10">
        <v>0</v>
      </c>
      <c r="G2198" s="10" t="s">
        <v>343</v>
      </c>
      <c r="H2198" s="10">
        <v>0</v>
      </c>
      <c r="I2198" s="10" t="s">
        <v>343</v>
      </c>
      <c r="J2198" s="11">
        <v>1699</v>
      </c>
      <c r="K2198" s="11">
        <v>1729</v>
      </c>
      <c r="L2198" s="11">
        <v>3428</v>
      </c>
      <c r="M2198" s="11">
        <v>1172</v>
      </c>
    </row>
    <row r="2199" spans="1:13" x14ac:dyDescent="0.3">
      <c r="A2199" s="10">
        <v>6712</v>
      </c>
      <c r="B2199" s="10">
        <v>80</v>
      </c>
      <c r="C2199" s="10" t="s">
        <v>2444</v>
      </c>
      <c r="D2199" s="10">
        <v>8094</v>
      </c>
      <c r="E2199" s="10" t="s">
        <v>2488</v>
      </c>
      <c r="F2199" s="10">
        <v>0</v>
      </c>
      <c r="G2199" s="10" t="s">
        <v>343</v>
      </c>
      <c r="H2199" s="10">
        <v>0</v>
      </c>
      <c r="I2199" s="10" t="s">
        <v>343</v>
      </c>
      <c r="J2199" s="11">
        <v>3112</v>
      </c>
      <c r="K2199" s="11">
        <v>3030</v>
      </c>
      <c r="L2199" s="11">
        <v>6142</v>
      </c>
      <c r="M2199" s="11">
        <v>2112</v>
      </c>
    </row>
    <row r="2200" spans="1:13" x14ac:dyDescent="0.3">
      <c r="A2200" s="10">
        <v>6712</v>
      </c>
      <c r="B2200" s="10">
        <v>80</v>
      </c>
      <c r="C2200" s="10" t="s">
        <v>2444</v>
      </c>
      <c r="D2200" s="10">
        <v>8095</v>
      </c>
      <c r="E2200" s="10" t="s">
        <v>2489</v>
      </c>
      <c r="F2200" s="10">
        <v>0</v>
      </c>
      <c r="G2200" s="10" t="s">
        <v>343</v>
      </c>
      <c r="H2200" s="10">
        <v>0</v>
      </c>
      <c r="I2200" s="10" t="s">
        <v>343</v>
      </c>
      <c r="J2200" s="10">
        <v>886</v>
      </c>
      <c r="K2200" s="10">
        <v>936</v>
      </c>
      <c r="L2200" s="11">
        <v>1822</v>
      </c>
      <c r="M2200" s="10">
        <v>702</v>
      </c>
    </row>
    <row r="2201" spans="1:13" x14ac:dyDescent="0.3">
      <c r="A2201" s="10">
        <v>6712</v>
      </c>
      <c r="B2201" s="10">
        <v>80</v>
      </c>
      <c r="C2201" s="10" t="s">
        <v>2444</v>
      </c>
      <c r="D2201" s="10">
        <v>8096</v>
      </c>
      <c r="E2201" s="10" t="s">
        <v>2490</v>
      </c>
      <c r="F2201" s="10">
        <v>0</v>
      </c>
      <c r="G2201" s="10" t="s">
        <v>343</v>
      </c>
      <c r="H2201" s="10">
        <v>0</v>
      </c>
      <c r="I2201" s="10" t="s">
        <v>343</v>
      </c>
      <c r="J2201" s="11">
        <v>1826</v>
      </c>
      <c r="K2201" s="11">
        <v>1868</v>
      </c>
      <c r="L2201" s="11">
        <v>3694</v>
      </c>
      <c r="M2201" s="11">
        <v>1291</v>
      </c>
    </row>
    <row r="2202" spans="1:13" x14ac:dyDescent="0.3">
      <c r="A2202" s="10">
        <v>6712</v>
      </c>
      <c r="B2202" s="10">
        <v>80</v>
      </c>
      <c r="C2202" s="10" t="s">
        <v>2444</v>
      </c>
      <c r="D2202" s="10">
        <v>8097</v>
      </c>
      <c r="E2202" s="10" t="s">
        <v>2491</v>
      </c>
      <c r="F2202" s="10">
        <v>0</v>
      </c>
      <c r="G2202" s="10" t="s">
        <v>343</v>
      </c>
      <c r="H2202" s="10">
        <v>0</v>
      </c>
      <c r="I2202" s="10" t="s">
        <v>343</v>
      </c>
      <c r="J2202" s="11">
        <v>13248</v>
      </c>
      <c r="K2202" s="11">
        <v>15629</v>
      </c>
      <c r="L2202" s="11">
        <v>28877</v>
      </c>
      <c r="M2202" s="11">
        <v>11809</v>
      </c>
    </row>
    <row r="2203" spans="1:13" x14ac:dyDescent="0.3">
      <c r="A2203" s="10">
        <v>6712</v>
      </c>
      <c r="B2203" s="10">
        <v>80</v>
      </c>
      <c r="C2203" s="10" t="s">
        <v>2444</v>
      </c>
      <c r="D2203" s="10">
        <v>8098</v>
      </c>
      <c r="E2203" s="10" t="s">
        <v>2492</v>
      </c>
      <c r="F2203" s="10">
        <v>0</v>
      </c>
      <c r="G2203" s="10" t="s">
        <v>343</v>
      </c>
      <c r="H2203" s="10">
        <v>0</v>
      </c>
      <c r="I2203" s="10" t="s">
        <v>343</v>
      </c>
      <c r="J2203" s="11">
        <v>9111</v>
      </c>
      <c r="K2203" s="11">
        <v>9353</v>
      </c>
      <c r="L2203" s="11">
        <v>18464</v>
      </c>
      <c r="M2203" s="11">
        <v>8254</v>
      </c>
    </row>
    <row r="2204" spans="1:13" x14ac:dyDescent="0.3">
      <c r="A2204" s="10">
        <v>6712</v>
      </c>
      <c r="B2204" s="10">
        <v>80</v>
      </c>
      <c r="C2204" s="10" t="s">
        <v>2444</v>
      </c>
      <c r="D2204" s="10">
        <v>8099</v>
      </c>
      <c r="E2204" s="10" t="s">
        <v>2493</v>
      </c>
      <c r="F2204" s="10">
        <v>0</v>
      </c>
      <c r="G2204" s="10" t="s">
        <v>343</v>
      </c>
      <c r="H2204" s="10">
        <v>0</v>
      </c>
      <c r="I2204" s="10" t="s">
        <v>343</v>
      </c>
      <c r="J2204" s="11">
        <v>44894</v>
      </c>
      <c r="K2204" s="11">
        <v>50437</v>
      </c>
      <c r="L2204" s="11">
        <v>95331</v>
      </c>
      <c r="M2204" s="11">
        <v>47550</v>
      </c>
    </row>
    <row r="2205" spans="1:13" x14ac:dyDescent="0.3">
      <c r="A2205" s="10">
        <v>6712</v>
      </c>
      <c r="B2205" s="10">
        <v>81</v>
      </c>
      <c r="C2205" s="10" t="s">
        <v>2494</v>
      </c>
      <c r="D2205" s="10">
        <v>0</v>
      </c>
      <c r="E2205" s="10" t="s">
        <v>343</v>
      </c>
      <c r="F2205" s="10">
        <v>0</v>
      </c>
      <c r="G2205" s="10" t="s">
        <v>343</v>
      </c>
      <c r="H2205" s="10">
        <v>0</v>
      </c>
      <c r="I2205" s="10" t="s">
        <v>343</v>
      </c>
      <c r="J2205" s="11">
        <v>240313</v>
      </c>
      <c r="K2205" s="11">
        <v>243542</v>
      </c>
      <c r="L2205" s="11">
        <v>483855</v>
      </c>
      <c r="M2205" s="11">
        <v>208232</v>
      </c>
    </row>
    <row r="2206" spans="1:13" x14ac:dyDescent="0.3">
      <c r="A2206" s="10">
        <v>6712</v>
      </c>
      <c r="B2206" s="10">
        <v>81</v>
      </c>
      <c r="C2206" s="10" t="s">
        <v>2494</v>
      </c>
      <c r="D2206" s="10">
        <v>8101</v>
      </c>
      <c r="E2206" s="10" t="s">
        <v>2495</v>
      </c>
      <c r="F2206" s="10">
        <v>0</v>
      </c>
      <c r="G2206" s="10" t="s">
        <v>343</v>
      </c>
      <c r="H2206" s="10">
        <v>0</v>
      </c>
      <c r="I2206" s="10" t="s">
        <v>343</v>
      </c>
      <c r="J2206" s="11">
        <v>37954</v>
      </c>
      <c r="K2206" s="11">
        <v>38721</v>
      </c>
      <c r="L2206" s="11">
        <v>76675</v>
      </c>
      <c r="M2206" s="11">
        <v>42038</v>
      </c>
    </row>
    <row r="2207" spans="1:13" x14ac:dyDescent="0.3">
      <c r="A2207" s="10">
        <v>6712</v>
      </c>
      <c r="B2207" s="10">
        <v>81</v>
      </c>
      <c r="C2207" s="10" t="s">
        <v>2494</v>
      </c>
      <c r="D2207" s="10">
        <v>8102</v>
      </c>
      <c r="E2207" s="10" t="s">
        <v>2496</v>
      </c>
      <c r="F2207" s="10">
        <v>0</v>
      </c>
      <c r="G2207" s="10" t="s">
        <v>343</v>
      </c>
      <c r="H2207" s="10">
        <v>0</v>
      </c>
      <c r="I2207" s="10" t="s">
        <v>343</v>
      </c>
      <c r="J2207" s="11">
        <v>25489</v>
      </c>
      <c r="K2207" s="11">
        <v>25287</v>
      </c>
      <c r="L2207" s="11">
        <v>50776</v>
      </c>
      <c r="M2207" s="11">
        <v>19101</v>
      </c>
    </row>
    <row r="2208" spans="1:13" x14ac:dyDescent="0.3">
      <c r="A2208" s="10">
        <v>6712</v>
      </c>
      <c r="B2208" s="10">
        <v>81</v>
      </c>
      <c r="C2208" s="10" t="s">
        <v>2494</v>
      </c>
      <c r="D2208" s="10">
        <v>8103</v>
      </c>
      <c r="E2208" s="10" t="s">
        <v>2497</v>
      </c>
      <c r="F2208" s="10">
        <v>0</v>
      </c>
      <c r="G2208" s="10" t="s">
        <v>343</v>
      </c>
      <c r="H2208" s="10">
        <v>0</v>
      </c>
      <c r="I2208" s="10" t="s">
        <v>343</v>
      </c>
      <c r="J2208" s="11">
        <v>17891</v>
      </c>
      <c r="K2208" s="11">
        <v>17429</v>
      </c>
      <c r="L2208" s="11">
        <v>35320</v>
      </c>
      <c r="M2208" s="11">
        <v>15683</v>
      </c>
    </row>
    <row r="2209" spans="1:13" x14ac:dyDescent="0.3">
      <c r="A2209" s="10">
        <v>6712</v>
      </c>
      <c r="B2209" s="10">
        <v>81</v>
      </c>
      <c r="C2209" s="10" t="s">
        <v>2494</v>
      </c>
      <c r="D2209" s="10">
        <v>8104</v>
      </c>
      <c r="E2209" s="10" t="s">
        <v>2498</v>
      </c>
      <c r="F2209" s="10">
        <v>0</v>
      </c>
      <c r="G2209" s="10" t="s">
        <v>343</v>
      </c>
      <c r="H2209" s="10">
        <v>0</v>
      </c>
      <c r="I2209" s="10" t="s">
        <v>343</v>
      </c>
      <c r="J2209" s="11">
        <v>36838</v>
      </c>
      <c r="K2209" s="11">
        <v>35594</v>
      </c>
      <c r="L2209" s="11">
        <v>72432</v>
      </c>
      <c r="M2209" s="11">
        <v>26167</v>
      </c>
    </row>
    <row r="2210" spans="1:13" x14ac:dyDescent="0.3">
      <c r="A2210" s="10">
        <v>6712</v>
      </c>
      <c r="B2210" s="10">
        <v>81</v>
      </c>
      <c r="C2210" s="10" t="s">
        <v>2494</v>
      </c>
      <c r="D2210" s="10">
        <v>8105</v>
      </c>
      <c r="E2210" s="10" t="s">
        <v>2499</v>
      </c>
      <c r="F2210" s="10">
        <v>0</v>
      </c>
      <c r="G2210" s="10" t="s">
        <v>343</v>
      </c>
      <c r="H2210" s="10">
        <v>0</v>
      </c>
      <c r="I2210" s="10" t="s">
        <v>343</v>
      </c>
      <c r="J2210" s="11">
        <v>23420</v>
      </c>
      <c r="K2210" s="11">
        <v>23642</v>
      </c>
      <c r="L2210" s="11">
        <v>47062</v>
      </c>
      <c r="M2210" s="11">
        <v>17520</v>
      </c>
    </row>
    <row r="2211" spans="1:13" x14ac:dyDescent="0.3">
      <c r="A2211" s="10">
        <v>6712</v>
      </c>
      <c r="B2211" s="10">
        <v>81</v>
      </c>
      <c r="C2211" s="10" t="s">
        <v>2494</v>
      </c>
      <c r="D2211" s="10">
        <v>8106</v>
      </c>
      <c r="E2211" s="10" t="s">
        <v>2500</v>
      </c>
      <c r="F2211" s="10">
        <v>0</v>
      </c>
      <c r="G2211" s="10" t="s">
        <v>343</v>
      </c>
      <c r="H2211" s="10">
        <v>0</v>
      </c>
      <c r="I2211" s="10" t="s">
        <v>343</v>
      </c>
      <c r="J2211" s="11">
        <v>16244</v>
      </c>
      <c r="K2211" s="11">
        <v>16208</v>
      </c>
      <c r="L2211" s="11">
        <v>32452</v>
      </c>
      <c r="M2211" s="11">
        <v>11615</v>
      </c>
    </row>
    <row r="2212" spans="1:13" x14ac:dyDescent="0.3">
      <c r="A2212" s="10">
        <v>6712</v>
      </c>
      <c r="B2212" s="10">
        <v>81</v>
      </c>
      <c r="C2212" s="10" t="s">
        <v>2494</v>
      </c>
      <c r="D2212" s="10">
        <v>8107</v>
      </c>
      <c r="E2212" s="10" t="s">
        <v>2501</v>
      </c>
      <c r="F2212" s="10">
        <v>0</v>
      </c>
      <c r="G2212" s="10" t="s">
        <v>343</v>
      </c>
      <c r="H2212" s="10">
        <v>0</v>
      </c>
      <c r="I2212" s="10" t="s">
        <v>343</v>
      </c>
      <c r="J2212" s="11">
        <v>10280</v>
      </c>
      <c r="K2212" s="11">
        <v>9995</v>
      </c>
      <c r="L2212" s="11">
        <v>20275</v>
      </c>
      <c r="M2212" s="11">
        <v>7616</v>
      </c>
    </row>
    <row r="2213" spans="1:13" x14ac:dyDescent="0.3">
      <c r="A2213" s="10">
        <v>6712</v>
      </c>
      <c r="B2213" s="10">
        <v>81</v>
      </c>
      <c r="C2213" s="10" t="s">
        <v>2494</v>
      </c>
      <c r="D2213" s="10">
        <v>8108</v>
      </c>
      <c r="E2213" s="10" t="s">
        <v>2502</v>
      </c>
      <c r="F2213" s="10">
        <v>0</v>
      </c>
      <c r="G2213" s="10" t="s">
        <v>343</v>
      </c>
      <c r="H2213" s="10">
        <v>0</v>
      </c>
      <c r="I2213" s="10" t="s">
        <v>343</v>
      </c>
      <c r="J2213" s="11">
        <v>30340</v>
      </c>
      <c r="K2213" s="11">
        <v>31034</v>
      </c>
      <c r="L2213" s="11">
        <v>61374</v>
      </c>
      <c r="M2213" s="11">
        <v>21765</v>
      </c>
    </row>
    <row r="2214" spans="1:13" x14ac:dyDescent="0.3">
      <c r="A2214" s="10">
        <v>6712</v>
      </c>
      <c r="B2214" s="10">
        <v>81</v>
      </c>
      <c r="C2214" s="10" t="s">
        <v>2494</v>
      </c>
      <c r="D2214" s="10">
        <v>8189</v>
      </c>
      <c r="E2214" s="10" t="s">
        <v>2503</v>
      </c>
      <c r="F2214" s="10">
        <v>0</v>
      </c>
      <c r="G2214" s="10" t="s">
        <v>343</v>
      </c>
      <c r="H2214" s="10">
        <v>0</v>
      </c>
      <c r="I2214" s="10" t="s">
        <v>343</v>
      </c>
      <c r="J2214" s="11">
        <v>9703</v>
      </c>
      <c r="K2214" s="11">
        <v>10085</v>
      </c>
      <c r="L2214" s="11">
        <v>19788</v>
      </c>
      <c r="M2214" s="11">
        <v>9878</v>
      </c>
    </row>
    <row r="2215" spans="1:13" x14ac:dyDescent="0.3">
      <c r="A2215" s="10">
        <v>6712</v>
      </c>
      <c r="B2215" s="10">
        <v>81</v>
      </c>
      <c r="C2215" s="10" t="s">
        <v>2494</v>
      </c>
      <c r="D2215" s="10">
        <v>8190</v>
      </c>
      <c r="E2215" s="10" t="s">
        <v>2504</v>
      </c>
      <c r="F2215" s="10">
        <v>0</v>
      </c>
      <c r="G2215" s="10" t="s">
        <v>343</v>
      </c>
      <c r="H2215" s="10">
        <v>0</v>
      </c>
      <c r="I2215" s="10" t="s">
        <v>343</v>
      </c>
      <c r="J2215" s="11">
        <v>2089</v>
      </c>
      <c r="K2215" s="11">
        <v>2267</v>
      </c>
      <c r="L2215" s="11">
        <v>4356</v>
      </c>
      <c r="M2215" s="11">
        <v>2505</v>
      </c>
    </row>
    <row r="2216" spans="1:13" x14ac:dyDescent="0.3">
      <c r="A2216" s="10">
        <v>6712</v>
      </c>
      <c r="B2216" s="10">
        <v>81</v>
      </c>
      <c r="C2216" s="10" t="s">
        <v>2494</v>
      </c>
      <c r="D2216" s="10">
        <v>8191</v>
      </c>
      <c r="E2216" s="10" t="s">
        <v>2505</v>
      </c>
      <c r="F2216" s="10">
        <v>0</v>
      </c>
      <c r="G2216" s="10" t="s">
        <v>343</v>
      </c>
      <c r="H2216" s="10">
        <v>0</v>
      </c>
      <c r="I2216" s="10" t="s">
        <v>343</v>
      </c>
      <c r="J2216" s="11">
        <v>2096</v>
      </c>
      <c r="K2216" s="11">
        <v>2270</v>
      </c>
      <c r="L2216" s="11">
        <v>4366</v>
      </c>
      <c r="M2216" s="11">
        <v>2482</v>
      </c>
    </row>
    <row r="2217" spans="1:13" x14ac:dyDescent="0.3">
      <c r="A2217" s="10">
        <v>6712</v>
      </c>
      <c r="B2217" s="10">
        <v>81</v>
      </c>
      <c r="C2217" s="10" t="s">
        <v>2494</v>
      </c>
      <c r="D2217" s="10">
        <v>8192</v>
      </c>
      <c r="E2217" s="10" t="s">
        <v>2506</v>
      </c>
      <c r="F2217" s="10">
        <v>0</v>
      </c>
      <c r="G2217" s="10" t="s">
        <v>343</v>
      </c>
      <c r="H2217" s="10">
        <v>0</v>
      </c>
      <c r="I2217" s="10" t="s">
        <v>343</v>
      </c>
      <c r="J2217" s="11">
        <v>3012</v>
      </c>
      <c r="K2217" s="11">
        <v>3034</v>
      </c>
      <c r="L2217" s="11">
        <v>6046</v>
      </c>
      <c r="M2217" s="11">
        <v>2719</v>
      </c>
    </row>
    <row r="2218" spans="1:13" x14ac:dyDescent="0.3">
      <c r="A2218" s="10">
        <v>6712</v>
      </c>
      <c r="B2218" s="10">
        <v>81</v>
      </c>
      <c r="C2218" s="10" t="s">
        <v>2494</v>
      </c>
      <c r="D2218" s="10">
        <v>8193</v>
      </c>
      <c r="E2218" s="10" t="s">
        <v>2507</v>
      </c>
      <c r="F2218" s="10">
        <v>0</v>
      </c>
      <c r="G2218" s="10" t="s">
        <v>343</v>
      </c>
      <c r="H2218" s="10">
        <v>0</v>
      </c>
      <c r="I2218" s="10" t="s">
        <v>343</v>
      </c>
      <c r="J2218" s="11">
        <v>2591</v>
      </c>
      <c r="K2218" s="11">
        <v>2811</v>
      </c>
      <c r="L2218" s="11">
        <v>5402</v>
      </c>
      <c r="M2218" s="11">
        <v>3090</v>
      </c>
    </row>
    <row r="2219" spans="1:13" x14ac:dyDescent="0.3">
      <c r="A2219" s="10">
        <v>6712</v>
      </c>
      <c r="B2219" s="10">
        <v>81</v>
      </c>
      <c r="C2219" s="10" t="s">
        <v>2494</v>
      </c>
      <c r="D2219" s="10">
        <v>8194</v>
      </c>
      <c r="E2219" s="10" t="s">
        <v>2508</v>
      </c>
      <c r="F2219" s="10">
        <v>0</v>
      </c>
      <c r="G2219" s="10" t="s">
        <v>343</v>
      </c>
      <c r="H2219" s="10">
        <v>0</v>
      </c>
      <c r="I2219" s="10" t="s">
        <v>343</v>
      </c>
      <c r="J2219" s="11">
        <v>2057</v>
      </c>
      <c r="K2219" s="11">
        <v>2044</v>
      </c>
      <c r="L2219" s="11">
        <v>4101</v>
      </c>
      <c r="M2219" s="11">
        <v>1306</v>
      </c>
    </row>
    <row r="2220" spans="1:13" x14ac:dyDescent="0.3">
      <c r="A2220" s="10">
        <v>6712</v>
      </c>
      <c r="B2220" s="10">
        <v>81</v>
      </c>
      <c r="C2220" s="10" t="s">
        <v>2494</v>
      </c>
      <c r="D2220" s="10">
        <v>8195</v>
      </c>
      <c r="E2220" s="10" t="s">
        <v>2509</v>
      </c>
      <c r="F2220" s="10">
        <v>0</v>
      </c>
      <c r="G2220" s="10" t="s">
        <v>343</v>
      </c>
      <c r="H2220" s="10">
        <v>0</v>
      </c>
      <c r="I2220" s="10" t="s">
        <v>343</v>
      </c>
      <c r="J2220" s="11">
        <v>1421</v>
      </c>
      <c r="K2220" s="11">
        <v>1475</v>
      </c>
      <c r="L2220" s="11">
        <v>2896</v>
      </c>
      <c r="M2220" s="11">
        <v>1371</v>
      </c>
    </row>
    <row r="2221" spans="1:13" x14ac:dyDescent="0.3">
      <c r="A2221" s="10">
        <v>6712</v>
      </c>
      <c r="B2221" s="10">
        <v>81</v>
      </c>
      <c r="C2221" s="10" t="s">
        <v>2494</v>
      </c>
      <c r="D2221" s="10">
        <v>8196</v>
      </c>
      <c r="E2221" s="10" t="s">
        <v>2510</v>
      </c>
      <c r="F2221" s="10">
        <v>0</v>
      </c>
      <c r="G2221" s="10" t="s">
        <v>343</v>
      </c>
      <c r="H2221" s="10">
        <v>0</v>
      </c>
      <c r="I2221" s="10" t="s">
        <v>343</v>
      </c>
      <c r="J2221" s="11">
        <v>1491</v>
      </c>
      <c r="K2221" s="11">
        <v>1683</v>
      </c>
      <c r="L2221" s="11">
        <v>3174</v>
      </c>
      <c r="M2221" s="11">
        <v>1836</v>
      </c>
    </row>
    <row r="2222" spans="1:13" x14ac:dyDescent="0.3">
      <c r="A2222" s="10">
        <v>6712</v>
      </c>
      <c r="B2222" s="10">
        <v>81</v>
      </c>
      <c r="C2222" s="10" t="s">
        <v>2494</v>
      </c>
      <c r="D2222" s="10">
        <v>8197</v>
      </c>
      <c r="E2222" s="10" t="s">
        <v>2511</v>
      </c>
      <c r="F2222" s="10">
        <v>0</v>
      </c>
      <c r="G2222" s="10" t="s">
        <v>343</v>
      </c>
      <c r="H2222" s="10">
        <v>0</v>
      </c>
      <c r="I2222" s="10" t="s">
        <v>343</v>
      </c>
      <c r="J2222" s="10">
        <v>563</v>
      </c>
      <c r="K2222" s="10">
        <v>589</v>
      </c>
      <c r="L2222" s="11">
        <v>1152</v>
      </c>
      <c r="M2222" s="10">
        <v>513</v>
      </c>
    </row>
    <row r="2223" spans="1:13" x14ac:dyDescent="0.3">
      <c r="A2223" s="10">
        <v>6712</v>
      </c>
      <c r="B2223" s="10">
        <v>81</v>
      </c>
      <c r="C2223" s="10" t="s">
        <v>2494</v>
      </c>
      <c r="D2223" s="10">
        <v>8198</v>
      </c>
      <c r="E2223" s="10" t="s">
        <v>2512</v>
      </c>
      <c r="F2223" s="10">
        <v>0</v>
      </c>
      <c r="G2223" s="10" t="s">
        <v>343</v>
      </c>
      <c r="H2223" s="10">
        <v>0</v>
      </c>
      <c r="I2223" s="10" t="s">
        <v>343</v>
      </c>
      <c r="J2223" s="11">
        <v>2613</v>
      </c>
      <c r="K2223" s="11">
        <v>2773</v>
      </c>
      <c r="L2223" s="11">
        <v>5386</v>
      </c>
      <c r="M2223" s="11">
        <v>2577</v>
      </c>
    </row>
    <row r="2224" spans="1:13" x14ac:dyDescent="0.3">
      <c r="A2224" s="10">
        <v>6712</v>
      </c>
      <c r="B2224" s="10">
        <v>81</v>
      </c>
      <c r="C2224" s="10" t="s">
        <v>2494</v>
      </c>
      <c r="D2224" s="10">
        <v>8199</v>
      </c>
      <c r="E2224" s="10" t="s">
        <v>2513</v>
      </c>
      <c r="F2224" s="10">
        <v>0</v>
      </c>
      <c r="G2224" s="10" t="s">
        <v>343</v>
      </c>
      <c r="H2224" s="10">
        <v>0</v>
      </c>
      <c r="I2224" s="10" t="s">
        <v>343</v>
      </c>
      <c r="J2224" s="11">
        <v>14221</v>
      </c>
      <c r="K2224" s="11">
        <v>16601</v>
      </c>
      <c r="L2224" s="11">
        <v>30822</v>
      </c>
      <c r="M2224" s="11">
        <v>18450</v>
      </c>
    </row>
    <row r="2225" spans="1:13" x14ac:dyDescent="0.3">
      <c r="A2225" s="10">
        <v>6712</v>
      </c>
      <c r="B2225" s="10">
        <v>82</v>
      </c>
      <c r="C2225" s="10" t="s">
        <v>2514</v>
      </c>
      <c r="D2225" s="10">
        <v>0</v>
      </c>
      <c r="E2225" s="10" t="s">
        <v>343</v>
      </c>
      <c r="F2225" s="10">
        <v>0</v>
      </c>
      <c r="G2225" s="10" t="s">
        <v>343</v>
      </c>
      <c r="H2225" s="10">
        <v>0</v>
      </c>
      <c r="I2225" s="10" t="s">
        <v>343</v>
      </c>
      <c r="J2225" s="11">
        <v>132910</v>
      </c>
      <c r="K2225" s="11">
        <v>133386</v>
      </c>
      <c r="L2225" s="11">
        <v>266296</v>
      </c>
      <c r="M2225" s="11">
        <v>125443</v>
      </c>
    </row>
    <row r="2226" spans="1:13" x14ac:dyDescent="0.3">
      <c r="A2226" s="10">
        <v>6712</v>
      </c>
      <c r="B2226" s="10">
        <v>82</v>
      </c>
      <c r="C2226" s="10" t="s">
        <v>2514</v>
      </c>
      <c r="D2226" s="10">
        <v>8201</v>
      </c>
      <c r="E2226" s="10" t="s">
        <v>2515</v>
      </c>
      <c r="F2226" s="10">
        <v>0</v>
      </c>
      <c r="G2226" s="10" t="s">
        <v>343</v>
      </c>
      <c r="H2226" s="10">
        <v>0</v>
      </c>
      <c r="I2226" s="10" t="s">
        <v>343</v>
      </c>
      <c r="J2226" s="11">
        <v>15197</v>
      </c>
      <c r="K2226" s="11">
        <v>15685</v>
      </c>
      <c r="L2226" s="11">
        <v>30882</v>
      </c>
      <c r="M2226" s="11">
        <v>12960</v>
      </c>
    </row>
    <row r="2227" spans="1:13" x14ac:dyDescent="0.3">
      <c r="A2227" s="10">
        <v>6712</v>
      </c>
      <c r="B2227" s="10">
        <v>82</v>
      </c>
      <c r="C2227" s="10" t="s">
        <v>2514</v>
      </c>
      <c r="D2227" s="10">
        <v>8202</v>
      </c>
      <c r="E2227" s="10" t="s">
        <v>2516</v>
      </c>
      <c r="F2227" s="10">
        <v>0</v>
      </c>
      <c r="G2227" s="10" t="s">
        <v>343</v>
      </c>
      <c r="H2227" s="10">
        <v>0</v>
      </c>
      <c r="I2227" s="10" t="s">
        <v>343</v>
      </c>
      <c r="J2227" s="11">
        <v>7423</v>
      </c>
      <c r="K2227" s="11">
        <v>7281</v>
      </c>
      <c r="L2227" s="11">
        <v>14704</v>
      </c>
      <c r="M2227" s="11">
        <v>6231</v>
      </c>
    </row>
    <row r="2228" spans="1:13" x14ac:dyDescent="0.3">
      <c r="A2228" s="10">
        <v>6712</v>
      </c>
      <c r="B2228" s="10">
        <v>82</v>
      </c>
      <c r="C2228" s="10" t="s">
        <v>2514</v>
      </c>
      <c r="D2228" s="10">
        <v>8203</v>
      </c>
      <c r="E2228" s="10" t="s">
        <v>2517</v>
      </c>
      <c r="F2228" s="10">
        <v>0</v>
      </c>
      <c r="G2228" s="10" t="s">
        <v>343</v>
      </c>
      <c r="H2228" s="10">
        <v>0</v>
      </c>
      <c r="I2228" s="10" t="s">
        <v>343</v>
      </c>
      <c r="J2228" s="11">
        <v>6682</v>
      </c>
      <c r="K2228" s="11">
        <v>6642</v>
      </c>
      <c r="L2228" s="11">
        <v>13324</v>
      </c>
      <c r="M2228" s="11">
        <v>6241</v>
      </c>
    </row>
    <row r="2229" spans="1:13" x14ac:dyDescent="0.3">
      <c r="A2229" s="10">
        <v>6712</v>
      </c>
      <c r="B2229" s="10">
        <v>82</v>
      </c>
      <c r="C2229" s="10" t="s">
        <v>2514</v>
      </c>
      <c r="D2229" s="10">
        <v>8204</v>
      </c>
      <c r="E2229" s="10" t="s">
        <v>2518</v>
      </c>
      <c r="F2229" s="10">
        <v>0</v>
      </c>
      <c r="G2229" s="10" t="s">
        <v>343</v>
      </c>
      <c r="H2229" s="10">
        <v>0</v>
      </c>
      <c r="I2229" s="10" t="s">
        <v>343</v>
      </c>
      <c r="J2229" s="11">
        <v>19706</v>
      </c>
      <c r="K2229" s="11">
        <v>19511</v>
      </c>
      <c r="L2229" s="11">
        <v>39217</v>
      </c>
      <c r="M2229" s="11">
        <v>16946</v>
      </c>
    </row>
    <row r="2230" spans="1:13" x14ac:dyDescent="0.3">
      <c r="A2230" s="10">
        <v>6712</v>
      </c>
      <c r="B2230" s="10">
        <v>82</v>
      </c>
      <c r="C2230" s="10" t="s">
        <v>2514</v>
      </c>
      <c r="D2230" s="10">
        <v>8205</v>
      </c>
      <c r="E2230" s="10" t="s">
        <v>2519</v>
      </c>
      <c r="F2230" s="10">
        <v>0</v>
      </c>
      <c r="G2230" s="10" t="s">
        <v>343</v>
      </c>
      <c r="H2230" s="10">
        <v>0</v>
      </c>
      <c r="I2230" s="10" t="s">
        <v>343</v>
      </c>
      <c r="J2230" s="11">
        <v>20836</v>
      </c>
      <c r="K2230" s="11">
        <v>21091</v>
      </c>
      <c r="L2230" s="11">
        <v>41927</v>
      </c>
      <c r="M2230" s="11">
        <v>25190</v>
      </c>
    </row>
    <row r="2231" spans="1:13" x14ac:dyDescent="0.3">
      <c r="A2231" s="10">
        <v>6712</v>
      </c>
      <c r="B2231" s="10">
        <v>82</v>
      </c>
      <c r="C2231" s="10" t="s">
        <v>2514</v>
      </c>
      <c r="D2231" s="10">
        <v>8206</v>
      </c>
      <c r="E2231" s="10" t="s">
        <v>2520</v>
      </c>
      <c r="F2231" s="10">
        <v>0</v>
      </c>
      <c r="G2231" s="10" t="s">
        <v>343</v>
      </c>
      <c r="H2231" s="10">
        <v>0</v>
      </c>
      <c r="I2231" s="10" t="s">
        <v>343</v>
      </c>
      <c r="J2231" s="11">
        <v>12642</v>
      </c>
      <c r="K2231" s="11">
        <v>12270</v>
      </c>
      <c r="L2231" s="11">
        <v>24912</v>
      </c>
      <c r="M2231" s="11">
        <v>10816</v>
      </c>
    </row>
    <row r="2232" spans="1:13" x14ac:dyDescent="0.3">
      <c r="A2232" s="10">
        <v>6712</v>
      </c>
      <c r="B2232" s="10">
        <v>82</v>
      </c>
      <c r="C2232" s="10" t="s">
        <v>2514</v>
      </c>
      <c r="D2232" s="10">
        <v>8207</v>
      </c>
      <c r="E2232" s="10" t="s">
        <v>2521</v>
      </c>
      <c r="F2232" s="10">
        <v>0</v>
      </c>
      <c r="G2232" s="10" t="s">
        <v>343</v>
      </c>
      <c r="H2232" s="10">
        <v>0</v>
      </c>
      <c r="I2232" s="10" t="s">
        <v>343</v>
      </c>
      <c r="J2232" s="11">
        <v>12459</v>
      </c>
      <c r="K2232" s="11">
        <v>12375</v>
      </c>
      <c r="L2232" s="11">
        <v>24834</v>
      </c>
      <c r="M2232" s="11">
        <v>8557</v>
      </c>
    </row>
    <row r="2233" spans="1:13" x14ac:dyDescent="0.3">
      <c r="A2233" s="10">
        <v>6712</v>
      </c>
      <c r="B2233" s="10">
        <v>82</v>
      </c>
      <c r="C2233" s="10" t="s">
        <v>2514</v>
      </c>
      <c r="D2233" s="10">
        <v>8208</v>
      </c>
      <c r="E2233" s="10" t="s">
        <v>2522</v>
      </c>
      <c r="F2233" s="10">
        <v>0</v>
      </c>
      <c r="G2233" s="10" t="s">
        <v>343</v>
      </c>
      <c r="H2233" s="10">
        <v>0</v>
      </c>
      <c r="I2233" s="10" t="s">
        <v>343</v>
      </c>
      <c r="J2233" s="11">
        <v>22787</v>
      </c>
      <c r="K2233" s="11">
        <v>22069</v>
      </c>
      <c r="L2233" s="11">
        <v>44856</v>
      </c>
      <c r="M2233" s="11">
        <v>21765</v>
      </c>
    </row>
    <row r="2234" spans="1:13" x14ac:dyDescent="0.3">
      <c r="A2234" s="10">
        <v>6712</v>
      </c>
      <c r="B2234" s="10">
        <v>82</v>
      </c>
      <c r="C2234" s="10" t="s">
        <v>2514</v>
      </c>
      <c r="D2234" s="10">
        <v>8291</v>
      </c>
      <c r="E2234" s="10" t="s">
        <v>2523</v>
      </c>
      <c r="F2234" s="10">
        <v>0</v>
      </c>
      <c r="G2234" s="10" t="s">
        <v>343</v>
      </c>
      <c r="H2234" s="10">
        <v>0</v>
      </c>
      <c r="I2234" s="10" t="s">
        <v>343</v>
      </c>
      <c r="J2234" s="11">
        <v>1474</v>
      </c>
      <c r="K2234" s="11">
        <v>1586</v>
      </c>
      <c r="L2234" s="11">
        <v>3060</v>
      </c>
      <c r="M2234" s="11">
        <v>1786</v>
      </c>
    </row>
    <row r="2235" spans="1:13" x14ac:dyDescent="0.3">
      <c r="A2235" s="10">
        <v>6712</v>
      </c>
      <c r="B2235" s="10">
        <v>82</v>
      </c>
      <c r="C2235" s="10" t="s">
        <v>2514</v>
      </c>
      <c r="D2235" s="10">
        <v>8292</v>
      </c>
      <c r="E2235" s="10" t="s">
        <v>2524</v>
      </c>
      <c r="F2235" s="10">
        <v>0</v>
      </c>
      <c r="G2235" s="10" t="s">
        <v>343</v>
      </c>
      <c r="H2235" s="10">
        <v>0</v>
      </c>
      <c r="I2235" s="10" t="s">
        <v>343</v>
      </c>
      <c r="J2235" s="10">
        <v>480</v>
      </c>
      <c r="K2235" s="10">
        <v>493</v>
      </c>
      <c r="L2235" s="10">
        <v>973</v>
      </c>
      <c r="M2235" s="10">
        <v>623</v>
      </c>
    </row>
    <row r="2236" spans="1:13" x14ac:dyDescent="0.3">
      <c r="A2236" s="10">
        <v>6712</v>
      </c>
      <c r="B2236" s="10">
        <v>82</v>
      </c>
      <c r="C2236" s="10" t="s">
        <v>2514</v>
      </c>
      <c r="D2236" s="10">
        <v>8293</v>
      </c>
      <c r="E2236" s="10" t="s">
        <v>2525</v>
      </c>
      <c r="F2236" s="10">
        <v>0</v>
      </c>
      <c r="G2236" s="10" t="s">
        <v>343</v>
      </c>
      <c r="H2236" s="10">
        <v>0</v>
      </c>
      <c r="I2236" s="10" t="s">
        <v>343</v>
      </c>
      <c r="J2236" s="11">
        <v>1689</v>
      </c>
      <c r="K2236" s="11">
        <v>1710</v>
      </c>
      <c r="L2236" s="11">
        <v>3399</v>
      </c>
      <c r="M2236" s="11">
        <v>2230</v>
      </c>
    </row>
    <row r="2237" spans="1:13" x14ac:dyDescent="0.3">
      <c r="A2237" s="10">
        <v>6712</v>
      </c>
      <c r="B2237" s="10">
        <v>82</v>
      </c>
      <c r="C2237" s="10" t="s">
        <v>2514</v>
      </c>
      <c r="D2237" s="10">
        <v>8294</v>
      </c>
      <c r="E2237" s="10" t="s">
        <v>2526</v>
      </c>
      <c r="F2237" s="10">
        <v>0</v>
      </c>
      <c r="G2237" s="10" t="s">
        <v>343</v>
      </c>
      <c r="H2237" s="10">
        <v>0</v>
      </c>
      <c r="I2237" s="10" t="s">
        <v>343</v>
      </c>
      <c r="J2237" s="11">
        <v>1826</v>
      </c>
      <c r="K2237" s="11">
        <v>2067</v>
      </c>
      <c r="L2237" s="11">
        <v>3893</v>
      </c>
      <c r="M2237" s="11">
        <v>1772</v>
      </c>
    </row>
    <row r="2238" spans="1:13" x14ac:dyDescent="0.3">
      <c r="A2238" s="10">
        <v>6712</v>
      </c>
      <c r="B2238" s="10">
        <v>82</v>
      </c>
      <c r="C2238" s="10" t="s">
        <v>2514</v>
      </c>
      <c r="D2238" s="10">
        <v>8295</v>
      </c>
      <c r="E2238" s="10" t="s">
        <v>2527</v>
      </c>
      <c r="F2238" s="10">
        <v>0</v>
      </c>
      <c r="G2238" s="10" t="s">
        <v>343</v>
      </c>
      <c r="H2238" s="10">
        <v>0</v>
      </c>
      <c r="I2238" s="10" t="s">
        <v>343</v>
      </c>
      <c r="J2238" s="10">
        <v>852</v>
      </c>
      <c r="K2238" s="10">
        <v>958</v>
      </c>
      <c r="L2238" s="11">
        <v>1810</v>
      </c>
      <c r="M2238" s="10">
        <v>791</v>
      </c>
    </row>
    <row r="2239" spans="1:13" x14ac:dyDescent="0.3">
      <c r="A2239" s="10">
        <v>6712</v>
      </c>
      <c r="B2239" s="10">
        <v>82</v>
      </c>
      <c r="C2239" s="10" t="s">
        <v>2514</v>
      </c>
      <c r="D2239" s="10">
        <v>8296</v>
      </c>
      <c r="E2239" s="10" t="s">
        <v>2528</v>
      </c>
      <c r="F2239" s="10">
        <v>0</v>
      </c>
      <c r="G2239" s="10" t="s">
        <v>343</v>
      </c>
      <c r="H2239" s="10">
        <v>0</v>
      </c>
      <c r="I2239" s="10" t="s">
        <v>343</v>
      </c>
      <c r="J2239" s="10">
        <v>488</v>
      </c>
      <c r="K2239" s="10">
        <v>549</v>
      </c>
      <c r="L2239" s="11">
        <v>1037</v>
      </c>
      <c r="M2239" s="10">
        <v>600</v>
      </c>
    </row>
    <row r="2240" spans="1:13" x14ac:dyDescent="0.3">
      <c r="A2240" s="10">
        <v>6712</v>
      </c>
      <c r="B2240" s="10">
        <v>82</v>
      </c>
      <c r="C2240" s="10" t="s">
        <v>2514</v>
      </c>
      <c r="D2240" s="10">
        <v>8298</v>
      </c>
      <c r="E2240" s="10" t="s">
        <v>2529</v>
      </c>
      <c r="F2240" s="10">
        <v>0</v>
      </c>
      <c r="G2240" s="10" t="s">
        <v>343</v>
      </c>
      <c r="H2240" s="10">
        <v>0</v>
      </c>
      <c r="I2240" s="10" t="s">
        <v>343</v>
      </c>
      <c r="J2240" s="11">
        <v>3616</v>
      </c>
      <c r="K2240" s="11">
        <v>4010</v>
      </c>
      <c r="L2240" s="11">
        <v>7626</v>
      </c>
      <c r="M2240" s="11">
        <v>2841</v>
      </c>
    </row>
    <row r="2241" spans="1:13" x14ac:dyDescent="0.3">
      <c r="A2241" s="10">
        <v>6712</v>
      </c>
      <c r="B2241" s="10">
        <v>82</v>
      </c>
      <c r="C2241" s="10" t="s">
        <v>2514</v>
      </c>
      <c r="D2241" s="10">
        <v>8299</v>
      </c>
      <c r="E2241" s="10" t="s">
        <v>2530</v>
      </c>
      <c r="F2241" s="10">
        <v>0</v>
      </c>
      <c r="G2241" s="10" t="s">
        <v>343</v>
      </c>
      <c r="H2241" s="10">
        <v>0</v>
      </c>
      <c r="I2241" s="10" t="s">
        <v>343</v>
      </c>
      <c r="J2241" s="11">
        <v>4753</v>
      </c>
      <c r="K2241" s="11">
        <v>5089</v>
      </c>
      <c r="L2241" s="11">
        <v>9842</v>
      </c>
      <c r="M2241" s="11">
        <v>6094</v>
      </c>
    </row>
    <row r="2242" spans="1:13" x14ac:dyDescent="0.3">
      <c r="A2242" s="10">
        <v>6712</v>
      </c>
      <c r="B2242" s="10">
        <v>83</v>
      </c>
      <c r="C2242" s="10" t="s">
        <v>2531</v>
      </c>
      <c r="D2242" s="10">
        <v>0</v>
      </c>
      <c r="E2242" s="10" t="s">
        <v>343</v>
      </c>
      <c r="F2242" s="10">
        <v>0</v>
      </c>
      <c r="G2242" s="10" t="s">
        <v>343</v>
      </c>
      <c r="H2242" s="10">
        <v>0</v>
      </c>
      <c r="I2242" s="10" t="s">
        <v>343</v>
      </c>
      <c r="J2242" s="11">
        <v>201988</v>
      </c>
      <c r="K2242" s="11">
        <v>227595</v>
      </c>
      <c r="L2242" s="11">
        <v>429583</v>
      </c>
      <c r="M2242" s="11">
        <v>294383</v>
      </c>
    </row>
    <row r="2243" spans="1:13" x14ac:dyDescent="0.3">
      <c r="A2243" s="10">
        <v>6712</v>
      </c>
      <c r="B2243" s="10">
        <v>83</v>
      </c>
      <c r="C2243" s="10" t="s">
        <v>2531</v>
      </c>
      <c r="D2243" s="10">
        <v>8301</v>
      </c>
      <c r="E2243" s="10" t="s">
        <v>2532</v>
      </c>
      <c r="F2243" s="10">
        <v>0</v>
      </c>
      <c r="G2243" s="10" t="s">
        <v>343</v>
      </c>
      <c r="H2243" s="10">
        <v>0</v>
      </c>
      <c r="I2243" s="10" t="s">
        <v>343</v>
      </c>
      <c r="J2243" s="11">
        <v>22166</v>
      </c>
      <c r="K2243" s="11">
        <v>25064</v>
      </c>
      <c r="L2243" s="11">
        <v>47230</v>
      </c>
      <c r="M2243" s="11">
        <v>32419</v>
      </c>
    </row>
    <row r="2244" spans="1:13" x14ac:dyDescent="0.3">
      <c r="A2244" s="10">
        <v>6712</v>
      </c>
      <c r="B2244" s="10">
        <v>83</v>
      </c>
      <c r="C2244" s="10" t="s">
        <v>2531</v>
      </c>
      <c r="D2244" s="10">
        <v>8302</v>
      </c>
      <c r="E2244" s="10" t="s">
        <v>2533</v>
      </c>
      <c r="F2244" s="10">
        <v>0</v>
      </c>
      <c r="G2244" s="10" t="s">
        <v>343</v>
      </c>
      <c r="H2244" s="10">
        <v>0</v>
      </c>
      <c r="I2244" s="10" t="s">
        <v>343</v>
      </c>
      <c r="J2244" s="11">
        <v>3404</v>
      </c>
      <c r="K2244" s="11">
        <v>3760</v>
      </c>
      <c r="L2244" s="11">
        <v>7164</v>
      </c>
      <c r="M2244" s="11">
        <v>7745</v>
      </c>
    </row>
    <row r="2245" spans="1:13" x14ac:dyDescent="0.3">
      <c r="A2245" s="10">
        <v>6712</v>
      </c>
      <c r="B2245" s="10">
        <v>83</v>
      </c>
      <c r="C2245" s="10" t="s">
        <v>2531</v>
      </c>
      <c r="D2245" s="10">
        <v>8303</v>
      </c>
      <c r="E2245" s="10" t="s">
        <v>2534</v>
      </c>
      <c r="F2245" s="10">
        <v>0</v>
      </c>
      <c r="G2245" s="10" t="s">
        <v>343</v>
      </c>
      <c r="H2245" s="10">
        <v>0</v>
      </c>
      <c r="I2245" s="10" t="s">
        <v>343</v>
      </c>
      <c r="J2245" s="11">
        <v>48607</v>
      </c>
      <c r="K2245" s="11">
        <v>51911</v>
      </c>
      <c r="L2245" s="11">
        <v>100518</v>
      </c>
      <c r="M2245" s="11">
        <v>79963</v>
      </c>
    </row>
    <row r="2246" spans="1:13" x14ac:dyDescent="0.3">
      <c r="A2246" s="10">
        <v>6712</v>
      </c>
      <c r="B2246" s="10">
        <v>83</v>
      </c>
      <c r="C2246" s="10" t="s">
        <v>2531</v>
      </c>
      <c r="D2246" s="10">
        <v>8391</v>
      </c>
      <c r="E2246" s="10" t="s">
        <v>2535</v>
      </c>
      <c r="F2246" s="10">
        <v>0</v>
      </c>
      <c r="G2246" s="10" t="s">
        <v>343</v>
      </c>
      <c r="H2246" s="10">
        <v>0</v>
      </c>
      <c r="I2246" s="10" t="s">
        <v>343</v>
      </c>
      <c r="J2246" s="11">
        <v>25810</v>
      </c>
      <c r="K2246" s="11">
        <v>29824</v>
      </c>
      <c r="L2246" s="11">
        <v>55634</v>
      </c>
      <c r="M2246" s="11">
        <v>36111</v>
      </c>
    </row>
    <row r="2247" spans="1:13" x14ac:dyDescent="0.3">
      <c r="A2247" s="10">
        <v>6712</v>
      </c>
      <c r="B2247" s="10">
        <v>83</v>
      </c>
      <c r="C2247" s="10" t="s">
        <v>2531</v>
      </c>
      <c r="D2247" s="10">
        <v>8392</v>
      </c>
      <c r="E2247" s="10" t="s">
        <v>2536</v>
      </c>
      <c r="F2247" s="10">
        <v>0</v>
      </c>
      <c r="G2247" s="10" t="s">
        <v>343</v>
      </c>
      <c r="H2247" s="10">
        <v>0</v>
      </c>
      <c r="I2247" s="10" t="s">
        <v>343</v>
      </c>
      <c r="J2247" s="11">
        <v>9104</v>
      </c>
      <c r="K2247" s="11">
        <v>10414</v>
      </c>
      <c r="L2247" s="11">
        <v>19518</v>
      </c>
      <c r="M2247" s="11">
        <v>21246</v>
      </c>
    </row>
    <row r="2248" spans="1:13" x14ac:dyDescent="0.3">
      <c r="A2248" s="10">
        <v>6712</v>
      </c>
      <c r="B2248" s="10">
        <v>83</v>
      </c>
      <c r="C2248" s="10" t="s">
        <v>2531</v>
      </c>
      <c r="D2248" s="10">
        <v>8393</v>
      </c>
      <c r="E2248" s="10" t="s">
        <v>2537</v>
      </c>
      <c r="F2248" s="10">
        <v>0</v>
      </c>
      <c r="G2248" s="10" t="s">
        <v>343</v>
      </c>
      <c r="H2248" s="10">
        <v>0</v>
      </c>
      <c r="I2248" s="10" t="s">
        <v>343</v>
      </c>
      <c r="J2248" s="11">
        <v>24093</v>
      </c>
      <c r="K2248" s="11">
        <v>27129</v>
      </c>
      <c r="L2248" s="11">
        <v>51222</v>
      </c>
      <c r="M2248" s="11">
        <v>32097</v>
      </c>
    </row>
    <row r="2249" spans="1:13" x14ac:dyDescent="0.3">
      <c r="A2249" s="10">
        <v>6712</v>
      </c>
      <c r="B2249" s="10">
        <v>83</v>
      </c>
      <c r="C2249" s="10" t="s">
        <v>2531</v>
      </c>
      <c r="D2249" s="10">
        <v>8394</v>
      </c>
      <c r="E2249" s="10" t="s">
        <v>2538</v>
      </c>
      <c r="F2249" s="10">
        <v>0</v>
      </c>
      <c r="G2249" s="10" t="s">
        <v>343</v>
      </c>
      <c r="H2249" s="10">
        <v>0</v>
      </c>
      <c r="I2249" s="10" t="s">
        <v>343</v>
      </c>
      <c r="J2249" s="11">
        <v>4808</v>
      </c>
      <c r="K2249" s="11">
        <v>5106</v>
      </c>
      <c r="L2249" s="11">
        <v>9914</v>
      </c>
      <c r="M2249" s="11">
        <v>5270</v>
      </c>
    </row>
    <row r="2250" spans="1:13" x14ac:dyDescent="0.3">
      <c r="A2250" s="10">
        <v>6712</v>
      </c>
      <c r="B2250" s="10">
        <v>83</v>
      </c>
      <c r="C2250" s="10" t="s">
        <v>2531</v>
      </c>
      <c r="D2250" s="10">
        <v>8395</v>
      </c>
      <c r="E2250" s="10" t="s">
        <v>2539</v>
      </c>
      <c r="F2250" s="10">
        <v>0</v>
      </c>
      <c r="G2250" s="10" t="s">
        <v>343</v>
      </c>
      <c r="H2250" s="10">
        <v>0</v>
      </c>
      <c r="I2250" s="10" t="s">
        <v>343</v>
      </c>
      <c r="J2250" s="11">
        <v>3092</v>
      </c>
      <c r="K2250" s="11">
        <v>3864</v>
      </c>
      <c r="L2250" s="11">
        <v>6956</v>
      </c>
      <c r="M2250" s="11">
        <v>3815</v>
      </c>
    </row>
    <row r="2251" spans="1:13" x14ac:dyDescent="0.3">
      <c r="A2251" s="10">
        <v>6712</v>
      </c>
      <c r="B2251" s="10">
        <v>83</v>
      </c>
      <c r="C2251" s="10" t="s">
        <v>2531</v>
      </c>
      <c r="D2251" s="10">
        <v>8396</v>
      </c>
      <c r="E2251" s="10" t="s">
        <v>2540</v>
      </c>
      <c r="F2251" s="10">
        <v>0</v>
      </c>
      <c r="G2251" s="10" t="s">
        <v>343</v>
      </c>
      <c r="H2251" s="10">
        <v>0</v>
      </c>
      <c r="I2251" s="10" t="s">
        <v>343</v>
      </c>
      <c r="J2251" s="11">
        <v>15048</v>
      </c>
      <c r="K2251" s="11">
        <v>17711</v>
      </c>
      <c r="L2251" s="11">
        <v>32759</v>
      </c>
      <c r="M2251" s="11">
        <v>22837</v>
      </c>
    </row>
    <row r="2252" spans="1:13" x14ac:dyDescent="0.3">
      <c r="A2252" s="10">
        <v>6712</v>
      </c>
      <c r="B2252" s="10">
        <v>83</v>
      </c>
      <c r="C2252" s="10" t="s">
        <v>2531</v>
      </c>
      <c r="D2252" s="10">
        <v>8397</v>
      </c>
      <c r="E2252" s="10" t="s">
        <v>2541</v>
      </c>
      <c r="F2252" s="10">
        <v>0</v>
      </c>
      <c r="G2252" s="10" t="s">
        <v>343</v>
      </c>
      <c r="H2252" s="10">
        <v>0</v>
      </c>
      <c r="I2252" s="10" t="s">
        <v>343</v>
      </c>
      <c r="J2252" s="11">
        <v>3603</v>
      </c>
      <c r="K2252" s="11">
        <v>4024</v>
      </c>
      <c r="L2252" s="11">
        <v>7627</v>
      </c>
      <c r="M2252" s="11">
        <v>9210</v>
      </c>
    </row>
    <row r="2253" spans="1:13" x14ac:dyDescent="0.3">
      <c r="A2253" s="10">
        <v>6712</v>
      </c>
      <c r="B2253" s="10">
        <v>83</v>
      </c>
      <c r="C2253" s="10" t="s">
        <v>2531</v>
      </c>
      <c r="D2253" s="10">
        <v>8398</v>
      </c>
      <c r="E2253" s="10" t="s">
        <v>2542</v>
      </c>
      <c r="F2253" s="10">
        <v>0</v>
      </c>
      <c r="G2253" s="10" t="s">
        <v>343</v>
      </c>
      <c r="H2253" s="10">
        <v>0</v>
      </c>
      <c r="I2253" s="10" t="s">
        <v>343</v>
      </c>
      <c r="J2253" s="11">
        <v>9469</v>
      </c>
      <c r="K2253" s="11">
        <v>10288</v>
      </c>
      <c r="L2253" s="11">
        <v>19757</v>
      </c>
      <c r="M2253" s="11">
        <v>16662</v>
      </c>
    </row>
    <row r="2254" spans="1:13" x14ac:dyDescent="0.3">
      <c r="A2254" s="10">
        <v>6712</v>
      </c>
      <c r="B2254" s="10">
        <v>83</v>
      </c>
      <c r="C2254" s="10" t="s">
        <v>2531</v>
      </c>
      <c r="D2254" s="10">
        <v>8399</v>
      </c>
      <c r="E2254" s="10" t="s">
        <v>2543</v>
      </c>
      <c r="F2254" s="10">
        <v>0</v>
      </c>
      <c r="G2254" s="10" t="s">
        <v>343</v>
      </c>
      <c r="H2254" s="10">
        <v>0</v>
      </c>
      <c r="I2254" s="10" t="s">
        <v>343</v>
      </c>
      <c r="J2254" s="11">
        <v>32784</v>
      </c>
      <c r="K2254" s="11">
        <v>38500</v>
      </c>
      <c r="L2254" s="11">
        <v>71284</v>
      </c>
      <c r="M2254" s="11">
        <v>27008</v>
      </c>
    </row>
    <row r="2255" spans="1:13" x14ac:dyDescent="0.3">
      <c r="A2255" s="10">
        <v>6712</v>
      </c>
      <c r="B2255" s="10">
        <v>84</v>
      </c>
      <c r="C2255" s="10" t="s">
        <v>2544</v>
      </c>
      <c r="D2255" s="10">
        <v>0</v>
      </c>
      <c r="E2255" s="10" t="s">
        <v>343</v>
      </c>
      <c r="F2255" s="10">
        <v>0</v>
      </c>
      <c r="G2255" s="10" t="s">
        <v>343</v>
      </c>
      <c r="H2255" s="10">
        <v>0</v>
      </c>
      <c r="I2255" s="10" t="s">
        <v>343</v>
      </c>
      <c r="J2255" s="11">
        <v>529077</v>
      </c>
      <c r="K2255" s="11">
        <v>547589</v>
      </c>
      <c r="L2255" s="11">
        <v>1076666</v>
      </c>
      <c r="M2255" s="11">
        <v>550373</v>
      </c>
    </row>
    <row r="2256" spans="1:13" x14ac:dyDescent="0.3">
      <c r="A2256" s="10">
        <v>6712</v>
      </c>
      <c r="B2256" s="10">
        <v>84</v>
      </c>
      <c r="C2256" s="10" t="s">
        <v>2544</v>
      </c>
      <c r="D2256" s="10">
        <v>8401</v>
      </c>
      <c r="E2256" s="10" t="s">
        <v>2545</v>
      </c>
      <c r="F2256" s="10">
        <v>0</v>
      </c>
      <c r="G2256" s="10" t="s">
        <v>343</v>
      </c>
      <c r="H2256" s="10">
        <v>0</v>
      </c>
      <c r="I2256" s="10" t="s">
        <v>343</v>
      </c>
      <c r="J2256" s="11">
        <v>9133</v>
      </c>
      <c r="K2256" s="11">
        <v>10044</v>
      </c>
      <c r="L2256" s="11">
        <v>19177</v>
      </c>
      <c r="M2256" s="11">
        <v>8794</v>
      </c>
    </row>
    <row r="2257" spans="1:13" x14ac:dyDescent="0.3">
      <c r="A2257" s="10">
        <v>6712</v>
      </c>
      <c r="B2257" s="10">
        <v>84</v>
      </c>
      <c r="C2257" s="10" t="s">
        <v>2544</v>
      </c>
      <c r="D2257" s="10">
        <v>8402</v>
      </c>
      <c r="E2257" s="10" t="s">
        <v>2546</v>
      </c>
      <c r="F2257" s="10">
        <v>0</v>
      </c>
      <c r="G2257" s="10" t="s">
        <v>343</v>
      </c>
      <c r="H2257" s="10">
        <v>0</v>
      </c>
      <c r="I2257" s="10" t="s">
        <v>343</v>
      </c>
      <c r="J2257" s="11">
        <v>41142</v>
      </c>
      <c r="K2257" s="11">
        <v>41970</v>
      </c>
      <c r="L2257" s="11">
        <v>83112</v>
      </c>
      <c r="M2257" s="11">
        <v>36100</v>
      </c>
    </row>
    <row r="2258" spans="1:13" x14ac:dyDescent="0.3">
      <c r="A2258" s="10">
        <v>6712</v>
      </c>
      <c r="B2258" s="10">
        <v>84</v>
      </c>
      <c r="C2258" s="10" t="s">
        <v>2544</v>
      </c>
      <c r="D2258" s="10">
        <v>8403</v>
      </c>
      <c r="E2258" s="10" t="s">
        <v>2547</v>
      </c>
      <c r="F2258" s="10">
        <v>0</v>
      </c>
      <c r="G2258" s="10" t="s">
        <v>343</v>
      </c>
      <c r="H2258" s="10">
        <v>0</v>
      </c>
      <c r="I2258" s="10" t="s">
        <v>343</v>
      </c>
      <c r="J2258" s="11">
        <v>12458</v>
      </c>
      <c r="K2258" s="11">
        <v>12419</v>
      </c>
      <c r="L2258" s="11">
        <v>24877</v>
      </c>
      <c r="M2258" s="11">
        <v>11061</v>
      </c>
    </row>
    <row r="2259" spans="1:13" x14ac:dyDescent="0.3">
      <c r="A2259" s="10">
        <v>6712</v>
      </c>
      <c r="B2259" s="10">
        <v>84</v>
      </c>
      <c r="C2259" s="10" t="s">
        <v>2544</v>
      </c>
      <c r="D2259" s="10">
        <v>8405</v>
      </c>
      <c r="E2259" s="10" t="s">
        <v>2548</v>
      </c>
      <c r="F2259" s="10">
        <v>0</v>
      </c>
      <c r="G2259" s="10" t="s">
        <v>343</v>
      </c>
      <c r="H2259" s="10">
        <v>0</v>
      </c>
      <c r="I2259" s="10" t="s">
        <v>343</v>
      </c>
      <c r="J2259" s="11">
        <v>5937</v>
      </c>
      <c r="K2259" s="11">
        <v>5682</v>
      </c>
      <c r="L2259" s="11">
        <v>11619</v>
      </c>
      <c r="M2259" s="11">
        <v>14031</v>
      </c>
    </row>
    <row r="2260" spans="1:13" x14ac:dyDescent="0.3">
      <c r="A2260" s="10">
        <v>6712</v>
      </c>
      <c r="B2260" s="10">
        <v>84</v>
      </c>
      <c r="C2260" s="10" t="s">
        <v>2544</v>
      </c>
      <c r="D2260" s="10">
        <v>8406</v>
      </c>
      <c r="E2260" s="10" t="s">
        <v>2549</v>
      </c>
      <c r="F2260" s="10">
        <v>0</v>
      </c>
      <c r="G2260" s="10" t="s">
        <v>343</v>
      </c>
      <c r="H2260" s="10">
        <v>0</v>
      </c>
      <c r="I2260" s="10" t="s">
        <v>343</v>
      </c>
      <c r="J2260" s="11">
        <v>18939</v>
      </c>
      <c r="K2260" s="11">
        <v>19770</v>
      </c>
      <c r="L2260" s="11">
        <v>38709</v>
      </c>
      <c r="M2260" s="11">
        <v>17756</v>
      </c>
    </row>
    <row r="2261" spans="1:13" x14ac:dyDescent="0.3">
      <c r="A2261" s="10">
        <v>6712</v>
      </c>
      <c r="B2261" s="10">
        <v>84</v>
      </c>
      <c r="C2261" s="10" t="s">
        <v>2544</v>
      </c>
      <c r="D2261" s="10">
        <v>8407</v>
      </c>
      <c r="E2261" s="10" t="s">
        <v>2550</v>
      </c>
      <c r="F2261" s="10">
        <v>0</v>
      </c>
      <c r="G2261" s="10" t="s">
        <v>343</v>
      </c>
      <c r="H2261" s="10">
        <v>0</v>
      </c>
      <c r="I2261" s="10" t="s">
        <v>343</v>
      </c>
      <c r="J2261" s="11">
        <v>26010</v>
      </c>
      <c r="K2261" s="11">
        <v>25584</v>
      </c>
      <c r="L2261" s="11">
        <v>51594</v>
      </c>
      <c r="M2261" s="11">
        <v>23599</v>
      </c>
    </row>
    <row r="2262" spans="1:13" x14ac:dyDescent="0.3">
      <c r="A2262" s="10">
        <v>6712</v>
      </c>
      <c r="B2262" s="10">
        <v>84</v>
      </c>
      <c r="C2262" s="10" t="s">
        <v>2544</v>
      </c>
      <c r="D2262" s="10">
        <v>8408</v>
      </c>
      <c r="E2262" s="10" t="s">
        <v>2551</v>
      </c>
      <c r="F2262" s="10">
        <v>0</v>
      </c>
      <c r="G2262" s="10" t="s">
        <v>343</v>
      </c>
      <c r="H2262" s="10">
        <v>0</v>
      </c>
      <c r="I2262" s="10" t="s">
        <v>343</v>
      </c>
      <c r="J2262" s="11">
        <v>21053</v>
      </c>
      <c r="K2262" s="11">
        <v>21195</v>
      </c>
      <c r="L2262" s="11">
        <v>42248</v>
      </c>
      <c r="M2262" s="11">
        <v>17704</v>
      </c>
    </row>
    <row r="2263" spans="1:13" x14ac:dyDescent="0.3">
      <c r="A2263" s="10">
        <v>6712</v>
      </c>
      <c r="B2263" s="10">
        <v>84</v>
      </c>
      <c r="C2263" s="10" t="s">
        <v>2544</v>
      </c>
      <c r="D2263" s="10">
        <v>8409</v>
      </c>
      <c r="E2263" s="10" t="s">
        <v>2552</v>
      </c>
      <c r="F2263" s="10">
        <v>0</v>
      </c>
      <c r="G2263" s="10" t="s">
        <v>343</v>
      </c>
      <c r="H2263" s="10">
        <v>0</v>
      </c>
      <c r="I2263" s="10" t="s">
        <v>343</v>
      </c>
      <c r="J2263" s="11">
        <v>4613</v>
      </c>
      <c r="K2263" s="11">
        <v>4674</v>
      </c>
      <c r="L2263" s="11">
        <v>9287</v>
      </c>
      <c r="M2263" s="11">
        <v>4136</v>
      </c>
    </row>
    <row r="2264" spans="1:13" x14ac:dyDescent="0.3">
      <c r="A2264" s="10">
        <v>6712</v>
      </c>
      <c r="B2264" s="10">
        <v>84</v>
      </c>
      <c r="C2264" s="10" t="s">
        <v>2544</v>
      </c>
      <c r="D2264" s="10">
        <v>8410</v>
      </c>
      <c r="E2264" s="10" t="s">
        <v>2553</v>
      </c>
      <c r="F2264" s="10">
        <v>0</v>
      </c>
      <c r="G2264" s="10" t="s">
        <v>343</v>
      </c>
      <c r="H2264" s="10">
        <v>0</v>
      </c>
      <c r="I2264" s="10" t="s">
        <v>343</v>
      </c>
      <c r="J2264" s="11">
        <v>12499</v>
      </c>
      <c r="K2264" s="11">
        <v>12016</v>
      </c>
      <c r="L2264" s="11">
        <v>24515</v>
      </c>
      <c r="M2264" s="11">
        <v>9865</v>
      </c>
    </row>
    <row r="2265" spans="1:13" x14ac:dyDescent="0.3">
      <c r="A2265" s="10">
        <v>6712</v>
      </c>
      <c r="B2265" s="10">
        <v>84</v>
      </c>
      <c r="C2265" s="10" t="s">
        <v>2544</v>
      </c>
      <c r="D2265" s="10">
        <v>8411</v>
      </c>
      <c r="E2265" s="10" t="s">
        <v>2554</v>
      </c>
      <c r="F2265" s="10">
        <v>0</v>
      </c>
      <c r="G2265" s="10" t="s">
        <v>343</v>
      </c>
      <c r="H2265" s="10">
        <v>0</v>
      </c>
      <c r="I2265" s="10" t="s">
        <v>343</v>
      </c>
      <c r="J2265" s="11">
        <v>14912</v>
      </c>
      <c r="K2265" s="11">
        <v>14745</v>
      </c>
      <c r="L2265" s="11">
        <v>29657</v>
      </c>
      <c r="M2265" s="11">
        <v>13632</v>
      </c>
    </row>
    <row r="2266" spans="1:13" x14ac:dyDescent="0.3">
      <c r="A2266" s="10">
        <v>6712</v>
      </c>
      <c r="B2266" s="10">
        <v>84</v>
      </c>
      <c r="C2266" s="10" t="s">
        <v>2544</v>
      </c>
      <c r="D2266" s="10">
        <v>8412</v>
      </c>
      <c r="E2266" s="10" t="s">
        <v>2555</v>
      </c>
      <c r="F2266" s="10">
        <v>0</v>
      </c>
      <c r="G2266" s="10" t="s">
        <v>343</v>
      </c>
      <c r="H2266" s="10">
        <v>0</v>
      </c>
      <c r="I2266" s="10" t="s">
        <v>343</v>
      </c>
      <c r="J2266" s="11">
        <v>25135</v>
      </c>
      <c r="K2266" s="11">
        <v>25621</v>
      </c>
      <c r="L2266" s="11">
        <v>50756</v>
      </c>
      <c r="M2266" s="11">
        <v>19007</v>
      </c>
    </row>
    <row r="2267" spans="1:13" x14ac:dyDescent="0.3">
      <c r="A2267" s="10">
        <v>6712</v>
      </c>
      <c r="B2267" s="10">
        <v>84</v>
      </c>
      <c r="C2267" s="10" t="s">
        <v>2544</v>
      </c>
      <c r="D2267" s="10">
        <v>8413</v>
      </c>
      <c r="E2267" s="10" t="s">
        <v>2556</v>
      </c>
      <c r="F2267" s="10">
        <v>0</v>
      </c>
      <c r="G2267" s="10" t="s">
        <v>343</v>
      </c>
      <c r="H2267" s="10">
        <v>0</v>
      </c>
      <c r="I2267" s="10" t="s">
        <v>343</v>
      </c>
      <c r="J2267" s="11">
        <v>10286</v>
      </c>
      <c r="K2267" s="11">
        <v>10484</v>
      </c>
      <c r="L2267" s="11">
        <v>20770</v>
      </c>
      <c r="M2267" s="11">
        <v>8086</v>
      </c>
    </row>
    <row r="2268" spans="1:13" x14ac:dyDescent="0.3">
      <c r="A2268" s="10">
        <v>6712</v>
      </c>
      <c r="B2268" s="10">
        <v>84</v>
      </c>
      <c r="C2268" s="10" t="s">
        <v>2544</v>
      </c>
      <c r="D2268" s="10">
        <v>8414</v>
      </c>
      <c r="E2268" s="10" t="s">
        <v>2557</v>
      </c>
      <c r="F2268" s="10">
        <v>0</v>
      </c>
      <c r="G2268" s="10" t="s">
        <v>343</v>
      </c>
      <c r="H2268" s="10">
        <v>0</v>
      </c>
      <c r="I2268" s="10" t="s">
        <v>343</v>
      </c>
      <c r="J2268" s="11">
        <v>13791</v>
      </c>
      <c r="K2268" s="11">
        <v>13784</v>
      </c>
      <c r="L2268" s="11">
        <v>27575</v>
      </c>
      <c r="M2268" s="11">
        <v>11781</v>
      </c>
    </row>
    <row r="2269" spans="1:13" x14ac:dyDescent="0.3">
      <c r="A2269" s="10">
        <v>6712</v>
      </c>
      <c r="B2269" s="10">
        <v>84</v>
      </c>
      <c r="C2269" s="10" t="s">
        <v>2544</v>
      </c>
      <c r="D2269" s="10">
        <v>8415</v>
      </c>
      <c r="E2269" s="10" t="s">
        <v>2558</v>
      </c>
      <c r="F2269" s="10">
        <v>0</v>
      </c>
      <c r="G2269" s="10" t="s">
        <v>343</v>
      </c>
      <c r="H2269" s="10">
        <v>0</v>
      </c>
      <c r="I2269" s="10" t="s">
        <v>343</v>
      </c>
      <c r="J2269" s="11">
        <v>8560</v>
      </c>
      <c r="K2269" s="11">
        <v>8833</v>
      </c>
      <c r="L2269" s="11">
        <v>17393</v>
      </c>
      <c r="M2269" s="11">
        <v>7281</v>
      </c>
    </row>
    <row r="2270" spans="1:13" x14ac:dyDescent="0.3">
      <c r="A2270" s="10">
        <v>6712</v>
      </c>
      <c r="B2270" s="10">
        <v>84</v>
      </c>
      <c r="C2270" s="10" t="s">
        <v>2544</v>
      </c>
      <c r="D2270" s="10">
        <v>8416</v>
      </c>
      <c r="E2270" s="10" t="s">
        <v>2559</v>
      </c>
      <c r="F2270" s="10">
        <v>0</v>
      </c>
      <c r="G2270" s="10" t="s">
        <v>343</v>
      </c>
      <c r="H2270" s="10">
        <v>0</v>
      </c>
      <c r="I2270" s="10" t="s">
        <v>343</v>
      </c>
      <c r="J2270" s="11">
        <v>31583</v>
      </c>
      <c r="K2270" s="11">
        <v>31205</v>
      </c>
      <c r="L2270" s="11">
        <v>62788</v>
      </c>
      <c r="M2270" s="11">
        <v>25331</v>
      </c>
    </row>
    <row r="2271" spans="1:13" x14ac:dyDescent="0.3">
      <c r="A2271" s="10">
        <v>6712</v>
      </c>
      <c r="B2271" s="10">
        <v>84</v>
      </c>
      <c r="C2271" s="10" t="s">
        <v>2544</v>
      </c>
      <c r="D2271" s="10">
        <v>8417</v>
      </c>
      <c r="E2271" s="10" t="s">
        <v>2560</v>
      </c>
      <c r="F2271" s="10">
        <v>0</v>
      </c>
      <c r="G2271" s="10" t="s">
        <v>343</v>
      </c>
      <c r="H2271" s="10">
        <v>0</v>
      </c>
      <c r="I2271" s="10" t="s">
        <v>343</v>
      </c>
      <c r="J2271" s="11">
        <v>37668</v>
      </c>
      <c r="K2271" s="11">
        <v>37830</v>
      </c>
      <c r="L2271" s="11">
        <v>75498</v>
      </c>
      <c r="M2271" s="11">
        <v>38068</v>
      </c>
    </row>
    <row r="2272" spans="1:13" x14ac:dyDescent="0.3">
      <c r="A2272" s="10">
        <v>6712</v>
      </c>
      <c r="B2272" s="10">
        <v>84</v>
      </c>
      <c r="C2272" s="10" t="s">
        <v>2544</v>
      </c>
      <c r="D2272" s="10">
        <v>8418</v>
      </c>
      <c r="E2272" s="10" t="s">
        <v>2561</v>
      </c>
      <c r="F2272" s="10">
        <v>0</v>
      </c>
      <c r="G2272" s="10" t="s">
        <v>343</v>
      </c>
      <c r="H2272" s="10">
        <v>0</v>
      </c>
      <c r="I2272" s="10" t="s">
        <v>343</v>
      </c>
      <c r="J2272" s="11">
        <v>14313</v>
      </c>
      <c r="K2272" s="11">
        <v>14090</v>
      </c>
      <c r="L2272" s="11">
        <v>28403</v>
      </c>
      <c r="M2272" s="11">
        <v>12017</v>
      </c>
    </row>
    <row r="2273" spans="1:13" x14ac:dyDescent="0.3">
      <c r="A2273" s="10">
        <v>6712</v>
      </c>
      <c r="B2273" s="10">
        <v>84</v>
      </c>
      <c r="C2273" s="10" t="s">
        <v>2544</v>
      </c>
      <c r="D2273" s="10">
        <v>8419</v>
      </c>
      <c r="E2273" s="10" t="s">
        <v>2562</v>
      </c>
      <c r="F2273" s="10">
        <v>0</v>
      </c>
      <c r="G2273" s="10" t="s">
        <v>343</v>
      </c>
      <c r="H2273" s="10">
        <v>0</v>
      </c>
      <c r="I2273" s="10" t="s">
        <v>343</v>
      </c>
      <c r="J2273" s="11">
        <v>8232</v>
      </c>
      <c r="K2273" s="11">
        <v>7689</v>
      </c>
      <c r="L2273" s="11">
        <v>15921</v>
      </c>
      <c r="M2273" s="11">
        <v>7667</v>
      </c>
    </row>
    <row r="2274" spans="1:13" x14ac:dyDescent="0.3">
      <c r="A2274" s="10">
        <v>6712</v>
      </c>
      <c r="B2274" s="10">
        <v>84</v>
      </c>
      <c r="C2274" s="10" t="s">
        <v>2544</v>
      </c>
      <c r="D2274" s="10">
        <v>8471</v>
      </c>
      <c r="E2274" s="10" t="s">
        <v>2563</v>
      </c>
      <c r="F2274" s="10">
        <v>0</v>
      </c>
      <c r="G2274" s="10" t="s">
        <v>343</v>
      </c>
      <c r="H2274" s="10">
        <v>0</v>
      </c>
      <c r="I2274" s="10" t="s">
        <v>343</v>
      </c>
      <c r="J2274" s="11">
        <v>9771</v>
      </c>
      <c r="K2274" s="11">
        <v>9537</v>
      </c>
      <c r="L2274" s="11">
        <v>19308</v>
      </c>
      <c r="M2274" s="11">
        <v>8130</v>
      </c>
    </row>
    <row r="2275" spans="1:13" x14ac:dyDescent="0.3">
      <c r="A2275" s="10">
        <v>6712</v>
      </c>
      <c r="B2275" s="10">
        <v>84</v>
      </c>
      <c r="C2275" s="10" t="s">
        <v>2544</v>
      </c>
      <c r="D2275" s="10">
        <v>8472</v>
      </c>
      <c r="E2275" s="10" t="s">
        <v>2564</v>
      </c>
      <c r="F2275" s="10">
        <v>0</v>
      </c>
      <c r="G2275" s="10" t="s">
        <v>343</v>
      </c>
      <c r="H2275" s="10">
        <v>0</v>
      </c>
      <c r="I2275" s="10" t="s">
        <v>343</v>
      </c>
      <c r="J2275" s="11">
        <v>4941</v>
      </c>
      <c r="K2275" s="11">
        <v>4899</v>
      </c>
      <c r="L2275" s="11">
        <v>9840</v>
      </c>
      <c r="M2275" s="11">
        <v>3573</v>
      </c>
    </row>
    <row r="2276" spans="1:13" x14ac:dyDescent="0.3">
      <c r="A2276" s="10">
        <v>6712</v>
      </c>
      <c r="B2276" s="10">
        <v>84</v>
      </c>
      <c r="C2276" s="10" t="s">
        <v>2544</v>
      </c>
      <c r="D2276" s="10">
        <v>8473</v>
      </c>
      <c r="E2276" s="10" t="s">
        <v>2122</v>
      </c>
      <c r="F2276" s="10">
        <v>0</v>
      </c>
      <c r="G2276" s="10" t="s">
        <v>343</v>
      </c>
      <c r="H2276" s="10">
        <v>0</v>
      </c>
      <c r="I2276" s="10" t="s">
        <v>343</v>
      </c>
      <c r="J2276" s="11">
        <v>5406</v>
      </c>
      <c r="K2276" s="11">
        <v>5719</v>
      </c>
      <c r="L2276" s="11">
        <v>11125</v>
      </c>
      <c r="M2276" s="11">
        <v>4378</v>
      </c>
    </row>
    <row r="2277" spans="1:13" x14ac:dyDescent="0.3">
      <c r="A2277" s="10">
        <v>6712</v>
      </c>
      <c r="B2277" s="10">
        <v>84</v>
      </c>
      <c r="C2277" s="10" t="s">
        <v>2544</v>
      </c>
      <c r="D2277" s="10">
        <v>8474</v>
      </c>
      <c r="E2277" s="10" t="s">
        <v>2565</v>
      </c>
      <c r="F2277" s="10">
        <v>0</v>
      </c>
      <c r="G2277" s="10" t="s">
        <v>343</v>
      </c>
      <c r="H2277" s="10">
        <v>0</v>
      </c>
      <c r="I2277" s="10" t="s">
        <v>343</v>
      </c>
      <c r="J2277" s="11">
        <v>7429</v>
      </c>
      <c r="K2277" s="11">
        <v>9238</v>
      </c>
      <c r="L2277" s="11">
        <v>16667</v>
      </c>
      <c r="M2277" s="11">
        <v>12007</v>
      </c>
    </row>
    <row r="2278" spans="1:13" x14ac:dyDescent="0.3">
      <c r="A2278" s="10">
        <v>6712</v>
      </c>
      <c r="B2278" s="10">
        <v>84</v>
      </c>
      <c r="C2278" s="10" t="s">
        <v>2544</v>
      </c>
      <c r="D2278" s="10">
        <v>8475</v>
      </c>
      <c r="E2278" s="10" t="s">
        <v>2566</v>
      </c>
      <c r="F2278" s="10">
        <v>0</v>
      </c>
      <c r="G2278" s="10" t="s">
        <v>343</v>
      </c>
      <c r="H2278" s="10">
        <v>0</v>
      </c>
      <c r="I2278" s="10" t="s">
        <v>343</v>
      </c>
      <c r="J2278" s="11">
        <v>5593</v>
      </c>
      <c r="K2278" s="11">
        <v>5648</v>
      </c>
      <c r="L2278" s="11">
        <v>11241</v>
      </c>
      <c r="M2278" s="11">
        <v>4141</v>
      </c>
    </row>
    <row r="2279" spans="1:13" x14ac:dyDescent="0.3">
      <c r="A2279" s="10">
        <v>6712</v>
      </c>
      <c r="B2279" s="10">
        <v>84</v>
      </c>
      <c r="C2279" s="10" t="s">
        <v>2544</v>
      </c>
      <c r="D2279" s="10">
        <v>8476</v>
      </c>
      <c r="E2279" s="10" t="s">
        <v>2567</v>
      </c>
      <c r="F2279" s="10">
        <v>0</v>
      </c>
      <c r="G2279" s="10" t="s">
        <v>343</v>
      </c>
      <c r="H2279" s="10">
        <v>0</v>
      </c>
      <c r="I2279" s="10" t="s">
        <v>343</v>
      </c>
      <c r="J2279" s="11">
        <v>3392</v>
      </c>
      <c r="K2279" s="11">
        <v>3430</v>
      </c>
      <c r="L2279" s="11">
        <v>6822</v>
      </c>
      <c r="M2279" s="11">
        <v>3104</v>
      </c>
    </row>
    <row r="2280" spans="1:13" x14ac:dyDescent="0.3">
      <c r="A2280" s="10">
        <v>6712</v>
      </c>
      <c r="B2280" s="10">
        <v>84</v>
      </c>
      <c r="C2280" s="10" t="s">
        <v>2544</v>
      </c>
      <c r="D2280" s="10">
        <v>8477</v>
      </c>
      <c r="E2280" s="10" t="s">
        <v>2568</v>
      </c>
      <c r="F2280" s="10">
        <v>0</v>
      </c>
      <c r="G2280" s="10" t="s">
        <v>343</v>
      </c>
      <c r="H2280" s="10">
        <v>0</v>
      </c>
      <c r="I2280" s="10" t="s">
        <v>343</v>
      </c>
      <c r="J2280" s="11">
        <v>9950</v>
      </c>
      <c r="K2280" s="11">
        <v>11146</v>
      </c>
      <c r="L2280" s="11">
        <v>21096</v>
      </c>
      <c r="M2280" s="11">
        <v>13336</v>
      </c>
    </row>
    <row r="2281" spans="1:13" x14ac:dyDescent="0.3">
      <c r="A2281" s="10">
        <v>6712</v>
      </c>
      <c r="B2281" s="10">
        <v>84</v>
      </c>
      <c r="C2281" s="10" t="s">
        <v>2544</v>
      </c>
      <c r="D2281" s="10">
        <v>8478</v>
      </c>
      <c r="E2281" s="10" t="s">
        <v>2569</v>
      </c>
      <c r="F2281" s="10">
        <v>0</v>
      </c>
      <c r="G2281" s="10" t="s">
        <v>343</v>
      </c>
      <c r="H2281" s="10">
        <v>0</v>
      </c>
      <c r="I2281" s="10" t="s">
        <v>343</v>
      </c>
      <c r="J2281" s="11">
        <v>8727</v>
      </c>
      <c r="K2281" s="11">
        <v>9015</v>
      </c>
      <c r="L2281" s="11">
        <v>17742</v>
      </c>
      <c r="M2281" s="11">
        <v>7417</v>
      </c>
    </row>
    <row r="2282" spans="1:13" x14ac:dyDescent="0.3">
      <c r="A2282" s="10">
        <v>6712</v>
      </c>
      <c r="B2282" s="10">
        <v>84</v>
      </c>
      <c r="C2282" s="10" t="s">
        <v>2544</v>
      </c>
      <c r="D2282" s="10">
        <v>8479</v>
      </c>
      <c r="E2282" s="10" t="s">
        <v>2570</v>
      </c>
      <c r="F2282" s="10">
        <v>0</v>
      </c>
      <c r="G2282" s="10" t="s">
        <v>343</v>
      </c>
      <c r="H2282" s="10">
        <v>0</v>
      </c>
      <c r="I2282" s="10" t="s">
        <v>343</v>
      </c>
      <c r="J2282" s="11">
        <v>1111</v>
      </c>
      <c r="K2282" s="11">
        <v>1146</v>
      </c>
      <c r="L2282" s="11">
        <v>2257</v>
      </c>
      <c r="M2282" s="11">
        <v>1103</v>
      </c>
    </row>
    <row r="2283" spans="1:13" x14ac:dyDescent="0.3">
      <c r="A2283" s="10">
        <v>6712</v>
      </c>
      <c r="B2283" s="10">
        <v>84</v>
      </c>
      <c r="C2283" s="10" t="s">
        <v>2544</v>
      </c>
      <c r="D2283" s="10">
        <v>8480</v>
      </c>
      <c r="E2283" s="10" t="s">
        <v>2571</v>
      </c>
      <c r="F2283" s="10">
        <v>0</v>
      </c>
      <c r="G2283" s="10" t="s">
        <v>343</v>
      </c>
      <c r="H2283" s="10">
        <v>0</v>
      </c>
      <c r="I2283" s="10" t="s">
        <v>343</v>
      </c>
      <c r="J2283" s="11">
        <v>2077</v>
      </c>
      <c r="K2283" s="11">
        <v>2147</v>
      </c>
      <c r="L2283" s="11">
        <v>4224</v>
      </c>
      <c r="M2283" s="11">
        <v>2093</v>
      </c>
    </row>
    <row r="2284" spans="1:13" x14ac:dyDescent="0.3">
      <c r="A2284" s="10">
        <v>6712</v>
      </c>
      <c r="B2284" s="10">
        <v>84</v>
      </c>
      <c r="C2284" s="10" t="s">
        <v>2544</v>
      </c>
      <c r="D2284" s="10">
        <v>8481</v>
      </c>
      <c r="E2284" s="10" t="s">
        <v>2572</v>
      </c>
      <c r="F2284" s="10">
        <v>0</v>
      </c>
      <c r="G2284" s="10" t="s">
        <v>343</v>
      </c>
      <c r="H2284" s="10">
        <v>0</v>
      </c>
      <c r="I2284" s="10" t="s">
        <v>343</v>
      </c>
      <c r="J2284" s="11">
        <v>4430</v>
      </c>
      <c r="K2284" s="11">
        <v>4993</v>
      </c>
      <c r="L2284" s="11">
        <v>9423</v>
      </c>
      <c r="M2284" s="11">
        <v>5983</v>
      </c>
    </row>
    <row r="2285" spans="1:13" x14ac:dyDescent="0.3">
      <c r="A2285" s="10">
        <v>6712</v>
      </c>
      <c r="B2285" s="10">
        <v>84</v>
      </c>
      <c r="C2285" s="10" t="s">
        <v>2544</v>
      </c>
      <c r="D2285" s="10">
        <v>8482</v>
      </c>
      <c r="E2285" s="10" t="s">
        <v>2573</v>
      </c>
      <c r="F2285" s="10">
        <v>0</v>
      </c>
      <c r="G2285" s="10" t="s">
        <v>343</v>
      </c>
      <c r="H2285" s="10">
        <v>0</v>
      </c>
      <c r="I2285" s="10" t="s">
        <v>343</v>
      </c>
      <c r="J2285" s="10">
        <v>849</v>
      </c>
      <c r="K2285" s="10">
        <v>802</v>
      </c>
      <c r="L2285" s="11">
        <v>1651</v>
      </c>
      <c r="M2285" s="10">
        <v>762</v>
      </c>
    </row>
    <row r="2286" spans="1:13" x14ac:dyDescent="0.3">
      <c r="A2286" s="10">
        <v>6712</v>
      </c>
      <c r="B2286" s="10">
        <v>84</v>
      </c>
      <c r="C2286" s="10" t="s">
        <v>2544</v>
      </c>
      <c r="D2286" s="10">
        <v>8483</v>
      </c>
      <c r="E2286" s="10" t="s">
        <v>709</v>
      </c>
      <c r="F2286" s="10">
        <v>0</v>
      </c>
      <c r="G2286" s="10" t="s">
        <v>343</v>
      </c>
      <c r="H2286" s="10">
        <v>0</v>
      </c>
      <c r="I2286" s="10" t="s">
        <v>343</v>
      </c>
      <c r="J2286" s="11">
        <v>1550</v>
      </c>
      <c r="K2286" s="11">
        <v>1684</v>
      </c>
      <c r="L2286" s="11">
        <v>3234</v>
      </c>
      <c r="M2286" s="11">
        <v>1755</v>
      </c>
    </row>
    <row r="2287" spans="1:13" x14ac:dyDescent="0.3">
      <c r="A2287" s="10">
        <v>6712</v>
      </c>
      <c r="B2287" s="10">
        <v>84</v>
      </c>
      <c r="C2287" s="10" t="s">
        <v>2544</v>
      </c>
      <c r="D2287" s="10">
        <v>8484</v>
      </c>
      <c r="E2287" s="10" t="s">
        <v>2574</v>
      </c>
      <c r="F2287" s="10">
        <v>0</v>
      </c>
      <c r="G2287" s="10" t="s">
        <v>343</v>
      </c>
      <c r="H2287" s="10">
        <v>0</v>
      </c>
      <c r="I2287" s="10" t="s">
        <v>343</v>
      </c>
      <c r="J2287" s="11">
        <v>2235</v>
      </c>
      <c r="K2287" s="11">
        <v>2425</v>
      </c>
      <c r="L2287" s="11">
        <v>4660</v>
      </c>
      <c r="M2287" s="11">
        <v>2018</v>
      </c>
    </row>
    <row r="2288" spans="1:13" x14ac:dyDescent="0.3">
      <c r="A2288" s="10">
        <v>6712</v>
      </c>
      <c r="B2288" s="10">
        <v>84</v>
      </c>
      <c r="C2288" s="10" t="s">
        <v>2544</v>
      </c>
      <c r="D2288" s="10">
        <v>8485</v>
      </c>
      <c r="E2288" s="10" t="s">
        <v>2575</v>
      </c>
      <c r="F2288" s="10">
        <v>0</v>
      </c>
      <c r="G2288" s="10" t="s">
        <v>343</v>
      </c>
      <c r="H2288" s="10">
        <v>0</v>
      </c>
      <c r="I2288" s="10" t="s">
        <v>343</v>
      </c>
      <c r="J2288" s="11">
        <v>2451</v>
      </c>
      <c r="K2288" s="11">
        <v>2469</v>
      </c>
      <c r="L2288" s="11">
        <v>4920</v>
      </c>
      <c r="M2288" s="11">
        <v>2083</v>
      </c>
    </row>
    <row r="2289" spans="1:13" x14ac:dyDescent="0.3">
      <c r="A2289" s="10">
        <v>6712</v>
      </c>
      <c r="B2289" s="10">
        <v>84</v>
      </c>
      <c r="C2289" s="10" t="s">
        <v>2544</v>
      </c>
      <c r="D2289" s="10">
        <v>8486</v>
      </c>
      <c r="E2289" s="10" t="s">
        <v>2576</v>
      </c>
      <c r="F2289" s="10">
        <v>0</v>
      </c>
      <c r="G2289" s="10" t="s">
        <v>343</v>
      </c>
      <c r="H2289" s="10">
        <v>0</v>
      </c>
      <c r="I2289" s="10" t="s">
        <v>343</v>
      </c>
      <c r="J2289" s="11">
        <v>1164</v>
      </c>
      <c r="K2289" s="11">
        <v>1249</v>
      </c>
      <c r="L2289" s="11">
        <v>2413</v>
      </c>
      <c r="M2289" s="11">
        <v>1921</v>
      </c>
    </row>
    <row r="2290" spans="1:13" x14ac:dyDescent="0.3">
      <c r="A2290" s="10">
        <v>6712</v>
      </c>
      <c r="B2290" s="10">
        <v>84</v>
      </c>
      <c r="C2290" s="10" t="s">
        <v>2544</v>
      </c>
      <c r="D2290" s="10">
        <v>8487</v>
      </c>
      <c r="E2290" s="10" t="s">
        <v>2577</v>
      </c>
      <c r="F2290" s="10">
        <v>0</v>
      </c>
      <c r="G2290" s="10" t="s">
        <v>343</v>
      </c>
      <c r="H2290" s="10">
        <v>0</v>
      </c>
      <c r="I2290" s="10" t="s">
        <v>343</v>
      </c>
      <c r="J2290" s="11">
        <v>2282</v>
      </c>
      <c r="K2290" s="11">
        <v>2295</v>
      </c>
      <c r="L2290" s="11">
        <v>4577</v>
      </c>
      <c r="M2290" s="11">
        <v>2091</v>
      </c>
    </row>
    <row r="2291" spans="1:13" x14ac:dyDescent="0.3">
      <c r="A2291" s="10">
        <v>6712</v>
      </c>
      <c r="B2291" s="10">
        <v>84</v>
      </c>
      <c r="C2291" s="10" t="s">
        <v>2544</v>
      </c>
      <c r="D2291" s="10">
        <v>8488</v>
      </c>
      <c r="E2291" s="10" t="s">
        <v>2578</v>
      </c>
      <c r="F2291" s="10">
        <v>0</v>
      </c>
      <c r="G2291" s="10" t="s">
        <v>343</v>
      </c>
      <c r="H2291" s="10">
        <v>0</v>
      </c>
      <c r="I2291" s="10" t="s">
        <v>343</v>
      </c>
      <c r="J2291" s="10">
        <v>924</v>
      </c>
      <c r="K2291" s="10">
        <v>892</v>
      </c>
      <c r="L2291" s="11">
        <v>1816</v>
      </c>
      <c r="M2291" s="11">
        <v>1120</v>
      </c>
    </row>
    <row r="2292" spans="1:13" x14ac:dyDescent="0.3">
      <c r="A2292" s="10">
        <v>6712</v>
      </c>
      <c r="B2292" s="10">
        <v>84</v>
      </c>
      <c r="C2292" s="10" t="s">
        <v>2544</v>
      </c>
      <c r="D2292" s="10">
        <v>8489</v>
      </c>
      <c r="E2292" s="10" t="s">
        <v>2579</v>
      </c>
      <c r="F2292" s="10">
        <v>0</v>
      </c>
      <c r="G2292" s="10" t="s">
        <v>343</v>
      </c>
      <c r="H2292" s="10">
        <v>0</v>
      </c>
      <c r="I2292" s="10" t="s">
        <v>343</v>
      </c>
      <c r="J2292" s="11">
        <v>1357</v>
      </c>
      <c r="K2292" s="11">
        <v>1509</v>
      </c>
      <c r="L2292" s="11">
        <v>2866</v>
      </c>
      <c r="M2292" s="11">
        <v>1837</v>
      </c>
    </row>
    <row r="2293" spans="1:13" x14ac:dyDescent="0.3">
      <c r="A2293" s="10">
        <v>6712</v>
      </c>
      <c r="B2293" s="10">
        <v>84</v>
      </c>
      <c r="C2293" s="10" t="s">
        <v>2544</v>
      </c>
      <c r="D2293" s="10">
        <v>8490</v>
      </c>
      <c r="E2293" s="10" t="s">
        <v>2580</v>
      </c>
      <c r="F2293" s="10">
        <v>0</v>
      </c>
      <c r="G2293" s="10" t="s">
        <v>343</v>
      </c>
      <c r="H2293" s="10">
        <v>0</v>
      </c>
      <c r="I2293" s="10" t="s">
        <v>343</v>
      </c>
      <c r="J2293" s="11">
        <v>3827</v>
      </c>
      <c r="K2293" s="11">
        <v>3999</v>
      </c>
      <c r="L2293" s="11">
        <v>7826</v>
      </c>
      <c r="M2293" s="11">
        <v>2972</v>
      </c>
    </row>
    <row r="2294" spans="1:13" x14ac:dyDescent="0.3">
      <c r="A2294" s="10">
        <v>6712</v>
      </c>
      <c r="B2294" s="10">
        <v>84</v>
      </c>
      <c r="C2294" s="10" t="s">
        <v>2544</v>
      </c>
      <c r="D2294" s="10">
        <v>8491</v>
      </c>
      <c r="E2294" s="10" t="s">
        <v>2581</v>
      </c>
      <c r="F2294" s="10">
        <v>0</v>
      </c>
      <c r="G2294" s="10" t="s">
        <v>343</v>
      </c>
      <c r="H2294" s="10">
        <v>0</v>
      </c>
      <c r="I2294" s="10" t="s">
        <v>343</v>
      </c>
      <c r="J2294" s="11">
        <v>2347</v>
      </c>
      <c r="K2294" s="11">
        <v>2669</v>
      </c>
      <c r="L2294" s="11">
        <v>5016</v>
      </c>
      <c r="M2294" s="11">
        <v>3045</v>
      </c>
    </row>
    <row r="2295" spans="1:13" x14ac:dyDescent="0.3">
      <c r="A2295" s="10">
        <v>6712</v>
      </c>
      <c r="B2295" s="10">
        <v>84</v>
      </c>
      <c r="C2295" s="10" t="s">
        <v>2544</v>
      </c>
      <c r="D2295" s="10">
        <v>8492</v>
      </c>
      <c r="E2295" s="10" t="s">
        <v>2582</v>
      </c>
      <c r="F2295" s="10">
        <v>0</v>
      </c>
      <c r="G2295" s="10" t="s">
        <v>343</v>
      </c>
      <c r="H2295" s="10">
        <v>0</v>
      </c>
      <c r="I2295" s="10" t="s">
        <v>343</v>
      </c>
      <c r="J2295" s="11">
        <v>4059</v>
      </c>
      <c r="K2295" s="11">
        <v>4121</v>
      </c>
      <c r="L2295" s="11">
        <v>8180</v>
      </c>
      <c r="M2295" s="11">
        <v>6452</v>
      </c>
    </row>
    <row r="2296" spans="1:13" x14ac:dyDescent="0.3">
      <c r="A2296" s="10">
        <v>6712</v>
      </c>
      <c r="B2296" s="10">
        <v>84</v>
      </c>
      <c r="C2296" s="10" t="s">
        <v>2544</v>
      </c>
      <c r="D2296" s="10">
        <v>8493</v>
      </c>
      <c r="E2296" s="10" t="s">
        <v>2583</v>
      </c>
      <c r="F2296" s="10">
        <v>0</v>
      </c>
      <c r="G2296" s="10" t="s">
        <v>343</v>
      </c>
      <c r="H2296" s="10">
        <v>0</v>
      </c>
      <c r="I2296" s="10" t="s">
        <v>343</v>
      </c>
      <c r="J2296" s="11">
        <v>33390</v>
      </c>
      <c r="K2296" s="11">
        <v>36299</v>
      </c>
      <c r="L2296" s="11">
        <v>69689</v>
      </c>
      <c r="M2296" s="11">
        <v>61602</v>
      </c>
    </row>
    <row r="2297" spans="1:13" x14ac:dyDescent="0.3">
      <c r="A2297" s="10">
        <v>6712</v>
      </c>
      <c r="B2297" s="10">
        <v>84</v>
      </c>
      <c r="C2297" s="10" t="s">
        <v>2544</v>
      </c>
      <c r="D2297" s="10">
        <v>8494</v>
      </c>
      <c r="E2297" s="10" t="s">
        <v>2584</v>
      </c>
      <c r="F2297" s="10">
        <v>0</v>
      </c>
      <c r="G2297" s="10" t="s">
        <v>343</v>
      </c>
      <c r="H2297" s="10">
        <v>0</v>
      </c>
      <c r="I2297" s="10" t="s">
        <v>343</v>
      </c>
      <c r="J2297" s="11">
        <v>5919</v>
      </c>
      <c r="K2297" s="11">
        <v>6199</v>
      </c>
      <c r="L2297" s="11">
        <v>12118</v>
      </c>
      <c r="M2297" s="11">
        <v>6109</v>
      </c>
    </row>
    <row r="2298" spans="1:13" x14ac:dyDescent="0.3">
      <c r="A2298" s="10">
        <v>6712</v>
      </c>
      <c r="B2298" s="10">
        <v>84</v>
      </c>
      <c r="C2298" s="10" t="s">
        <v>2544</v>
      </c>
      <c r="D2298" s="10">
        <v>8495</v>
      </c>
      <c r="E2298" s="10" t="s">
        <v>2585</v>
      </c>
      <c r="F2298" s="10">
        <v>0</v>
      </c>
      <c r="G2298" s="10" t="s">
        <v>343</v>
      </c>
      <c r="H2298" s="10">
        <v>0</v>
      </c>
      <c r="I2298" s="10" t="s">
        <v>343</v>
      </c>
      <c r="J2298" s="11">
        <v>3575</v>
      </c>
      <c r="K2298" s="11">
        <v>3633</v>
      </c>
      <c r="L2298" s="11">
        <v>7208</v>
      </c>
      <c r="M2298" s="11">
        <v>3336</v>
      </c>
    </row>
    <row r="2299" spans="1:13" x14ac:dyDescent="0.3">
      <c r="A2299" s="10">
        <v>6712</v>
      </c>
      <c r="B2299" s="10">
        <v>84</v>
      </c>
      <c r="C2299" s="10" t="s">
        <v>2544</v>
      </c>
      <c r="D2299" s="10">
        <v>8496</v>
      </c>
      <c r="E2299" s="10" t="s">
        <v>2586</v>
      </c>
      <c r="F2299" s="10">
        <v>0</v>
      </c>
      <c r="G2299" s="10" t="s">
        <v>343</v>
      </c>
      <c r="H2299" s="10">
        <v>0</v>
      </c>
      <c r="I2299" s="10" t="s">
        <v>343</v>
      </c>
      <c r="J2299" s="11">
        <v>4452</v>
      </c>
      <c r="K2299" s="11">
        <v>4836</v>
      </c>
      <c r="L2299" s="11">
        <v>9288</v>
      </c>
      <c r="M2299" s="11">
        <v>4989</v>
      </c>
    </row>
    <row r="2300" spans="1:13" x14ac:dyDescent="0.3">
      <c r="A2300" s="10">
        <v>6712</v>
      </c>
      <c r="B2300" s="10">
        <v>84</v>
      </c>
      <c r="C2300" s="10" t="s">
        <v>2544</v>
      </c>
      <c r="D2300" s="10">
        <v>8497</v>
      </c>
      <c r="E2300" s="10" t="s">
        <v>2587</v>
      </c>
      <c r="F2300" s="10">
        <v>0</v>
      </c>
      <c r="G2300" s="10" t="s">
        <v>343</v>
      </c>
      <c r="H2300" s="10">
        <v>0</v>
      </c>
      <c r="I2300" s="10" t="s">
        <v>343</v>
      </c>
      <c r="J2300" s="11">
        <v>8526</v>
      </c>
      <c r="K2300" s="11">
        <v>9166</v>
      </c>
      <c r="L2300" s="11">
        <v>17692</v>
      </c>
      <c r="M2300" s="11">
        <v>9232</v>
      </c>
    </row>
    <row r="2301" spans="1:13" x14ac:dyDescent="0.3">
      <c r="A2301" s="10">
        <v>6712</v>
      </c>
      <c r="B2301" s="10">
        <v>84</v>
      </c>
      <c r="C2301" s="10" t="s">
        <v>2544</v>
      </c>
      <c r="D2301" s="10">
        <v>8498</v>
      </c>
      <c r="E2301" s="10" t="s">
        <v>2588</v>
      </c>
      <c r="F2301" s="10">
        <v>0</v>
      </c>
      <c r="G2301" s="10" t="s">
        <v>343</v>
      </c>
      <c r="H2301" s="10">
        <v>0</v>
      </c>
      <c r="I2301" s="10" t="s">
        <v>343</v>
      </c>
      <c r="J2301" s="11">
        <v>9254</v>
      </c>
      <c r="K2301" s="11">
        <v>9729</v>
      </c>
      <c r="L2301" s="11">
        <v>18983</v>
      </c>
      <c r="M2301" s="11">
        <v>8609</v>
      </c>
    </row>
    <row r="2302" spans="1:13" x14ac:dyDescent="0.3">
      <c r="A2302" s="10">
        <v>6712</v>
      </c>
      <c r="B2302" s="10">
        <v>84</v>
      </c>
      <c r="C2302" s="10" t="s">
        <v>2544</v>
      </c>
      <c r="D2302" s="10">
        <v>8499</v>
      </c>
      <c r="E2302" s="10" t="s">
        <v>2589</v>
      </c>
      <c r="F2302" s="10">
        <v>0</v>
      </c>
      <c r="G2302" s="10" t="s">
        <v>343</v>
      </c>
      <c r="H2302" s="10">
        <v>0</v>
      </c>
      <c r="I2302" s="10" t="s">
        <v>343</v>
      </c>
      <c r="J2302" s="11">
        <v>61825</v>
      </c>
      <c r="K2302" s="11">
        <v>69060</v>
      </c>
      <c r="L2302" s="11">
        <v>130885</v>
      </c>
      <c r="M2302" s="11">
        <v>79259</v>
      </c>
    </row>
    <row r="2303" spans="1:13" x14ac:dyDescent="0.3">
      <c r="A2303" s="10">
        <v>6712</v>
      </c>
      <c r="B2303" s="10">
        <v>85</v>
      </c>
      <c r="C2303" s="10" t="s">
        <v>2590</v>
      </c>
      <c r="D2303" s="10">
        <v>0</v>
      </c>
      <c r="E2303" s="10" t="s">
        <v>343</v>
      </c>
      <c r="F2303" s="10">
        <v>0</v>
      </c>
      <c r="G2303" s="10" t="s">
        <v>343</v>
      </c>
      <c r="H2303" s="10">
        <v>0</v>
      </c>
      <c r="I2303" s="10" t="s">
        <v>343</v>
      </c>
      <c r="J2303" s="11">
        <v>96944</v>
      </c>
      <c r="K2303" s="11">
        <v>95983</v>
      </c>
      <c r="L2303" s="11">
        <v>192927</v>
      </c>
      <c r="M2303" s="11">
        <v>98370</v>
      </c>
    </row>
    <row r="2304" spans="1:13" x14ac:dyDescent="0.3">
      <c r="A2304" s="10">
        <v>6712</v>
      </c>
      <c r="B2304" s="10">
        <v>85</v>
      </c>
      <c r="C2304" s="10" t="s">
        <v>2590</v>
      </c>
      <c r="D2304" s="10">
        <v>8501</v>
      </c>
      <c r="E2304" s="10" t="s">
        <v>2591</v>
      </c>
      <c r="F2304" s="10">
        <v>0</v>
      </c>
      <c r="G2304" s="10" t="s">
        <v>343</v>
      </c>
      <c r="H2304" s="10">
        <v>0</v>
      </c>
      <c r="I2304" s="10" t="s">
        <v>343</v>
      </c>
      <c r="J2304" s="11">
        <v>35589</v>
      </c>
      <c r="K2304" s="11">
        <v>35295</v>
      </c>
      <c r="L2304" s="11">
        <v>70884</v>
      </c>
      <c r="M2304" s="11">
        <v>40595</v>
      </c>
    </row>
    <row r="2305" spans="1:13" x14ac:dyDescent="0.3">
      <c r="A2305" s="10">
        <v>6712</v>
      </c>
      <c r="B2305" s="10">
        <v>85</v>
      </c>
      <c r="C2305" s="10" t="s">
        <v>2590</v>
      </c>
      <c r="D2305" s="10">
        <v>8502</v>
      </c>
      <c r="E2305" s="10" t="s">
        <v>2592</v>
      </c>
      <c r="F2305" s="10">
        <v>0</v>
      </c>
      <c r="G2305" s="10" t="s">
        <v>343</v>
      </c>
      <c r="H2305" s="10">
        <v>0</v>
      </c>
      <c r="I2305" s="10" t="s">
        <v>343</v>
      </c>
      <c r="J2305" s="11">
        <v>6413</v>
      </c>
      <c r="K2305" s="11">
        <v>6238</v>
      </c>
      <c r="L2305" s="11">
        <v>12651</v>
      </c>
      <c r="M2305" s="11">
        <v>5838</v>
      </c>
    </row>
    <row r="2306" spans="1:13" x14ac:dyDescent="0.3">
      <c r="A2306" s="10">
        <v>6712</v>
      </c>
      <c r="B2306" s="10">
        <v>85</v>
      </c>
      <c r="C2306" s="10" t="s">
        <v>2590</v>
      </c>
      <c r="D2306" s="10">
        <v>8503</v>
      </c>
      <c r="E2306" s="10" t="s">
        <v>2593</v>
      </c>
      <c r="F2306" s="10">
        <v>0</v>
      </c>
      <c r="G2306" s="10" t="s">
        <v>343</v>
      </c>
      <c r="H2306" s="10">
        <v>0</v>
      </c>
      <c r="I2306" s="10" t="s">
        <v>343</v>
      </c>
      <c r="J2306" s="11">
        <v>10441</v>
      </c>
      <c r="K2306" s="11">
        <v>10188</v>
      </c>
      <c r="L2306" s="11">
        <v>20629</v>
      </c>
      <c r="M2306" s="11">
        <v>8463</v>
      </c>
    </row>
    <row r="2307" spans="1:13" x14ac:dyDescent="0.3">
      <c r="A2307" s="10">
        <v>6712</v>
      </c>
      <c r="B2307" s="10">
        <v>85</v>
      </c>
      <c r="C2307" s="10" t="s">
        <v>2590</v>
      </c>
      <c r="D2307" s="10">
        <v>8504</v>
      </c>
      <c r="E2307" s="10" t="s">
        <v>2594</v>
      </c>
      <c r="F2307" s="10">
        <v>0</v>
      </c>
      <c r="G2307" s="10" t="s">
        <v>343</v>
      </c>
      <c r="H2307" s="10">
        <v>0</v>
      </c>
      <c r="I2307" s="10" t="s">
        <v>343</v>
      </c>
      <c r="J2307" s="11">
        <v>22683</v>
      </c>
      <c r="K2307" s="11">
        <v>21923</v>
      </c>
      <c r="L2307" s="11">
        <v>44606</v>
      </c>
      <c r="M2307" s="11">
        <v>23388</v>
      </c>
    </row>
    <row r="2308" spans="1:13" x14ac:dyDescent="0.3">
      <c r="A2308" s="10">
        <v>6712</v>
      </c>
      <c r="B2308" s="10">
        <v>85</v>
      </c>
      <c r="C2308" s="10" t="s">
        <v>2590</v>
      </c>
      <c r="D2308" s="10">
        <v>8505</v>
      </c>
      <c r="E2308" s="10" t="s">
        <v>2595</v>
      </c>
      <c r="F2308" s="10">
        <v>0</v>
      </c>
      <c r="G2308" s="10" t="s">
        <v>343</v>
      </c>
      <c r="H2308" s="10">
        <v>0</v>
      </c>
      <c r="I2308" s="10" t="s">
        <v>343</v>
      </c>
      <c r="J2308" s="11">
        <v>7389</v>
      </c>
      <c r="K2308" s="11">
        <v>7461</v>
      </c>
      <c r="L2308" s="11">
        <v>14850</v>
      </c>
      <c r="M2308" s="11">
        <v>4845</v>
      </c>
    </row>
    <row r="2309" spans="1:13" x14ac:dyDescent="0.3">
      <c r="A2309" s="10">
        <v>6712</v>
      </c>
      <c r="B2309" s="10">
        <v>85</v>
      </c>
      <c r="C2309" s="10" t="s">
        <v>2590</v>
      </c>
      <c r="D2309" s="10">
        <v>8594</v>
      </c>
      <c r="E2309" s="10" t="s">
        <v>2596</v>
      </c>
      <c r="F2309" s="10">
        <v>0</v>
      </c>
      <c r="G2309" s="10" t="s">
        <v>343</v>
      </c>
      <c r="H2309" s="10">
        <v>0</v>
      </c>
      <c r="I2309" s="10" t="s">
        <v>343</v>
      </c>
      <c r="J2309" s="11">
        <v>1697</v>
      </c>
      <c r="K2309" s="11">
        <v>1744</v>
      </c>
      <c r="L2309" s="11">
        <v>3441</v>
      </c>
      <c r="M2309" s="11">
        <v>2010</v>
      </c>
    </row>
    <row r="2310" spans="1:13" x14ac:dyDescent="0.3">
      <c r="A2310" s="10">
        <v>6712</v>
      </c>
      <c r="B2310" s="10">
        <v>85</v>
      </c>
      <c r="C2310" s="10" t="s">
        <v>2590</v>
      </c>
      <c r="D2310" s="10">
        <v>8595</v>
      </c>
      <c r="E2310" s="10" t="s">
        <v>2597</v>
      </c>
      <c r="F2310" s="10">
        <v>0</v>
      </c>
      <c r="G2310" s="10" t="s">
        <v>343</v>
      </c>
      <c r="H2310" s="10">
        <v>0</v>
      </c>
      <c r="I2310" s="10" t="s">
        <v>343</v>
      </c>
      <c r="J2310" s="10">
        <v>765</v>
      </c>
      <c r="K2310" s="10">
        <v>798</v>
      </c>
      <c r="L2310" s="11">
        <v>1563</v>
      </c>
      <c r="M2310" s="10">
        <v>687</v>
      </c>
    </row>
    <row r="2311" spans="1:13" x14ac:dyDescent="0.3">
      <c r="A2311" s="10">
        <v>6712</v>
      </c>
      <c r="B2311" s="10">
        <v>85</v>
      </c>
      <c r="C2311" s="10" t="s">
        <v>2590</v>
      </c>
      <c r="D2311" s="10">
        <v>8596</v>
      </c>
      <c r="E2311" s="10" t="s">
        <v>2598</v>
      </c>
      <c r="F2311" s="10">
        <v>0</v>
      </c>
      <c r="G2311" s="10" t="s">
        <v>343</v>
      </c>
      <c r="H2311" s="10">
        <v>0</v>
      </c>
      <c r="I2311" s="10" t="s">
        <v>343</v>
      </c>
      <c r="J2311" s="11">
        <v>1344</v>
      </c>
      <c r="K2311" s="11">
        <v>1287</v>
      </c>
      <c r="L2311" s="11">
        <v>2631</v>
      </c>
      <c r="M2311" s="11">
        <v>1244</v>
      </c>
    </row>
    <row r="2312" spans="1:13" x14ac:dyDescent="0.3">
      <c r="A2312" s="10">
        <v>6712</v>
      </c>
      <c r="B2312" s="10">
        <v>85</v>
      </c>
      <c r="C2312" s="10" t="s">
        <v>2590</v>
      </c>
      <c r="D2312" s="10">
        <v>8597</v>
      </c>
      <c r="E2312" s="10" t="s">
        <v>2599</v>
      </c>
      <c r="F2312" s="10">
        <v>0</v>
      </c>
      <c r="G2312" s="10" t="s">
        <v>343</v>
      </c>
      <c r="H2312" s="10">
        <v>0</v>
      </c>
      <c r="I2312" s="10" t="s">
        <v>343</v>
      </c>
      <c r="J2312" s="11">
        <v>1159</v>
      </c>
      <c r="K2312" s="11">
        <v>1259</v>
      </c>
      <c r="L2312" s="11">
        <v>2418</v>
      </c>
      <c r="M2312" s="11">
        <v>1131</v>
      </c>
    </row>
    <row r="2313" spans="1:13" x14ac:dyDescent="0.3">
      <c r="A2313" s="10">
        <v>6712</v>
      </c>
      <c r="B2313" s="10">
        <v>85</v>
      </c>
      <c r="C2313" s="10" t="s">
        <v>2590</v>
      </c>
      <c r="D2313" s="10">
        <v>8598</v>
      </c>
      <c r="E2313" s="10" t="s">
        <v>820</v>
      </c>
      <c r="F2313" s="10">
        <v>0</v>
      </c>
      <c r="G2313" s="10" t="s">
        <v>343</v>
      </c>
      <c r="H2313" s="10">
        <v>0</v>
      </c>
      <c r="I2313" s="10" t="s">
        <v>343</v>
      </c>
      <c r="J2313" s="11">
        <v>1220</v>
      </c>
      <c r="K2313" s="11">
        <v>1125</v>
      </c>
      <c r="L2313" s="11">
        <v>2345</v>
      </c>
      <c r="M2313" s="11">
        <v>1836</v>
      </c>
    </row>
    <row r="2314" spans="1:13" x14ac:dyDescent="0.3">
      <c r="A2314" s="10">
        <v>6712</v>
      </c>
      <c r="B2314" s="10">
        <v>85</v>
      </c>
      <c r="C2314" s="10" t="s">
        <v>2590</v>
      </c>
      <c r="D2314" s="10">
        <v>8599</v>
      </c>
      <c r="E2314" s="10" t="s">
        <v>2600</v>
      </c>
      <c r="F2314" s="10">
        <v>0</v>
      </c>
      <c r="G2314" s="10" t="s">
        <v>343</v>
      </c>
      <c r="H2314" s="10">
        <v>0</v>
      </c>
      <c r="I2314" s="10" t="s">
        <v>343</v>
      </c>
      <c r="J2314" s="11">
        <v>8244</v>
      </c>
      <c r="K2314" s="11">
        <v>8665</v>
      </c>
      <c r="L2314" s="11">
        <v>16909</v>
      </c>
      <c r="M2314" s="11">
        <v>8333</v>
      </c>
    </row>
    <row r="2315" spans="1:13" x14ac:dyDescent="0.3">
      <c r="A2315" s="10">
        <v>6712</v>
      </c>
      <c r="B2315" s="10">
        <v>86</v>
      </c>
      <c r="C2315" s="10" t="s">
        <v>2601</v>
      </c>
      <c r="D2315" s="10">
        <v>0</v>
      </c>
      <c r="E2315" s="10" t="s">
        <v>343</v>
      </c>
      <c r="F2315" s="10">
        <v>0</v>
      </c>
      <c r="G2315" s="10" t="s">
        <v>343</v>
      </c>
      <c r="H2315" s="10">
        <v>0</v>
      </c>
      <c r="I2315" s="10" t="s">
        <v>343</v>
      </c>
      <c r="J2315" s="11">
        <v>250267</v>
      </c>
      <c r="K2315" s="11">
        <v>257786</v>
      </c>
      <c r="L2315" s="11">
        <v>508053</v>
      </c>
      <c r="M2315" s="11">
        <v>256148</v>
      </c>
    </row>
    <row r="2316" spans="1:13" x14ac:dyDescent="0.3">
      <c r="A2316" s="10">
        <v>6712</v>
      </c>
      <c r="B2316" s="10">
        <v>86</v>
      </c>
      <c r="C2316" s="10" t="s">
        <v>2601</v>
      </c>
      <c r="D2316" s="10">
        <v>8601</v>
      </c>
      <c r="E2316" s="10" t="s">
        <v>2602</v>
      </c>
      <c r="F2316" s="10">
        <v>0</v>
      </c>
      <c r="G2316" s="10" t="s">
        <v>343</v>
      </c>
      <c r="H2316" s="10">
        <v>0</v>
      </c>
      <c r="I2316" s="10" t="s">
        <v>343</v>
      </c>
      <c r="J2316" s="11">
        <v>46282</v>
      </c>
      <c r="K2316" s="11">
        <v>47336</v>
      </c>
      <c r="L2316" s="11">
        <v>93618</v>
      </c>
      <c r="M2316" s="11">
        <v>47513</v>
      </c>
    </row>
    <row r="2317" spans="1:13" x14ac:dyDescent="0.3">
      <c r="A2317" s="10">
        <v>6712</v>
      </c>
      <c r="B2317" s="10">
        <v>86</v>
      </c>
      <c r="C2317" s="10" t="s">
        <v>2601</v>
      </c>
      <c r="D2317" s="10">
        <v>8602</v>
      </c>
      <c r="E2317" s="10" t="s">
        <v>2603</v>
      </c>
      <c r="F2317" s="10">
        <v>0</v>
      </c>
      <c r="G2317" s="10" t="s">
        <v>343</v>
      </c>
      <c r="H2317" s="10">
        <v>0</v>
      </c>
      <c r="I2317" s="10" t="s">
        <v>343</v>
      </c>
      <c r="J2317" s="11">
        <v>41279</v>
      </c>
      <c r="K2317" s="11">
        <v>41506</v>
      </c>
      <c r="L2317" s="11">
        <v>82785</v>
      </c>
      <c r="M2317" s="11">
        <v>37440</v>
      </c>
    </row>
    <row r="2318" spans="1:13" x14ac:dyDescent="0.3">
      <c r="A2318" s="10">
        <v>6712</v>
      </c>
      <c r="B2318" s="10">
        <v>86</v>
      </c>
      <c r="C2318" s="10" t="s">
        <v>2601</v>
      </c>
      <c r="D2318" s="10">
        <v>8603</v>
      </c>
      <c r="E2318" s="10" t="s">
        <v>2604</v>
      </c>
      <c r="F2318" s="10">
        <v>0</v>
      </c>
      <c r="G2318" s="10" t="s">
        <v>343</v>
      </c>
      <c r="H2318" s="10">
        <v>0</v>
      </c>
      <c r="I2318" s="10" t="s">
        <v>343</v>
      </c>
      <c r="J2318" s="11">
        <v>19659</v>
      </c>
      <c r="K2318" s="11">
        <v>20161</v>
      </c>
      <c r="L2318" s="11">
        <v>39820</v>
      </c>
      <c r="M2318" s="11">
        <v>19062</v>
      </c>
    </row>
    <row r="2319" spans="1:13" x14ac:dyDescent="0.3">
      <c r="A2319" s="10">
        <v>6712</v>
      </c>
      <c r="B2319" s="10">
        <v>86</v>
      </c>
      <c r="C2319" s="10" t="s">
        <v>2601</v>
      </c>
      <c r="D2319" s="10">
        <v>8604</v>
      </c>
      <c r="E2319" s="10" t="s">
        <v>2605</v>
      </c>
      <c r="F2319" s="10">
        <v>0</v>
      </c>
      <c r="G2319" s="10" t="s">
        <v>343</v>
      </c>
      <c r="H2319" s="10">
        <v>0</v>
      </c>
      <c r="I2319" s="10" t="s">
        <v>343</v>
      </c>
      <c r="J2319" s="11">
        <v>27594</v>
      </c>
      <c r="K2319" s="11">
        <v>28722</v>
      </c>
      <c r="L2319" s="11">
        <v>56316</v>
      </c>
      <c r="M2319" s="11">
        <v>26186</v>
      </c>
    </row>
    <row r="2320" spans="1:13" x14ac:dyDescent="0.3">
      <c r="A2320" s="10">
        <v>6712</v>
      </c>
      <c r="B2320" s="10">
        <v>86</v>
      </c>
      <c r="C2320" s="10" t="s">
        <v>2601</v>
      </c>
      <c r="D2320" s="10">
        <v>8605</v>
      </c>
      <c r="E2320" s="10" t="s">
        <v>2606</v>
      </c>
      <c r="F2320" s="10">
        <v>0</v>
      </c>
      <c r="G2320" s="10" t="s">
        <v>343</v>
      </c>
      <c r="H2320" s="10">
        <v>0</v>
      </c>
      <c r="I2320" s="10" t="s">
        <v>343</v>
      </c>
      <c r="J2320" s="11">
        <v>12994</v>
      </c>
      <c r="K2320" s="11">
        <v>12964</v>
      </c>
      <c r="L2320" s="11">
        <v>25958</v>
      </c>
      <c r="M2320" s="11">
        <v>12433</v>
      </c>
    </row>
    <row r="2321" spans="1:13" x14ac:dyDescent="0.3">
      <c r="A2321" s="10">
        <v>6712</v>
      </c>
      <c r="B2321" s="10">
        <v>86</v>
      </c>
      <c r="C2321" s="10" t="s">
        <v>2601</v>
      </c>
      <c r="D2321" s="10">
        <v>8606</v>
      </c>
      <c r="E2321" s="10" t="s">
        <v>2607</v>
      </c>
      <c r="F2321" s="10">
        <v>0</v>
      </c>
      <c r="G2321" s="10" t="s">
        <v>343</v>
      </c>
      <c r="H2321" s="10">
        <v>0</v>
      </c>
      <c r="I2321" s="10" t="s">
        <v>343</v>
      </c>
      <c r="J2321" s="11">
        <v>11829</v>
      </c>
      <c r="K2321" s="11">
        <v>11426</v>
      </c>
      <c r="L2321" s="11">
        <v>23255</v>
      </c>
      <c r="M2321" s="11">
        <v>11354</v>
      </c>
    </row>
    <row r="2322" spans="1:13" x14ac:dyDescent="0.3">
      <c r="A2322" s="10">
        <v>6712</v>
      </c>
      <c r="B2322" s="10">
        <v>86</v>
      </c>
      <c r="C2322" s="10" t="s">
        <v>2601</v>
      </c>
      <c r="D2322" s="10">
        <v>8607</v>
      </c>
      <c r="E2322" s="10" t="s">
        <v>2608</v>
      </c>
      <c r="F2322" s="10">
        <v>0</v>
      </c>
      <c r="G2322" s="10" t="s">
        <v>343</v>
      </c>
      <c r="H2322" s="10">
        <v>0</v>
      </c>
      <c r="I2322" s="10" t="s">
        <v>343</v>
      </c>
      <c r="J2322" s="11">
        <v>34696</v>
      </c>
      <c r="K2322" s="11">
        <v>35098</v>
      </c>
      <c r="L2322" s="11">
        <v>69794</v>
      </c>
      <c r="M2322" s="11">
        <v>33712</v>
      </c>
    </row>
    <row r="2323" spans="1:13" x14ac:dyDescent="0.3">
      <c r="A2323" s="10">
        <v>6712</v>
      </c>
      <c r="B2323" s="10">
        <v>86</v>
      </c>
      <c r="C2323" s="10" t="s">
        <v>2601</v>
      </c>
      <c r="D2323" s="10">
        <v>8608</v>
      </c>
      <c r="E2323" s="10" t="s">
        <v>2609</v>
      </c>
      <c r="F2323" s="10">
        <v>0</v>
      </c>
      <c r="G2323" s="10" t="s">
        <v>343</v>
      </c>
      <c r="H2323" s="10">
        <v>0</v>
      </c>
      <c r="I2323" s="10" t="s">
        <v>343</v>
      </c>
      <c r="J2323" s="11">
        <v>10881</v>
      </c>
      <c r="K2323" s="11">
        <v>10855</v>
      </c>
      <c r="L2323" s="11">
        <v>21736</v>
      </c>
      <c r="M2323" s="11">
        <v>10400</v>
      </c>
    </row>
    <row r="2324" spans="1:13" x14ac:dyDescent="0.3">
      <c r="A2324" s="10">
        <v>6712</v>
      </c>
      <c r="B2324" s="10">
        <v>86</v>
      </c>
      <c r="C2324" s="10" t="s">
        <v>2601</v>
      </c>
      <c r="D2324" s="10">
        <v>8685</v>
      </c>
      <c r="E2324" s="10" t="s">
        <v>2610</v>
      </c>
      <c r="F2324" s="10">
        <v>0</v>
      </c>
      <c r="G2324" s="10" t="s">
        <v>343</v>
      </c>
      <c r="H2324" s="10">
        <v>0</v>
      </c>
      <c r="I2324" s="10" t="s">
        <v>343</v>
      </c>
      <c r="J2324" s="11">
        <v>5037</v>
      </c>
      <c r="K2324" s="11">
        <v>5312</v>
      </c>
      <c r="L2324" s="11">
        <v>10349</v>
      </c>
      <c r="M2324" s="11">
        <v>4985</v>
      </c>
    </row>
    <row r="2325" spans="1:13" x14ac:dyDescent="0.3">
      <c r="A2325" s="10">
        <v>6712</v>
      </c>
      <c r="B2325" s="10">
        <v>86</v>
      </c>
      <c r="C2325" s="10" t="s">
        <v>2601</v>
      </c>
      <c r="D2325" s="10">
        <v>8686</v>
      </c>
      <c r="E2325" s="10" t="s">
        <v>2611</v>
      </c>
      <c r="F2325" s="10">
        <v>0</v>
      </c>
      <c r="G2325" s="10" t="s">
        <v>343</v>
      </c>
      <c r="H2325" s="10">
        <v>0</v>
      </c>
      <c r="I2325" s="10" t="s">
        <v>343</v>
      </c>
      <c r="J2325" s="11">
        <v>2027</v>
      </c>
      <c r="K2325" s="11">
        <v>1986</v>
      </c>
      <c r="L2325" s="11">
        <v>4013</v>
      </c>
      <c r="M2325" s="11">
        <v>1719</v>
      </c>
    </row>
    <row r="2326" spans="1:13" x14ac:dyDescent="0.3">
      <c r="A2326" s="10">
        <v>6712</v>
      </c>
      <c r="B2326" s="10">
        <v>86</v>
      </c>
      <c r="C2326" s="10" t="s">
        <v>2601</v>
      </c>
      <c r="D2326" s="10">
        <v>8687</v>
      </c>
      <c r="E2326" s="10" t="s">
        <v>1009</v>
      </c>
      <c r="F2326" s="10">
        <v>0</v>
      </c>
      <c r="G2326" s="10" t="s">
        <v>343</v>
      </c>
      <c r="H2326" s="10">
        <v>0</v>
      </c>
      <c r="I2326" s="10" t="s">
        <v>343</v>
      </c>
      <c r="J2326" s="11">
        <v>1348</v>
      </c>
      <c r="K2326" s="11">
        <v>1535</v>
      </c>
      <c r="L2326" s="11">
        <v>2883</v>
      </c>
      <c r="M2326" s="11">
        <v>1726</v>
      </c>
    </row>
    <row r="2327" spans="1:13" x14ac:dyDescent="0.3">
      <c r="A2327" s="10">
        <v>6712</v>
      </c>
      <c r="B2327" s="10">
        <v>86</v>
      </c>
      <c r="C2327" s="10" t="s">
        <v>2601</v>
      </c>
      <c r="D2327" s="10">
        <v>8688</v>
      </c>
      <c r="E2327" s="10" t="s">
        <v>2612</v>
      </c>
      <c r="F2327" s="10">
        <v>0</v>
      </c>
      <c r="G2327" s="10" t="s">
        <v>343</v>
      </c>
      <c r="H2327" s="10">
        <v>0</v>
      </c>
      <c r="I2327" s="10" t="s">
        <v>343</v>
      </c>
      <c r="J2327" s="10">
        <v>760</v>
      </c>
      <c r="K2327" s="10">
        <v>753</v>
      </c>
      <c r="L2327" s="11">
        <v>1513</v>
      </c>
      <c r="M2327" s="10">
        <v>717</v>
      </c>
    </row>
    <row r="2328" spans="1:13" x14ac:dyDescent="0.3">
      <c r="A2328" s="10">
        <v>6712</v>
      </c>
      <c r="B2328" s="10">
        <v>86</v>
      </c>
      <c r="C2328" s="10" t="s">
        <v>2601</v>
      </c>
      <c r="D2328" s="10">
        <v>8689</v>
      </c>
      <c r="E2328" s="10" t="s">
        <v>2613</v>
      </c>
      <c r="F2328" s="10">
        <v>0</v>
      </c>
      <c r="G2328" s="10" t="s">
        <v>343</v>
      </c>
      <c r="H2328" s="10">
        <v>0</v>
      </c>
      <c r="I2328" s="10" t="s">
        <v>343</v>
      </c>
      <c r="J2328" s="11">
        <v>1582</v>
      </c>
      <c r="K2328" s="11">
        <v>1701</v>
      </c>
      <c r="L2328" s="11">
        <v>3283</v>
      </c>
      <c r="M2328" s="11">
        <v>2038</v>
      </c>
    </row>
    <row r="2329" spans="1:13" x14ac:dyDescent="0.3">
      <c r="A2329" s="10">
        <v>6712</v>
      </c>
      <c r="B2329" s="10">
        <v>86</v>
      </c>
      <c r="C2329" s="10" t="s">
        <v>2601</v>
      </c>
      <c r="D2329" s="10">
        <v>8690</v>
      </c>
      <c r="E2329" s="10" t="s">
        <v>2614</v>
      </c>
      <c r="F2329" s="10">
        <v>0</v>
      </c>
      <c r="G2329" s="10" t="s">
        <v>343</v>
      </c>
      <c r="H2329" s="10">
        <v>0</v>
      </c>
      <c r="I2329" s="10" t="s">
        <v>343</v>
      </c>
      <c r="J2329" s="11">
        <v>3105</v>
      </c>
      <c r="K2329" s="11">
        <v>3201</v>
      </c>
      <c r="L2329" s="11">
        <v>6306</v>
      </c>
      <c r="M2329" s="11">
        <v>3210</v>
      </c>
    </row>
    <row r="2330" spans="1:13" x14ac:dyDescent="0.3">
      <c r="A2330" s="10">
        <v>6712</v>
      </c>
      <c r="B2330" s="10">
        <v>86</v>
      </c>
      <c r="C2330" s="10" t="s">
        <v>2601</v>
      </c>
      <c r="D2330" s="10">
        <v>8691</v>
      </c>
      <c r="E2330" s="10" t="s">
        <v>2615</v>
      </c>
      <c r="F2330" s="10">
        <v>0</v>
      </c>
      <c r="G2330" s="10" t="s">
        <v>343</v>
      </c>
      <c r="H2330" s="10">
        <v>0</v>
      </c>
      <c r="I2330" s="10" t="s">
        <v>343</v>
      </c>
      <c r="J2330" s="11">
        <v>1030</v>
      </c>
      <c r="K2330" s="11">
        <v>1101</v>
      </c>
      <c r="L2330" s="11">
        <v>2131</v>
      </c>
      <c r="M2330" s="11">
        <v>1212</v>
      </c>
    </row>
    <row r="2331" spans="1:13" x14ac:dyDescent="0.3">
      <c r="A2331" s="10">
        <v>6712</v>
      </c>
      <c r="B2331" s="10">
        <v>86</v>
      </c>
      <c r="C2331" s="10" t="s">
        <v>2601</v>
      </c>
      <c r="D2331" s="10">
        <v>8692</v>
      </c>
      <c r="E2331" s="10" t="s">
        <v>2616</v>
      </c>
      <c r="F2331" s="10">
        <v>0</v>
      </c>
      <c r="G2331" s="10" t="s">
        <v>343</v>
      </c>
      <c r="H2331" s="10">
        <v>0</v>
      </c>
      <c r="I2331" s="10" t="s">
        <v>343</v>
      </c>
      <c r="J2331" s="11">
        <v>1740</v>
      </c>
      <c r="K2331" s="11">
        <v>1810</v>
      </c>
      <c r="L2331" s="11">
        <v>3550</v>
      </c>
      <c r="M2331" s="11">
        <v>2307</v>
      </c>
    </row>
    <row r="2332" spans="1:13" x14ac:dyDescent="0.3">
      <c r="A2332" s="10">
        <v>6712</v>
      </c>
      <c r="B2332" s="10">
        <v>86</v>
      </c>
      <c r="C2332" s="10" t="s">
        <v>2601</v>
      </c>
      <c r="D2332" s="10">
        <v>8693</v>
      </c>
      <c r="E2332" s="10" t="s">
        <v>2617</v>
      </c>
      <c r="F2332" s="10">
        <v>0</v>
      </c>
      <c r="G2332" s="10" t="s">
        <v>343</v>
      </c>
      <c r="H2332" s="10">
        <v>0</v>
      </c>
      <c r="I2332" s="10" t="s">
        <v>343</v>
      </c>
      <c r="J2332" s="10">
        <v>582</v>
      </c>
      <c r="K2332" s="10">
        <v>657</v>
      </c>
      <c r="L2332" s="11">
        <v>1239</v>
      </c>
      <c r="M2332" s="10">
        <v>908</v>
      </c>
    </row>
    <row r="2333" spans="1:13" x14ac:dyDescent="0.3">
      <c r="A2333" s="10">
        <v>6712</v>
      </c>
      <c r="B2333" s="10">
        <v>86</v>
      </c>
      <c r="C2333" s="10" t="s">
        <v>2601</v>
      </c>
      <c r="D2333" s="10">
        <v>8694</v>
      </c>
      <c r="E2333" s="10" t="s">
        <v>2618</v>
      </c>
      <c r="F2333" s="10">
        <v>0</v>
      </c>
      <c r="G2333" s="10" t="s">
        <v>343</v>
      </c>
      <c r="H2333" s="10">
        <v>0</v>
      </c>
      <c r="I2333" s="10" t="s">
        <v>343</v>
      </c>
      <c r="J2333" s="10">
        <v>920</v>
      </c>
      <c r="K2333" s="10">
        <v>959</v>
      </c>
      <c r="L2333" s="11">
        <v>1879</v>
      </c>
      <c r="M2333" s="11">
        <v>1346</v>
      </c>
    </row>
    <row r="2334" spans="1:13" x14ac:dyDescent="0.3">
      <c r="A2334" s="10">
        <v>6712</v>
      </c>
      <c r="B2334" s="10">
        <v>86</v>
      </c>
      <c r="C2334" s="10" t="s">
        <v>2601</v>
      </c>
      <c r="D2334" s="10">
        <v>8695</v>
      </c>
      <c r="E2334" s="10" t="s">
        <v>2619</v>
      </c>
      <c r="F2334" s="10">
        <v>0</v>
      </c>
      <c r="G2334" s="10" t="s">
        <v>343</v>
      </c>
      <c r="H2334" s="10">
        <v>0</v>
      </c>
      <c r="I2334" s="10" t="s">
        <v>343</v>
      </c>
      <c r="J2334" s="10">
        <v>938</v>
      </c>
      <c r="K2334" s="11">
        <v>1046</v>
      </c>
      <c r="L2334" s="11">
        <v>1984</v>
      </c>
      <c r="M2334" s="11">
        <v>1439</v>
      </c>
    </row>
    <row r="2335" spans="1:13" x14ac:dyDescent="0.3">
      <c r="A2335" s="10">
        <v>6712</v>
      </c>
      <c r="B2335" s="10">
        <v>86</v>
      </c>
      <c r="C2335" s="10" t="s">
        <v>2601</v>
      </c>
      <c r="D2335" s="10">
        <v>8696</v>
      </c>
      <c r="E2335" s="10" t="s">
        <v>2620</v>
      </c>
      <c r="F2335" s="10">
        <v>0</v>
      </c>
      <c r="G2335" s="10" t="s">
        <v>343</v>
      </c>
      <c r="H2335" s="10">
        <v>0</v>
      </c>
      <c r="I2335" s="10" t="s">
        <v>343</v>
      </c>
      <c r="J2335" s="11">
        <v>3184</v>
      </c>
      <c r="K2335" s="11">
        <v>3513</v>
      </c>
      <c r="L2335" s="11">
        <v>6697</v>
      </c>
      <c r="M2335" s="11">
        <v>4920</v>
      </c>
    </row>
    <row r="2336" spans="1:13" x14ac:dyDescent="0.3">
      <c r="A2336" s="10">
        <v>6712</v>
      </c>
      <c r="B2336" s="10">
        <v>86</v>
      </c>
      <c r="C2336" s="10" t="s">
        <v>2601</v>
      </c>
      <c r="D2336" s="10">
        <v>8697</v>
      </c>
      <c r="E2336" s="10" t="s">
        <v>2621</v>
      </c>
      <c r="F2336" s="10">
        <v>0</v>
      </c>
      <c r="G2336" s="10" t="s">
        <v>343</v>
      </c>
      <c r="H2336" s="10">
        <v>0</v>
      </c>
      <c r="I2336" s="10" t="s">
        <v>343</v>
      </c>
      <c r="J2336" s="11">
        <v>2894</v>
      </c>
      <c r="K2336" s="11">
        <v>3044</v>
      </c>
      <c r="L2336" s="11">
        <v>5938</v>
      </c>
      <c r="M2336" s="11">
        <v>3466</v>
      </c>
    </row>
    <row r="2337" spans="1:13" x14ac:dyDescent="0.3">
      <c r="A2337" s="10">
        <v>6712</v>
      </c>
      <c r="B2337" s="10">
        <v>86</v>
      </c>
      <c r="C2337" s="10" t="s">
        <v>2601</v>
      </c>
      <c r="D2337" s="10">
        <v>8698</v>
      </c>
      <c r="E2337" s="10" t="s">
        <v>2622</v>
      </c>
      <c r="F2337" s="10">
        <v>0</v>
      </c>
      <c r="G2337" s="10" t="s">
        <v>343</v>
      </c>
      <c r="H2337" s="10">
        <v>0</v>
      </c>
      <c r="I2337" s="10" t="s">
        <v>343</v>
      </c>
      <c r="J2337" s="11">
        <v>5050</v>
      </c>
      <c r="K2337" s="11">
        <v>5808</v>
      </c>
      <c r="L2337" s="11">
        <v>10858</v>
      </c>
      <c r="M2337" s="11">
        <v>7243</v>
      </c>
    </row>
    <row r="2338" spans="1:13" x14ac:dyDescent="0.3">
      <c r="A2338" s="10">
        <v>6712</v>
      </c>
      <c r="B2338" s="10">
        <v>86</v>
      </c>
      <c r="C2338" s="10" t="s">
        <v>2601</v>
      </c>
      <c r="D2338" s="10">
        <v>8699</v>
      </c>
      <c r="E2338" s="10" t="s">
        <v>2623</v>
      </c>
      <c r="F2338" s="10">
        <v>0</v>
      </c>
      <c r="G2338" s="10" t="s">
        <v>343</v>
      </c>
      <c r="H2338" s="10">
        <v>0</v>
      </c>
      <c r="I2338" s="10" t="s">
        <v>343</v>
      </c>
      <c r="J2338" s="11">
        <v>14856</v>
      </c>
      <c r="K2338" s="11">
        <v>17292</v>
      </c>
      <c r="L2338" s="11">
        <v>32148</v>
      </c>
      <c r="M2338" s="11">
        <v>20812</v>
      </c>
    </row>
    <row r="2339" spans="1:13" x14ac:dyDescent="0.3">
      <c r="A2339" s="10">
        <v>6712</v>
      </c>
      <c r="B2339" s="10">
        <v>90</v>
      </c>
      <c r="C2339" s="10" t="s">
        <v>2624</v>
      </c>
      <c r="D2339" s="10">
        <v>0</v>
      </c>
      <c r="E2339" s="10" t="s">
        <v>343</v>
      </c>
      <c r="F2339" s="10">
        <v>0</v>
      </c>
      <c r="G2339" s="10" t="s">
        <v>343</v>
      </c>
      <c r="H2339" s="10">
        <v>0</v>
      </c>
      <c r="I2339" s="10" t="s">
        <v>343</v>
      </c>
      <c r="J2339" s="11">
        <v>695802</v>
      </c>
      <c r="K2339" s="11">
        <v>735305</v>
      </c>
      <c r="L2339" s="11">
        <v>1431107</v>
      </c>
      <c r="M2339" s="11">
        <v>593923</v>
      </c>
    </row>
    <row r="2340" spans="1:13" x14ac:dyDescent="0.3">
      <c r="A2340" s="10">
        <v>6712</v>
      </c>
      <c r="B2340" s="10">
        <v>90</v>
      </c>
      <c r="C2340" s="10" t="s">
        <v>2624</v>
      </c>
      <c r="D2340" s="10">
        <v>9001</v>
      </c>
      <c r="E2340" s="10" t="s">
        <v>2625</v>
      </c>
      <c r="F2340" s="10">
        <v>0</v>
      </c>
      <c r="G2340" s="10" t="s">
        <v>343</v>
      </c>
      <c r="H2340" s="10">
        <v>0</v>
      </c>
      <c r="I2340" s="10" t="s">
        <v>343</v>
      </c>
      <c r="J2340" s="11">
        <v>7272</v>
      </c>
      <c r="K2340" s="11">
        <v>7930</v>
      </c>
      <c r="L2340" s="11">
        <v>15202</v>
      </c>
      <c r="M2340" s="11">
        <v>5918</v>
      </c>
    </row>
    <row r="2341" spans="1:13" x14ac:dyDescent="0.3">
      <c r="A2341" s="10">
        <v>6712</v>
      </c>
      <c r="B2341" s="10">
        <v>90</v>
      </c>
      <c r="C2341" s="10" t="s">
        <v>2624</v>
      </c>
      <c r="D2341" s="10">
        <v>9002</v>
      </c>
      <c r="E2341" s="10" t="s">
        <v>2626</v>
      </c>
      <c r="F2341" s="10">
        <v>0</v>
      </c>
      <c r="G2341" s="10" t="s">
        <v>343</v>
      </c>
      <c r="H2341" s="10">
        <v>0</v>
      </c>
      <c r="I2341" s="10" t="s">
        <v>343</v>
      </c>
      <c r="J2341" s="11">
        <v>21446</v>
      </c>
      <c r="K2341" s="11">
        <v>22447</v>
      </c>
      <c r="L2341" s="11">
        <v>43893</v>
      </c>
      <c r="M2341" s="11">
        <v>14551</v>
      </c>
    </row>
    <row r="2342" spans="1:13" x14ac:dyDescent="0.3">
      <c r="A2342" s="10">
        <v>6712</v>
      </c>
      <c r="B2342" s="10">
        <v>90</v>
      </c>
      <c r="C2342" s="10" t="s">
        <v>2624</v>
      </c>
      <c r="D2342" s="10">
        <v>9003</v>
      </c>
      <c r="E2342" s="10" t="s">
        <v>2627</v>
      </c>
      <c r="F2342" s="10">
        <v>0</v>
      </c>
      <c r="G2342" s="10" t="s">
        <v>343</v>
      </c>
      <c r="H2342" s="10">
        <v>0</v>
      </c>
      <c r="I2342" s="10" t="s">
        <v>343</v>
      </c>
      <c r="J2342" s="11">
        <v>50876</v>
      </c>
      <c r="K2342" s="11">
        <v>51458</v>
      </c>
      <c r="L2342" s="11">
        <v>102334</v>
      </c>
      <c r="M2342" s="11">
        <v>29763</v>
      </c>
    </row>
    <row r="2343" spans="1:13" x14ac:dyDescent="0.3">
      <c r="A2343" s="10">
        <v>6712</v>
      </c>
      <c r="B2343" s="10">
        <v>90</v>
      </c>
      <c r="C2343" s="10" t="s">
        <v>2624</v>
      </c>
      <c r="D2343" s="10">
        <v>9004</v>
      </c>
      <c r="E2343" s="10" t="s">
        <v>2628</v>
      </c>
      <c r="F2343" s="10">
        <v>0</v>
      </c>
      <c r="G2343" s="10" t="s">
        <v>343</v>
      </c>
      <c r="H2343" s="10">
        <v>0</v>
      </c>
      <c r="I2343" s="10" t="s">
        <v>343</v>
      </c>
      <c r="J2343" s="11">
        <v>31791</v>
      </c>
      <c r="K2343" s="11">
        <v>31167</v>
      </c>
      <c r="L2343" s="11">
        <v>62958</v>
      </c>
      <c r="M2343" s="11">
        <v>20460</v>
      </c>
    </row>
    <row r="2344" spans="1:13" x14ac:dyDescent="0.3">
      <c r="A2344" s="10">
        <v>6712</v>
      </c>
      <c r="B2344" s="10">
        <v>90</v>
      </c>
      <c r="C2344" s="10" t="s">
        <v>2624</v>
      </c>
      <c r="D2344" s="10">
        <v>9005</v>
      </c>
      <c r="E2344" s="10" t="s">
        <v>2629</v>
      </c>
      <c r="F2344" s="10">
        <v>0</v>
      </c>
      <c r="G2344" s="10" t="s">
        <v>343</v>
      </c>
      <c r="H2344" s="10">
        <v>0</v>
      </c>
      <c r="I2344" s="10" t="s">
        <v>343</v>
      </c>
      <c r="J2344" s="11">
        <v>30974</v>
      </c>
      <c r="K2344" s="11">
        <v>29515</v>
      </c>
      <c r="L2344" s="11">
        <v>60489</v>
      </c>
      <c r="M2344" s="11">
        <v>17541</v>
      </c>
    </row>
    <row r="2345" spans="1:13" x14ac:dyDescent="0.3">
      <c r="A2345" s="10">
        <v>6712</v>
      </c>
      <c r="B2345" s="10">
        <v>90</v>
      </c>
      <c r="C2345" s="10" t="s">
        <v>2624</v>
      </c>
      <c r="D2345" s="10">
        <v>9006</v>
      </c>
      <c r="E2345" s="10" t="s">
        <v>2630</v>
      </c>
      <c r="F2345" s="10">
        <v>0</v>
      </c>
      <c r="G2345" s="10" t="s">
        <v>343</v>
      </c>
      <c r="H2345" s="10">
        <v>0</v>
      </c>
      <c r="I2345" s="10" t="s">
        <v>343</v>
      </c>
      <c r="J2345" s="11">
        <v>40468</v>
      </c>
      <c r="K2345" s="11">
        <v>39840</v>
      </c>
      <c r="L2345" s="11">
        <v>80308</v>
      </c>
      <c r="M2345" s="11">
        <v>20407</v>
      </c>
    </row>
    <row r="2346" spans="1:13" x14ac:dyDescent="0.3">
      <c r="A2346" s="10">
        <v>6712</v>
      </c>
      <c r="B2346" s="10">
        <v>90</v>
      </c>
      <c r="C2346" s="10" t="s">
        <v>2624</v>
      </c>
      <c r="D2346" s="10">
        <v>9007</v>
      </c>
      <c r="E2346" s="10" t="s">
        <v>2631</v>
      </c>
      <c r="F2346" s="10">
        <v>0</v>
      </c>
      <c r="G2346" s="10" t="s">
        <v>343</v>
      </c>
      <c r="H2346" s="10">
        <v>0</v>
      </c>
      <c r="I2346" s="10" t="s">
        <v>343</v>
      </c>
      <c r="J2346" s="11">
        <v>23485</v>
      </c>
      <c r="K2346" s="11">
        <v>23966</v>
      </c>
      <c r="L2346" s="11">
        <v>47451</v>
      </c>
      <c r="M2346" s="11">
        <v>20201</v>
      </c>
    </row>
    <row r="2347" spans="1:13" x14ac:dyDescent="0.3">
      <c r="A2347" s="10">
        <v>6712</v>
      </c>
      <c r="B2347" s="10">
        <v>90</v>
      </c>
      <c r="C2347" s="10" t="s">
        <v>2624</v>
      </c>
      <c r="D2347" s="10">
        <v>9008</v>
      </c>
      <c r="E2347" s="10" t="s">
        <v>2632</v>
      </c>
      <c r="F2347" s="10">
        <v>0</v>
      </c>
      <c r="G2347" s="10" t="s">
        <v>343</v>
      </c>
      <c r="H2347" s="10">
        <v>0</v>
      </c>
      <c r="I2347" s="10" t="s">
        <v>343</v>
      </c>
      <c r="J2347" s="11">
        <v>7156</v>
      </c>
      <c r="K2347" s="11">
        <v>7453</v>
      </c>
      <c r="L2347" s="11">
        <v>14609</v>
      </c>
      <c r="M2347" s="11">
        <v>5499</v>
      </c>
    </row>
    <row r="2348" spans="1:13" x14ac:dyDescent="0.3">
      <c r="A2348" s="10">
        <v>6712</v>
      </c>
      <c r="B2348" s="10">
        <v>90</v>
      </c>
      <c r="C2348" s="10" t="s">
        <v>2624</v>
      </c>
      <c r="D2348" s="10">
        <v>9009</v>
      </c>
      <c r="E2348" s="10" t="s">
        <v>2633</v>
      </c>
      <c r="F2348" s="10">
        <v>0</v>
      </c>
      <c r="G2348" s="10" t="s">
        <v>343</v>
      </c>
      <c r="H2348" s="10">
        <v>0</v>
      </c>
      <c r="I2348" s="10" t="s">
        <v>343</v>
      </c>
      <c r="J2348" s="11">
        <v>33783</v>
      </c>
      <c r="K2348" s="11">
        <v>34135</v>
      </c>
      <c r="L2348" s="11">
        <v>67918</v>
      </c>
      <c r="M2348" s="11">
        <v>23493</v>
      </c>
    </row>
    <row r="2349" spans="1:13" x14ac:dyDescent="0.3">
      <c r="A2349" s="10">
        <v>6712</v>
      </c>
      <c r="B2349" s="10">
        <v>90</v>
      </c>
      <c r="C2349" s="10" t="s">
        <v>2624</v>
      </c>
      <c r="D2349" s="10">
        <v>9010</v>
      </c>
      <c r="E2349" s="10" t="s">
        <v>2634</v>
      </c>
      <c r="F2349" s="10">
        <v>0</v>
      </c>
      <c r="G2349" s="10" t="s">
        <v>343</v>
      </c>
      <c r="H2349" s="10">
        <v>0</v>
      </c>
      <c r="I2349" s="10" t="s">
        <v>343</v>
      </c>
      <c r="J2349" s="11">
        <v>29594</v>
      </c>
      <c r="K2349" s="11">
        <v>29333</v>
      </c>
      <c r="L2349" s="11">
        <v>58927</v>
      </c>
      <c r="M2349" s="11">
        <v>22395</v>
      </c>
    </row>
    <row r="2350" spans="1:13" x14ac:dyDescent="0.3">
      <c r="A2350" s="10">
        <v>6712</v>
      </c>
      <c r="B2350" s="10">
        <v>90</v>
      </c>
      <c r="C2350" s="10" t="s">
        <v>2624</v>
      </c>
      <c r="D2350" s="10">
        <v>9011</v>
      </c>
      <c r="E2350" s="10" t="s">
        <v>2635</v>
      </c>
      <c r="F2350" s="10">
        <v>0</v>
      </c>
      <c r="G2350" s="10" t="s">
        <v>343</v>
      </c>
      <c r="H2350" s="10">
        <v>0</v>
      </c>
      <c r="I2350" s="10" t="s">
        <v>343</v>
      </c>
      <c r="J2350" s="11">
        <v>15637</v>
      </c>
      <c r="K2350" s="11">
        <v>17032</v>
      </c>
      <c r="L2350" s="11">
        <v>32669</v>
      </c>
      <c r="M2350" s="11">
        <v>15251</v>
      </c>
    </row>
    <row r="2351" spans="1:13" x14ac:dyDescent="0.3">
      <c r="A2351" s="10">
        <v>6712</v>
      </c>
      <c r="B2351" s="10">
        <v>90</v>
      </c>
      <c r="C2351" s="10" t="s">
        <v>2624</v>
      </c>
      <c r="D2351" s="10">
        <v>9012</v>
      </c>
      <c r="E2351" s="10" t="s">
        <v>2636</v>
      </c>
      <c r="F2351" s="10">
        <v>0</v>
      </c>
      <c r="G2351" s="10" t="s">
        <v>343</v>
      </c>
      <c r="H2351" s="10">
        <v>0</v>
      </c>
      <c r="I2351" s="10" t="s">
        <v>343</v>
      </c>
      <c r="J2351" s="11">
        <v>11101</v>
      </c>
      <c r="K2351" s="11">
        <v>11964</v>
      </c>
      <c r="L2351" s="11">
        <v>23065</v>
      </c>
      <c r="M2351" s="11">
        <v>9810</v>
      </c>
    </row>
    <row r="2352" spans="1:13" x14ac:dyDescent="0.3">
      <c r="A2352" s="10">
        <v>6712</v>
      </c>
      <c r="B2352" s="10">
        <v>90</v>
      </c>
      <c r="C2352" s="10" t="s">
        <v>2624</v>
      </c>
      <c r="D2352" s="10">
        <v>9013</v>
      </c>
      <c r="E2352" s="10" t="s">
        <v>2637</v>
      </c>
      <c r="F2352" s="10">
        <v>0</v>
      </c>
      <c r="G2352" s="10" t="s">
        <v>343</v>
      </c>
      <c r="H2352" s="10">
        <v>0</v>
      </c>
      <c r="I2352" s="10" t="s">
        <v>343</v>
      </c>
      <c r="J2352" s="11">
        <v>14787</v>
      </c>
      <c r="K2352" s="11">
        <v>15300</v>
      </c>
      <c r="L2352" s="11">
        <v>30087</v>
      </c>
      <c r="M2352" s="11">
        <v>10564</v>
      </c>
    </row>
    <row r="2353" spans="1:13" x14ac:dyDescent="0.3">
      <c r="A2353" s="10">
        <v>6712</v>
      </c>
      <c r="B2353" s="10">
        <v>90</v>
      </c>
      <c r="C2353" s="10" t="s">
        <v>2624</v>
      </c>
      <c r="D2353" s="10">
        <v>9014</v>
      </c>
      <c r="E2353" s="10" t="s">
        <v>2638</v>
      </c>
      <c r="F2353" s="10">
        <v>0</v>
      </c>
      <c r="G2353" s="10" t="s">
        <v>343</v>
      </c>
      <c r="H2353" s="10">
        <v>0</v>
      </c>
      <c r="I2353" s="10" t="s">
        <v>343</v>
      </c>
      <c r="J2353" s="11">
        <v>5161</v>
      </c>
      <c r="K2353" s="11">
        <v>5299</v>
      </c>
      <c r="L2353" s="11">
        <v>10460</v>
      </c>
      <c r="M2353" s="11">
        <v>3991</v>
      </c>
    </row>
    <row r="2354" spans="1:13" x14ac:dyDescent="0.3">
      <c r="A2354" s="10">
        <v>6712</v>
      </c>
      <c r="B2354" s="10">
        <v>90</v>
      </c>
      <c r="C2354" s="10" t="s">
        <v>2624</v>
      </c>
      <c r="D2354" s="10">
        <v>9015</v>
      </c>
      <c r="E2354" s="10" t="s">
        <v>2639</v>
      </c>
      <c r="F2354" s="10">
        <v>0</v>
      </c>
      <c r="G2354" s="10" t="s">
        <v>343</v>
      </c>
      <c r="H2354" s="10">
        <v>0</v>
      </c>
      <c r="I2354" s="10" t="s">
        <v>343</v>
      </c>
      <c r="J2354" s="11">
        <v>21415</v>
      </c>
      <c r="K2354" s="11">
        <v>22386</v>
      </c>
      <c r="L2354" s="11">
        <v>43801</v>
      </c>
      <c r="M2354" s="11">
        <v>15721</v>
      </c>
    </row>
    <row r="2355" spans="1:13" x14ac:dyDescent="0.3">
      <c r="A2355" s="10">
        <v>6712</v>
      </c>
      <c r="B2355" s="10">
        <v>90</v>
      </c>
      <c r="C2355" s="10" t="s">
        <v>2624</v>
      </c>
      <c r="D2355" s="10">
        <v>9016</v>
      </c>
      <c r="E2355" s="10" t="s">
        <v>2640</v>
      </c>
      <c r="F2355" s="10">
        <v>0</v>
      </c>
      <c r="G2355" s="10" t="s">
        <v>343</v>
      </c>
      <c r="H2355" s="10">
        <v>0</v>
      </c>
      <c r="I2355" s="10" t="s">
        <v>343</v>
      </c>
      <c r="J2355" s="11">
        <v>5898</v>
      </c>
      <c r="K2355" s="11">
        <v>5888</v>
      </c>
      <c r="L2355" s="11">
        <v>11786</v>
      </c>
      <c r="M2355" s="11">
        <v>5470</v>
      </c>
    </row>
    <row r="2356" spans="1:13" x14ac:dyDescent="0.3">
      <c r="A2356" s="10">
        <v>6712</v>
      </c>
      <c r="B2356" s="10">
        <v>90</v>
      </c>
      <c r="C2356" s="10" t="s">
        <v>2624</v>
      </c>
      <c r="D2356" s="10">
        <v>9066</v>
      </c>
      <c r="E2356" s="10" t="s">
        <v>2641</v>
      </c>
      <c r="F2356" s="10">
        <v>0</v>
      </c>
      <c r="G2356" s="10" t="s">
        <v>343</v>
      </c>
      <c r="H2356" s="10">
        <v>0</v>
      </c>
      <c r="I2356" s="10" t="s">
        <v>343</v>
      </c>
      <c r="J2356" s="11">
        <v>8439</v>
      </c>
      <c r="K2356" s="11">
        <v>8946</v>
      </c>
      <c r="L2356" s="11">
        <v>17385</v>
      </c>
      <c r="M2356" s="11">
        <v>6860</v>
      </c>
    </row>
    <row r="2357" spans="1:13" x14ac:dyDescent="0.3">
      <c r="A2357" s="10">
        <v>6712</v>
      </c>
      <c r="B2357" s="10">
        <v>90</v>
      </c>
      <c r="C2357" s="10" t="s">
        <v>2624</v>
      </c>
      <c r="D2357" s="10">
        <v>9067</v>
      </c>
      <c r="E2357" s="10" t="s">
        <v>2642</v>
      </c>
      <c r="F2357" s="10">
        <v>0</v>
      </c>
      <c r="G2357" s="10" t="s">
        <v>343</v>
      </c>
      <c r="H2357" s="10">
        <v>0</v>
      </c>
      <c r="I2357" s="10" t="s">
        <v>343</v>
      </c>
      <c r="J2357" s="11">
        <v>4107</v>
      </c>
      <c r="K2357" s="11">
        <v>3502</v>
      </c>
      <c r="L2357" s="11">
        <v>7609</v>
      </c>
      <c r="M2357" s="11">
        <v>2938</v>
      </c>
    </row>
    <row r="2358" spans="1:13" x14ac:dyDescent="0.3">
      <c r="A2358" s="10">
        <v>6712</v>
      </c>
      <c r="B2358" s="10">
        <v>90</v>
      </c>
      <c r="C2358" s="10" t="s">
        <v>2624</v>
      </c>
      <c r="D2358" s="10">
        <v>9068</v>
      </c>
      <c r="E2358" s="10" t="s">
        <v>2643</v>
      </c>
      <c r="F2358" s="10">
        <v>0</v>
      </c>
      <c r="G2358" s="10" t="s">
        <v>343</v>
      </c>
      <c r="H2358" s="10">
        <v>0</v>
      </c>
      <c r="I2358" s="10" t="s">
        <v>343</v>
      </c>
      <c r="J2358" s="11">
        <v>3737</v>
      </c>
      <c r="K2358" s="11">
        <v>4013</v>
      </c>
      <c r="L2358" s="11">
        <v>7750</v>
      </c>
      <c r="M2358" s="11">
        <v>2822</v>
      </c>
    </row>
    <row r="2359" spans="1:13" x14ac:dyDescent="0.3">
      <c r="A2359" s="10">
        <v>6712</v>
      </c>
      <c r="B2359" s="10">
        <v>90</v>
      </c>
      <c r="C2359" s="10" t="s">
        <v>2624</v>
      </c>
      <c r="D2359" s="10">
        <v>9069</v>
      </c>
      <c r="E2359" s="10" t="s">
        <v>2644</v>
      </c>
      <c r="F2359" s="10">
        <v>0</v>
      </c>
      <c r="G2359" s="10" t="s">
        <v>343</v>
      </c>
      <c r="H2359" s="10">
        <v>0</v>
      </c>
      <c r="I2359" s="10" t="s">
        <v>343</v>
      </c>
      <c r="J2359" s="11">
        <v>5644</v>
      </c>
      <c r="K2359" s="11">
        <v>5982</v>
      </c>
      <c r="L2359" s="11">
        <v>11626</v>
      </c>
      <c r="M2359" s="11">
        <v>4057</v>
      </c>
    </row>
    <row r="2360" spans="1:13" x14ac:dyDescent="0.3">
      <c r="A2360" s="10">
        <v>6712</v>
      </c>
      <c r="B2360" s="10">
        <v>90</v>
      </c>
      <c r="C2360" s="10" t="s">
        <v>2624</v>
      </c>
      <c r="D2360" s="10">
        <v>9070</v>
      </c>
      <c r="E2360" s="10" t="s">
        <v>2645</v>
      </c>
      <c r="F2360" s="10">
        <v>0</v>
      </c>
      <c r="G2360" s="10" t="s">
        <v>343</v>
      </c>
      <c r="H2360" s="10">
        <v>0</v>
      </c>
      <c r="I2360" s="10" t="s">
        <v>343</v>
      </c>
      <c r="J2360" s="11">
        <v>5904</v>
      </c>
      <c r="K2360" s="11">
        <v>6017</v>
      </c>
      <c r="L2360" s="11">
        <v>11921</v>
      </c>
      <c r="M2360" s="11">
        <v>3473</v>
      </c>
    </row>
    <row r="2361" spans="1:13" x14ac:dyDescent="0.3">
      <c r="A2361" s="10">
        <v>6712</v>
      </c>
      <c r="B2361" s="10">
        <v>90</v>
      </c>
      <c r="C2361" s="10" t="s">
        <v>2624</v>
      </c>
      <c r="D2361" s="10">
        <v>9071</v>
      </c>
      <c r="E2361" s="10" t="s">
        <v>850</v>
      </c>
      <c r="F2361" s="10">
        <v>0</v>
      </c>
      <c r="G2361" s="10" t="s">
        <v>343</v>
      </c>
      <c r="H2361" s="10">
        <v>0</v>
      </c>
      <c r="I2361" s="10" t="s">
        <v>343</v>
      </c>
      <c r="J2361" s="11">
        <v>11781</v>
      </c>
      <c r="K2361" s="11">
        <v>11869</v>
      </c>
      <c r="L2361" s="11">
        <v>23650</v>
      </c>
      <c r="M2361" s="11">
        <v>11027</v>
      </c>
    </row>
    <row r="2362" spans="1:13" x14ac:dyDescent="0.3">
      <c r="A2362" s="10">
        <v>6712</v>
      </c>
      <c r="B2362" s="10">
        <v>90</v>
      </c>
      <c r="C2362" s="10" t="s">
        <v>2624</v>
      </c>
      <c r="D2362" s="10">
        <v>9072</v>
      </c>
      <c r="E2362" s="10" t="s">
        <v>2646</v>
      </c>
      <c r="F2362" s="10">
        <v>0</v>
      </c>
      <c r="G2362" s="10" t="s">
        <v>343</v>
      </c>
      <c r="H2362" s="10">
        <v>0</v>
      </c>
      <c r="I2362" s="10" t="s">
        <v>343</v>
      </c>
      <c r="J2362" s="11">
        <v>7300</v>
      </c>
      <c r="K2362" s="11">
        <v>8200</v>
      </c>
      <c r="L2362" s="11">
        <v>15500</v>
      </c>
      <c r="M2362" s="11">
        <v>6875</v>
      </c>
    </row>
    <row r="2363" spans="1:13" x14ac:dyDescent="0.3">
      <c r="A2363" s="10">
        <v>6712</v>
      </c>
      <c r="B2363" s="10">
        <v>90</v>
      </c>
      <c r="C2363" s="10" t="s">
        <v>2624</v>
      </c>
      <c r="D2363" s="10">
        <v>9073</v>
      </c>
      <c r="E2363" s="10" t="s">
        <v>2647</v>
      </c>
      <c r="F2363" s="10">
        <v>0</v>
      </c>
      <c r="G2363" s="10" t="s">
        <v>343</v>
      </c>
      <c r="H2363" s="10">
        <v>0</v>
      </c>
      <c r="I2363" s="10" t="s">
        <v>343</v>
      </c>
      <c r="J2363" s="11">
        <v>7835</v>
      </c>
      <c r="K2363" s="11">
        <v>8057</v>
      </c>
      <c r="L2363" s="11">
        <v>15892</v>
      </c>
      <c r="M2363" s="11">
        <v>4841</v>
      </c>
    </row>
    <row r="2364" spans="1:13" x14ac:dyDescent="0.3">
      <c r="A2364" s="10">
        <v>6712</v>
      </c>
      <c r="B2364" s="10">
        <v>90</v>
      </c>
      <c r="C2364" s="10" t="s">
        <v>2624</v>
      </c>
      <c r="D2364" s="10">
        <v>9074</v>
      </c>
      <c r="E2364" s="10" t="s">
        <v>2038</v>
      </c>
      <c r="F2364" s="10">
        <v>0</v>
      </c>
      <c r="G2364" s="10" t="s">
        <v>343</v>
      </c>
      <c r="H2364" s="10">
        <v>0</v>
      </c>
      <c r="I2364" s="10" t="s">
        <v>343</v>
      </c>
      <c r="J2364" s="11">
        <v>4047</v>
      </c>
      <c r="K2364" s="11">
        <v>4312</v>
      </c>
      <c r="L2364" s="11">
        <v>8359</v>
      </c>
      <c r="M2364" s="11">
        <v>3689</v>
      </c>
    </row>
    <row r="2365" spans="1:13" x14ac:dyDescent="0.3">
      <c r="A2365" s="10">
        <v>6712</v>
      </c>
      <c r="B2365" s="10">
        <v>90</v>
      </c>
      <c r="C2365" s="10" t="s">
        <v>2624</v>
      </c>
      <c r="D2365" s="10">
        <v>9075</v>
      </c>
      <c r="E2365" s="10" t="s">
        <v>2648</v>
      </c>
      <c r="F2365" s="10">
        <v>0</v>
      </c>
      <c r="G2365" s="10" t="s">
        <v>343</v>
      </c>
      <c r="H2365" s="10">
        <v>0</v>
      </c>
      <c r="I2365" s="10" t="s">
        <v>343</v>
      </c>
      <c r="J2365" s="11">
        <v>17014</v>
      </c>
      <c r="K2365" s="11">
        <v>18749</v>
      </c>
      <c r="L2365" s="11">
        <v>35763</v>
      </c>
      <c r="M2365" s="11">
        <v>16945</v>
      </c>
    </row>
    <row r="2366" spans="1:13" x14ac:dyDescent="0.3">
      <c r="A2366" s="10">
        <v>6712</v>
      </c>
      <c r="B2366" s="10">
        <v>90</v>
      </c>
      <c r="C2366" s="10" t="s">
        <v>2624</v>
      </c>
      <c r="D2366" s="10">
        <v>9076</v>
      </c>
      <c r="E2366" s="10" t="s">
        <v>2649</v>
      </c>
      <c r="F2366" s="10">
        <v>0</v>
      </c>
      <c r="G2366" s="10" t="s">
        <v>343</v>
      </c>
      <c r="H2366" s="10">
        <v>0</v>
      </c>
      <c r="I2366" s="10" t="s">
        <v>343</v>
      </c>
      <c r="J2366" s="11">
        <v>20410</v>
      </c>
      <c r="K2366" s="11">
        <v>22757</v>
      </c>
      <c r="L2366" s="11">
        <v>43167</v>
      </c>
      <c r="M2366" s="11">
        <v>22492</v>
      </c>
    </row>
    <row r="2367" spans="1:13" x14ac:dyDescent="0.3">
      <c r="A2367" s="10">
        <v>6712</v>
      </c>
      <c r="B2367" s="10">
        <v>90</v>
      </c>
      <c r="C2367" s="10" t="s">
        <v>2624</v>
      </c>
      <c r="D2367" s="10">
        <v>9077</v>
      </c>
      <c r="E2367" s="10" t="s">
        <v>2650</v>
      </c>
      <c r="F2367" s="10">
        <v>0</v>
      </c>
      <c r="G2367" s="10" t="s">
        <v>343</v>
      </c>
      <c r="H2367" s="10">
        <v>0</v>
      </c>
      <c r="I2367" s="10" t="s">
        <v>343</v>
      </c>
      <c r="J2367" s="11">
        <v>6394</v>
      </c>
      <c r="K2367" s="11">
        <v>7429</v>
      </c>
      <c r="L2367" s="11">
        <v>13823</v>
      </c>
      <c r="M2367" s="11">
        <v>9493</v>
      </c>
    </row>
    <row r="2368" spans="1:13" x14ac:dyDescent="0.3">
      <c r="A2368" s="10">
        <v>6712</v>
      </c>
      <c r="B2368" s="10">
        <v>90</v>
      </c>
      <c r="C2368" s="10" t="s">
        <v>2624</v>
      </c>
      <c r="D2368" s="10">
        <v>9078</v>
      </c>
      <c r="E2368" s="10" t="s">
        <v>2651</v>
      </c>
      <c r="F2368" s="10">
        <v>0</v>
      </c>
      <c r="G2368" s="10" t="s">
        <v>343</v>
      </c>
      <c r="H2368" s="10">
        <v>0</v>
      </c>
      <c r="I2368" s="10" t="s">
        <v>343</v>
      </c>
      <c r="J2368" s="11">
        <v>20931</v>
      </c>
      <c r="K2368" s="11">
        <v>23852</v>
      </c>
      <c r="L2368" s="11">
        <v>44783</v>
      </c>
      <c r="M2368" s="11">
        <v>23597</v>
      </c>
    </row>
    <row r="2369" spans="1:13" x14ac:dyDescent="0.3">
      <c r="A2369" s="10">
        <v>6712</v>
      </c>
      <c r="B2369" s="10">
        <v>90</v>
      </c>
      <c r="C2369" s="10" t="s">
        <v>2624</v>
      </c>
      <c r="D2369" s="10">
        <v>9079</v>
      </c>
      <c r="E2369" s="10" t="s">
        <v>2652</v>
      </c>
      <c r="F2369" s="10">
        <v>0</v>
      </c>
      <c r="G2369" s="10" t="s">
        <v>343</v>
      </c>
      <c r="H2369" s="10">
        <v>0</v>
      </c>
      <c r="I2369" s="10" t="s">
        <v>343</v>
      </c>
      <c r="J2369" s="11">
        <v>24657</v>
      </c>
      <c r="K2369" s="11">
        <v>28190</v>
      </c>
      <c r="L2369" s="11">
        <v>52847</v>
      </c>
      <c r="M2369" s="11">
        <v>28678</v>
      </c>
    </row>
    <row r="2370" spans="1:13" x14ac:dyDescent="0.3">
      <c r="A2370" s="10">
        <v>6712</v>
      </c>
      <c r="B2370" s="10">
        <v>90</v>
      </c>
      <c r="C2370" s="10" t="s">
        <v>2624</v>
      </c>
      <c r="D2370" s="10">
        <v>9080</v>
      </c>
      <c r="E2370" s="10" t="s">
        <v>2653</v>
      </c>
      <c r="F2370" s="10">
        <v>0</v>
      </c>
      <c r="G2370" s="10" t="s">
        <v>343</v>
      </c>
      <c r="H2370" s="10">
        <v>0</v>
      </c>
      <c r="I2370" s="10" t="s">
        <v>343</v>
      </c>
      <c r="J2370" s="11">
        <v>21610</v>
      </c>
      <c r="K2370" s="11">
        <v>24487</v>
      </c>
      <c r="L2370" s="11">
        <v>46097</v>
      </c>
      <c r="M2370" s="11">
        <v>30251</v>
      </c>
    </row>
    <row r="2371" spans="1:13" x14ac:dyDescent="0.3">
      <c r="A2371" s="10">
        <v>6712</v>
      </c>
      <c r="B2371" s="10">
        <v>90</v>
      </c>
      <c r="C2371" s="10" t="s">
        <v>2624</v>
      </c>
      <c r="D2371" s="10">
        <v>9081</v>
      </c>
      <c r="E2371" s="10" t="s">
        <v>2654</v>
      </c>
      <c r="F2371" s="10">
        <v>0</v>
      </c>
      <c r="G2371" s="10" t="s">
        <v>343</v>
      </c>
      <c r="H2371" s="10">
        <v>0</v>
      </c>
      <c r="I2371" s="10" t="s">
        <v>343</v>
      </c>
      <c r="J2371" s="11">
        <v>19852</v>
      </c>
      <c r="K2371" s="11">
        <v>20281</v>
      </c>
      <c r="L2371" s="11">
        <v>40133</v>
      </c>
      <c r="M2371" s="11">
        <v>14173</v>
      </c>
    </row>
    <row r="2372" spans="1:13" x14ac:dyDescent="0.3">
      <c r="A2372" s="10">
        <v>6712</v>
      </c>
      <c r="B2372" s="10">
        <v>90</v>
      </c>
      <c r="C2372" s="10" t="s">
        <v>2624</v>
      </c>
      <c r="D2372" s="10">
        <v>9082</v>
      </c>
      <c r="E2372" s="10" t="s">
        <v>2655</v>
      </c>
      <c r="F2372" s="10">
        <v>0</v>
      </c>
      <c r="G2372" s="10" t="s">
        <v>343</v>
      </c>
      <c r="H2372" s="10">
        <v>0</v>
      </c>
      <c r="I2372" s="10" t="s">
        <v>343</v>
      </c>
      <c r="J2372" s="11">
        <v>1872</v>
      </c>
      <c r="K2372" s="11">
        <v>2132</v>
      </c>
      <c r="L2372" s="11">
        <v>4004</v>
      </c>
      <c r="M2372" s="11">
        <v>1831</v>
      </c>
    </row>
    <row r="2373" spans="1:13" x14ac:dyDescent="0.3">
      <c r="A2373" s="10">
        <v>6712</v>
      </c>
      <c r="B2373" s="10">
        <v>90</v>
      </c>
      <c r="C2373" s="10" t="s">
        <v>2624</v>
      </c>
      <c r="D2373" s="10">
        <v>9083</v>
      </c>
      <c r="E2373" s="10" t="s">
        <v>2656</v>
      </c>
      <c r="F2373" s="10">
        <v>0</v>
      </c>
      <c r="G2373" s="10" t="s">
        <v>343</v>
      </c>
      <c r="H2373" s="10">
        <v>0</v>
      </c>
      <c r="I2373" s="10" t="s">
        <v>343</v>
      </c>
      <c r="J2373" s="11">
        <v>3660</v>
      </c>
      <c r="K2373" s="11">
        <v>4094</v>
      </c>
      <c r="L2373" s="11">
        <v>7754</v>
      </c>
      <c r="M2373" s="11">
        <v>4992</v>
      </c>
    </row>
    <row r="2374" spans="1:13" x14ac:dyDescent="0.3">
      <c r="A2374" s="10">
        <v>6712</v>
      </c>
      <c r="B2374" s="10">
        <v>90</v>
      </c>
      <c r="C2374" s="10" t="s">
        <v>2624</v>
      </c>
      <c r="D2374" s="10">
        <v>9084</v>
      </c>
      <c r="E2374" s="10" t="s">
        <v>2657</v>
      </c>
      <c r="F2374" s="10">
        <v>0</v>
      </c>
      <c r="G2374" s="10" t="s">
        <v>343</v>
      </c>
      <c r="H2374" s="10">
        <v>0</v>
      </c>
      <c r="I2374" s="10" t="s">
        <v>343</v>
      </c>
      <c r="J2374" s="11">
        <v>3916</v>
      </c>
      <c r="K2374" s="11">
        <v>4154</v>
      </c>
      <c r="L2374" s="11">
        <v>8070</v>
      </c>
      <c r="M2374" s="11">
        <v>3252</v>
      </c>
    </row>
    <row r="2375" spans="1:13" x14ac:dyDescent="0.3">
      <c r="A2375" s="10">
        <v>6712</v>
      </c>
      <c r="B2375" s="10">
        <v>90</v>
      </c>
      <c r="C2375" s="10" t="s">
        <v>2624</v>
      </c>
      <c r="D2375" s="10">
        <v>9085</v>
      </c>
      <c r="E2375" s="10" t="s">
        <v>2658</v>
      </c>
      <c r="F2375" s="10">
        <v>0</v>
      </c>
      <c r="G2375" s="10" t="s">
        <v>343</v>
      </c>
      <c r="H2375" s="10">
        <v>0</v>
      </c>
      <c r="I2375" s="10" t="s">
        <v>343</v>
      </c>
      <c r="J2375" s="11">
        <v>7703</v>
      </c>
      <c r="K2375" s="11">
        <v>8163</v>
      </c>
      <c r="L2375" s="11">
        <v>15866</v>
      </c>
      <c r="M2375" s="11">
        <v>6450</v>
      </c>
    </row>
    <row r="2376" spans="1:13" x14ac:dyDescent="0.3">
      <c r="A2376" s="10">
        <v>6712</v>
      </c>
      <c r="B2376" s="10">
        <v>90</v>
      </c>
      <c r="C2376" s="10" t="s">
        <v>2624</v>
      </c>
      <c r="D2376" s="10">
        <v>9086</v>
      </c>
      <c r="E2376" s="10" t="s">
        <v>2659</v>
      </c>
      <c r="F2376" s="10">
        <v>0</v>
      </c>
      <c r="G2376" s="10" t="s">
        <v>343</v>
      </c>
      <c r="H2376" s="10">
        <v>0</v>
      </c>
      <c r="I2376" s="10" t="s">
        <v>343</v>
      </c>
      <c r="J2376" s="11">
        <v>3138</v>
      </c>
      <c r="K2376" s="11">
        <v>3322</v>
      </c>
      <c r="L2376" s="11">
        <v>6460</v>
      </c>
      <c r="M2376" s="11">
        <v>2170</v>
      </c>
    </row>
    <row r="2377" spans="1:13" x14ac:dyDescent="0.3">
      <c r="A2377" s="10">
        <v>6712</v>
      </c>
      <c r="B2377" s="10">
        <v>90</v>
      </c>
      <c r="C2377" s="10" t="s">
        <v>2624</v>
      </c>
      <c r="D2377" s="10">
        <v>9087</v>
      </c>
      <c r="E2377" s="10" t="s">
        <v>2660</v>
      </c>
      <c r="F2377" s="10">
        <v>0</v>
      </c>
      <c r="G2377" s="10" t="s">
        <v>343</v>
      </c>
      <c r="H2377" s="10">
        <v>0</v>
      </c>
      <c r="I2377" s="10" t="s">
        <v>343</v>
      </c>
      <c r="J2377" s="11">
        <v>1388</v>
      </c>
      <c r="K2377" s="11">
        <v>1551</v>
      </c>
      <c r="L2377" s="11">
        <v>2939</v>
      </c>
      <c r="M2377" s="11">
        <v>1190</v>
      </c>
    </row>
    <row r="2378" spans="1:13" x14ac:dyDescent="0.3">
      <c r="A2378" s="10">
        <v>6712</v>
      </c>
      <c r="B2378" s="10">
        <v>90</v>
      </c>
      <c r="C2378" s="10" t="s">
        <v>2624</v>
      </c>
      <c r="D2378" s="10">
        <v>9088</v>
      </c>
      <c r="E2378" s="10" t="s">
        <v>2661</v>
      </c>
      <c r="F2378" s="10">
        <v>0</v>
      </c>
      <c r="G2378" s="10" t="s">
        <v>343</v>
      </c>
      <c r="H2378" s="10">
        <v>0</v>
      </c>
      <c r="I2378" s="10" t="s">
        <v>343</v>
      </c>
      <c r="J2378" s="11">
        <v>2315</v>
      </c>
      <c r="K2378" s="11">
        <v>2554</v>
      </c>
      <c r="L2378" s="11">
        <v>4869</v>
      </c>
      <c r="M2378" s="11">
        <v>2704</v>
      </c>
    </row>
    <row r="2379" spans="1:13" x14ac:dyDescent="0.3">
      <c r="A2379" s="10">
        <v>6712</v>
      </c>
      <c r="B2379" s="10">
        <v>90</v>
      </c>
      <c r="C2379" s="10" t="s">
        <v>2624</v>
      </c>
      <c r="D2379" s="10">
        <v>9089</v>
      </c>
      <c r="E2379" s="10" t="s">
        <v>2662</v>
      </c>
      <c r="F2379" s="10">
        <v>0</v>
      </c>
      <c r="G2379" s="10" t="s">
        <v>343</v>
      </c>
      <c r="H2379" s="10">
        <v>0</v>
      </c>
      <c r="I2379" s="10" t="s">
        <v>343</v>
      </c>
      <c r="J2379" s="11">
        <v>2006</v>
      </c>
      <c r="K2379" s="11">
        <v>2208</v>
      </c>
      <c r="L2379" s="11">
        <v>4214</v>
      </c>
      <c r="M2379" s="11">
        <v>2029</v>
      </c>
    </row>
    <row r="2380" spans="1:13" x14ac:dyDescent="0.3">
      <c r="A2380" s="10">
        <v>6712</v>
      </c>
      <c r="B2380" s="10">
        <v>90</v>
      </c>
      <c r="C2380" s="10" t="s">
        <v>2624</v>
      </c>
      <c r="D2380" s="10">
        <v>9090</v>
      </c>
      <c r="E2380" s="10" t="s">
        <v>2663</v>
      </c>
      <c r="F2380" s="10">
        <v>0</v>
      </c>
      <c r="G2380" s="10" t="s">
        <v>343</v>
      </c>
      <c r="H2380" s="10">
        <v>0</v>
      </c>
      <c r="I2380" s="10" t="s">
        <v>343</v>
      </c>
      <c r="J2380" s="11">
        <v>5240</v>
      </c>
      <c r="K2380" s="11">
        <v>5480</v>
      </c>
      <c r="L2380" s="11">
        <v>10720</v>
      </c>
      <c r="M2380" s="11">
        <v>3648</v>
      </c>
    </row>
    <row r="2381" spans="1:13" x14ac:dyDescent="0.3">
      <c r="A2381" s="10">
        <v>6712</v>
      </c>
      <c r="B2381" s="10">
        <v>90</v>
      </c>
      <c r="C2381" s="10" t="s">
        <v>2624</v>
      </c>
      <c r="D2381" s="10">
        <v>9091</v>
      </c>
      <c r="E2381" s="10" t="s">
        <v>2664</v>
      </c>
      <c r="F2381" s="10">
        <v>0</v>
      </c>
      <c r="G2381" s="10" t="s">
        <v>343</v>
      </c>
      <c r="H2381" s="10">
        <v>0</v>
      </c>
      <c r="I2381" s="10" t="s">
        <v>343</v>
      </c>
      <c r="J2381" s="10">
        <v>640</v>
      </c>
      <c r="K2381" s="10">
        <v>688</v>
      </c>
      <c r="L2381" s="11">
        <v>1328</v>
      </c>
      <c r="M2381" s="10">
        <v>809</v>
      </c>
    </row>
    <row r="2382" spans="1:13" x14ac:dyDescent="0.3">
      <c r="A2382" s="10">
        <v>6712</v>
      </c>
      <c r="B2382" s="10">
        <v>90</v>
      </c>
      <c r="C2382" s="10" t="s">
        <v>2624</v>
      </c>
      <c r="D2382" s="10">
        <v>9092</v>
      </c>
      <c r="E2382" s="10" t="s">
        <v>2665</v>
      </c>
      <c r="F2382" s="10">
        <v>0</v>
      </c>
      <c r="G2382" s="10" t="s">
        <v>343</v>
      </c>
      <c r="H2382" s="10">
        <v>0</v>
      </c>
      <c r="I2382" s="10" t="s">
        <v>343</v>
      </c>
      <c r="J2382" s="11">
        <v>1370</v>
      </c>
      <c r="K2382" s="11">
        <v>1329</v>
      </c>
      <c r="L2382" s="11">
        <v>2699</v>
      </c>
      <c r="M2382" s="11">
        <v>1125</v>
      </c>
    </row>
    <row r="2383" spans="1:13" x14ac:dyDescent="0.3">
      <c r="A2383" s="10">
        <v>6712</v>
      </c>
      <c r="B2383" s="10">
        <v>90</v>
      </c>
      <c r="C2383" s="10" t="s">
        <v>2624</v>
      </c>
      <c r="D2383" s="10">
        <v>9093</v>
      </c>
      <c r="E2383" s="10" t="s">
        <v>2666</v>
      </c>
      <c r="F2383" s="10">
        <v>0</v>
      </c>
      <c r="G2383" s="10" t="s">
        <v>343</v>
      </c>
      <c r="H2383" s="10">
        <v>0</v>
      </c>
      <c r="I2383" s="10" t="s">
        <v>343</v>
      </c>
      <c r="J2383" s="11">
        <v>2939</v>
      </c>
      <c r="K2383" s="11">
        <v>2991</v>
      </c>
      <c r="L2383" s="11">
        <v>5930</v>
      </c>
      <c r="M2383" s="11">
        <v>3858</v>
      </c>
    </row>
    <row r="2384" spans="1:13" x14ac:dyDescent="0.3">
      <c r="A2384" s="10">
        <v>6712</v>
      </c>
      <c r="B2384" s="10">
        <v>90</v>
      </c>
      <c r="C2384" s="10" t="s">
        <v>2624</v>
      </c>
      <c r="D2384" s="10">
        <v>9094</v>
      </c>
      <c r="E2384" s="10" t="s">
        <v>2667</v>
      </c>
      <c r="F2384" s="10">
        <v>0</v>
      </c>
      <c r="G2384" s="10" t="s">
        <v>343</v>
      </c>
      <c r="H2384" s="10">
        <v>0</v>
      </c>
      <c r="I2384" s="10" t="s">
        <v>343</v>
      </c>
      <c r="J2384" s="11">
        <v>3291</v>
      </c>
      <c r="K2384" s="11">
        <v>3418</v>
      </c>
      <c r="L2384" s="11">
        <v>6709</v>
      </c>
      <c r="M2384" s="11">
        <v>3478</v>
      </c>
    </row>
    <row r="2385" spans="1:13" x14ac:dyDescent="0.3">
      <c r="A2385" s="10">
        <v>6712</v>
      </c>
      <c r="B2385" s="10">
        <v>90</v>
      </c>
      <c r="C2385" s="10" t="s">
        <v>2624</v>
      </c>
      <c r="D2385" s="10">
        <v>9095</v>
      </c>
      <c r="E2385" s="10" t="s">
        <v>2668</v>
      </c>
      <c r="F2385" s="10">
        <v>0</v>
      </c>
      <c r="G2385" s="10" t="s">
        <v>343</v>
      </c>
      <c r="H2385" s="10">
        <v>0</v>
      </c>
      <c r="I2385" s="10" t="s">
        <v>343</v>
      </c>
      <c r="J2385" s="11">
        <v>1353</v>
      </c>
      <c r="K2385" s="11">
        <v>1477</v>
      </c>
      <c r="L2385" s="11">
        <v>2830</v>
      </c>
      <c r="M2385" s="11">
        <v>1336</v>
      </c>
    </row>
    <row r="2386" spans="1:13" x14ac:dyDescent="0.3">
      <c r="A2386" s="10">
        <v>6712</v>
      </c>
      <c r="B2386" s="10">
        <v>90</v>
      </c>
      <c r="C2386" s="10" t="s">
        <v>2624</v>
      </c>
      <c r="D2386" s="10">
        <v>9096</v>
      </c>
      <c r="E2386" s="10" t="s">
        <v>2669</v>
      </c>
      <c r="F2386" s="10">
        <v>0</v>
      </c>
      <c r="G2386" s="10" t="s">
        <v>343</v>
      </c>
      <c r="H2386" s="10">
        <v>0</v>
      </c>
      <c r="I2386" s="10" t="s">
        <v>343</v>
      </c>
      <c r="J2386" s="11">
        <v>13456</v>
      </c>
      <c r="K2386" s="11">
        <v>14894</v>
      </c>
      <c r="L2386" s="11">
        <v>28350</v>
      </c>
      <c r="M2386" s="11">
        <v>13986</v>
      </c>
    </row>
    <row r="2387" spans="1:13" x14ac:dyDescent="0.3">
      <c r="A2387" s="10">
        <v>6712</v>
      </c>
      <c r="B2387" s="10">
        <v>90</v>
      </c>
      <c r="C2387" s="10" t="s">
        <v>2624</v>
      </c>
      <c r="D2387" s="10">
        <v>9097</v>
      </c>
      <c r="E2387" s="10" t="s">
        <v>2670</v>
      </c>
      <c r="F2387" s="10">
        <v>0</v>
      </c>
      <c r="G2387" s="10" t="s">
        <v>343</v>
      </c>
      <c r="H2387" s="10">
        <v>0</v>
      </c>
      <c r="I2387" s="10" t="s">
        <v>343</v>
      </c>
      <c r="J2387" s="11">
        <v>10347</v>
      </c>
      <c r="K2387" s="11">
        <v>10949</v>
      </c>
      <c r="L2387" s="11">
        <v>21296</v>
      </c>
      <c r="M2387" s="11">
        <v>9238</v>
      </c>
    </row>
    <row r="2388" spans="1:13" x14ac:dyDescent="0.3">
      <c r="A2388" s="10">
        <v>6712</v>
      </c>
      <c r="B2388" s="10">
        <v>90</v>
      </c>
      <c r="C2388" s="10" t="s">
        <v>2624</v>
      </c>
      <c r="D2388" s="10">
        <v>9098</v>
      </c>
      <c r="E2388" s="10" t="s">
        <v>2671</v>
      </c>
      <c r="F2388" s="10">
        <v>0</v>
      </c>
      <c r="G2388" s="10" t="s">
        <v>343</v>
      </c>
      <c r="H2388" s="10">
        <v>0</v>
      </c>
      <c r="I2388" s="10" t="s">
        <v>343</v>
      </c>
      <c r="J2388" s="11">
        <v>64864</v>
      </c>
      <c r="K2388" s="11">
        <v>75987</v>
      </c>
      <c r="L2388" s="11">
        <v>140851</v>
      </c>
      <c r="M2388" s="11">
        <v>70703</v>
      </c>
    </row>
    <row r="2389" spans="1:13" x14ac:dyDescent="0.3">
      <c r="A2389" s="10">
        <v>6712</v>
      </c>
      <c r="B2389" s="10">
        <v>90</v>
      </c>
      <c r="C2389" s="10" t="s">
        <v>2624</v>
      </c>
      <c r="D2389" s="10">
        <v>9099</v>
      </c>
      <c r="E2389" s="10" t="s">
        <v>2672</v>
      </c>
      <c r="F2389" s="10">
        <v>0</v>
      </c>
      <c r="G2389" s="10" t="s">
        <v>343</v>
      </c>
      <c r="H2389" s="10">
        <v>0</v>
      </c>
      <c r="I2389" s="10" t="s">
        <v>343</v>
      </c>
      <c r="J2389" s="11">
        <v>25798</v>
      </c>
      <c r="K2389" s="11">
        <v>28158</v>
      </c>
      <c r="L2389" s="11">
        <v>53956</v>
      </c>
      <c r="M2389" s="11">
        <v>27878</v>
      </c>
    </row>
    <row r="2390" spans="1:13" x14ac:dyDescent="0.3">
      <c r="A2390" s="10">
        <v>6712</v>
      </c>
      <c r="B2390" s="10">
        <v>91</v>
      </c>
      <c r="C2390" s="10" t="s">
        <v>2673</v>
      </c>
      <c r="D2390" s="10">
        <v>0</v>
      </c>
      <c r="E2390" s="10" t="s">
        <v>343</v>
      </c>
      <c r="F2390" s="10">
        <v>0</v>
      </c>
      <c r="G2390" s="10" t="s">
        <v>343</v>
      </c>
      <c r="H2390" s="10">
        <v>0</v>
      </c>
      <c r="I2390" s="10" t="s">
        <v>343</v>
      </c>
      <c r="J2390" s="11">
        <v>161667</v>
      </c>
      <c r="K2390" s="11">
        <v>163212</v>
      </c>
      <c r="L2390" s="11">
        <v>324879</v>
      </c>
      <c r="M2390" s="11">
        <v>111775</v>
      </c>
    </row>
    <row r="2391" spans="1:13" x14ac:dyDescent="0.3">
      <c r="A2391" s="10">
        <v>6712</v>
      </c>
      <c r="B2391" s="10">
        <v>91</v>
      </c>
      <c r="C2391" s="10" t="s">
        <v>2673</v>
      </c>
      <c r="D2391" s="10">
        <v>9101</v>
      </c>
      <c r="E2391" s="10" t="s">
        <v>2674</v>
      </c>
      <c r="F2391" s="10">
        <v>0</v>
      </c>
      <c r="G2391" s="10" t="s">
        <v>343</v>
      </c>
      <c r="H2391" s="10">
        <v>0</v>
      </c>
      <c r="I2391" s="10" t="s">
        <v>343</v>
      </c>
      <c r="J2391" s="11">
        <v>32816</v>
      </c>
      <c r="K2391" s="11">
        <v>33625</v>
      </c>
      <c r="L2391" s="11">
        <v>66441</v>
      </c>
      <c r="M2391" s="11">
        <v>19610</v>
      </c>
    </row>
    <row r="2392" spans="1:13" x14ac:dyDescent="0.3">
      <c r="A2392" s="10">
        <v>6712</v>
      </c>
      <c r="B2392" s="10">
        <v>91</v>
      </c>
      <c r="C2392" s="10" t="s">
        <v>2673</v>
      </c>
      <c r="D2392" s="10">
        <v>9102</v>
      </c>
      <c r="E2392" s="10" t="s">
        <v>2675</v>
      </c>
      <c r="F2392" s="10">
        <v>0</v>
      </c>
      <c r="G2392" s="10" t="s">
        <v>343</v>
      </c>
      <c r="H2392" s="10">
        <v>0</v>
      </c>
      <c r="I2392" s="10" t="s">
        <v>343</v>
      </c>
      <c r="J2392" s="11">
        <v>11067</v>
      </c>
      <c r="K2392" s="11">
        <v>11161</v>
      </c>
      <c r="L2392" s="11">
        <v>22228</v>
      </c>
      <c r="M2392" s="11">
        <v>6347</v>
      </c>
    </row>
    <row r="2393" spans="1:13" x14ac:dyDescent="0.3">
      <c r="A2393" s="10">
        <v>6712</v>
      </c>
      <c r="B2393" s="10">
        <v>91</v>
      </c>
      <c r="C2393" s="10" t="s">
        <v>2673</v>
      </c>
      <c r="D2393" s="10">
        <v>9103</v>
      </c>
      <c r="E2393" s="10" t="s">
        <v>2676</v>
      </c>
      <c r="F2393" s="10">
        <v>0</v>
      </c>
      <c r="G2393" s="10" t="s">
        <v>343</v>
      </c>
      <c r="H2393" s="10">
        <v>0</v>
      </c>
      <c r="I2393" s="10" t="s">
        <v>343</v>
      </c>
      <c r="J2393" s="11">
        <v>17766</v>
      </c>
      <c r="K2393" s="11">
        <v>17717</v>
      </c>
      <c r="L2393" s="11">
        <v>35483</v>
      </c>
      <c r="M2393" s="11">
        <v>12380</v>
      </c>
    </row>
    <row r="2394" spans="1:13" x14ac:dyDescent="0.3">
      <c r="A2394" s="10">
        <v>6712</v>
      </c>
      <c r="B2394" s="10">
        <v>91</v>
      </c>
      <c r="C2394" s="10" t="s">
        <v>2673</v>
      </c>
      <c r="D2394" s="10">
        <v>9104</v>
      </c>
      <c r="E2394" s="10" t="s">
        <v>2677</v>
      </c>
      <c r="F2394" s="10">
        <v>0</v>
      </c>
      <c r="G2394" s="10" t="s">
        <v>343</v>
      </c>
      <c r="H2394" s="10">
        <v>0</v>
      </c>
      <c r="I2394" s="10" t="s">
        <v>343</v>
      </c>
      <c r="J2394" s="11">
        <v>14873</v>
      </c>
      <c r="K2394" s="11">
        <v>15070</v>
      </c>
      <c r="L2394" s="11">
        <v>29943</v>
      </c>
      <c r="M2394" s="11">
        <v>9197</v>
      </c>
    </row>
    <row r="2395" spans="1:13" x14ac:dyDescent="0.3">
      <c r="A2395" s="10">
        <v>6712</v>
      </c>
      <c r="B2395" s="10">
        <v>91</v>
      </c>
      <c r="C2395" s="10" t="s">
        <v>2673</v>
      </c>
      <c r="D2395" s="10">
        <v>9105</v>
      </c>
      <c r="E2395" s="10" t="s">
        <v>2678</v>
      </c>
      <c r="F2395" s="10">
        <v>0</v>
      </c>
      <c r="G2395" s="10" t="s">
        <v>343</v>
      </c>
      <c r="H2395" s="10">
        <v>0</v>
      </c>
      <c r="I2395" s="10" t="s">
        <v>343</v>
      </c>
      <c r="J2395" s="11">
        <v>34386</v>
      </c>
      <c r="K2395" s="11">
        <v>34751</v>
      </c>
      <c r="L2395" s="11">
        <v>69137</v>
      </c>
      <c r="M2395" s="11">
        <v>22266</v>
      </c>
    </row>
    <row r="2396" spans="1:13" x14ac:dyDescent="0.3">
      <c r="A2396" s="10">
        <v>6712</v>
      </c>
      <c r="B2396" s="10">
        <v>91</v>
      </c>
      <c r="C2396" s="10" t="s">
        <v>2673</v>
      </c>
      <c r="D2396" s="10">
        <v>9106</v>
      </c>
      <c r="E2396" s="10" t="s">
        <v>2679</v>
      </c>
      <c r="F2396" s="10">
        <v>0</v>
      </c>
      <c r="G2396" s="10" t="s">
        <v>343</v>
      </c>
      <c r="H2396" s="10">
        <v>0</v>
      </c>
      <c r="I2396" s="10" t="s">
        <v>343</v>
      </c>
      <c r="J2396" s="11">
        <v>10770</v>
      </c>
      <c r="K2396" s="11">
        <v>10601</v>
      </c>
      <c r="L2396" s="11">
        <v>21371</v>
      </c>
      <c r="M2396" s="11">
        <v>7074</v>
      </c>
    </row>
    <row r="2397" spans="1:13" x14ac:dyDescent="0.3">
      <c r="A2397" s="10">
        <v>6712</v>
      </c>
      <c r="B2397" s="10">
        <v>91</v>
      </c>
      <c r="C2397" s="10" t="s">
        <v>2673</v>
      </c>
      <c r="D2397" s="10">
        <v>9107</v>
      </c>
      <c r="E2397" s="10" t="s">
        <v>2680</v>
      </c>
      <c r="F2397" s="10">
        <v>0</v>
      </c>
      <c r="G2397" s="10" t="s">
        <v>343</v>
      </c>
      <c r="H2397" s="10">
        <v>0</v>
      </c>
      <c r="I2397" s="10" t="s">
        <v>343</v>
      </c>
      <c r="J2397" s="11">
        <v>9531</v>
      </c>
      <c r="K2397" s="11">
        <v>9171</v>
      </c>
      <c r="L2397" s="11">
        <v>18702</v>
      </c>
      <c r="M2397" s="11">
        <v>6715</v>
      </c>
    </row>
    <row r="2398" spans="1:13" x14ac:dyDescent="0.3">
      <c r="A2398" s="10">
        <v>6712</v>
      </c>
      <c r="B2398" s="10">
        <v>91</v>
      </c>
      <c r="C2398" s="10" t="s">
        <v>2673</v>
      </c>
      <c r="D2398" s="10">
        <v>9193</v>
      </c>
      <c r="E2398" s="10" t="s">
        <v>2681</v>
      </c>
      <c r="F2398" s="10">
        <v>0</v>
      </c>
      <c r="G2398" s="10" t="s">
        <v>343</v>
      </c>
      <c r="H2398" s="10">
        <v>0</v>
      </c>
      <c r="I2398" s="10" t="s">
        <v>343</v>
      </c>
      <c r="J2398" s="11">
        <v>10529</v>
      </c>
      <c r="K2398" s="11">
        <v>9964</v>
      </c>
      <c r="L2398" s="11">
        <v>20493</v>
      </c>
      <c r="M2398" s="11">
        <v>9640</v>
      </c>
    </row>
    <row r="2399" spans="1:13" x14ac:dyDescent="0.3">
      <c r="A2399" s="10">
        <v>6712</v>
      </c>
      <c r="B2399" s="10">
        <v>91</v>
      </c>
      <c r="C2399" s="10" t="s">
        <v>2673</v>
      </c>
      <c r="D2399" s="10">
        <v>9194</v>
      </c>
      <c r="E2399" s="10" t="s">
        <v>2682</v>
      </c>
      <c r="F2399" s="10">
        <v>0</v>
      </c>
      <c r="G2399" s="10" t="s">
        <v>343</v>
      </c>
      <c r="H2399" s="10">
        <v>0</v>
      </c>
      <c r="I2399" s="10" t="s">
        <v>343</v>
      </c>
      <c r="J2399" s="11">
        <v>1603</v>
      </c>
      <c r="K2399" s="11">
        <v>1626</v>
      </c>
      <c r="L2399" s="11">
        <v>3229</v>
      </c>
      <c r="M2399" s="11">
        <v>1271</v>
      </c>
    </row>
    <row r="2400" spans="1:13" x14ac:dyDescent="0.3">
      <c r="A2400" s="10">
        <v>6712</v>
      </c>
      <c r="B2400" s="10">
        <v>91</v>
      </c>
      <c r="C2400" s="10" t="s">
        <v>2673</v>
      </c>
      <c r="D2400" s="10">
        <v>9195</v>
      </c>
      <c r="E2400" s="10" t="s">
        <v>1089</v>
      </c>
      <c r="F2400" s="10">
        <v>0</v>
      </c>
      <c r="G2400" s="10" t="s">
        <v>343</v>
      </c>
      <c r="H2400" s="10">
        <v>0</v>
      </c>
      <c r="I2400" s="10" t="s">
        <v>343</v>
      </c>
      <c r="J2400" s="11">
        <v>2326</v>
      </c>
      <c r="K2400" s="11">
        <v>2570</v>
      </c>
      <c r="L2400" s="11">
        <v>4896</v>
      </c>
      <c r="M2400" s="11">
        <v>2953</v>
      </c>
    </row>
    <row r="2401" spans="1:13" x14ac:dyDescent="0.3">
      <c r="A2401" s="10">
        <v>6712</v>
      </c>
      <c r="B2401" s="10">
        <v>91</v>
      </c>
      <c r="C2401" s="10" t="s">
        <v>2673</v>
      </c>
      <c r="D2401" s="10">
        <v>9196</v>
      </c>
      <c r="E2401" s="10" t="s">
        <v>2683</v>
      </c>
      <c r="F2401" s="10">
        <v>0</v>
      </c>
      <c r="G2401" s="10" t="s">
        <v>343</v>
      </c>
      <c r="H2401" s="10">
        <v>0</v>
      </c>
      <c r="I2401" s="10" t="s">
        <v>343</v>
      </c>
      <c r="J2401" s="11">
        <v>2684</v>
      </c>
      <c r="K2401" s="11">
        <v>2783</v>
      </c>
      <c r="L2401" s="11">
        <v>5467</v>
      </c>
      <c r="M2401" s="11">
        <v>2028</v>
      </c>
    </row>
    <row r="2402" spans="1:13" x14ac:dyDescent="0.3">
      <c r="A2402" s="10">
        <v>6712</v>
      </c>
      <c r="B2402" s="10">
        <v>91</v>
      </c>
      <c r="C2402" s="10" t="s">
        <v>2673</v>
      </c>
      <c r="D2402" s="10">
        <v>9197</v>
      </c>
      <c r="E2402" s="10" t="s">
        <v>2684</v>
      </c>
      <c r="F2402" s="10">
        <v>0</v>
      </c>
      <c r="G2402" s="10" t="s">
        <v>343</v>
      </c>
      <c r="H2402" s="10">
        <v>0</v>
      </c>
      <c r="I2402" s="10" t="s">
        <v>343</v>
      </c>
      <c r="J2402" s="11">
        <v>1094</v>
      </c>
      <c r="K2402" s="11">
        <v>1221</v>
      </c>
      <c r="L2402" s="11">
        <v>2315</v>
      </c>
      <c r="M2402" s="11">
        <v>1046</v>
      </c>
    </row>
    <row r="2403" spans="1:13" x14ac:dyDescent="0.3">
      <c r="A2403" s="10">
        <v>6712</v>
      </c>
      <c r="B2403" s="10">
        <v>91</v>
      </c>
      <c r="C2403" s="10" t="s">
        <v>2673</v>
      </c>
      <c r="D2403" s="10">
        <v>9198</v>
      </c>
      <c r="E2403" s="10" t="s">
        <v>2685</v>
      </c>
      <c r="F2403" s="10">
        <v>0</v>
      </c>
      <c r="G2403" s="10" t="s">
        <v>343</v>
      </c>
      <c r="H2403" s="10">
        <v>0</v>
      </c>
      <c r="I2403" s="10" t="s">
        <v>343</v>
      </c>
      <c r="J2403" s="11">
        <v>2007</v>
      </c>
      <c r="K2403" s="11">
        <v>2030</v>
      </c>
      <c r="L2403" s="11">
        <v>4037</v>
      </c>
      <c r="M2403" s="11">
        <v>1041</v>
      </c>
    </row>
    <row r="2404" spans="1:13" x14ac:dyDescent="0.3">
      <c r="A2404" s="10">
        <v>6712</v>
      </c>
      <c r="B2404" s="10">
        <v>91</v>
      </c>
      <c r="C2404" s="10" t="s">
        <v>2673</v>
      </c>
      <c r="D2404" s="10">
        <v>9199</v>
      </c>
      <c r="E2404" s="10" t="s">
        <v>2686</v>
      </c>
      <c r="F2404" s="10">
        <v>0</v>
      </c>
      <c r="G2404" s="10" t="s">
        <v>343</v>
      </c>
      <c r="H2404" s="10">
        <v>0</v>
      </c>
      <c r="I2404" s="10" t="s">
        <v>343</v>
      </c>
      <c r="J2404" s="11">
        <v>10215</v>
      </c>
      <c r="K2404" s="11">
        <v>10922</v>
      </c>
      <c r="L2404" s="11">
        <v>21137</v>
      </c>
      <c r="M2404" s="11">
        <v>10207</v>
      </c>
    </row>
    <row r="2405" spans="1:13" x14ac:dyDescent="0.3">
      <c r="A2405" s="10">
        <v>6712</v>
      </c>
      <c r="B2405" s="10">
        <v>92</v>
      </c>
      <c r="C2405" s="10" t="s">
        <v>2687</v>
      </c>
      <c r="D2405" s="10">
        <v>0</v>
      </c>
      <c r="E2405" s="10" t="s">
        <v>343</v>
      </c>
      <c r="F2405" s="10">
        <v>0</v>
      </c>
      <c r="G2405" s="10" t="s">
        <v>343</v>
      </c>
      <c r="H2405" s="10">
        <v>0</v>
      </c>
      <c r="I2405" s="10" t="s">
        <v>343</v>
      </c>
      <c r="J2405" s="11">
        <v>310045</v>
      </c>
      <c r="K2405" s="11">
        <v>324914</v>
      </c>
      <c r="L2405" s="11">
        <v>634959</v>
      </c>
      <c r="M2405" s="11">
        <v>246853</v>
      </c>
    </row>
    <row r="2406" spans="1:13" x14ac:dyDescent="0.3">
      <c r="A2406" s="10">
        <v>6712</v>
      </c>
      <c r="B2406" s="10">
        <v>92</v>
      </c>
      <c r="C2406" s="10" t="s">
        <v>2687</v>
      </c>
      <c r="D2406" s="10">
        <v>9201</v>
      </c>
      <c r="E2406" s="10" t="s">
        <v>2688</v>
      </c>
      <c r="F2406" s="10">
        <v>0</v>
      </c>
      <c r="G2406" s="10" t="s">
        <v>343</v>
      </c>
      <c r="H2406" s="10">
        <v>0</v>
      </c>
      <c r="I2406" s="10" t="s">
        <v>343</v>
      </c>
      <c r="J2406" s="11">
        <v>46421</v>
      </c>
      <c r="K2406" s="11">
        <v>50340</v>
      </c>
      <c r="L2406" s="11">
        <v>96761</v>
      </c>
      <c r="M2406" s="11">
        <v>43309</v>
      </c>
    </row>
    <row r="2407" spans="1:13" x14ac:dyDescent="0.3">
      <c r="A2407" s="10">
        <v>6712</v>
      </c>
      <c r="B2407" s="10">
        <v>92</v>
      </c>
      <c r="C2407" s="10" t="s">
        <v>2687</v>
      </c>
      <c r="D2407" s="10">
        <v>9202</v>
      </c>
      <c r="E2407" s="10" t="s">
        <v>2689</v>
      </c>
      <c r="F2407" s="10">
        <v>0</v>
      </c>
      <c r="G2407" s="10" t="s">
        <v>343</v>
      </c>
      <c r="H2407" s="10">
        <v>0</v>
      </c>
      <c r="I2407" s="10" t="s">
        <v>343</v>
      </c>
      <c r="J2407" s="11">
        <v>37295</v>
      </c>
      <c r="K2407" s="11">
        <v>38060</v>
      </c>
      <c r="L2407" s="11">
        <v>75355</v>
      </c>
      <c r="M2407" s="11">
        <v>25257</v>
      </c>
    </row>
    <row r="2408" spans="1:13" x14ac:dyDescent="0.3">
      <c r="A2408" s="10">
        <v>6712</v>
      </c>
      <c r="B2408" s="10">
        <v>92</v>
      </c>
      <c r="C2408" s="10" t="s">
        <v>2687</v>
      </c>
      <c r="D2408" s="10">
        <v>9203</v>
      </c>
      <c r="E2408" s="10" t="s">
        <v>2690</v>
      </c>
      <c r="F2408" s="10">
        <v>0</v>
      </c>
      <c r="G2408" s="10" t="s">
        <v>343</v>
      </c>
      <c r="H2408" s="10">
        <v>0</v>
      </c>
      <c r="I2408" s="10" t="s">
        <v>343</v>
      </c>
      <c r="J2408" s="11">
        <v>27718</v>
      </c>
      <c r="K2408" s="11">
        <v>28645</v>
      </c>
      <c r="L2408" s="11">
        <v>56363</v>
      </c>
      <c r="M2408" s="11">
        <v>18750</v>
      </c>
    </row>
    <row r="2409" spans="1:13" x14ac:dyDescent="0.3">
      <c r="A2409" s="10">
        <v>6712</v>
      </c>
      <c r="B2409" s="10">
        <v>92</v>
      </c>
      <c r="C2409" s="10" t="s">
        <v>2687</v>
      </c>
      <c r="D2409" s="10">
        <v>9204</v>
      </c>
      <c r="E2409" s="10" t="s">
        <v>2691</v>
      </c>
      <c r="F2409" s="10">
        <v>0</v>
      </c>
      <c r="G2409" s="10" t="s">
        <v>343</v>
      </c>
      <c r="H2409" s="10">
        <v>0</v>
      </c>
      <c r="I2409" s="10" t="s">
        <v>343</v>
      </c>
      <c r="J2409" s="11">
        <v>30666</v>
      </c>
      <c r="K2409" s="11">
        <v>31394</v>
      </c>
      <c r="L2409" s="11">
        <v>62060</v>
      </c>
      <c r="M2409" s="11">
        <v>22375</v>
      </c>
    </row>
    <row r="2410" spans="1:13" x14ac:dyDescent="0.3">
      <c r="A2410" s="10">
        <v>6712</v>
      </c>
      <c r="B2410" s="10">
        <v>92</v>
      </c>
      <c r="C2410" s="10" t="s">
        <v>2687</v>
      </c>
      <c r="D2410" s="10">
        <v>9205</v>
      </c>
      <c r="E2410" s="10" t="s">
        <v>2692</v>
      </c>
      <c r="F2410" s="10">
        <v>0</v>
      </c>
      <c r="G2410" s="10" t="s">
        <v>343</v>
      </c>
      <c r="H2410" s="10">
        <v>0</v>
      </c>
      <c r="I2410" s="10" t="s">
        <v>343</v>
      </c>
      <c r="J2410" s="11">
        <v>17651</v>
      </c>
      <c r="K2410" s="11">
        <v>17239</v>
      </c>
      <c r="L2410" s="11">
        <v>34890</v>
      </c>
      <c r="M2410" s="11">
        <v>13112</v>
      </c>
    </row>
    <row r="2411" spans="1:13" x14ac:dyDescent="0.3">
      <c r="A2411" s="10">
        <v>6712</v>
      </c>
      <c r="B2411" s="10">
        <v>92</v>
      </c>
      <c r="C2411" s="10" t="s">
        <v>2687</v>
      </c>
      <c r="D2411" s="10">
        <v>9206</v>
      </c>
      <c r="E2411" s="10" t="s">
        <v>2693</v>
      </c>
      <c r="F2411" s="10">
        <v>0</v>
      </c>
      <c r="G2411" s="10" t="s">
        <v>343</v>
      </c>
      <c r="H2411" s="10">
        <v>0</v>
      </c>
      <c r="I2411" s="10" t="s">
        <v>343</v>
      </c>
      <c r="J2411" s="11">
        <v>38286</v>
      </c>
      <c r="K2411" s="11">
        <v>39412</v>
      </c>
      <c r="L2411" s="11">
        <v>77698</v>
      </c>
      <c r="M2411" s="11">
        <v>27826</v>
      </c>
    </row>
    <row r="2412" spans="1:13" x14ac:dyDescent="0.3">
      <c r="A2412" s="10">
        <v>6712</v>
      </c>
      <c r="B2412" s="10">
        <v>92</v>
      </c>
      <c r="C2412" s="10" t="s">
        <v>2687</v>
      </c>
      <c r="D2412" s="10">
        <v>9207</v>
      </c>
      <c r="E2412" s="10" t="s">
        <v>2694</v>
      </c>
      <c r="F2412" s="10">
        <v>0</v>
      </c>
      <c r="G2412" s="10" t="s">
        <v>343</v>
      </c>
      <c r="H2412" s="10">
        <v>0</v>
      </c>
      <c r="I2412" s="10" t="s">
        <v>343</v>
      </c>
      <c r="J2412" s="11">
        <v>20002</v>
      </c>
      <c r="K2412" s="11">
        <v>20267</v>
      </c>
      <c r="L2412" s="11">
        <v>40269</v>
      </c>
      <c r="M2412" s="11">
        <v>14381</v>
      </c>
    </row>
    <row r="2413" spans="1:13" x14ac:dyDescent="0.3">
      <c r="A2413" s="10">
        <v>6712</v>
      </c>
      <c r="B2413" s="10">
        <v>92</v>
      </c>
      <c r="C2413" s="10" t="s">
        <v>2687</v>
      </c>
      <c r="D2413" s="10">
        <v>9208</v>
      </c>
      <c r="E2413" s="10" t="s">
        <v>2695</v>
      </c>
      <c r="F2413" s="10">
        <v>0</v>
      </c>
      <c r="G2413" s="10" t="s">
        <v>343</v>
      </c>
      <c r="H2413" s="10">
        <v>0</v>
      </c>
      <c r="I2413" s="10" t="s">
        <v>343</v>
      </c>
      <c r="J2413" s="11">
        <v>19839</v>
      </c>
      <c r="K2413" s="11">
        <v>21050</v>
      </c>
      <c r="L2413" s="11">
        <v>40889</v>
      </c>
      <c r="M2413" s="11">
        <v>14157</v>
      </c>
    </row>
    <row r="2414" spans="1:13" x14ac:dyDescent="0.3">
      <c r="A2414" s="10">
        <v>6712</v>
      </c>
      <c r="B2414" s="10">
        <v>92</v>
      </c>
      <c r="C2414" s="10" t="s">
        <v>2687</v>
      </c>
      <c r="D2414" s="10">
        <v>9209</v>
      </c>
      <c r="E2414" s="10" t="s">
        <v>2696</v>
      </c>
      <c r="F2414" s="10">
        <v>0</v>
      </c>
      <c r="G2414" s="10" t="s">
        <v>343</v>
      </c>
      <c r="H2414" s="10">
        <v>0</v>
      </c>
      <c r="I2414" s="10" t="s">
        <v>343</v>
      </c>
      <c r="J2414" s="11">
        <v>13174</v>
      </c>
      <c r="K2414" s="11">
        <v>13518</v>
      </c>
      <c r="L2414" s="11">
        <v>26692</v>
      </c>
      <c r="M2414" s="11">
        <v>10197</v>
      </c>
    </row>
    <row r="2415" spans="1:13" x14ac:dyDescent="0.3">
      <c r="A2415" s="10">
        <v>6712</v>
      </c>
      <c r="B2415" s="10">
        <v>92</v>
      </c>
      <c r="C2415" s="10" t="s">
        <v>2687</v>
      </c>
      <c r="D2415" s="10">
        <v>9210</v>
      </c>
      <c r="E2415" s="10" t="s">
        <v>2697</v>
      </c>
      <c r="F2415" s="10">
        <v>0</v>
      </c>
      <c r="G2415" s="10" t="s">
        <v>343</v>
      </c>
      <c r="H2415" s="10">
        <v>0</v>
      </c>
      <c r="I2415" s="10" t="s">
        <v>343</v>
      </c>
      <c r="J2415" s="11">
        <v>8420</v>
      </c>
      <c r="K2415" s="11">
        <v>8331</v>
      </c>
      <c r="L2415" s="11">
        <v>16751</v>
      </c>
      <c r="M2415" s="11">
        <v>5144</v>
      </c>
    </row>
    <row r="2416" spans="1:13" x14ac:dyDescent="0.3">
      <c r="A2416" s="10">
        <v>6712</v>
      </c>
      <c r="B2416" s="10">
        <v>92</v>
      </c>
      <c r="C2416" s="10" t="s">
        <v>2687</v>
      </c>
      <c r="D2416" s="10">
        <v>9286</v>
      </c>
      <c r="E2416" s="10" t="s">
        <v>2698</v>
      </c>
      <c r="F2416" s="10">
        <v>0</v>
      </c>
      <c r="G2416" s="10" t="s">
        <v>343</v>
      </c>
      <c r="H2416" s="10">
        <v>0</v>
      </c>
      <c r="I2416" s="10" t="s">
        <v>343</v>
      </c>
      <c r="J2416" s="11">
        <v>1155</v>
      </c>
      <c r="K2416" s="11">
        <v>1272</v>
      </c>
      <c r="L2416" s="11">
        <v>2427</v>
      </c>
      <c r="M2416" s="11">
        <v>1379</v>
      </c>
    </row>
    <row r="2417" spans="1:13" x14ac:dyDescent="0.3">
      <c r="A2417" s="10">
        <v>6712</v>
      </c>
      <c r="B2417" s="10">
        <v>92</v>
      </c>
      <c r="C2417" s="10" t="s">
        <v>2687</v>
      </c>
      <c r="D2417" s="10">
        <v>9287</v>
      </c>
      <c r="E2417" s="10" t="s">
        <v>2699</v>
      </c>
      <c r="F2417" s="10">
        <v>0</v>
      </c>
      <c r="G2417" s="10" t="s">
        <v>343</v>
      </c>
      <c r="H2417" s="10">
        <v>0</v>
      </c>
      <c r="I2417" s="10" t="s">
        <v>343</v>
      </c>
      <c r="J2417" s="11">
        <v>1611</v>
      </c>
      <c r="K2417" s="11">
        <v>1806</v>
      </c>
      <c r="L2417" s="11">
        <v>3417</v>
      </c>
      <c r="M2417" s="11">
        <v>1618</v>
      </c>
    </row>
    <row r="2418" spans="1:13" x14ac:dyDescent="0.3">
      <c r="A2418" s="10">
        <v>6712</v>
      </c>
      <c r="B2418" s="10">
        <v>92</v>
      </c>
      <c r="C2418" s="10" t="s">
        <v>2687</v>
      </c>
      <c r="D2418" s="10">
        <v>9288</v>
      </c>
      <c r="E2418" s="10" t="s">
        <v>2700</v>
      </c>
      <c r="F2418" s="10">
        <v>0</v>
      </c>
      <c r="G2418" s="10" t="s">
        <v>343</v>
      </c>
      <c r="H2418" s="10">
        <v>0</v>
      </c>
      <c r="I2418" s="10" t="s">
        <v>343</v>
      </c>
      <c r="J2418" s="11">
        <v>1466</v>
      </c>
      <c r="K2418" s="11">
        <v>1488</v>
      </c>
      <c r="L2418" s="11">
        <v>2954</v>
      </c>
      <c r="M2418" s="11">
        <v>1411</v>
      </c>
    </row>
    <row r="2419" spans="1:13" x14ac:dyDescent="0.3">
      <c r="A2419" s="10">
        <v>6712</v>
      </c>
      <c r="B2419" s="10">
        <v>92</v>
      </c>
      <c r="C2419" s="10" t="s">
        <v>2687</v>
      </c>
      <c r="D2419" s="10">
        <v>9289</v>
      </c>
      <c r="E2419" s="10" t="s">
        <v>2701</v>
      </c>
      <c r="F2419" s="10">
        <v>0</v>
      </c>
      <c r="G2419" s="10" t="s">
        <v>343</v>
      </c>
      <c r="H2419" s="10">
        <v>0</v>
      </c>
      <c r="I2419" s="10" t="s">
        <v>343</v>
      </c>
      <c r="J2419" s="11">
        <v>1780</v>
      </c>
      <c r="K2419" s="11">
        <v>1457</v>
      </c>
      <c r="L2419" s="11">
        <v>3237</v>
      </c>
      <c r="M2419" s="11">
        <v>1476</v>
      </c>
    </row>
    <row r="2420" spans="1:13" x14ac:dyDescent="0.3">
      <c r="A2420" s="10">
        <v>6712</v>
      </c>
      <c r="B2420" s="10">
        <v>92</v>
      </c>
      <c r="C2420" s="10" t="s">
        <v>2687</v>
      </c>
      <c r="D2420" s="10">
        <v>9290</v>
      </c>
      <c r="E2420" s="10" t="s">
        <v>2702</v>
      </c>
      <c r="F2420" s="10">
        <v>0</v>
      </c>
      <c r="G2420" s="10" t="s">
        <v>343</v>
      </c>
      <c r="H2420" s="10">
        <v>0</v>
      </c>
      <c r="I2420" s="10" t="s">
        <v>343</v>
      </c>
      <c r="J2420" s="11">
        <v>1927</v>
      </c>
      <c r="K2420" s="11">
        <v>2049</v>
      </c>
      <c r="L2420" s="11">
        <v>3976</v>
      </c>
      <c r="M2420" s="11">
        <v>1888</v>
      </c>
    </row>
    <row r="2421" spans="1:13" x14ac:dyDescent="0.3">
      <c r="A2421" s="10">
        <v>6712</v>
      </c>
      <c r="B2421" s="10">
        <v>92</v>
      </c>
      <c r="C2421" s="10" t="s">
        <v>2687</v>
      </c>
      <c r="D2421" s="10">
        <v>9291</v>
      </c>
      <c r="E2421" s="10" t="s">
        <v>2703</v>
      </c>
      <c r="F2421" s="10">
        <v>0</v>
      </c>
      <c r="G2421" s="10" t="s">
        <v>343</v>
      </c>
      <c r="H2421" s="10">
        <v>0</v>
      </c>
      <c r="I2421" s="10" t="s">
        <v>343</v>
      </c>
      <c r="J2421" s="10">
        <v>619</v>
      </c>
      <c r="K2421" s="10">
        <v>683</v>
      </c>
      <c r="L2421" s="11">
        <v>1302</v>
      </c>
      <c r="M2421" s="10">
        <v>664</v>
      </c>
    </row>
    <row r="2422" spans="1:13" x14ac:dyDescent="0.3">
      <c r="A2422" s="10">
        <v>6712</v>
      </c>
      <c r="B2422" s="10">
        <v>92</v>
      </c>
      <c r="C2422" s="10" t="s">
        <v>2687</v>
      </c>
      <c r="D2422" s="10">
        <v>9292</v>
      </c>
      <c r="E2422" s="10" t="s">
        <v>2704</v>
      </c>
      <c r="F2422" s="10">
        <v>0</v>
      </c>
      <c r="G2422" s="10" t="s">
        <v>343</v>
      </c>
      <c r="H2422" s="10">
        <v>0</v>
      </c>
      <c r="I2422" s="10" t="s">
        <v>343</v>
      </c>
      <c r="J2422" s="11">
        <v>1013</v>
      </c>
      <c r="K2422" s="11">
        <v>1068</v>
      </c>
      <c r="L2422" s="11">
        <v>2081</v>
      </c>
      <c r="M2422" s="10">
        <v>790</v>
      </c>
    </row>
    <row r="2423" spans="1:13" x14ac:dyDescent="0.3">
      <c r="A2423" s="10">
        <v>6712</v>
      </c>
      <c r="B2423" s="10">
        <v>92</v>
      </c>
      <c r="C2423" s="10" t="s">
        <v>2687</v>
      </c>
      <c r="D2423" s="10">
        <v>9293</v>
      </c>
      <c r="E2423" s="10" t="s">
        <v>2705</v>
      </c>
      <c r="F2423" s="10">
        <v>0</v>
      </c>
      <c r="G2423" s="10" t="s">
        <v>343</v>
      </c>
      <c r="H2423" s="10">
        <v>0</v>
      </c>
      <c r="I2423" s="10" t="s">
        <v>343</v>
      </c>
      <c r="J2423" s="11">
        <v>1096</v>
      </c>
      <c r="K2423" s="11">
        <v>1238</v>
      </c>
      <c r="L2423" s="11">
        <v>2334</v>
      </c>
      <c r="M2423" s="11">
        <v>1117</v>
      </c>
    </row>
    <row r="2424" spans="1:13" x14ac:dyDescent="0.3">
      <c r="A2424" s="10">
        <v>6712</v>
      </c>
      <c r="B2424" s="10">
        <v>92</v>
      </c>
      <c r="C2424" s="10" t="s">
        <v>2687</v>
      </c>
      <c r="D2424" s="10">
        <v>9294</v>
      </c>
      <c r="E2424" s="10" t="s">
        <v>815</v>
      </c>
      <c r="F2424" s="10">
        <v>0</v>
      </c>
      <c r="G2424" s="10" t="s">
        <v>343</v>
      </c>
      <c r="H2424" s="10">
        <v>0</v>
      </c>
      <c r="I2424" s="10" t="s">
        <v>343</v>
      </c>
      <c r="J2424" s="10">
        <v>645</v>
      </c>
      <c r="K2424" s="10">
        <v>655</v>
      </c>
      <c r="L2424" s="11">
        <v>1300</v>
      </c>
      <c r="M2424" s="10">
        <v>670</v>
      </c>
    </row>
    <row r="2425" spans="1:13" x14ac:dyDescent="0.3">
      <c r="A2425" s="10">
        <v>6712</v>
      </c>
      <c r="B2425" s="10">
        <v>92</v>
      </c>
      <c r="C2425" s="10" t="s">
        <v>2687</v>
      </c>
      <c r="D2425" s="10">
        <v>9295</v>
      </c>
      <c r="E2425" s="10" t="s">
        <v>2706</v>
      </c>
      <c r="F2425" s="10">
        <v>0</v>
      </c>
      <c r="G2425" s="10" t="s">
        <v>343</v>
      </c>
      <c r="H2425" s="10">
        <v>0</v>
      </c>
      <c r="I2425" s="10" t="s">
        <v>343</v>
      </c>
      <c r="J2425" s="11">
        <v>3432</v>
      </c>
      <c r="K2425" s="11">
        <v>3987</v>
      </c>
      <c r="L2425" s="11">
        <v>7419</v>
      </c>
      <c r="M2425" s="11">
        <v>3874</v>
      </c>
    </row>
    <row r="2426" spans="1:13" x14ac:dyDescent="0.3">
      <c r="A2426" s="10">
        <v>6712</v>
      </c>
      <c r="B2426" s="10">
        <v>92</v>
      </c>
      <c r="C2426" s="10" t="s">
        <v>2687</v>
      </c>
      <c r="D2426" s="10">
        <v>9296</v>
      </c>
      <c r="E2426" s="10" t="s">
        <v>2707</v>
      </c>
      <c r="F2426" s="10">
        <v>0</v>
      </c>
      <c r="G2426" s="10" t="s">
        <v>343</v>
      </c>
      <c r="H2426" s="10">
        <v>0</v>
      </c>
      <c r="I2426" s="10" t="s">
        <v>343</v>
      </c>
      <c r="J2426" s="11">
        <v>1848</v>
      </c>
      <c r="K2426" s="11">
        <v>2009</v>
      </c>
      <c r="L2426" s="11">
        <v>3857</v>
      </c>
      <c r="M2426" s="11">
        <v>1819</v>
      </c>
    </row>
    <row r="2427" spans="1:13" x14ac:dyDescent="0.3">
      <c r="A2427" s="10">
        <v>6712</v>
      </c>
      <c r="B2427" s="10">
        <v>92</v>
      </c>
      <c r="C2427" s="10" t="s">
        <v>2687</v>
      </c>
      <c r="D2427" s="10">
        <v>9297</v>
      </c>
      <c r="E2427" s="10" t="s">
        <v>2708</v>
      </c>
      <c r="F2427" s="10">
        <v>0</v>
      </c>
      <c r="G2427" s="10" t="s">
        <v>343</v>
      </c>
      <c r="H2427" s="10">
        <v>0</v>
      </c>
      <c r="I2427" s="10" t="s">
        <v>343</v>
      </c>
      <c r="J2427" s="11">
        <v>3691</v>
      </c>
      <c r="K2427" s="11">
        <v>4103</v>
      </c>
      <c r="L2427" s="11">
        <v>7794</v>
      </c>
      <c r="M2427" s="11">
        <v>4232</v>
      </c>
    </row>
    <row r="2428" spans="1:13" x14ac:dyDescent="0.3">
      <c r="A2428" s="10">
        <v>6712</v>
      </c>
      <c r="B2428" s="10">
        <v>92</v>
      </c>
      <c r="C2428" s="10" t="s">
        <v>2687</v>
      </c>
      <c r="D2428" s="10">
        <v>9298</v>
      </c>
      <c r="E2428" s="10" t="s">
        <v>2709</v>
      </c>
      <c r="F2428" s="10">
        <v>0</v>
      </c>
      <c r="G2428" s="10" t="s">
        <v>343</v>
      </c>
      <c r="H2428" s="10">
        <v>0</v>
      </c>
      <c r="I2428" s="10" t="s">
        <v>343</v>
      </c>
      <c r="J2428" s="11">
        <v>5483</v>
      </c>
      <c r="K2428" s="11">
        <v>5705</v>
      </c>
      <c r="L2428" s="11">
        <v>11188</v>
      </c>
      <c r="M2428" s="11">
        <v>5143</v>
      </c>
    </row>
    <row r="2429" spans="1:13" x14ac:dyDescent="0.3">
      <c r="A2429" s="10">
        <v>6712</v>
      </c>
      <c r="B2429" s="10">
        <v>92</v>
      </c>
      <c r="C2429" s="10" t="s">
        <v>2687</v>
      </c>
      <c r="D2429" s="10">
        <v>9299</v>
      </c>
      <c r="E2429" s="10" t="s">
        <v>2710</v>
      </c>
      <c r="F2429" s="10">
        <v>0</v>
      </c>
      <c r="G2429" s="10" t="s">
        <v>343</v>
      </c>
      <c r="H2429" s="10">
        <v>0</v>
      </c>
      <c r="I2429" s="10" t="s">
        <v>343</v>
      </c>
      <c r="J2429" s="11">
        <v>24807</v>
      </c>
      <c r="K2429" s="11">
        <v>29138</v>
      </c>
      <c r="L2429" s="11">
        <v>53945</v>
      </c>
      <c r="M2429" s="11">
        <v>26264</v>
      </c>
    </row>
    <row r="2430" spans="1:13" x14ac:dyDescent="0.3">
      <c r="A2430" s="10">
        <v>6712</v>
      </c>
      <c r="B2430" s="10">
        <v>93</v>
      </c>
      <c r="C2430" s="10" t="s">
        <v>2711</v>
      </c>
      <c r="D2430" s="10">
        <v>0</v>
      </c>
      <c r="E2430" s="10" t="s">
        <v>343</v>
      </c>
      <c r="F2430" s="10">
        <v>0</v>
      </c>
      <c r="G2430" s="10" t="s">
        <v>343</v>
      </c>
      <c r="H2430" s="10">
        <v>0</v>
      </c>
      <c r="I2430" s="10" t="s">
        <v>343</v>
      </c>
      <c r="J2430" s="11">
        <v>252460</v>
      </c>
      <c r="K2430" s="11">
        <v>266980</v>
      </c>
      <c r="L2430" s="11">
        <v>519440</v>
      </c>
      <c r="M2430" s="11">
        <v>207767</v>
      </c>
    </row>
    <row r="2431" spans="1:13" x14ac:dyDescent="0.3">
      <c r="A2431" s="10">
        <v>6712</v>
      </c>
      <c r="B2431" s="10">
        <v>93</v>
      </c>
      <c r="C2431" s="10" t="s">
        <v>2711</v>
      </c>
      <c r="D2431" s="10">
        <v>9301</v>
      </c>
      <c r="E2431" s="10" t="s">
        <v>2712</v>
      </c>
      <c r="F2431" s="10">
        <v>0</v>
      </c>
      <c r="G2431" s="10" t="s">
        <v>343</v>
      </c>
      <c r="H2431" s="10">
        <v>0</v>
      </c>
      <c r="I2431" s="10" t="s">
        <v>343</v>
      </c>
      <c r="J2431" s="11">
        <v>42603</v>
      </c>
      <c r="K2431" s="11">
        <v>46931</v>
      </c>
      <c r="L2431" s="11">
        <v>89534</v>
      </c>
      <c r="M2431" s="11">
        <v>36125</v>
      </c>
    </row>
    <row r="2432" spans="1:13" x14ac:dyDescent="0.3">
      <c r="A2432" s="10">
        <v>6712</v>
      </c>
      <c r="B2432" s="10">
        <v>93</v>
      </c>
      <c r="C2432" s="10" t="s">
        <v>2711</v>
      </c>
      <c r="D2432" s="10">
        <v>9302</v>
      </c>
      <c r="E2432" s="10" t="s">
        <v>2713</v>
      </c>
      <c r="F2432" s="10">
        <v>0</v>
      </c>
      <c r="G2432" s="10" t="s">
        <v>343</v>
      </c>
      <c r="H2432" s="10">
        <v>0</v>
      </c>
      <c r="I2432" s="10" t="s">
        <v>343</v>
      </c>
      <c r="J2432" s="11">
        <v>14689</v>
      </c>
      <c r="K2432" s="11">
        <v>14882</v>
      </c>
      <c r="L2432" s="11">
        <v>29571</v>
      </c>
      <c r="M2432" s="11">
        <v>9934</v>
      </c>
    </row>
    <row r="2433" spans="1:13" x14ac:dyDescent="0.3">
      <c r="A2433" s="10">
        <v>6712</v>
      </c>
      <c r="B2433" s="10">
        <v>93</v>
      </c>
      <c r="C2433" s="10" t="s">
        <v>2711</v>
      </c>
      <c r="D2433" s="10">
        <v>9303</v>
      </c>
      <c r="E2433" s="10" t="s">
        <v>2714</v>
      </c>
      <c r="F2433" s="10">
        <v>0</v>
      </c>
      <c r="G2433" s="10" t="s">
        <v>343</v>
      </c>
      <c r="H2433" s="10">
        <v>0</v>
      </c>
      <c r="I2433" s="10" t="s">
        <v>343</v>
      </c>
      <c r="J2433" s="11">
        <v>15074</v>
      </c>
      <c r="K2433" s="11">
        <v>15762</v>
      </c>
      <c r="L2433" s="11">
        <v>30836</v>
      </c>
      <c r="M2433" s="11">
        <v>12083</v>
      </c>
    </row>
    <row r="2434" spans="1:13" x14ac:dyDescent="0.3">
      <c r="A2434" s="10">
        <v>6712</v>
      </c>
      <c r="B2434" s="10">
        <v>93</v>
      </c>
      <c r="C2434" s="10" t="s">
        <v>2711</v>
      </c>
      <c r="D2434" s="10">
        <v>9304</v>
      </c>
      <c r="E2434" s="10" t="s">
        <v>2715</v>
      </c>
      <c r="F2434" s="10">
        <v>0</v>
      </c>
      <c r="G2434" s="10" t="s">
        <v>343</v>
      </c>
      <c r="H2434" s="10">
        <v>0</v>
      </c>
      <c r="I2434" s="10" t="s">
        <v>343</v>
      </c>
      <c r="J2434" s="11">
        <v>7123</v>
      </c>
      <c r="K2434" s="11">
        <v>7215</v>
      </c>
      <c r="L2434" s="11">
        <v>14338</v>
      </c>
      <c r="M2434" s="11">
        <v>4992</v>
      </c>
    </row>
    <row r="2435" spans="1:13" x14ac:dyDescent="0.3">
      <c r="A2435" s="10">
        <v>6712</v>
      </c>
      <c r="B2435" s="10">
        <v>93</v>
      </c>
      <c r="C2435" s="10" t="s">
        <v>2711</v>
      </c>
      <c r="D2435" s="10">
        <v>9305</v>
      </c>
      <c r="E2435" s="10" t="s">
        <v>2716</v>
      </c>
      <c r="F2435" s="10">
        <v>0</v>
      </c>
      <c r="G2435" s="10" t="s">
        <v>343</v>
      </c>
      <c r="H2435" s="10">
        <v>0</v>
      </c>
      <c r="I2435" s="10" t="s">
        <v>343</v>
      </c>
      <c r="J2435" s="11">
        <v>37631</v>
      </c>
      <c r="K2435" s="11">
        <v>40840</v>
      </c>
      <c r="L2435" s="11">
        <v>78471</v>
      </c>
      <c r="M2435" s="11">
        <v>31374</v>
      </c>
    </row>
    <row r="2436" spans="1:13" x14ac:dyDescent="0.3">
      <c r="A2436" s="10">
        <v>6712</v>
      </c>
      <c r="B2436" s="10">
        <v>93</v>
      </c>
      <c r="C2436" s="10" t="s">
        <v>2711</v>
      </c>
      <c r="D2436" s="10">
        <v>9306</v>
      </c>
      <c r="E2436" s="10" t="s">
        <v>2717</v>
      </c>
      <c r="F2436" s="10">
        <v>0</v>
      </c>
      <c r="G2436" s="10" t="s">
        <v>343</v>
      </c>
      <c r="H2436" s="10">
        <v>0</v>
      </c>
      <c r="I2436" s="10" t="s">
        <v>343</v>
      </c>
      <c r="J2436" s="11">
        <v>16042</v>
      </c>
      <c r="K2436" s="11">
        <v>16641</v>
      </c>
      <c r="L2436" s="11">
        <v>32683</v>
      </c>
      <c r="M2436" s="11">
        <v>11544</v>
      </c>
    </row>
    <row r="2437" spans="1:13" x14ac:dyDescent="0.3">
      <c r="A2437" s="10">
        <v>6712</v>
      </c>
      <c r="B2437" s="10">
        <v>93</v>
      </c>
      <c r="C2437" s="10" t="s">
        <v>2711</v>
      </c>
      <c r="D2437" s="10">
        <v>9307</v>
      </c>
      <c r="E2437" s="10" t="s">
        <v>2718</v>
      </c>
      <c r="F2437" s="10">
        <v>0</v>
      </c>
      <c r="G2437" s="10" t="s">
        <v>343</v>
      </c>
      <c r="H2437" s="10">
        <v>0</v>
      </c>
      <c r="I2437" s="10" t="s">
        <v>343</v>
      </c>
      <c r="J2437" s="11">
        <v>8993</v>
      </c>
      <c r="K2437" s="11">
        <v>9026</v>
      </c>
      <c r="L2437" s="11">
        <v>18019</v>
      </c>
      <c r="M2437" s="11">
        <v>7138</v>
      </c>
    </row>
    <row r="2438" spans="1:13" x14ac:dyDescent="0.3">
      <c r="A2438" s="10">
        <v>6712</v>
      </c>
      <c r="B2438" s="10">
        <v>93</v>
      </c>
      <c r="C2438" s="10" t="s">
        <v>2711</v>
      </c>
      <c r="D2438" s="10">
        <v>9308</v>
      </c>
      <c r="E2438" s="10" t="s">
        <v>2719</v>
      </c>
      <c r="F2438" s="10">
        <v>0</v>
      </c>
      <c r="G2438" s="10" t="s">
        <v>343</v>
      </c>
      <c r="H2438" s="10">
        <v>0</v>
      </c>
      <c r="I2438" s="10" t="s">
        <v>343</v>
      </c>
      <c r="J2438" s="11">
        <v>21390</v>
      </c>
      <c r="K2438" s="11">
        <v>21810</v>
      </c>
      <c r="L2438" s="11">
        <v>43200</v>
      </c>
      <c r="M2438" s="11">
        <v>16564</v>
      </c>
    </row>
    <row r="2439" spans="1:13" x14ac:dyDescent="0.3">
      <c r="A2439" s="10">
        <v>6712</v>
      </c>
      <c r="B2439" s="10">
        <v>93</v>
      </c>
      <c r="C2439" s="10" t="s">
        <v>2711</v>
      </c>
      <c r="D2439" s="10">
        <v>9309</v>
      </c>
      <c r="E2439" s="10" t="s">
        <v>2720</v>
      </c>
      <c r="F2439" s="10">
        <v>0</v>
      </c>
      <c r="G2439" s="10" t="s">
        <v>343</v>
      </c>
      <c r="H2439" s="10">
        <v>0</v>
      </c>
      <c r="I2439" s="10" t="s">
        <v>343</v>
      </c>
      <c r="J2439" s="11">
        <v>8928</v>
      </c>
      <c r="K2439" s="11">
        <v>9106</v>
      </c>
      <c r="L2439" s="11">
        <v>18034</v>
      </c>
      <c r="M2439" s="11">
        <v>6797</v>
      </c>
    </row>
    <row r="2440" spans="1:13" x14ac:dyDescent="0.3">
      <c r="A2440" s="10">
        <v>6712</v>
      </c>
      <c r="B2440" s="10">
        <v>93</v>
      </c>
      <c r="C2440" s="10" t="s">
        <v>2711</v>
      </c>
      <c r="D2440" s="10">
        <v>9310</v>
      </c>
      <c r="E2440" s="10" t="s">
        <v>2721</v>
      </c>
      <c r="F2440" s="10">
        <v>0</v>
      </c>
      <c r="G2440" s="10" t="s">
        <v>343</v>
      </c>
      <c r="H2440" s="10">
        <v>0</v>
      </c>
      <c r="I2440" s="10" t="s">
        <v>343</v>
      </c>
      <c r="J2440" s="11">
        <v>13126</v>
      </c>
      <c r="K2440" s="11">
        <v>13667</v>
      </c>
      <c r="L2440" s="11">
        <v>26793</v>
      </c>
      <c r="M2440" s="11">
        <v>11251</v>
      </c>
    </row>
    <row r="2441" spans="1:13" x14ac:dyDescent="0.3">
      <c r="A2441" s="10">
        <v>6712</v>
      </c>
      <c r="B2441" s="10">
        <v>93</v>
      </c>
      <c r="C2441" s="10" t="s">
        <v>2711</v>
      </c>
      <c r="D2441" s="10">
        <v>9311</v>
      </c>
      <c r="E2441" s="10" t="s">
        <v>2722</v>
      </c>
      <c r="F2441" s="10">
        <v>0</v>
      </c>
      <c r="G2441" s="10" t="s">
        <v>343</v>
      </c>
      <c r="H2441" s="10">
        <v>0</v>
      </c>
      <c r="I2441" s="10" t="s">
        <v>343</v>
      </c>
      <c r="J2441" s="11">
        <v>5122</v>
      </c>
      <c r="K2441" s="11">
        <v>5270</v>
      </c>
      <c r="L2441" s="11">
        <v>10392</v>
      </c>
      <c r="M2441" s="11">
        <v>3790</v>
      </c>
    </row>
    <row r="2442" spans="1:13" x14ac:dyDescent="0.3">
      <c r="A2442" s="10">
        <v>6712</v>
      </c>
      <c r="B2442" s="10">
        <v>93</v>
      </c>
      <c r="C2442" s="10" t="s">
        <v>2711</v>
      </c>
      <c r="D2442" s="10">
        <v>9382</v>
      </c>
      <c r="E2442" s="10" t="s">
        <v>2723</v>
      </c>
      <c r="F2442" s="10">
        <v>0</v>
      </c>
      <c r="G2442" s="10" t="s">
        <v>343</v>
      </c>
      <c r="H2442" s="10">
        <v>0</v>
      </c>
      <c r="I2442" s="10" t="s">
        <v>343</v>
      </c>
      <c r="J2442" s="11">
        <v>3603</v>
      </c>
      <c r="K2442" s="11">
        <v>3583</v>
      </c>
      <c r="L2442" s="11">
        <v>7186</v>
      </c>
      <c r="M2442" s="11">
        <v>2281</v>
      </c>
    </row>
    <row r="2443" spans="1:13" x14ac:dyDescent="0.3">
      <c r="A2443" s="10">
        <v>6712</v>
      </c>
      <c r="B2443" s="10">
        <v>93</v>
      </c>
      <c r="C2443" s="10" t="s">
        <v>2711</v>
      </c>
      <c r="D2443" s="10">
        <v>9383</v>
      </c>
      <c r="E2443" s="10" t="s">
        <v>2724</v>
      </c>
      <c r="F2443" s="10">
        <v>0</v>
      </c>
      <c r="G2443" s="10" t="s">
        <v>343</v>
      </c>
      <c r="H2443" s="10">
        <v>0</v>
      </c>
      <c r="I2443" s="10" t="s">
        <v>343</v>
      </c>
      <c r="J2443" s="11">
        <v>3632</v>
      </c>
      <c r="K2443" s="11">
        <v>3688</v>
      </c>
      <c r="L2443" s="11">
        <v>7320</v>
      </c>
      <c r="M2443" s="11">
        <v>2390</v>
      </c>
    </row>
    <row r="2444" spans="1:13" x14ac:dyDescent="0.3">
      <c r="A2444" s="10">
        <v>6712</v>
      </c>
      <c r="B2444" s="10">
        <v>93</v>
      </c>
      <c r="C2444" s="10" t="s">
        <v>2711</v>
      </c>
      <c r="D2444" s="10">
        <v>9384</v>
      </c>
      <c r="E2444" s="10" t="s">
        <v>2725</v>
      </c>
      <c r="F2444" s="10">
        <v>0</v>
      </c>
      <c r="G2444" s="10" t="s">
        <v>343</v>
      </c>
      <c r="H2444" s="10">
        <v>0</v>
      </c>
      <c r="I2444" s="10" t="s">
        <v>343</v>
      </c>
      <c r="J2444" s="11">
        <v>4881</v>
      </c>
      <c r="K2444" s="11">
        <v>5085</v>
      </c>
      <c r="L2444" s="11">
        <v>9966</v>
      </c>
      <c r="M2444" s="11">
        <v>3624</v>
      </c>
    </row>
    <row r="2445" spans="1:13" x14ac:dyDescent="0.3">
      <c r="A2445" s="10">
        <v>6712</v>
      </c>
      <c r="B2445" s="10">
        <v>93</v>
      </c>
      <c r="C2445" s="10" t="s">
        <v>2711</v>
      </c>
      <c r="D2445" s="10">
        <v>9385</v>
      </c>
      <c r="E2445" s="10" t="s">
        <v>2726</v>
      </c>
      <c r="F2445" s="10">
        <v>0</v>
      </c>
      <c r="G2445" s="10" t="s">
        <v>343</v>
      </c>
      <c r="H2445" s="10">
        <v>0</v>
      </c>
      <c r="I2445" s="10" t="s">
        <v>343</v>
      </c>
      <c r="J2445" s="11">
        <v>1892</v>
      </c>
      <c r="K2445" s="11">
        <v>1945</v>
      </c>
      <c r="L2445" s="11">
        <v>3837</v>
      </c>
      <c r="M2445" s="11">
        <v>1498</v>
      </c>
    </row>
    <row r="2446" spans="1:13" x14ac:dyDescent="0.3">
      <c r="A2446" s="10">
        <v>6712</v>
      </c>
      <c r="B2446" s="10">
        <v>93</v>
      </c>
      <c r="C2446" s="10" t="s">
        <v>2711</v>
      </c>
      <c r="D2446" s="10">
        <v>9386</v>
      </c>
      <c r="E2446" s="10" t="s">
        <v>2727</v>
      </c>
      <c r="F2446" s="10">
        <v>0</v>
      </c>
      <c r="G2446" s="10" t="s">
        <v>343</v>
      </c>
      <c r="H2446" s="10">
        <v>0</v>
      </c>
      <c r="I2446" s="10" t="s">
        <v>343</v>
      </c>
      <c r="J2446" s="11">
        <v>2249</v>
      </c>
      <c r="K2446" s="11">
        <v>2325</v>
      </c>
      <c r="L2446" s="11">
        <v>4574</v>
      </c>
      <c r="M2446" s="11">
        <v>1729</v>
      </c>
    </row>
    <row r="2447" spans="1:13" x14ac:dyDescent="0.3">
      <c r="A2447" s="10">
        <v>6712</v>
      </c>
      <c r="B2447" s="10">
        <v>93</v>
      </c>
      <c r="C2447" s="10" t="s">
        <v>2711</v>
      </c>
      <c r="D2447" s="10">
        <v>9387</v>
      </c>
      <c r="E2447" s="10" t="s">
        <v>2728</v>
      </c>
      <c r="F2447" s="10">
        <v>0</v>
      </c>
      <c r="G2447" s="10" t="s">
        <v>343</v>
      </c>
      <c r="H2447" s="10">
        <v>0</v>
      </c>
      <c r="I2447" s="10" t="s">
        <v>343</v>
      </c>
      <c r="J2447" s="11">
        <v>4781</v>
      </c>
      <c r="K2447" s="11">
        <v>4138</v>
      </c>
      <c r="L2447" s="11">
        <v>8919</v>
      </c>
      <c r="M2447" s="11">
        <v>3688</v>
      </c>
    </row>
    <row r="2448" spans="1:13" x14ac:dyDescent="0.3">
      <c r="A2448" s="10">
        <v>6712</v>
      </c>
      <c r="B2448" s="10">
        <v>93</v>
      </c>
      <c r="C2448" s="10" t="s">
        <v>2711</v>
      </c>
      <c r="D2448" s="10">
        <v>9388</v>
      </c>
      <c r="E2448" s="10" t="s">
        <v>2642</v>
      </c>
      <c r="F2448" s="10">
        <v>0</v>
      </c>
      <c r="G2448" s="10" t="s">
        <v>343</v>
      </c>
      <c r="H2448" s="10">
        <v>0</v>
      </c>
      <c r="I2448" s="10" t="s">
        <v>343</v>
      </c>
      <c r="J2448" s="11">
        <v>5045</v>
      </c>
      <c r="K2448" s="11">
        <v>5294</v>
      </c>
      <c r="L2448" s="11">
        <v>10339</v>
      </c>
      <c r="M2448" s="11">
        <v>3784</v>
      </c>
    </row>
    <row r="2449" spans="1:13" x14ac:dyDescent="0.3">
      <c r="A2449" s="10">
        <v>6712</v>
      </c>
      <c r="B2449" s="10">
        <v>93</v>
      </c>
      <c r="C2449" s="10" t="s">
        <v>2711</v>
      </c>
      <c r="D2449" s="10">
        <v>9389</v>
      </c>
      <c r="E2449" s="10" t="s">
        <v>709</v>
      </c>
      <c r="F2449" s="10">
        <v>0</v>
      </c>
      <c r="G2449" s="10" t="s">
        <v>343</v>
      </c>
      <c r="H2449" s="10">
        <v>0</v>
      </c>
      <c r="I2449" s="10" t="s">
        <v>343</v>
      </c>
      <c r="J2449" s="11">
        <v>3687</v>
      </c>
      <c r="K2449" s="11">
        <v>3782</v>
      </c>
      <c r="L2449" s="11">
        <v>7469</v>
      </c>
      <c r="M2449" s="11">
        <v>3288</v>
      </c>
    </row>
    <row r="2450" spans="1:13" x14ac:dyDescent="0.3">
      <c r="A2450" s="10">
        <v>6712</v>
      </c>
      <c r="B2450" s="10">
        <v>93</v>
      </c>
      <c r="C2450" s="10" t="s">
        <v>2711</v>
      </c>
      <c r="D2450" s="10">
        <v>9390</v>
      </c>
      <c r="E2450" s="10" t="s">
        <v>2729</v>
      </c>
      <c r="F2450" s="10">
        <v>0</v>
      </c>
      <c r="G2450" s="10" t="s">
        <v>343</v>
      </c>
      <c r="H2450" s="10">
        <v>0</v>
      </c>
      <c r="I2450" s="10" t="s">
        <v>343</v>
      </c>
      <c r="J2450" s="11">
        <v>4233</v>
      </c>
      <c r="K2450" s="11">
        <v>4459</v>
      </c>
      <c r="L2450" s="11">
        <v>8692</v>
      </c>
      <c r="M2450" s="11">
        <v>3081</v>
      </c>
    </row>
    <row r="2451" spans="1:13" x14ac:dyDescent="0.3">
      <c r="A2451" s="10">
        <v>6712</v>
      </c>
      <c r="B2451" s="10">
        <v>93</v>
      </c>
      <c r="C2451" s="10" t="s">
        <v>2711</v>
      </c>
      <c r="D2451" s="10">
        <v>9391</v>
      </c>
      <c r="E2451" s="10" t="s">
        <v>2730</v>
      </c>
      <c r="F2451" s="10">
        <v>0</v>
      </c>
      <c r="G2451" s="10" t="s">
        <v>343</v>
      </c>
      <c r="H2451" s="10">
        <v>0</v>
      </c>
      <c r="I2451" s="10" t="s">
        <v>343</v>
      </c>
      <c r="J2451" s="11">
        <v>1900</v>
      </c>
      <c r="K2451" s="11">
        <v>2090</v>
      </c>
      <c r="L2451" s="11">
        <v>3990</v>
      </c>
      <c r="M2451" s="11">
        <v>1934</v>
      </c>
    </row>
    <row r="2452" spans="1:13" x14ac:dyDescent="0.3">
      <c r="A2452" s="10">
        <v>6712</v>
      </c>
      <c r="B2452" s="10">
        <v>93</v>
      </c>
      <c r="C2452" s="10" t="s">
        <v>2711</v>
      </c>
      <c r="D2452" s="10">
        <v>9392</v>
      </c>
      <c r="E2452" s="10" t="s">
        <v>2731</v>
      </c>
      <c r="F2452" s="10">
        <v>0</v>
      </c>
      <c r="G2452" s="10" t="s">
        <v>343</v>
      </c>
      <c r="H2452" s="10">
        <v>0</v>
      </c>
      <c r="I2452" s="10" t="s">
        <v>343</v>
      </c>
      <c r="J2452" s="11">
        <v>2015</v>
      </c>
      <c r="K2452" s="11">
        <v>2087</v>
      </c>
      <c r="L2452" s="11">
        <v>4102</v>
      </c>
      <c r="M2452" s="11">
        <v>1828</v>
      </c>
    </row>
    <row r="2453" spans="1:13" x14ac:dyDescent="0.3">
      <c r="A2453" s="10">
        <v>6712</v>
      </c>
      <c r="B2453" s="10">
        <v>93</v>
      </c>
      <c r="C2453" s="10" t="s">
        <v>2711</v>
      </c>
      <c r="D2453" s="10">
        <v>9393</v>
      </c>
      <c r="E2453" s="10" t="s">
        <v>2732</v>
      </c>
      <c r="F2453" s="10">
        <v>0</v>
      </c>
      <c r="G2453" s="10" t="s">
        <v>343</v>
      </c>
      <c r="H2453" s="10">
        <v>0</v>
      </c>
      <c r="I2453" s="10" t="s">
        <v>343</v>
      </c>
      <c r="J2453" s="11">
        <v>1447</v>
      </c>
      <c r="K2453" s="11">
        <v>1610</v>
      </c>
      <c r="L2453" s="11">
        <v>3057</v>
      </c>
      <c r="M2453" s="11">
        <v>1546</v>
      </c>
    </row>
    <row r="2454" spans="1:13" x14ac:dyDescent="0.3">
      <c r="A2454" s="10">
        <v>6712</v>
      </c>
      <c r="B2454" s="10">
        <v>93</v>
      </c>
      <c r="C2454" s="10" t="s">
        <v>2711</v>
      </c>
      <c r="D2454" s="10">
        <v>9394</v>
      </c>
      <c r="E2454" s="10" t="s">
        <v>2733</v>
      </c>
      <c r="F2454" s="10">
        <v>0</v>
      </c>
      <c r="G2454" s="10" t="s">
        <v>343</v>
      </c>
      <c r="H2454" s="10">
        <v>0</v>
      </c>
      <c r="I2454" s="10" t="s">
        <v>343</v>
      </c>
      <c r="J2454" s="11">
        <v>1009</v>
      </c>
      <c r="K2454" s="11">
        <v>1153</v>
      </c>
      <c r="L2454" s="11">
        <v>2162</v>
      </c>
      <c r="M2454" s="10">
        <v>811</v>
      </c>
    </row>
    <row r="2455" spans="1:13" x14ac:dyDescent="0.3">
      <c r="A2455" s="10">
        <v>6712</v>
      </c>
      <c r="B2455" s="10">
        <v>93</v>
      </c>
      <c r="C2455" s="10" t="s">
        <v>2711</v>
      </c>
      <c r="D2455" s="10">
        <v>9395</v>
      </c>
      <c r="E2455" s="10" t="s">
        <v>2734</v>
      </c>
      <c r="F2455" s="10">
        <v>0</v>
      </c>
      <c r="G2455" s="10" t="s">
        <v>343</v>
      </c>
      <c r="H2455" s="10">
        <v>0</v>
      </c>
      <c r="I2455" s="10" t="s">
        <v>343</v>
      </c>
      <c r="J2455" s="10">
        <v>890</v>
      </c>
      <c r="K2455" s="11">
        <v>1072</v>
      </c>
      <c r="L2455" s="11">
        <v>1962</v>
      </c>
      <c r="M2455" s="11">
        <v>1212</v>
      </c>
    </row>
    <row r="2456" spans="1:13" x14ac:dyDescent="0.3">
      <c r="A2456" s="10">
        <v>6712</v>
      </c>
      <c r="B2456" s="10">
        <v>93</v>
      </c>
      <c r="C2456" s="10" t="s">
        <v>2711</v>
      </c>
      <c r="D2456" s="10">
        <v>9396</v>
      </c>
      <c r="E2456" s="10" t="s">
        <v>2735</v>
      </c>
      <c r="F2456" s="10">
        <v>0</v>
      </c>
      <c r="G2456" s="10" t="s">
        <v>343</v>
      </c>
      <c r="H2456" s="10">
        <v>0</v>
      </c>
      <c r="I2456" s="10" t="s">
        <v>343</v>
      </c>
      <c r="J2456" s="11">
        <v>2949</v>
      </c>
      <c r="K2456" s="11">
        <v>3227</v>
      </c>
      <c r="L2456" s="11">
        <v>6176</v>
      </c>
      <c r="M2456" s="11">
        <v>3579</v>
      </c>
    </row>
    <row r="2457" spans="1:13" x14ac:dyDescent="0.3">
      <c r="A2457" s="10">
        <v>6712</v>
      </c>
      <c r="B2457" s="10">
        <v>93</v>
      </c>
      <c r="C2457" s="10" t="s">
        <v>2711</v>
      </c>
      <c r="D2457" s="10">
        <v>9397</v>
      </c>
      <c r="E2457" s="10" t="s">
        <v>2736</v>
      </c>
      <c r="F2457" s="10">
        <v>0</v>
      </c>
      <c r="G2457" s="10" t="s">
        <v>343</v>
      </c>
      <c r="H2457" s="10">
        <v>0</v>
      </c>
      <c r="I2457" s="10" t="s">
        <v>343</v>
      </c>
      <c r="J2457" s="11">
        <v>2051</v>
      </c>
      <c r="K2457" s="11">
        <v>2187</v>
      </c>
      <c r="L2457" s="11">
        <v>4238</v>
      </c>
      <c r="M2457" s="11">
        <v>1609</v>
      </c>
    </row>
    <row r="2458" spans="1:13" x14ac:dyDescent="0.3">
      <c r="A2458" s="10">
        <v>6712</v>
      </c>
      <c r="B2458" s="10">
        <v>93</v>
      </c>
      <c r="C2458" s="10" t="s">
        <v>2711</v>
      </c>
      <c r="D2458" s="10">
        <v>9398</v>
      </c>
      <c r="E2458" s="10" t="s">
        <v>2737</v>
      </c>
      <c r="F2458" s="10">
        <v>0</v>
      </c>
      <c r="G2458" s="10" t="s">
        <v>343</v>
      </c>
      <c r="H2458" s="10">
        <v>0</v>
      </c>
      <c r="I2458" s="10" t="s">
        <v>343</v>
      </c>
      <c r="J2458" s="11">
        <v>1623</v>
      </c>
      <c r="K2458" s="11">
        <v>1788</v>
      </c>
      <c r="L2458" s="11">
        <v>3411</v>
      </c>
      <c r="M2458" s="11">
        <v>1678</v>
      </c>
    </row>
    <row r="2459" spans="1:13" x14ac:dyDescent="0.3">
      <c r="A2459" s="10">
        <v>6712</v>
      </c>
      <c r="B2459" s="10">
        <v>93</v>
      </c>
      <c r="C2459" s="10" t="s">
        <v>2711</v>
      </c>
      <c r="D2459" s="10">
        <v>9399</v>
      </c>
      <c r="E2459" s="10" t="s">
        <v>2738</v>
      </c>
      <c r="F2459" s="10">
        <v>0</v>
      </c>
      <c r="G2459" s="10" t="s">
        <v>343</v>
      </c>
      <c r="H2459" s="10">
        <v>0</v>
      </c>
      <c r="I2459" s="10" t="s">
        <v>343</v>
      </c>
      <c r="J2459" s="11">
        <v>13852</v>
      </c>
      <c r="K2459" s="11">
        <v>16317</v>
      </c>
      <c r="L2459" s="11">
        <v>30169</v>
      </c>
      <c r="M2459" s="11">
        <v>16615</v>
      </c>
    </row>
    <row r="2460" spans="1:13" x14ac:dyDescent="0.3">
      <c r="A2460" s="10">
        <v>6712</v>
      </c>
      <c r="B2460" s="10">
        <v>94</v>
      </c>
      <c r="C2460" s="10" t="s">
        <v>2739</v>
      </c>
      <c r="D2460" s="10">
        <v>0</v>
      </c>
      <c r="E2460" s="10" t="s">
        <v>343</v>
      </c>
      <c r="F2460" s="10">
        <v>0</v>
      </c>
      <c r="G2460" s="10" t="s">
        <v>343</v>
      </c>
      <c r="H2460" s="10">
        <v>0</v>
      </c>
      <c r="I2460" s="10" t="s">
        <v>343</v>
      </c>
      <c r="J2460" s="11">
        <v>366532</v>
      </c>
      <c r="K2460" s="11">
        <v>374372</v>
      </c>
      <c r="L2460" s="11">
        <v>740904</v>
      </c>
      <c r="M2460" s="11">
        <v>208009</v>
      </c>
    </row>
    <row r="2461" spans="1:13" x14ac:dyDescent="0.3">
      <c r="A2461" s="10">
        <v>6712</v>
      </c>
      <c r="B2461" s="10">
        <v>94</v>
      </c>
      <c r="C2461" s="10" t="s">
        <v>2739</v>
      </c>
      <c r="D2461" s="10">
        <v>9401</v>
      </c>
      <c r="E2461" s="10" t="s">
        <v>2740</v>
      </c>
      <c r="F2461" s="10">
        <v>0</v>
      </c>
      <c r="G2461" s="10" t="s">
        <v>343</v>
      </c>
      <c r="H2461" s="10">
        <v>0</v>
      </c>
      <c r="I2461" s="10" t="s">
        <v>343</v>
      </c>
      <c r="J2461" s="11">
        <v>44632</v>
      </c>
      <c r="K2461" s="11">
        <v>46805</v>
      </c>
      <c r="L2461" s="11">
        <v>91437</v>
      </c>
      <c r="M2461" s="11">
        <v>33717</v>
      </c>
    </row>
    <row r="2462" spans="1:13" x14ac:dyDescent="0.3">
      <c r="A2462" s="10">
        <v>6712</v>
      </c>
      <c r="B2462" s="10">
        <v>94</v>
      </c>
      <c r="C2462" s="10" t="s">
        <v>2739</v>
      </c>
      <c r="D2462" s="10">
        <v>9402</v>
      </c>
      <c r="E2462" s="10" t="s">
        <v>2741</v>
      </c>
      <c r="F2462" s="10">
        <v>0</v>
      </c>
      <c r="G2462" s="10" t="s">
        <v>343</v>
      </c>
      <c r="H2462" s="10">
        <v>0</v>
      </c>
      <c r="I2462" s="10" t="s">
        <v>343</v>
      </c>
      <c r="J2462" s="11">
        <v>30823</v>
      </c>
      <c r="K2462" s="11">
        <v>32294</v>
      </c>
      <c r="L2462" s="11">
        <v>63117</v>
      </c>
      <c r="M2462" s="11">
        <v>18698</v>
      </c>
    </row>
    <row r="2463" spans="1:13" x14ac:dyDescent="0.3">
      <c r="A2463" s="10">
        <v>6712</v>
      </c>
      <c r="B2463" s="10">
        <v>94</v>
      </c>
      <c r="C2463" s="10" t="s">
        <v>2739</v>
      </c>
      <c r="D2463" s="10">
        <v>9403</v>
      </c>
      <c r="E2463" s="10" t="s">
        <v>2742</v>
      </c>
      <c r="F2463" s="10">
        <v>0</v>
      </c>
      <c r="G2463" s="10" t="s">
        <v>343</v>
      </c>
      <c r="H2463" s="10">
        <v>0</v>
      </c>
      <c r="I2463" s="10" t="s">
        <v>343</v>
      </c>
      <c r="J2463" s="11">
        <v>30475</v>
      </c>
      <c r="K2463" s="11">
        <v>30901</v>
      </c>
      <c r="L2463" s="11">
        <v>61376</v>
      </c>
      <c r="M2463" s="11">
        <v>14493</v>
      </c>
    </row>
    <row r="2464" spans="1:13" x14ac:dyDescent="0.3">
      <c r="A2464" s="10">
        <v>6712</v>
      </c>
      <c r="B2464" s="10">
        <v>94</v>
      </c>
      <c r="C2464" s="10" t="s">
        <v>2739</v>
      </c>
      <c r="D2464" s="10">
        <v>9404</v>
      </c>
      <c r="E2464" s="10" t="s">
        <v>2743</v>
      </c>
      <c r="F2464" s="10">
        <v>0</v>
      </c>
      <c r="G2464" s="10" t="s">
        <v>343</v>
      </c>
      <c r="H2464" s="10">
        <v>0</v>
      </c>
      <c r="I2464" s="10" t="s">
        <v>343</v>
      </c>
      <c r="J2464" s="11">
        <v>18363</v>
      </c>
      <c r="K2464" s="11">
        <v>19031</v>
      </c>
      <c r="L2464" s="11">
        <v>37394</v>
      </c>
      <c r="M2464" s="11">
        <v>10039</v>
      </c>
    </row>
    <row r="2465" spans="1:13" x14ac:dyDescent="0.3">
      <c r="A2465" s="10">
        <v>6712</v>
      </c>
      <c r="B2465" s="10">
        <v>94</v>
      </c>
      <c r="C2465" s="10" t="s">
        <v>2739</v>
      </c>
      <c r="D2465" s="10">
        <v>9405</v>
      </c>
      <c r="E2465" s="10" t="s">
        <v>2744</v>
      </c>
      <c r="F2465" s="10">
        <v>0</v>
      </c>
      <c r="G2465" s="10" t="s">
        <v>343</v>
      </c>
      <c r="H2465" s="10">
        <v>0</v>
      </c>
      <c r="I2465" s="10" t="s">
        <v>343</v>
      </c>
      <c r="J2465" s="11">
        <v>28830</v>
      </c>
      <c r="K2465" s="11">
        <v>29394</v>
      </c>
      <c r="L2465" s="11">
        <v>58224</v>
      </c>
      <c r="M2465" s="11">
        <v>13685</v>
      </c>
    </row>
    <row r="2466" spans="1:13" x14ac:dyDescent="0.3">
      <c r="A2466" s="10">
        <v>6712</v>
      </c>
      <c r="B2466" s="10">
        <v>94</v>
      </c>
      <c r="C2466" s="10" t="s">
        <v>2739</v>
      </c>
      <c r="D2466" s="10">
        <v>9406</v>
      </c>
      <c r="E2466" s="10" t="s">
        <v>2745</v>
      </c>
      <c r="F2466" s="10">
        <v>0</v>
      </c>
      <c r="G2466" s="10" t="s">
        <v>343</v>
      </c>
      <c r="H2466" s="10">
        <v>0</v>
      </c>
      <c r="I2466" s="10" t="s">
        <v>343</v>
      </c>
      <c r="J2466" s="11">
        <v>12906</v>
      </c>
      <c r="K2466" s="11">
        <v>13306</v>
      </c>
      <c r="L2466" s="11">
        <v>26212</v>
      </c>
      <c r="M2466" s="11">
        <v>6218</v>
      </c>
    </row>
    <row r="2467" spans="1:13" x14ac:dyDescent="0.3">
      <c r="A2467" s="10">
        <v>6712</v>
      </c>
      <c r="B2467" s="10">
        <v>94</v>
      </c>
      <c r="C2467" s="10" t="s">
        <v>2739</v>
      </c>
      <c r="D2467" s="10">
        <v>9407</v>
      </c>
      <c r="E2467" s="10" t="s">
        <v>2746</v>
      </c>
      <c r="F2467" s="10">
        <v>0</v>
      </c>
      <c r="G2467" s="10" t="s">
        <v>343</v>
      </c>
      <c r="H2467" s="10">
        <v>0</v>
      </c>
      <c r="I2467" s="10" t="s">
        <v>343</v>
      </c>
      <c r="J2467" s="11">
        <v>28555</v>
      </c>
      <c r="K2467" s="11">
        <v>29784</v>
      </c>
      <c r="L2467" s="11">
        <v>58339</v>
      </c>
      <c r="M2467" s="11">
        <v>14331</v>
      </c>
    </row>
    <row r="2468" spans="1:13" x14ac:dyDescent="0.3">
      <c r="A2468" s="10">
        <v>6712</v>
      </c>
      <c r="B2468" s="10">
        <v>94</v>
      </c>
      <c r="C2468" s="10" t="s">
        <v>2739</v>
      </c>
      <c r="D2468" s="10">
        <v>9408</v>
      </c>
      <c r="E2468" s="10" t="s">
        <v>2747</v>
      </c>
      <c r="F2468" s="10">
        <v>0</v>
      </c>
      <c r="G2468" s="10" t="s">
        <v>343</v>
      </c>
      <c r="H2468" s="10">
        <v>0</v>
      </c>
      <c r="I2468" s="10" t="s">
        <v>343</v>
      </c>
      <c r="J2468" s="11">
        <v>6506</v>
      </c>
      <c r="K2468" s="11">
        <v>6746</v>
      </c>
      <c r="L2468" s="11">
        <v>13252</v>
      </c>
      <c r="M2468" s="11">
        <v>3645</v>
      </c>
    </row>
    <row r="2469" spans="1:13" x14ac:dyDescent="0.3">
      <c r="A2469" s="10">
        <v>6712</v>
      </c>
      <c r="B2469" s="10">
        <v>94</v>
      </c>
      <c r="C2469" s="10" t="s">
        <v>2739</v>
      </c>
      <c r="D2469" s="10">
        <v>9409</v>
      </c>
      <c r="E2469" s="10" t="s">
        <v>2748</v>
      </c>
      <c r="F2469" s="10">
        <v>0</v>
      </c>
      <c r="G2469" s="10" t="s">
        <v>343</v>
      </c>
      <c r="H2469" s="10">
        <v>0</v>
      </c>
      <c r="I2469" s="10" t="s">
        <v>343</v>
      </c>
      <c r="J2469" s="11">
        <v>36391</v>
      </c>
      <c r="K2469" s="11">
        <v>36861</v>
      </c>
      <c r="L2469" s="11">
        <v>73252</v>
      </c>
      <c r="M2469" s="11">
        <v>17067</v>
      </c>
    </row>
    <row r="2470" spans="1:13" x14ac:dyDescent="0.3">
      <c r="A2470" s="10">
        <v>6712</v>
      </c>
      <c r="B2470" s="10">
        <v>94</v>
      </c>
      <c r="C2470" s="10" t="s">
        <v>2739</v>
      </c>
      <c r="D2470" s="10">
        <v>9410</v>
      </c>
      <c r="E2470" s="10" t="s">
        <v>2749</v>
      </c>
      <c r="F2470" s="10">
        <v>0</v>
      </c>
      <c r="G2470" s="10" t="s">
        <v>343</v>
      </c>
      <c r="H2470" s="10">
        <v>0</v>
      </c>
      <c r="I2470" s="10" t="s">
        <v>343</v>
      </c>
      <c r="J2470" s="11">
        <v>46438</v>
      </c>
      <c r="K2470" s="11">
        <v>46759</v>
      </c>
      <c r="L2470" s="11">
        <v>93197</v>
      </c>
      <c r="M2470" s="11">
        <v>22771</v>
      </c>
    </row>
    <row r="2471" spans="1:13" x14ac:dyDescent="0.3">
      <c r="A2471" s="10">
        <v>6712</v>
      </c>
      <c r="B2471" s="10">
        <v>94</v>
      </c>
      <c r="C2471" s="10" t="s">
        <v>2739</v>
      </c>
      <c r="D2471" s="10">
        <v>9411</v>
      </c>
      <c r="E2471" s="10" t="s">
        <v>2750</v>
      </c>
      <c r="F2471" s="10">
        <v>0</v>
      </c>
      <c r="G2471" s="10" t="s">
        <v>343</v>
      </c>
      <c r="H2471" s="10">
        <v>0</v>
      </c>
      <c r="I2471" s="10" t="s">
        <v>343</v>
      </c>
      <c r="J2471" s="11">
        <v>9658</v>
      </c>
      <c r="K2471" s="11">
        <v>9883</v>
      </c>
      <c r="L2471" s="11">
        <v>19541</v>
      </c>
      <c r="M2471" s="11">
        <v>4678</v>
      </c>
    </row>
    <row r="2472" spans="1:13" x14ac:dyDescent="0.3">
      <c r="A2472" s="10">
        <v>6712</v>
      </c>
      <c r="B2472" s="10">
        <v>94</v>
      </c>
      <c r="C2472" s="10" t="s">
        <v>2739</v>
      </c>
      <c r="D2472" s="10">
        <v>9412</v>
      </c>
      <c r="E2472" s="10" t="s">
        <v>2751</v>
      </c>
      <c r="F2472" s="10">
        <v>0</v>
      </c>
      <c r="G2472" s="10" t="s">
        <v>343</v>
      </c>
      <c r="H2472" s="10">
        <v>0</v>
      </c>
      <c r="I2472" s="10" t="s">
        <v>343</v>
      </c>
      <c r="J2472" s="11">
        <v>8910</v>
      </c>
      <c r="K2472" s="11">
        <v>9088</v>
      </c>
      <c r="L2472" s="11">
        <v>17998</v>
      </c>
      <c r="M2472" s="11">
        <v>4803</v>
      </c>
    </row>
    <row r="2473" spans="1:13" x14ac:dyDescent="0.3">
      <c r="A2473" s="10">
        <v>6712</v>
      </c>
      <c r="B2473" s="10">
        <v>94</v>
      </c>
      <c r="C2473" s="10" t="s">
        <v>2739</v>
      </c>
      <c r="D2473" s="10">
        <v>9488</v>
      </c>
      <c r="E2473" s="10" t="s">
        <v>2752</v>
      </c>
      <c r="F2473" s="10">
        <v>0</v>
      </c>
      <c r="G2473" s="10" t="s">
        <v>343</v>
      </c>
      <c r="H2473" s="10">
        <v>0</v>
      </c>
      <c r="I2473" s="10" t="s">
        <v>343</v>
      </c>
      <c r="J2473" s="11">
        <v>2519</v>
      </c>
      <c r="K2473" s="11">
        <v>2671</v>
      </c>
      <c r="L2473" s="11">
        <v>5190</v>
      </c>
      <c r="M2473" s="11">
        <v>1453</v>
      </c>
    </row>
    <row r="2474" spans="1:13" x14ac:dyDescent="0.3">
      <c r="A2474" s="10">
        <v>6712</v>
      </c>
      <c r="B2474" s="10">
        <v>94</v>
      </c>
      <c r="C2474" s="10" t="s">
        <v>2739</v>
      </c>
      <c r="D2474" s="10">
        <v>9489</v>
      </c>
      <c r="E2474" s="10" t="s">
        <v>2753</v>
      </c>
      <c r="F2474" s="10">
        <v>0</v>
      </c>
      <c r="G2474" s="10" t="s">
        <v>343</v>
      </c>
      <c r="H2474" s="10">
        <v>0</v>
      </c>
      <c r="I2474" s="10" t="s">
        <v>343</v>
      </c>
      <c r="J2474" s="11">
        <v>3182</v>
      </c>
      <c r="K2474" s="11">
        <v>3064</v>
      </c>
      <c r="L2474" s="11">
        <v>6246</v>
      </c>
      <c r="M2474" s="11">
        <v>2016</v>
      </c>
    </row>
    <row r="2475" spans="1:13" x14ac:dyDescent="0.3">
      <c r="A2475" s="10">
        <v>6712</v>
      </c>
      <c r="B2475" s="10">
        <v>94</v>
      </c>
      <c r="C2475" s="10" t="s">
        <v>2739</v>
      </c>
      <c r="D2475" s="10">
        <v>9490</v>
      </c>
      <c r="E2475" s="10" t="s">
        <v>410</v>
      </c>
      <c r="F2475" s="10">
        <v>0</v>
      </c>
      <c r="G2475" s="10" t="s">
        <v>343</v>
      </c>
      <c r="H2475" s="10">
        <v>0</v>
      </c>
      <c r="I2475" s="10" t="s">
        <v>343</v>
      </c>
      <c r="J2475" s="11">
        <v>5255</v>
      </c>
      <c r="K2475" s="11">
        <v>5356</v>
      </c>
      <c r="L2475" s="11">
        <v>10611</v>
      </c>
      <c r="M2475" s="11">
        <v>2468</v>
      </c>
    </row>
    <row r="2476" spans="1:13" x14ac:dyDescent="0.3">
      <c r="A2476" s="10">
        <v>6712</v>
      </c>
      <c r="B2476" s="10">
        <v>94</v>
      </c>
      <c r="C2476" s="10" t="s">
        <v>2739</v>
      </c>
      <c r="D2476" s="10">
        <v>9491</v>
      </c>
      <c r="E2476" s="10" t="s">
        <v>2754</v>
      </c>
      <c r="F2476" s="10">
        <v>0</v>
      </c>
      <c r="G2476" s="10" t="s">
        <v>343</v>
      </c>
      <c r="H2476" s="10">
        <v>0</v>
      </c>
      <c r="I2476" s="10" t="s">
        <v>343</v>
      </c>
      <c r="J2476" s="11">
        <v>1362</v>
      </c>
      <c r="K2476" s="11">
        <v>1541</v>
      </c>
      <c r="L2476" s="11">
        <v>2903</v>
      </c>
      <c r="M2476" s="10">
        <v>759</v>
      </c>
    </row>
    <row r="2477" spans="1:13" x14ac:dyDescent="0.3">
      <c r="A2477" s="10">
        <v>6712</v>
      </c>
      <c r="B2477" s="10">
        <v>94</v>
      </c>
      <c r="C2477" s="10" t="s">
        <v>2739</v>
      </c>
      <c r="D2477" s="10">
        <v>9492</v>
      </c>
      <c r="E2477" s="10" t="s">
        <v>2755</v>
      </c>
      <c r="F2477" s="10">
        <v>0</v>
      </c>
      <c r="G2477" s="10" t="s">
        <v>343</v>
      </c>
      <c r="H2477" s="10">
        <v>0</v>
      </c>
      <c r="I2477" s="10" t="s">
        <v>343</v>
      </c>
      <c r="J2477" s="11">
        <v>2500</v>
      </c>
      <c r="K2477" s="11">
        <v>2526</v>
      </c>
      <c r="L2477" s="11">
        <v>5026</v>
      </c>
      <c r="M2477" s="11">
        <v>1308</v>
      </c>
    </row>
    <row r="2478" spans="1:13" x14ac:dyDescent="0.3">
      <c r="A2478" s="10">
        <v>6712</v>
      </c>
      <c r="B2478" s="10">
        <v>94</v>
      </c>
      <c r="C2478" s="10" t="s">
        <v>2739</v>
      </c>
      <c r="D2478" s="10">
        <v>9493</v>
      </c>
      <c r="E2478" s="10" t="s">
        <v>2756</v>
      </c>
      <c r="F2478" s="10">
        <v>0</v>
      </c>
      <c r="G2478" s="10" t="s">
        <v>343</v>
      </c>
      <c r="H2478" s="10">
        <v>0</v>
      </c>
      <c r="I2478" s="10" t="s">
        <v>343</v>
      </c>
      <c r="J2478" s="11">
        <v>5517</v>
      </c>
      <c r="K2478" s="11">
        <v>5533</v>
      </c>
      <c r="L2478" s="11">
        <v>11050</v>
      </c>
      <c r="M2478" s="11">
        <v>2915</v>
      </c>
    </row>
    <row r="2479" spans="1:13" x14ac:dyDescent="0.3">
      <c r="A2479" s="10">
        <v>6712</v>
      </c>
      <c r="B2479" s="10">
        <v>94</v>
      </c>
      <c r="C2479" s="10" t="s">
        <v>2739</v>
      </c>
      <c r="D2479" s="10">
        <v>9494</v>
      </c>
      <c r="E2479" s="10" t="s">
        <v>2757</v>
      </c>
      <c r="F2479" s="10">
        <v>0</v>
      </c>
      <c r="G2479" s="10" t="s">
        <v>343</v>
      </c>
      <c r="H2479" s="10">
        <v>0</v>
      </c>
      <c r="I2479" s="10" t="s">
        <v>343</v>
      </c>
      <c r="J2479" s="11">
        <v>3112</v>
      </c>
      <c r="K2479" s="11">
        <v>3132</v>
      </c>
      <c r="L2479" s="11">
        <v>6244</v>
      </c>
      <c r="M2479" s="11">
        <v>2101</v>
      </c>
    </row>
    <row r="2480" spans="1:13" x14ac:dyDescent="0.3">
      <c r="A2480" s="10">
        <v>6712</v>
      </c>
      <c r="B2480" s="10">
        <v>94</v>
      </c>
      <c r="C2480" s="10" t="s">
        <v>2739</v>
      </c>
      <c r="D2480" s="10">
        <v>9495</v>
      </c>
      <c r="E2480" s="10" t="s">
        <v>672</v>
      </c>
      <c r="F2480" s="10">
        <v>0</v>
      </c>
      <c r="G2480" s="10" t="s">
        <v>343</v>
      </c>
      <c r="H2480" s="10">
        <v>0</v>
      </c>
      <c r="I2480" s="10" t="s">
        <v>343</v>
      </c>
      <c r="J2480" s="11">
        <v>9400</v>
      </c>
      <c r="K2480" s="11">
        <v>6618</v>
      </c>
      <c r="L2480" s="11">
        <v>16018</v>
      </c>
      <c r="M2480" s="11">
        <v>6152</v>
      </c>
    </row>
    <row r="2481" spans="1:13" x14ac:dyDescent="0.3">
      <c r="A2481" s="10">
        <v>6712</v>
      </c>
      <c r="B2481" s="10">
        <v>94</v>
      </c>
      <c r="C2481" s="10" t="s">
        <v>2739</v>
      </c>
      <c r="D2481" s="10">
        <v>9496</v>
      </c>
      <c r="E2481" s="10" t="s">
        <v>2758</v>
      </c>
      <c r="F2481" s="10">
        <v>0</v>
      </c>
      <c r="G2481" s="10" t="s">
        <v>343</v>
      </c>
      <c r="H2481" s="10">
        <v>0</v>
      </c>
      <c r="I2481" s="10" t="s">
        <v>343</v>
      </c>
      <c r="J2481" s="11">
        <v>1469</v>
      </c>
      <c r="K2481" s="11">
        <v>1603</v>
      </c>
      <c r="L2481" s="11">
        <v>3072</v>
      </c>
      <c r="M2481" s="11">
        <v>1469</v>
      </c>
    </row>
    <row r="2482" spans="1:13" x14ac:dyDescent="0.3">
      <c r="A2482" s="10">
        <v>6712</v>
      </c>
      <c r="B2482" s="10">
        <v>94</v>
      </c>
      <c r="C2482" s="10" t="s">
        <v>2739</v>
      </c>
      <c r="D2482" s="10">
        <v>9497</v>
      </c>
      <c r="E2482" s="10" t="s">
        <v>2759</v>
      </c>
      <c r="F2482" s="10">
        <v>0</v>
      </c>
      <c r="G2482" s="10" t="s">
        <v>343</v>
      </c>
      <c r="H2482" s="10">
        <v>0</v>
      </c>
      <c r="I2482" s="10" t="s">
        <v>343</v>
      </c>
      <c r="J2482" s="11">
        <v>1593</v>
      </c>
      <c r="K2482" s="11">
        <v>1825</v>
      </c>
      <c r="L2482" s="11">
        <v>3418</v>
      </c>
      <c r="M2482" s="11">
        <v>1933</v>
      </c>
    </row>
    <row r="2483" spans="1:13" x14ac:dyDescent="0.3">
      <c r="A2483" s="10">
        <v>6712</v>
      </c>
      <c r="B2483" s="10">
        <v>94</v>
      </c>
      <c r="C2483" s="10" t="s">
        <v>2739</v>
      </c>
      <c r="D2483" s="10">
        <v>9498</v>
      </c>
      <c r="E2483" s="10" t="s">
        <v>2760</v>
      </c>
      <c r="F2483" s="10">
        <v>0</v>
      </c>
      <c r="G2483" s="10" t="s">
        <v>343</v>
      </c>
      <c r="H2483" s="10">
        <v>0</v>
      </c>
      <c r="I2483" s="10" t="s">
        <v>343</v>
      </c>
      <c r="J2483" s="11">
        <v>7156</v>
      </c>
      <c r="K2483" s="11">
        <v>7378</v>
      </c>
      <c r="L2483" s="11">
        <v>14534</v>
      </c>
      <c r="M2483" s="11">
        <v>4727</v>
      </c>
    </row>
    <row r="2484" spans="1:13" x14ac:dyDescent="0.3">
      <c r="A2484" s="10">
        <v>6712</v>
      </c>
      <c r="B2484" s="10">
        <v>94</v>
      </c>
      <c r="C2484" s="10" t="s">
        <v>2739</v>
      </c>
      <c r="D2484" s="10">
        <v>9499</v>
      </c>
      <c r="E2484" s="10" t="s">
        <v>2761</v>
      </c>
      <c r="F2484" s="10">
        <v>0</v>
      </c>
      <c r="G2484" s="10" t="s">
        <v>343</v>
      </c>
      <c r="H2484" s="10">
        <v>0</v>
      </c>
      <c r="I2484" s="10" t="s">
        <v>343</v>
      </c>
      <c r="J2484" s="11">
        <v>20980</v>
      </c>
      <c r="K2484" s="11">
        <v>22273</v>
      </c>
      <c r="L2484" s="11">
        <v>43253</v>
      </c>
      <c r="M2484" s="11">
        <v>16563</v>
      </c>
    </row>
    <row r="2485" spans="1:13" x14ac:dyDescent="0.3">
      <c r="A2485" s="10">
        <v>6712</v>
      </c>
      <c r="B2485" s="10">
        <v>95</v>
      </c>
      <c r="C2485" s="10" t="s">
        <v>2762</v>
      </c>
      <c r="D2485" s="10">
        <v>0</v>
      </c>
      <c r="E2485" s="10" t="s">
        <v>343</v>
      </c>
      <c r="F2485" s="10">
        <v>0</v>
      </c>
      <c r="G2485" s="10" t="s">
        <v>343</v>
      </c>
      <c r="H2485" s="10">
        <v>0</v>
      </c>
      <c r="I2485" s="10" t="s">
        <v>343</v>
      </c>
      <c r="J2485" s="11">
        <v>274701</v>
      </c>
      <c r="K2485" s="11">
        <v>278273</v>
      </c>
      <c r="L2485" s="11">
        <v>552974</v>
      </c>
      <c r="M2485" s="11">
        <v>181284</v>
      </c>
    </row>
    <row r="2486" spans="1:13" x14ac:dyDescent="0.3">
      <c r="A2486" s="10">
        <v>6712</v>
      </c>
      <c r="B2486" s="10">
        <v>95</v>
      </c>
      <c r="C2486" s="10" t="s">
        <v>2762</v>
      </c>
      <c r="D2486" s="10">
        <v>9501</v>
      </c>
      <c r="E2486" s="10" t="s">
        <v>2763</v>
      </c>
      <c r="F2486" s="10">
        <v>0</v>
      </c>
      <c r="G2486" s="10" t="s">
        <v>343</v>
      </c>
      <c r="H2486" s="10">
        <v>0</v>
      </c>
      <c r="I2486" s="10" t="s">
        <v>343</v>
      </c>
      <c r="J2486" s="11">
        <v>38800</v>
      </c>
      <c r="K2486" s="11">
        <v>39786</v>
      </c>
      <c r="L2486" s="11">
        <v>78586</v>
      </c>
      <c r="M2486" s="11">
        <v>20212</v>
      </c>
    </row>
    <row r="2487" spans="1:13" x14ac:dyDescent="0.3">
      <c r="A2487" s="10">
        <v>6712</v>
      </c>
      <c r="B2487" s="10">
        <v>95</v>
      </c>
      <c r="C2487" s="10" t="s">
        <v>2762</v>
      </c>
      <c r="D2487" s="10">
        <v>9502</v>
      </c>
      <c r="E2487" s="10" t="s">
        <v>2764</v>
      </c>
      <c r="F2487" s="10">
        <v>0</v>
      </c>
      <c r="G2487" s="10" t="s">
        <v>343</v>
      </c>
      <c r="H2487" s="10">
        <v>0</v>
      </c>
      <c r="I2487" s="10" t="s">
        <v>343</v>
      </c>
      <c r="J2487" s="11">
        <v>18751</v>
      </c>
      <c r="K2487" s="11">
        <v>17716</v>
      </c>
      <c r="L2487" s="11">
        <v>36467</v>
      </c>
      <c r="M2487" s="11">
        <v>16253</v>
      </c>
    </row>
    <row r="2488" spans="1:13" x14ac:dyDescent="0.3">
      <c r="A2488" s="10">
        <v>6712</v>
      </c>
      <c r="B2488" s="10">
        <v>95</v>
      </c>
      <c r="C2488" s="10" t="s">
        <v>2762</v>
      </c>
      <c r="D2488" s="10">
        <v>9503</v>
      </c>
      <c r="E2488" s="10" t="s">
        <v>2765</v>
      </c>
      <c r="F2488" s="10">
        <v>0</v>
      </c>
      <c r="G2488" s="10" t="s">
        <v>343</v>
      </c>
      <c r="H2488" s="10">
        <v>0</v>
      </c>
      <c r="I2488" s="10" t="s">
        <v>343</v>
      </c>
      <c r="J2488" s="11">
        <v>29480</v>
      </c>
      <c r="K2488" s="11">
        <v>28578</v>
      </c>
      <c r="L2488" s="11">
        <v>58058</v>
      </c>
      <c r="M2488" s="11">
        <v>16646</v>
      </c>
    </row>
    <row r="2489" spans="1:13" x14ac:dyDescent="0.3">
      <c r="A2489" s="10">
        <v>6712</v>
      </c>
      <c r="B2489" s="10">
        <v>95</v>
      </c>
      <c r="C2489" s="10" t="s">
        <v>2762</v>
      </c>
      <c r="D2489" s="10">
        <v>9504</v>
      </c>
      <c r="E2489" s="10" t="s">
        <v>2766</v>
      </c>
      <c r="F2489" s="10">
        <v>0</v>
      </c>
      <c r="G2489" s="10" t="s">
        <v>343</v>
      </c>
      <c r="H2489" s="10">
        <v>0</v>
      </c>
      <c r="I2489" s="10" t="s">
        <v>343</v>
      </c>
      <c r="J2489" s="11">
        <v>12941</v>
      </c>
      <c r="K2489" s="11">
        <v>11953</v>
      </c>
      <c r="L2489" s="11">
        <v>24894</v>
      </c>
      <c r="M2489" s="11">
        <v>9444</v>
      </c>
    </row>
    <row r="2490" spans="1:13" x14ac:dyDescent="0.3">
      <c r="A2490" s="10">
        <v>6712</v>
      </c>
      <c r="B2490" s="10">
        <v>95</v>
      </c>
      <c r="C2490" s="10" t="s">
        <v>2762</v>
      </c>
      <c r="D2490" s="10">
        <v>9505</v>
      </c>
      <c r="E2490" s="10" t="s">
        <v>2767</v>
      </c>
      <c r="F2490" s="10">
        <v>0</v>
      </c>
      <c r="G2490" s="10" t="s">
        <v>343</v>
      </c>
      <c r="H2490" s="10">
        <v>0</v>
      </c>
      <c r="I2490" s="10" t="s">
        <v>343</v>
      </c>
      <c r="J2490" s="11">
        <v>31859</v>
      </c>
      <c r="K2490" s="11">
        <v>31696</v>
      </c>
      <c r="L2490" s="11">
        <v>63555</v>
      </c>
      <c r="M2490" s="11">
        <v>15280</v>
      </c>
    </row>
    <row r="2491" spans="1:13" x14ac:dyDescent="0.3">
      <c r="A2491" s="10">
        <v>6712</v>
      </c>
      <c r="B2491" s="10">
        <v>95</v>
      </c>
      <c r="C2491" s="10" t="s">
        <v>2762</v>
      </c>
      <c r="D2491" s="10">
        <v>9506</v>
      </c>
      <c r="E2491" s="10" t="s">
        <v>2768</v>
      </c>
      <c r="F2491" s="10">
        <v>0</v>
      </c>
      <c r="G2491" s="10" t="s">
        <v>343</v>
      </c>
      <c r="H2491" s="10">
        <v>0</v>
      </c>
      <c r="I2491" s="10" t="s">
        <v>343</v>
      </c>
      <c r="J2491" s="11">
        <v>43642</v>
      </c>
      <c r="K2491" s="11">
        <v>44607</v>
      </c>
      <c r="L2491" s="11">
        <v>88249</v>
      </c>
      <c r="M2491" s="11">
        <v>21827</v>
      </c>
    </row>
    <row r="2492" spans="1:13" x14ac:dyDescent="0.3">
      <c r="A2492" s="10">
        <v>6712</v>
      </c>
      <c r="B2492" s="10">
        <v>95</v>
      </c>
      <c r="C2492" s="10" t="s">
        <v>2762</v>
      </c>
      <c r="D2492" s="10">
        <v>9507</v>
      </c>
      <c r="E2492" s="10" t="s">
        <v>2769</v>
      </c>
      <c r="F2492" s="10">
        <v>0</v>
      </c>
      <c r="G2492" s="10" t="s">
        <v>343</v>
      </c>
      <c r="H2492" s="10">
        <v>0</v>
      </c>
      <c r="I2492" s="10" t="s">
        <v>343</v>
      </c>
      <c r="J2492" s="11">
        <v>13416</v>
      </c>
      <c r="K2492" s="11">
        <v>12801</v>
      </c>
      <c r="L2492" s="11">
        <v>26217</v>
      </c>
      <c r="M2492" s="11">
        <v>7475</v>
      </c>
    </row>
    <row r="2493" spans="1:13" x14ac:dyDescent="0.3">
      <c r="A2493" s="10">
        <v>6712</v>
      </c>
      <c r="B2493" s="10">
        <v>95</v>
      </c>
      <c r="C2493" s="10" t="s">
        <v>2762</v>
      </c>
      <c r="D2493" s="10">
        <v>9508</v>
      </c>
      <c r="E2493" s="10" t="s">
        <v>2770</v>
      </c>
      <c r="F2493" s="10">
        <v>0</v>
      </c>
      <c r="G2493" s="10" t="s">
        <v>343</v>
      </c>
      <c r="H2493" s="10">
        <v>0</v>
      </c>
      <c r="I2493" s="10" t="s">
        <v>343</v>
      </c>
      <c r="J2493" s="11">
        <v>15754</v>
      </c>
      <c r="K2493" s="11">
        <v>15469</v>
      </c>
      <c r="L2493" s="11">
        <v>31223</v>
      </c>
      <c r="M2493" s="11">
        <v>6703</v>
      </c>
    </row>
    <row r="2494" spans="1:13" x14ac:dyDescent="0.3">
      <c r="A2494" s="10">
        <v>6712</v>
      </c>
      <c r="B2494" s="10">
        <v>95</v>
      </c>
      <c r="C2494" s="10" t="s">
        <v>2762</v>
      </c>
      <c r="D2494" s="10">
        <v>9590</v>
      </c>
      <c r="E2494" s="10" t="s">
        <v>2771</v>
      </c>
      <c r="F2494" s="10">
        <v>0</v>
      </c>
      <c r="G2494" s="10" t="s">
        <v>343</v>
      </c>
      <c r="H2494" s="10">
        <v>0</v>
      </c>
      <c r="I2494" s="10" t="s">
        <v>343</v>
      </c>
      <c r="J2494" s="11">
        <v>18302</v>
      </c>
      <c r="K2494" s="11">
        <v>19783</v>
      </c>
      <c r="L2494" s="11">
        <v>38085</v>
      </c>
      <c r="M2494" s="11">
        <v>17414</v>
      </c>
    </row>
    <row r="2495" spans="1:13" x14ac:dyDescent="0.3">
      <c r="A2495" s="10">
        <v>6712</v>
      </c>
      <c r="B2495" s="10">
        <v>95</v>
      </c>
      <c r="C2495" s="10" t="s">
        <v>2762</v>
      </c>
      <c r="D2495" s="10">
        <v>9591</v>
      </c>
      <c r="E2495" s="10" t="s">
        <v>2772</v>
      </c>
      <c r="F2495" s="10">
        <v>0</v>
      </c>
      <c r="G2495" s="10" t="s">
        <v>343</v>
      </c>
      <c r="H2495" s="10">
        <v>0</v>
      </c>
      <c r="I2495" s="10" t="s">
        <v>343</v>
      </c>
      <c r="J2495" s="11">
        <v>2451</v>
      </c>
      <c r="K2495" s="11">
        <v>2209</v>
      </c>
      <c r="L2495" s="11">
        <v>4660</v>
      </c>
      <c r="M2495" s="11">
        <v>2076</v>
      </c>
    </row>
    <row r="2496" spans="1:13" x14ac:dyDescent="0.3">
      <c r="A2496" s="10">
        <v>6712</v>
      </c>
      <c r="B2496" s="10">
        <v>95</v>
      </c>
      <c r="C2496" s="10" t="s">
        <v>2762</v>
      </c>
      <c r="D2496" s="10">
        <v>9592</v>
      </c>
      <c r="E2496" s="10" t="s">
        <v>2773</v>
      </c>
      <c r="F2496" s="10">
        <v>0</v>
      </c>
      <c r="G2496" s="10" t="s">
        <v>343</v>
      </c>
      <c r="H2496" s="10">
        <v>0</v>
      </c>
      <c r="I2496" s="10" t="s">
        <v>343</v>
      </c>
      <c r="J2496" s="11">
        <v>2949</v>
      </c>
      <c r="K2496" s="11">
        <v>3076</v>
      </c>
      <c r="L2496" s="11">
        <v>6025</v>
      </c>
      <c r="M2496" s="11">
        <v>1811</v>
      </c>
    </row>
    <row r="2497" spans="1:13" x14ac:dyDescent="0.3">
      <c r="A2497" s="10">
        <v>6712</v>
      </c>
      <c r="B2497" s="10">
        <v>95</v>
      </c>
      <c r="C2497" s="10" t="s">
        <v>2762</v>
      </c>
      <c r="D2497" s="10">
        <v>9593</v>
      </c>
      <c r="E2497" s="10" t="s">
        <v>2774</v>
      </c>
      <c r="F2497" s="10">
        <v>0</v>
      </c>
      <c r="G2497" s="10" t="s">
        <v>343</v>
      </c>
      <c r="H2497" s="10">
        <v>0</v>
      </c>
      <c r="I2497" s="10" t="s">
        <v>343</v>
      </c>
      <c r="J2497" s="11">
        <v>2537</v>
      </c>
      <c r="K2497" s="11">
        <v>2594</v>
      </c>
      <c r="L2497" s="11">
        <v>5131</v>
      </c>
      <c r="M2497" s="11">
        <v>1960</v>
      </c>
    </row>
    <row r="2498" spans="1:13" x14ac:dyDescent="0.3">
      <c r="A2498" s="10">
        <v>6712</v>
      </c>
      <c r="B2498" s="10">
        <v>95</v>
      </c>
      <c r="C2498" s="10" t="s">
        <v>2762</v>
      </c>
      <c r="D2498" s="10">
        <v>9594</v>
      </c>
      <c r="E2498" s="10" t="s">
        <v>2775</v>
      </c>
      <c r="F2498" s="10">
        <v>0</v>
      </c>
      <c r="G2498" s="10" t="s">
        <v>343</v>
      </c>
      <c r="H2498" s="10">
        <v>0</v>
      </c>
      <c r="I2498" s="10" t="s">
        <v>343</v>
      </c>
      <c r="J2498" s="11">
        <v>1246</v>
      </c>
      <c r="K2498" s="11">
        <v>1215</v>
      </c>
      <c r="L2498" s="11">
        <v>2461</v>
      </c>
      <c r="M2498" s="10">
        <v>812</v>
      </c>
    </row>
    <row r="2499" spans="1:13" x14ac:dyDescent="0.3">
      <c r="A2499" s="10">
        <v>6712</v>
      </c>
      <c r="B2499" s="10">
        <v>95</v>
      </c>
      <c r="C2499" s="10" t="s">
        <v>2762</v>
      </c>
      <c r="D2499" s="10">
        <v>9595</v>
      </c>
      <c r="E2499" s="10" t="s">
        <v>2776</v>
      </c>
      <c r="F2499" s="10">
        <v>0</v>
      </c>
      <c r="G2499" s="10" t="s">
        <v>343</v>
      </c>
      <c r="H2499" s="10">
        <v>0</v>
      </c>
      <c r="I2499" s="10" t="s">
        <v>343</v>
      </c>
      <c r="J2499" s="10">
        <v>719</v>
      </c>
      <c r="K2499" s="10">
        <v>706</v>
      </c>
      <c r="L2499" s="11">
        <v>1425</v>
      </c>
      <c r="M2499" s="10">
        <v>603</v>
      </c>
    </row>
    <row r="2500" spans="1:13" x14ac:dyDescent="0.3">
      <c r="A2500" s="10">
        <v>6712</v>
      </c>
      <c r="B2500" s="10">
        <v>95</v>
      </c>
      <c r="C2500" s="10" t="s">
        <v>2762</v>
      </c>
      <c r="D2500" s="10">
        <v>9596</v>
      </c>
      <c r="E2500" s="10" t="s">
        <v>2777</v>
      </c>
      <c r="F2500" s="10">
        <v>0</v>
      </c>
      <c r="G2500" s="10" t="s">
        <v>343</v>
      </c>
      <c r="H2500" s="10">
        <v>0</v>
      </c>
      <c r="I2500" s="10" t="s">
        <v>343</v>
      </c>
      <c r="J2500" s="11">
        <v>1268</v>
      </c>
      <c r="K2500" s="11">
        <v>1275</v>
      </c>
      <c r="L2500" s="11">
        <v>2543</v>
      </c>
      <c r="M2500" s="11">
        <v>1060</v>
      </c>
    </row>
    <row r="2501" spans="1:13" x14ac:dyDescent="0.3">
      <c r="A2501" s="10">
        <v>6712</v>
      </c>
      <c r="B2501" s="10">
        <v>95</v>
      </c>
      <c r="C2501" s="10" t="s">
        <v>2762</v>
      </c>
      <c r="D2501" s="10">
        <v>9597</v>
      </c>
      <c r="E2501" s="10" t="s">
        <v>2778</v>
      </c>
      <c r="F2501" s="10">
        <v>0</v>
      </c>
      <c r="G2501" s="10" t="s">
        <v>343</v>
      </c>
      <c r="H2501" s="10">
        <v>0</v>
      </c>
      <c r="I2501" s="10" t="s">
        <v>343</v>
      </c>
      <c r="J2501" s="10">
        <v>514</v>
      </c>
      <c r="K2501" s="10">
        <v>527</v>
      </c>
      <c r="L2501" s="11">
        <v>1041</v>
      </c>
      <c r="M2501" s="10">
        <v>393</v>
      </c>
    </row>
    <row r="2502" spans="1:13" x14ac:dyDescent="0.3">
      <c r="A2502" s="10">
        <v>6712</v>
      </c>
      <c r="B2502" s="10">
        <v>95</v>
      </c>
      <c r="C2502" s="10" t="s">
        <v>2762</v>
      </c>
      <c r="D2502" s="10">
        <v>9598</v>
      </c>
      <c r="E2502" s="10" t="s">
        <v>2779</v>
      </c>
      <c r="F2502" s="10">
        <v>0</v>
      </c>
      <c r="G2502" s="10" t="s">
        <v>343</v>
      </c>
      <c r="H2502" s="10">
        <v>0</v>
      </c>
      <c r="I2502" s="10" t="s">
        <v>343</v>
      </c>
      <c r="J2502" s="11">
        <v>12437</v>
      </c>
      <c r="K2502" s="11">
        <v>13467</v>
      </c>
      <c r="L2502" s="11">
        <v>25904</v>
      </c>
      <c r="M2502" s="11">
        <v>11651</v>
      </c>
    </row>
    <row r="2503" spans="1:13" x14ac:dyDescent="0.3">
      <c r="A2503" s="10">
        <v>6712</v>
      </c>
      <c r="B2503" s="10">
        <v>95</v>
      </c>
      <c r="C2503" s="10" t="s">
        <v>2762</v>
      </c>
      <c r="D2503" s="10">
        <v>9599</v>
      </c>
      <c r="E2503" s="10" t="s">
        <v>2780</v>
      </c>
      <c r="F2503" s="10">
        <v>0</v>
      </c>
      <c r="G2503" s="10" t="s">
        <v>343</v>
      </c>
      <c r="H2503" s="10">
        <v>0</v>
      </c>
      <c r="I2503" s="10" t="s">
        <v>343</v>
      </c>
      <c r="J2503" s="11">
        <v>27635</v>
      </c>
      <c r="K2503" s="11">
        <v>30815</v>
      </c>
      <c r="L2503" s="11">
        <v>58450</v>
      </c>
      <c r="M2503" s="11">
        <v>29664</v>
      </c>
    </row>
    <row r="2504" spans="1:13" x14ac:dyDescent="0.3">
      <c r="A2504" s="10">
        <v>6712</v>
      </c>
      <c r="B2504" s="10">
        <v>96</v>
      </c>
      <c r="C2504" s="10" t="s">
        <v>2781</v>
      </c>
      <c r="D2504" s="10">
        <v>0</v>
      </c>
      <c r="E2504" s="10" t="s">
        <v>343</v>
      </c>
      <c r="F2504" s="10">
        <v>0</v>
      </c>
      <c r="G2504" s="10" t="s">
        <v>343</v>
      </c>
      <c r="H2504" s="10">
        <v>0</v>
      </c>
      <c r="I2504" s="10" t="s">
        <v>343</v>
      </c>
      <c r="J2504" s="11">
        <v>407632</v>
      </c>
      <c r="K2504" s="11">
        <v>416364</v>
      </c>
      <c r="L2504" s="11">
        <v>823996</v>
      </c>
      <c r="M2504" s="11">
        <v>232664</v>
      </c>
    </row>
    <row r="2505" spans="1:13" x14ac:dyDescent="0.3">
      <c r="A2505" s="10">
        <v>6712</v>
      </c>
      <c r="B2505" s="10">
        <v>96</v>
      </c>
      <c r="C2505" s="10" t="s">
        <v>2781</v>
      </c>
      <c r="D2505" s="10">
        <v>9601</v>
      </c>
      <c r="E2505" s="10" t="s">
        <v>2782</v>
      </c>
      <c r="F2505" s="10">
        <v>0</v>
      </c>
      <c r="G2505" s="10" t="s">
        <v>343</v>
      </c>
      <c r="H2505" s="10">
        <v>0</v>
      </c>
      <c r="I2505" s="10" t="s">
        <v>343</v>
      </c>
      <c r="J2505" s="11">
        <v>44411</v>
      </c>
      <c r="K2505" s="11">
        <v>44203</v>
      </c>
      <c r="L2505" s="11">
        <v>88614</v>
      </c>
      <c r="M2505" s="11">
        <v>28297</v>
      </c>
    </row>
    <row r="2506" spans="1:13" x14ac:dyDescent="0.3">
      <c r="A2506" s="10">
        <v>6712</v>
      </c>
      <c r="B2506" s="10">
        <v>96</v>
      </c>
      <c r="C2506" s="10" t="s">
        <v>2781</v>
      </c>
      <c r="D2506" s="10">
        <v>9602</v>
      </c>
      <c r="E2506" s="10" t="s">
        <v>2783</v>
      </c>
      <c r="F2506" s="10">
        <v>0</v>
      </c>
      <c r="G2506" s="10" t="s">
        <v>343</v>
      </c>
      <c r="H2506" s="10">
        <v>0</v>
      </c>
      <c r="I2506" s="10" t="s">
        <v>343</v>
      </c>
      <c r="J2506" s="11">
        <v>27379</v>
      </c>
      <c r="K2506" s="11">
        <v>28121</v>
      </c>
      <c r="L2506" s="11">
        <v>55500</v>
      </c>
      <c r="M2506" s="11">
        <v>12788</v>
      </c>
    </row>
    <row r="2507" spans="1:13" x14ac:dyDescent="0.3">
      <c r="A2507" s="10">
        <v>6712</v>
      </c>
      <c r="B2507" s="10">
        <v>96</v>
      </c>
      <c r="C2507" s="10" t="s">
        <v>2781</v>
      </c>
      <c r="D2507" s="10">
        <v>9603</v>
      </c>
      <c r="E2507" s="10" t="s">
        <v>2784</v>
      </c>
      <c r="F2507" s="10">
        <v>0</v>
      </c>
      <c r="G2507" s="10" t="s">
        <v>343</v>
      </c>
      <c r="H2507" s="10">
        <v>0</v>
      </c>
      <c r="I2507" s="10" t="s">
        <v>343</v>
      </c>
      <c r="J2507" s="11">
        <v>20807</v>
      </c>
      <c r="K2507" s="11">
        <v>21493</v>
      </c>
      <c r="L2507" s="11">
        <v>42300</v>
      </c>
      <c r="M2507" s="11">
        <v>9876</v>
      </c>
    </row>
    <row r="2508" spans="1:13" x14ac:dyDescent="0.3">
      <c r="A2508" s="10">
        <v>6712</v>
      </c>
      <c r="B2508" s="10">
        <v>96</v>
      </c>
      <c r="C2508" s="10" t="s">
        <v>2781</v>
      </c>
      <c r="D2508" s="10">
        <v>9604</v>
      </c>
      <c r="E2508" s="10" t="s">
        <v>2785</v>
      </c>
      <c r="F2508" s="10">
        <v>0</v>
      </c>
      <c r="G2508" s="10" t="s">
        <v>343</v>
      </c>
      <c r="H2508" s="10">
        <v>0</v>
      </c>
      <c r="I2508" s="10" t="s">
        <v>343</v>
      </c>
      <c r="J2508" s="11">
        <v>22357</v>
      </c>
      <c r="K2508" s="11">
        <v>22972</v>
      </c>
      <c r="L2508" s="11">
        <v>45329</v>
      </c>
      <c r="M2508" s="11">
        <v>11101</v>
      </c>
    </row>
    <row r="2509" spans="1:13" x14ac:dyDescent="0.3">
      <c r="A2509" s="10">
        <v>6712</v>
      </c>
      <c r="B2509" s="10">
        <v>96</v>
      </c>
      <c r="C2509" s="10" t="s">
        <v>2781</v>
      </c>
      <c r="D2509" s="10">
        <v>9605</v>
      </c>
      <c r="E2509" s="10" t="s">
        <v>2786</v>
      </c>
      <c r="F2509" s="10">
        <v>0</v>
      </c>
      <c r="G2509" s="10" t="s">
        <v>343</v>
      </c>
      <c r="H2509" s="10">
        <v>0</v>
      </c>
      <c r="I2509" s="10" t="s">
        <v>343</v>
      </c>
      <c r="J2509" s="11">
        <v>39255</v>
      </c>
      <c r="K2509" s="11">
        <v>40607</v>
      </c>
      <c r="L2509" s="11">
        <v>79862</v>
      </c>
      <c r="M2509" s="11">
        <v>18377</v>
      </c>
    </row>
    <row r="2510" spans="1:13" x14ac:dyDescent="0.3">
      <c r="A2510" s="10">
        <v>6712</v>
      </c>
      <c r="B2510" s="10">
        <v>96</v>
      </c>
      <c r="C2510" s="10" t="s">
        <v>2781</v>
      </c>
      <c r="D2510" s="10">
        <v>9606</v>
      </c>
      <c r="E2510" s="10" t="s">
        <v>2787</v>
      </c>
      <c r="F2510" s="10">
        <v>0</v>
      </c>
      <c r="G2510" s="10" t="s">
        <v>343</v>
      </c>
      <c r="H2510" s="10">
        <v>0</v>
      </c>
      <c r="I2510" s="10" t="s">
        <v>343</v>
      </c>
      <c r="J2510" s="11">
        <v>34281</v>
      </c>
      <c r="K2510" s="11">
        <v>34309</v>
      </c>
      <c r="L2510" s="11">
        <v>68590</v>
      </c>
      <c r="M2510" s="11">
        <v>16441</v>
      </c>
    </row>
    <row r="2511" spans="1:13" x14ac:dyDescent="0.3">
      <c r="A2511" s="10">
        <v>6712</v>
      </c>
      <c r="B2511" s="10">
        <v>96</v>
      </c>
      <c r="C2511" s="10" t="s">
        <v>2781</v>
      </c>
      <c r="D2511" s="10">
        <v>9607</v>
      </c>
      <c r="E2511" s="10" t="s">
        <v>2788</v>
      </c>
      <c r="F2511" s="10">
        <v>0</v>
      </c>
      <c r="G2511" s="10" t="s">
        <v>343</v>
      </c>
      <c r="H2511" s="10">
        <v>0</v>
      </c>
      <c r="I2511" s="10" t="s">
        <v>343</v>
      </c>
      <c r="J2511" s="11">
        <v>19201</v>
      </c>
      <c r="K2511" s="11">
        <v>18678</v>
      </c>
      <c r="L2511" s="11">
        <v>37879</v>
      </c>
      <c r="M2511" s="11">
        <v>10045</v>
      </c>
    </row>
    <row r="2512" spans="1:13" x14ac:dyDescent="0.3">
      <c r="A2512" s="10">
        <v>6712</v>
      </c>
      <c r="B2512" s="10">
        <v>96</v>
      </c>
      <c r="C2512" s="10" t="s">
        <v>2781</v>
      </c>
      <c r="D2512" s="10">
        <v>9608</v>
      </c>
      <c r="E2512" s="10" t="s">
        <v>2789</v>
      </c>
      <c r="F2512" s="10">
        <v>0</v>
      </c>
      <c r="G2512" s="10" t="s">
        <v>343</v>
      </c>
      <c r="H2512" s="10">
        <v>0</v>
      </c>
      <c r="I2512" s="10" t="s">
        <v>343</v>
      </c>
      <c r="J2512" s="11">
        <v>22201</v>
      </c>
      <c r="K2512" s="11">
        <v>22633</v>
      </c>
      <c r="L2512" s="11">
        <v>44834</v>
      </c>
      <c r="M2512" s="11">
        <v>10977</v>
      </c>
    </row>
    <row r="2513" spans="1:13" x14ac:dyDescent="0.3">
      <c r="A2513" s="10">
        <v>6712</v>
      </c>
      <c r="B2513" s="10">
        <v>96</v>
      </c>
      <c r="C2513" s="10" t="s">
        <v>2781</v>
      </c>
      <c r="D2513" s="10">
        <v>9609</v>
      </c>
      <c r="E2513" s="10" t="s">
        <v>2790</v>
      </c>
      <c r="F2513" s="10">
        <v>0</v>
      </c>
      <c r="G2513" s="10" t="s">
        <v>343</v>
      </c>
      <c r="H2513" s="10">
        <v>0</v>
      </c>
      <c r="I2513" s="10" t="s">
        <v>343</v>
      </c>
      <c r="J2513" s="11">
        <v>11786</v>
      </c>
      <c r="K2513" s="11">
        <v>11357</v>
      </c>
      <c r="L2513" s="11">
        <v>23143</v>
      </c>
      <c r="M2513" s="11">
        <v>7666</v>
      </c>
    </row>
    <row r="2514" spans="1:13" x14ac:dyDescent="0.3">
      <c r="A2514" s="10">
        <v>6712</v>
      </c>
      <c r="B2514" s="10">
        <v>96</v>
      </c>
      <c r="C2514" s="10" t="s">
        <v>2781</v>
      </c>
      <c r="D2514" s="10">
        <v>9610</v>
      </c>
      <c r="E2514" s="10" t="s">
        <v>2791</v>
      </c>
      <c r="F2514" s="10">
        <v>0</v>
      </c>
      <c r="G2514" s="10" t="s">
        <v>343</v>
      </c>
      <c r="H2514" s="10">
        <v>0</v>
      </c>
      <c r="I2514" s="10" t="s">
        <v>343</v>
      </c>
      <c r="J2514" s="11">
        <v>19057</v>
      </c>
      <c r="K2514" s="11">
        <v>20215</v>
      </c>
      <c r="L2514" s="11">
        <v>39272</v>
      </c>
      <c r="M2514" s="11">
        <v>11845</v>
      </c>
    </row>
    <row r="2515" spans="1:13" x14ac:dyDescent="0.3">
      <c r="A2515" s="10">
        <v>6712</v>
      </c>
      <c r="B2515" s="10">
        <v>96</v>
      </c>
      <c r="C2515" s="10" t="s">
        <v>2781</v>
      </c>
      <c r="D2515" s="10">
        <v>9611</v>
      </c>
      <c r="E2515" s="10" t="s">
        <v>2792</v>
      </c>
      <c r="F2515" s="10">
        <v>0</v>
      </c>
      <c r="G2515" s="10" t="s">
        <v>343</v>
      </c>
      <c r="H2515" s="10">
        <v>0</v>
      </c>
      <c r="I2515" s="10" t="s">
        <v>343</v>
      </c>
      <c r="J2515" s="11">
        <v>24342</v>
      </c>
      <c r="K2515" s="11">
        <v>24998</v>
      </c>
      <c r="L2515" s="11">
        <v>49340</v>
      </c>
      <c r="M2515" s="11">
        <v>12786</v>
      </c>
    </row>
    <row r="2516" spans="1:13" x14ac:dyDescent="0.3">
      <c r="A2516" s="10">
        <v>6712</v>
      </c>
      <c r="B2516" s="10">
        <v>96</v>
      </c>
      <c r="C2516" s="10" t="s">
        <v>2781</v>
      </c>
      <c r="D2516" s="10">
        <v>9612</v>
      </c>
      <c r="E2516" s="10" t="s">
        <v>2793</v>
      </c>
      <c r="F2516" s="10">
        <v>0</v>
      </c>
      <c r="G2516" s="10" t="s">
        <v>343</v>
      </c>
      <c r="H2516" s="10">
        <v>0</v>
      </c>
      <c r="I2516" s="10" t="s">
        <v>343</v>
      </c>
      <c r="J2516" s="11">
        <v>20540</v>
      </c>
      <c r="K2516" s="11">
        <v>19989</v>
      </c>
      <c r="L2516" s="11">
        <v>40529</v>
      </c>
      <c r="M2516" s="11">
        <v>10159</v>
      </c>
    </row>
    <row r="2517" spans="1:13" x14ac:dyDescent="0.3">
      <c r="A2517" s="10">
        <v>6712</v>
      </c>
      <c r="B2517" s="10">
        <v>96</v>
      </c>
      <c r="C2517" s="10" t="s">
        <v>2781</v>
      </c>
      <c r="D2517" s="10">
        <v>9613</v>
      </c>
      <c r="E2517" s="10" t="s">
        <v>2794</v>
      </c>
      <c r="F2517" s="10">
        <v>0</v>
      </c>
      <c r="G2517" s="10" t="s">
        <v>343</v>
      </c>
      <c r="H2517" s="10">
        <v>0</v>
      </c>
      <c r="I2517" s="10" t="s">
        <v>343</v>
      </c>
      <c r="J2517" s="11">
        <v>20774</v>
      </c>
      <c r="K2517" s="11">
        <v>20945</v>
      </c>
      <c r="L2517" s="11">
        <v>41719</v>
      </c>
      <c r="M2517" s="11">
        <v>10241</v>
      </c>
    </row>
    <row r="2518" spans="1:13" x14ac:dyDescent="0.3">
      <c r="A2518" s="10">
        <v>6712</v>
      </c>
      <c r="B2518" s="10">
        <v>96</v>
      </c>
      <c r="C2518" s="10" t="s">
        <v>2781</v>
      </c>
      <c r="D2518" s="10">
        <v>9686</v>
      </c>
      <c r="E2518" s="10" t="s">
        <v>2795</v>
      </c>
      <c r="F2518" s="10">
        <v>0</v>
      </c>
      <c r="G2518" s="10" t="s">
        <v>343</v>
      </c>
      <c r="H2518" s="10">
        <v>0</v>
      </c>
      <c r="I2518" s="10" t="s">
        <v>343</v>
      </c>
      <c r="J2518" s="11">
        <v>3400</v>
      </c>
      <c r="K2518" s="11">
        <v>3578</v>
      </c>
      <c r="L2518" s="11">
        <v>6978</v>
      </c>
      <c r="M2518" s="11">
        <v>2172</v>
      </c>
    </row>
    <row r="2519" spans="1:13" x14ac:dyDescent="0.3">
      <c r="A2519" s="10">
        <v>6712</v>
      </c>
      <c r="B2519" s="10">
        <v>96</v>
      </c>
      <c r="C2519" s="10" t="s">
        <v>2781</v>
      </c>
      <c r="D2519" s="10">
        <v>9687</v>
      </c>
      <c r="E2519" s="10" t="s">
        <v>2796</v>
      </c>
      <c r="F2519" s="10">
        <v>0</v>
      </c>
      <c r="G2519" s="10" t="s">
        <v>343</v>
      </c>
      <c r="H2519" s="10">
        <v>0</v>
      </c>
      <c r="I2519" s="10" t="s">
        <v>343</v>
      </c>
      <c r="J2519" s="11">
        <v>1754</v>
      </c>
      <c r="K2519" s="11">
        <v>1685</v>
      </c>
      <c r="L2519" s="11">
        <v>3439</v>
      </c>
      <c r="M2519" s="11">
        <v>1650</v>
      </c>
    </row>
    <row r="2520" spans="1:13" x14ac:dyDescent="0.3">
      <c r="A2520" s="10">
        <v>6712</v>
      </c>
      <c r="B2520" s="10">
        <v>96</v>
      </c>
      <c r="C2520" s="10" t="s">
        <v>2781</v>
      </c>
      <c r="D2520" s="10">
        <v>9688</v>
      </c>
      <c r="E2520" s="10" t="s">
        <v>2797</v>
      </c>
      <c r="F2520" s="10">
        <v>0</v>
      </c>
      <c r="G2520" s="10" t="s">
        <v>343</v>
      </c>
      <c r="H2520" s="10">
        <v>0</v>
      </c>
      <c r="I2520" s="10" t="s">
        <v>343</v>
      </c>
      <c r="J2520" s="11">
        <v>2561</v>
      </c>
      <c r="K2520" s="11">
        <v>2708</v>
      </c>
      <c r="L2520" s="11">
        <v>5269</v>
      </c>
      <c r="M2520" s="11">
        <v>1731</v>
      </c>
    </row>
    <row r="2521" spans="1:13" x14ac:dyDescent="0.3">
      <c r="A2521" s="10">
        <v>6712</v>
      </c>
      <c r="B2521" s="10">
        <v>96</v>
      </c>
      <c r="C2521" s="10" t="s">
        <v>2781</v>
      </c>
      <c r="D2521" s="10">
        <v>9689</v>
      </c>
      <c r="E2521" s="10" t="s">
        <v>2798</v>
      </c>
      <c r="F2521" s="10">
        <v>0</v>
      </c>
      <c r="G2521" s="10" t="s">
        <v>343</v>
      </c>
      <c r="H2521" s="10">
        <v>0</v>
      </c>
      <c r="I2521" s="10" t="s">
        <v>343</v>
      </c>
      <c r="J2521" s="11">
        <v>2553</v>
      </c>
      <c r="K2521" s="11">
        <v>2716</v>
      </c>
      <c r="L2521" s="11">
        <v>5269</v>
      </c>
      <c r="M2521" s="11">
        <v>1484</v>
      </c>
    </row>
    <row r="2522" spans="1:13" x14ac:dyDescent="0.3">
      <c r="A2522" s="10">
        <v>6712</v>
      </c>
      <c r="B2522" s="10">
        <v>96</v>
      </c>
      <c r="C2522" s="10" t="s">
        <v>2781</v>
      </c>
      <c r="D2522" s="10">
        <v>9690</v>
      </c>
      <c r="E2522" s="10" t="s">
        <v>2799</v>
      </c>
      <c r="F2522" s="10">
        <v>0</v>
      </c>
      <c r="G2522" s="10" t="s">
        <v>343</v>
      </c>
      <c r="H2522" s="10">
        <v>0</v>
      </c>
      <c r="I2522" s="10" t="s">
        <v>343</v>
      </c>
      <c r="J2522" s="11">
        <v>2635</v>
      </c>
      <c r="K2522" s="11">
        <v>2565</v>
      </c>
      <c r="L2522" s="11">
        <v>5200</v>
      </c>
      <c r="M2522" s="11">
        <v>1924</v>
      </c>
    </row>
    <row r="2523" spans="1:13" x14ac:dyDescent="0.3">
      <c r="A2523" s="10">
        <v>6712</v>
      </c>
      <c r="B2523" s="10">
        <v>96</v>
      </c>
      <c r="C2523" s="10" t="s">
        <v>2781</v>
      </c>
      <c r="D2523" s="10">
        <v>9691</v>
      </c>
      <c r="E2523" s="10" t="s">
        <v>2800</v>
      </c>
      <c r="F2523" s="10">
        <v>0</v>
      </c>
      <c r="G2523" s="10" t="s">
        <v>343</v>
      </c>
      <c r="H2523" s="10">
        <v>0</v>
      </c>
      <c r="I2523" s="10" t="s">
        <v>343</v>
      </c>
      <c r="J2523" s="11">
        <v>3672</v>
      </c>
      <c r="K2523" s="11">
        <v>3817</v>
      </c>
      <c r="L2523" s="11">
        <v>7489</v>
      </c>
      <c r="M2523" s="11">
        <v>3753</v>
      </c>
    </row>
    <row r="2524" spans="1:13" x14ac:dyDescent="0.3">
      <c r="A2524" s="10">
        <v>6712</v>
      </c>
      <c r="B2524" s="10">
        <v>96</v>
      </c>
      <c r="C2524" s="10" t="s">
        <v>2781</v>
      </c>
      <c r="D2524" s="10">
        <v>9692</v>
      </c>
      <c r="E2524" s="10" t="s">
        <v>2801</v>
      </c>
      <c r="F2524" s="10">
        <v>0</v>
      </c>
      <c r="G2524" s="10" t="s">
        <v>343</v>
      </c>
      <c r="H2524" s="10">
        <v>0</v>
      </c>
      <c r="I2524" s="10" t="s">
        <v>343</v>
      </c>
      <c r="J2524" s="11">
        <v>4399</v>
      </c>
      <c r="K2524" s="11">
        <v>4280</v>
      </c>
      <c r="L2524" s="11">
        <v>8679</v>
      </c>
      <c r="M2524" s="11">
        <v>1842</v>
      </c>
    </row>
    <row r="2525" spans="1:13" x14ac:dyDescent="0.3">
      <c r="A2525" s="10">
        <v>6712</v>
      </c>
      <c r="B2525" s="10">
        <v>96</v>
      </c>
      <c r="C2525" s="10" t="s">
        <v>2781</v>
      </c>
      <c r="D2525" s="10">
        <v>9693</v>
      </c>
      <c r="E2525" s="10" t="s">
        <v>2802</v>
      </c>
      <c r="F2525" s="10">
        <v>0</v>
      </c>
      <c r="G2525" s="10" t="s">
        <v>343</v>
      </c>
      <c r="H2525" s="10">
        <v>0</v>
      </c>
      <c r="I2525" s="10" t="s">
        <v>343</v>
      </c>
      <c r="J2525" s="11">
        <v>3251</v>
      </c>
      <c r="K2525" s="11">
        <v>3501</v>
      </c>
      <c r="L2525" s="11">
        <v>6752</v>
      </c>
      <c r="M2525" s="11">
        <v>3920</v>
      </c>
    </row>
    <row r="2526" spans="1:13" x14ac:dyDescent="0.3">
      <c r="A2526" s="10">
        <v>6712</v>
      </c>
      <c r="B2526" s="10">
        <v>96</v>
      </c>
      <c r="C2526" s="10" t="s">
        <v>2781</v>
      </c>
      <c r="D2526" s="10">
        <v>9694</v>
      </c>
      <c r="E2526" s="10" t="s">
        <v>2803</v>
      </c>
      <c r="F2526" s="10">
        <v>0</v>
      </c>
      <c r="G2526" s="10" t="s">
        <v>343</v>
      </c>
      <c r="H2526" s="10">
        <v>0</v>
      </c>
      <c r="I2526" s="10" t="s">
        <v>343</v>
      </c>
      <c r="J2526" s="11">
        <v>1549</v>
      </c>
      <c r="K2526" s="11">
        <v>1538</v>
      </c>
      <c r="L2526" s="11">
        <v>3087</v>
      </c>
      <c r="M2526" s="11">
        <v>1148</v>
      </c>
    </row>
    <row r="2527" spans="1:13" x14ac:dyDescent="0.3">
      <c r="A2527" s="10">
        <v>6712</v>
      </c>
      <c r="B2527" s="10">
        <v>96</v>
      </c>
      <c r="C2527" s="10" t="s">
        <v>2781</v>
      </c>
      <c r="D2527" s="10">
        <v>9695</v>
      </c>
      <c r="E2527" s="10" t="s">
        <v>2804</v>
      </c>
      <c r="F2527" s="10">
        <v>0</v>
      </c>
      <c r="G2527" s="10" t="s">
        <v>343</v>
      </c>
      <c r="H2527" s="10">
        <v>0</v>
      </c>
      <c r="I2527" s="10" t="s">
        <v>343</v>
      </c>
      <c r="J2527" s="11">
        <v>4857</v>
      </c>
      <c r="K2527" s="11">
        <v>4863</v>
      </c>
      <c r="L2527" s="11">
        <v>9720</v>
      </c>
      <c r="M2527" s="11">
        <v>2380</v>
      </c>
    </row>
    <row r="2528" spans="1:13" x14ac:dyDescent="0.3">
      <c r="A2528" s="10">
        <v>6712</v>
      </c>
      <c r="B2528" s="10">
        <v>96</v>
      </c>
      <c r="C2528" s="10" t="s">
        <v>2781</v>
      </c>
      <c r="D2528" s="10">
        <v>9696</v>
      </c>
      <c r="E2528" s="10" t="s">
        <v>2805</v>
      </c>
      <c r="F2528" s="10">
        <v>0</v>
      </c>
      <c r="G2528" s="10" t="s">
        <v>343</v>
      </c>
      <c r="H2528" s="10">
        <v>0</v>
      </c>
      <c r="I2528" s="10" t="s">
        <v>343</v>
      </c>
      <c r="J2528" s="11">
        <v>2472</v>
      </c>
      <c r="K2528" s="11">
        <v>2696</v>
      </c>
      <c r="L2528" s="11">
        <v>5168</v>
      </c>
      <c r="M2528" s="11">
        <v>1501</v>
      </c>
    </row>
    <row r="2529" spans="1:13" x14ac:dyDescent="0.3">
      <c r="A2529" s="10">
        <v>6712</v>
      </c>
      <c r="B2529" s="10">
        <v>96</v>
      </c>
      <c r="C2529" s="10" t="s">
        <v>2781</v>
      </c>
      <c r="D2529" s="10">
        <v>9697</v>
      </c>
      <c r="E2529" s="10" t="s">
        <v>2806</v>
      </c>
      <c r="F2529" s="10">
        <v>0</v>
      </c>
      <c r="G2529" s="10" t="s">
        <v>343</v>
      </c>
      <c r="H2529" s="10">
        <v>0</v>
      </c>
      <c r="I2529" s="10" t="s">
        <v>343</v>
      </c>
      <c r="J2529" s="11">
        <v>9814</v>
      </c>
      <c r="K2529" s="11">
        <v>10377</v>
      </c>
      <c r="L2529" s="11">
        <v>20191</v>
      </c>
      <c r="M2529" s="11">
        <v>6005</v>
      </c>
    </row>
    <row r="2530" spans="1:13" x14ac:dyDescent="0.3">
      <c r="A2530" s="10">
        <v>6712</v>
      </c>
      <c r="B2530" s="10">
        <v>96</v>
      </c>
      <c r="C2530" s="10" t="s">
        <v>2781</v>
      </c>
      <c r="D2530" s="10">
        <v>9698</v>
      </c>
      <c r="E2530" s="10" t="s">
        <v>2807</v>
      </c>
      <c r="F2530" s="10">
        <v>0</v>
      </c>
      <c r="G2530" s="10" t="s">
        <v>343</v>
      </c>
      <c r="H2530" s="10">
        <v>0</v>
      </c>
      <c r="I2530" s="10" t="s">
        <v>343</v>
      </c>
      <c r="J2530" s="11">
        <v>18723</v>
      </c>
      <c r="K2530" s="11">
        <v>20858</v>
      </c>
      <c r="L2530" s="11">
        <v>39581</v>
      </c>
      <c r="M2530" s="11">
        <v>15884</v>
      </c>
    </row>
    <row r="2531" spans="1:13" x14ac:dyDescent="0.3">
      <c r="A2531" s="10">
        <v>6712</v>
      </c>
      <c r="B2531" s="10">
        <v>96</v>
      </c>
      <c r="C2531" s="10" t="s">
        <v>2781</v>
      </c>
      <c r="D2531" s="10">
        <v>9699</v>
      </c>
      <c r="E2531" s="10" t="s">
        <v>2808</v>
      </c>
      <c r="F2531" s="10">
        <v>0</v>
      </c>
      <c r="G2531" s="10" t="s">
        <v>343</v>
      </c>
      <c r="H2531" s="10">
        <v>0</v>
      </c>
      <c r="I2531" s="10" t="s">
        <v>343</v>
      </c>
      <c r="J2531" s="11">
        <v>19601</v>
      </c>
      <c r="K2531" s="11">
        <v>20662</v>
      </c>
      <c r="L2531" s="11">
        <v>40263</v>
      </c>
      <c r="M2531" s="11">
        <v>16671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54A0-5971-4186-9D1E-17C58C0406CA}">
  <dimension ref="A3:B81"/>
  <sheetViews>
    <sheetView workbookViewId="0">
      <selection activeCell="D3" sqref="D3"/>
    </sheetView>
  </sheetViews>
  <sheetFormatPr defaultRowHeight="14.4" x14ac:dyDescent="0.3"/>
  <cols>
    <col min="1" max="1" width="21.109375" bestFit="1" customWidth="1"/>
    <col min="2" max="2" width="33.77734375" bestFit="1" customWidth="1"/>
    <col min="4" max="4" width="21.109375" bestFit="1" customWidth="1"/>
  </cols>
  <sheetData>
    <row r="3" spans="1:2" x14ac:dyDescent="0.3">
      <c r="A3" s="56" t="s">
        <v>2986</v>
      </c>
      <c r="B3" t="s">
        <v>2988</v>
      </c>
    </row>
    <row r="4" spans="1:2" x14ac:dyDescent="0.3">
      <c r="A4" s="57" t="s">
        <v>344</v>
      </c>
      <c r="B4">
        <v>10910040</v>
      </c>
    </row>
    <row r="5" spans="1:2" x14ac:dyDescent="0.3">
      <c r="A5" s="57" t="s">
        <v>2494</v>
      </c>
      <c r="B5">
        <v>967710</v>
      </c>
    </row>
    <row r="6" spans="1:2" x14ac:dyDescent="0.3">
      <c r="A6" s="57" t="s">
        <v>2263</v>
      </c>
      <c r="B6">
        <v>1792702</v>
      </c>
    </row>
    <row r="7" spans="1:2" x14ac:dyDescent="0.3">
      <c r="A7" s="57" t="s">
        <v>1541</v>
      </c>
      <c r="B7">
        <v>1924888</v>
      </c>
    </row>
    <row r="8" spans="1:2" x14ac:dyDescent="0.3">
      <c r="A8" s="57" t="s">
        <v>2046</v>
      </c>
      <c r="B8">
        <v>1401724</v>
      </c>
    </row>
    <row r="9" spans="1:2" x14ac:dyDescent="0.3">
      <c r="A9" s="57" t="s">
        <v>1277</v>
      </c>
      <c r="B9">
        <v>3544762</v>
      </c>
    </row>
    <row r="10" spans="1:2" x14ac:dyDescent="0.3">
      <c r="A10" s="57" t="s">
        <v>729</v>
      </c>
      <c r="B10">
        <v>1072776</v>
      </c>
    </row>
    <row r="11" spans="1:2" x14ac:dyDescent="0.3">
      <c r="A11" s="57" t="s">
        <v>786</v>
      </c>
      <c r="B11">
        <v>1466262</v>
      </c>
    </row>
    <row r="12" spans="1:2" x14ac:dyDescent="0.3">
      <c r="A12" s="57" t="s">
        <v>647</v>
      </c>
      <c r="B12">
        <v>3271050</v>
      </c>
    </row>
    <row r="13" spans="1:2" x14ac:dyDescent="0.3">
      <c r="A13" s="57" t="s">
        <v>582</v>
      </c>
      <c r="B13">
        <v>627518</v>
      </c>
    </row>
    <row r="14" spans="1:2" x14ac:dyDescent="0.3">
      <c r="A14" s="57" t="s">
        <v>1180</v>
      </c>
      <c r="B14">
        <v>2212808</v>
      </c>
    </row>
    <row r="15" spans="1:2" x14ac:dyDescent="0.3">
      <c r="A15" s="57" t="s">
        <v>2601</v>
      </c>
      <c r="B15">
        <v>1016106</v>
      </c>
    </row>
    <row r="16" spans="1:2" x14ac:dyDescent="0.3">
      <c r="A16" s="57" t="s">
        <v>1929</v>
      </c>
      <c r="B16">
        <v>2595314</v>
      </c>
    </row>
    <row r="17" spans="1:2" x14ac:dyDescent="0.3">
      <c r="A17" s="57" t="s">
        <v>1671</v>
      </c>
      <c r="B17">
        <v>3598038</v>
      </c>
    </row>
    <row r="18" spans="1:2" x14ac:dyDescent="0.3">
      <c r="A18" s="57" t="s">
        <v>2687</v>
      </c>
      <c r="B18">
        <v>1269918</v>
      </c>
    </row>
    <row r="19" spans="1:2" x14ac:dyDescent="0.3">
      <c r="A19" s="57" t="s">
        <v>768</v>
      </c>
      <c r="B19">
        <v>453034</v>
      </c>
    </row>
    <row r="20" spans="1:2" x14ac:dyDescent="0.3">
      <c r="A20" s="57" t="s">
        <v>2080</v>
      </c>
      <c r="B20">
        <v>1397194</v>
      </c>
    </row>
    <row r="21" spans="1:2" x14ac:dyDescent="0.3">
      <c r="A21" s="57" t="s">
        <v>843</v>
      </c>
      <c r="B21">
        <v>519540</v>
      </c>
    </row>
    <row r="22" spans="1:2" x14ac:dyDescent="0.3">
      <c r="A22" s="57" t="s">
        <v>2352</v>
      </c>
      <c r="B22">
        <v>1851516</v>
      </c>
    </row>
    <row r="23" spans="1:2" x14ac:dyDescent="0.3">
      <c r="A23" s="57" t="s">
        <v>1632</v>
      </c>
      <c r="B23">
        <v>1421480</v>
      </c>
    </row>
    <row r="24" spans="1:2" x14ac:dyDescent="0.3">
      <c r="A24" s="57" t="s">
        <v>871</v>
      </c>
      <c r="B24">
        <v>5240344</v>
      </c>
    </row>
    <row r="25" spans="1:2" x14ac:dyDescent="0.3">
      <c r="A25" s="57" t="s">
        <v>2444</v>
      </c>
      <c r="B25">
        <v>3069306</v>
      </c>
    </row>
    <row r="26" spans="1:2" x14ac:dyDescent="0.3">
      <c r="A26" s="57" t="s">
        <v>1993</v>
      </c>
      <c r="B26">
        <v>2028802</v>
      </c>
    </row>
    <row r="27" spans="1:2" x14ac:dyDescent="0.3">
      <c r="A27" s="57" t="s">
        <v>419</v>
      </c>
      <c r="B27">
        <v>2635838</v>
      </c>
    </row>
    <row r="28" spans="1:2" x14ac:dyDescent="0.3">
      <c r="A28" s="57" t="s">
        <v>2781</v>
      </c>
      <c r="B28">
        <v>1647992</v>
      </c>
    </row>
    <row r="29" spans="1:2" x14ac:dyDescent="0.3">
      <c r="A29" s="57" t="s">
        <v>1874</v>
      </c>
      <c r="B29">
        <v>941014</v>
      </c>
    </row>
    <row r="30" spans="1:2" x14ac:dyDescent="0.3">
      <c r="A30" s="57" t="s">
        <v>1237</v>
      </c>
      <c r="B30">
        <v>837466</v>
      </c>
    </row>
    <row r="31" spans="1:2" x14ac:dyDescent="0.3">
      <c r="A31" s="57" t="s">
        <v>966</v>
      </c>
      <c r="B31">
        <v>3132616</v>
      </c>
    </row>
    <row r="32" spans="1:2" x14ac:dyDescent="0.3">
      <c r="A32" s="57" t="s">
        <v>441</v>
      </c>
      <c r="B32">
        <v>2472942</v>
      </c>
    </row>
    <row r="33" spans="1:2" x14ac:dyDescent="0.3">
      <c r="A33" s="57" t="s">
        <v>2419</v>
      </c>
      <c r="B33">
        <v>1103538</v>
      </c>
    </row>
    <row r="34" spans="1:2" x14ac:dyDescent="0.3">
      <c r="A34" s="57" t="s">
        <v>824</v>
      </c>
      <c r="B34">
        <v>1001214</v>
      </c>
    </row>
    <row r="35" spans="1:2" x14ac:dyDescent="0.3">
      <c r="A35" s="57" t="s">
        <v>2739</v>
      </c>
      <c r="B35">
        <v>1481808</v>
      </c>
    </row>
    <row r="36" spans="1:2" x14ac:dyDescent="0.3">
      <c r="A36" s="57" t="s">
        <v>468</v>
      </c>
      <c r="B36">
        <v>1645440</v>
      </c>
    </row>
    <row r="37" spans="1:2" x14ac:dyDescent="0.3">
      <c r="A37" s="57" t="s">
        <v>1896</v>
      </c>
      <c r="B37">
        <v>909528</v>
      </c>
    </row>
    <row r="38" spans="1:2" x14ac:dyDescent="0.3">
      <c r="A38" s="57" t="s">
        <v>2514</v>
      </c>
      <c r="B38">
        <v>532592</v>
      </c>
    </row>
    <row r="39" spans="1:2" x14ac:dyDescent="0.3">
      <c r="A39" s="57" t="s">
        <v>2711</v>
      </c>
      <c r="B39">
        <v>1038880</v>
      </c>
    </row>
    <row r="40" spans="1:2" x14ac:dyDescent="0.3">
      <c r="A40" s="57" t="s">
        <v>2156</v>
      </c>
      <c r="B40">
        <v>1034616</v>
      </c>
    </row>
    <row r="41" spans="1:2" x14ac:dyDescent="0.3">
      <c r="A41" s="57" t="s">
        <v>2127</v>
      </c>
      <c r="B41">
        <v>1678232</v>
      </c>
    </row>
    <row r="42" spans="1:2" x14ac:dyDescent="0.3">
      <c r="A42" s="57" t="s">
        <v>2399</v>
      </c>
      <c r="B42">
        <v>968290</v>
      </c>
    </row>
    <row r="43" spans="1:2" x14ac:dyDescent="0.3">
      <c r="A43" s="57" t="s">
        <v>2191</v>
      </c>
      <c r="B43">
        <v>1921436</v>
      </c>
    </row>
    <row r="44" spans="1:2" x14ac:dyDescent="0.3">
      <c r="A44" s="57" t="s">
        <v>1847</v>
      </c>
      <c r="B44">
        <v>843490</v>
      </c>
    </row>
    <row r="45" spans="1:2" x14ac:dyDescent="0.3">
      <c r="A45" s="57" t="s">
        <v>2531</v>
      </c>
      <c r="B45">
        <v>859166</v>
      </c>
    </row>
    <row r="46" spans="1:2" x14ac:dyDescent="0.3">
      <c r="A46" s="57" t="s">
        <v>1462</v>
      </c>
      <c r="B46">
        <v>1859904</v>
      </c>
    </row>
    <row r="47" spans="1:2" x14ac:dyDescent="0.3">
      <c r="A47" s="57" t="s">
        <v>1655</v>
      </c>
      <c r="B47">
        <v>701020</v>
      </c>
    </row>
    <row r="48" spans="1:2" x14ac:dyDescent="0.3">
      <c r="A48" s="57" t="s">
        <v>1980</v>
      </c>
      <c r="B48">
        <v>576164</v>
      </c>
    </row>
    <row r="49" spans="1:2" x14ac:dyDescent="0.3">
      <c r="A49" s="57" t="s">
        <v>1161</v>
      </c>
      <c r="B49">
        <v>1050650</v>
      </c>
    </row>
    <row r="50" spans="1:2" x14ac:dyDescent="0.3">
      <c r="A50" s="57" t="s">
        <v>2762</v>
      </c>
      <c r="B50">
        <v>1105948</v>
      </c>
    </row>
    <row r="51" spans="1:2" x14ac:dyDescent="0.3">
      <c r="A51" s="57" t="s">
        <v>1489</v>
      </c>
      <c r="B51">
        <v>2551038</v>
      </c>
    </row>
    <row r="52" spans="1:2" x14ac:dyDescent="0.3">
      <c r="A52" s="57" t="s">
        <v>2590</v>
      </c>
      <c r="B52">
        <v>385854</v>
      </c>
    </row>
    <row r="53" spans="1:2" x14ac:dyDescent="0.3">
      <c r="A53" s="57" t="s">
        <v>697</v>
      </c>
      <c r="B53">
        <v>1564342</v>
      </c>
    </row>
    <row r="54" spans="1:2" x14ac:dyDescent="0.3">
      <c r="A54" s="57" t="s">
        <v>2223</v>
      </c>
      <c r="B54">
        <v>1728074</v>
      </c>
    </row>
    <row r="55" spans="1:2" x14ac:dyDescent="0.3">
      <c r="A55" s="57" t="s">
        <v>538</v>
      </c>
      <c r="B55">
        <v>1450532</v>
      </c>
    </row>
    <row r="56" spans="1:2" x14ac:dyDescent="0.3">
      <c r="A56" s="57" t="s">
        <v>1778</v>
      </c>
      <c r="B56">
        <v>1408252</v>
      </c>
    </row>
    <row r="57" spans="1:2" x14ac:dyDescent="0.3">
      <c r="A57" s="57" t="s">
        <v>1747</v>
      </c>
      <c r="B57">
        <v>793506</v>
      </c>
    </row>
    <row r="58" spans="1:2" x14ac:dyDescent="0.3">
      <c r="A58" s="57" t="s">
        <v>1406</v>
      </c>
      <c r="B58">
        <v>1264374</v>
      </c>
    </row>
    <row r="59" spans="1:2" x14ac:dyDescent="0.3">
      <c r="A59" s="57" t="s">
        <v>1057</v>
      </c>
      <c r="B59">
        <v>2884026</v>
      </c>
    </row>
    <row r="60" spans="1:2" x14ac:dyDescent="0.3">
      <c r="A60" s="57" t="s">
        <v>1592</v>
      </c>
      <c r="B60">
        <v>2275544</v>
      </c>
    </row>
    <row r="61" spans="1:2" x14ac:dyDescent="0.3">
      <c r="A61" s="57" t="s">
        <v>2624</v>
      </c>
      <c r="B61">
        <v>2862214</v>
      </c>
    </row>
    <row r="62" spans="1:2" x14ac:dyDescent="0.3">
      <c r="A62" s="57" t="s">
        <v>2673</v>
      </c>
      <c r="B62">
        <v>649758</v>
      </c>
    </row>
    <row r="63" spans="1:2" x14ac:dyDescent="0.3">
      <c r="A63" s="57" t="s">
        <v>395</v>
      </c>
      <c r="B63">
        <v>2761652</v>
      </c>
    </row>
    <row r="64" spans="1:2" x14ac:dyDescent="0.3">
      <c r="A64" s="57" t="s">
        <v>2390</v>
      </c>
      <c r="B64">
        <v>373568</v>
      </c>
    </row>
    <row r="65" spans="1:2" x14ac:dyDescent="0.3">
      <c r="A65" s="57" t="s">
        <v>2378</v>
      </c>
      <c r="B65">
        <v>1181734</v>
      </c>
    </row>
    <row r="66" spans="1:2" x14ac:dyDescent="0.3">
      <c r="A66" s="57" t="s">
        <v>852</v>
      </c>
      <c r="B66">
        <v>1124484</v>
      </c>
    </row>
    <row r="67" spans="1:2" x14ac:dyDescent="0.3">
      <c r="A67" s="57" t="s">
        <v>608</v>
      </c>
      <c r="B67">
        <v>1278330</v>
      </c>
    </row>
    <row r="68" spans="1:2" x14ac:dyDescent="0.3">
      <c r="A68" s="57" t="s">
        <v>568</v>
      </c>
      <c r="B68">
        <v>399606</v>
      </c>
    </row>
    <row r="69" spans="1:2" x14ac:dyDescent="0.3">
      <c r="A69" s="57" t="s">
        <v>2104</v>
      </c>
      <c r="B69">
        <v>1146776</v>
      </c>
    </row>
    <row r="70" spans="1:2" x14ac:dyDescent="0.3">
      <c r="A70" s="57" t="s">
        <v>2308</v>
      </c>
      <c r="B70">
        <v>1644422</v>
      </c>
    </row>
    <row r="71" spans="1:2" x14ac:dyDescent="0.3">
      <c r="A71" s="57" t="s">
        <v>2544</v>
      </c>
      <c r="B71">
        <v>2153332</v>
      </c>
    </row>
    <row r="72" spans="1:2" x14ac:dyDescent="0.3">
      <c r="A72" s="57" t="s">
        <v>1025</v>
      </c>
      <c r="B72">
        <v>2720490</v>
      </c>
    </row>
    <row r="73" spans="1:2" x14ac:dyDescent="0.3">
      <c r="A73" s="57" t="s">
        <v>1442</v>
      </c>
      <c r="B73">
        <v>1023412</v>
      </c>
    </row>
    <row r="74" spans="1:2" x14ac:dyDescent="0.3">
      <c r="A74" s="57" t="s">
        <v>1257</v>
      </c>
      <c r="B74">
        <v>1008758</v>
      </c>
    </row>
    <row r="75" spans="1:2" x14ac:dyDescent="0.3">
      <c r="A75" s="57" t="s">
        <v>520</v>
      </c>
      <c r="B75">
        <v>537750</v>
      </c>
    </row>
    <row r="76" spans="1:2" x14ac:dyDescent="0.3">
      <c r="A76" s="57" t="s">
        <v>1219</v>
      </c>
      <c r="B76">
        <v>744366</v>
      </c>
    </row>
    <row r="77" spans="1:2" x14ac:dyDescent="0.3">
      <c r="A77" s="57" t="s">
        <v>1345</v>
      </c>
      <c r="B77">
        <v>3104270</v>
      </c>
    </row>
    <row r="78" spans="1:2" x14ac:dyDescent="0.3">
      <c r="A78" s="57" t="s">
        <v>1815</v>
      </c>
      <c r="B78">
        <v>872566</v>
      </c>
    </row>
    <row r="79" spans="1:2" x14ac:dyDescent="0.3">
      <c r="A79" s="57" t="s">
        <v>2026</v>
      </c>
      <c r="B79">
        <v>640890</v>
      </c>
    </row>
    <row r="80" spans="1:2" x14ac:dyDescent="0.3">
      <c r="A80" s="57" t="s">
        <v>1098</v>
      </c>
      <c r="B80">
        <v>3735884</v>
      </c>
    </row>
    <row r="81" spans="1:2" x14ac:dyDescent="0.3">
      <c r="A81" s="57" t="s">
        <v>2987</v>
      </c>
      <c r="B81">
        <v>131902420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69A8-49C5-44E8-A434-955A5E63D96D}">
  <dimension ref="A3:D82"/>
  <sheetViews>
    <sheetView workbookViewId="0">
      <selection activeCell="D4" sqref="D4"/>
    </sheetView>
  </sheetViews>
  <sheetFormatPr defaultRowHeight="14.4" x14ac:dyDescent="0.3"/>
  <cols>
    <col min="1" max="1" width="21.109375" bestFit="1" customWidth="1"/>
    <col min="2" max="2" width="30.88671875" style="62" bestFit="1" customWidth="1"/>
    <col min="3" max="3" width="31.44140625" bestFit="1" customWidth="1"/>
    <col min="4" max="4" width="33.77734375" bestFit="1" customWidth="1"/>
  </cols>
  <sheetData>
    <row r="3" spans="1:4" x14ac:dyDescent="0.3">
      <c r="A3" s="56" t="s">
        <v>2986</v>
      </c>
      <c r="B3" t="s">
        <v>2989</v>
      </c>
      <c r="C3" t="s">
        <v>2990</v>
      </c>
      <c r="D3" t="s">
        <v>2988</v>
      </c>
    </row>
    <row r="4" spans="1:4" x14ac:dyDescent="0.3">
      <c r="A4" s="57" t="s">
        <v>344</v>
      </c>
      <c r="B4" s="62">
        <v>5088800</v>
      </c>
      <c r="C4" s="62">
        <v>5821240</v>
      </c>
      <c r="D4" s="62">
        <v>10910040</v>
      </c>
    </row>
    <row r="5" spans="1:4" x14ac:dyDescent="0.3">
      <c r="A5" s="57" t="s">
        <v>2494</v>
      </c>
      <c r="B5" s="62">
        <v>480626</v>
      </c>
      <c r="C5" s="62">
        <v>487084</v>
      </c>
      <c r="D5" s="62">
        <v>967710</v>
      </c>
    </row>
    <row r="6" spans="1:4" x14ac:dyDescent="0.3">
      <c r="A6" s="57" t="s">
        <v>2263</v>
      </c>
      <c r="B6" s="62">
        <v>895306</v>
      </c>
      <c r="C6" s="62">
        <v>897396</v>
      </c>
      <c r="D6" s="62">
        <v>1792702</v>
      </c>
    </row>
    <row r="7" spans="1:4" x14ac:dyDescent="0.3">
      <c r="A7" s="57" t="s">
        <v>1541</v>
      </c>
      <c r="B7" s="62">
        <v>949066</v>
      </c>
      <c r="C7" s="62">
        <v>975822</v>
      </c>
      <c r="D7" s="62">
        <v>1924888</v>
      </c>
    </row>
    <row r="8" spans="1:4" x14ac:dyDescent="0.3">
      <c r="A8" s="57" t="s">
        <v>2046</v>
      </c>
      <c r="B8" s="62">
        <v>690332</v>
      </c>
      <c r="C8" s="62">
        <v>711392</v>
      </c>
      <c r="D8" s="62">
        <v>1401724</v>
      </c>
    </row>
    <row r="9" spans="1:4" x14ac:dyDescent="0.3">
      <c r="A9" s="57" t="s">
        <v>1277</v>
      </c>
      <c r="B9" s="62">
        <v>1736598</v>
      </c>
      <c r="C9" s="62">
        <v>1808164</v>
      </c>
      <c r="D9" s="62">
        <v>3544762</v>
      </c>
    </row>
    <row r="10" spans="1:4" x14ac:dyDescent="0.3">
      <c r="A10" s="57" t="s">
        <v>729</v>
      </c>
      <c r="B10" s="62">
        <v>523110</v>
      </c>
      <c r="C10" s="62">
        <v>549666</v>
      </c>
      <c r="D10" s="62">
        <v>1072776</v>
      </c>
    </row>
    <row r="11" spans="1:4" x14ac:dyDescent="0.3">
      <c r="A11" s="57" t="s">
        <v>786</v>
      </c>
      <c r="B11" s="62">
        <v>717112</v>
      </c>
      <c r="C11" s="62">
        <v>749150</v>
      </c>
      <c r="D11" s="62">
        <v>1466262</v>
      </c>
    </row>
    <row r="12" spans="1:4" x14ac:dyDescent="0.3">
      <c r="A12" s="57" t="s">
        <v>647</v>
      </c>
      <c r="B12" s="62">
        <v>1589566</v>
      </c>
      <c r="C12" s="62">
        <v>1681484</v>
      </c>
      <c r="D12" s="62">
        <v>3271050</v>
      </c>
    </row>
    <row r="13" spans="1:4" x14ac:dyDescent="0.3">
      <c r="A13" s="57" t="s">
        <v>582</v>
      </c>
      <c r="B13" s="62">
        <v>300990</v>
      </c>
      <c r="C13" s="62">
        <v>326528</v>
      </c>
      <c r="D13" s="62">
        <v>627518</v>
      </c>
    </row>
    <row r="14" spans="1:4" x14ac:dyDescent="0.3">
      <c r="A14" s="57" t="s">
        <v>1180</v>
      </c>
      <c r="B14" s="62">
        <v>1089908</v>
      </c>
      <c r="C14" s="62">
        <v>1122900</v>
      </c>
      <c r="D14" s="62">
        <v>2212808</v>
      </c>
    </row>
    <row r="15" spans="1:4" x14ac:dyDescent="0.3">
      <c r="A15" s="57" t="s">
        <v>2601</v>
      </c>
      <c r="B15" s="62">
        <v>500534</v>
      </c>
      <c r="C15" s="62">
        <v>515572</v>
      </c>
      <c r="D15" s="62">
        <v>1016106</v>
      </c>
    </row>
    <row r="16" spans="1:4" x14ac:dyDescent="0.3">
      <c r="A16" s="57" t="s">
        <v>1929</v>
      </c>
      <c r="B16" s="62">
        <v>1257622</v>
      </c>
      <c r="C16" s="62">
        <v>1337692</v>
      </c>
      <c r="D16" s="62">
        <v>2595314</v>
      </c>
    </row>
    <row r="17" spans="1:4" x14ac:dyDescent="0.3">
      <c r="A17" s="57" t="s">
        <v>1671</v>
      </c>
      <c r="B17" s="62">
        <v>1730972</v>
      </c>
      <c r="C17" s="62">
        <v>1867066</v>
      </c>
      <c r="D17" s="62">
        <v>3598038</v>
      </c>
    </row>
    <row r="18" spans="1:4" x14ac:dyDescent="0.3">
      <c r="A18" s="57" t="s">
        <v>2687</v>
      </c>
      <c r="B18" s="62">
        <v>620090</v>
      </c>
      <c r="C18" s="62">
        <v>649828</v>
      </c>
      <c r="D18" s="62">
        <v>1269918</v>
      </c>
    </row>
    <row r="19" spans="1:4" x14ac:dyDescent="0.3">
      <c r="A19" s="57" t="s">
        <v>768</v>
      </c>
      <c r="B19" s="62">
        <v>223786</v>
      </c>
      <c r="C19" s="62">
        <v>229248</v>
      </c>
      <c r="D19" s="62">
        <v>453034</v>
      </c>
    </row>
    <row r="20" spans="1:4" x14ac:dyDescent="0.3">
      <c r="A20" s="57" t="s">
        <v>2080</v>
      </c>
      <c r="B20" s="62">
        <v>705866</v>
      </c>
      <c r="C20" s="62">
        <v>691328</v>
      </c>
      <c r="D20" s="62">
        <v>1397194</v>
      </c>
    </row>
    <row r="21" spans="1:4" x14ac:dyDescent="0.3">
      <c r="A21" s="57" t="s">
        <v>843</v>
      </c>
      <c r="B21" s="62">
        <v>256698</v>
      </c>
      <c r="C21" s="62">
        <v>262842</v>
      </c>
      <c r="D21" s="62">
        <v>519540</v>
      </c>
    </row>
    <row r="22" spans="1:4" x14ac:dyDescent="0.3">
      <c r="A22" s="57" t="s">
        <v>2352</v>
      </c>
      <c r="B22" s="62">
        <v>886790</v>
      </c>
      <c r="C22" s="62">
        <v>964726</v>
      </c>
      <c r="D22" s="62">
        <v>1851516</v>
      </c>
    </row>
    <row r="23" spans="1:4" x14ac:dyDescent="0.3">
      <c r="A23" s="57" t="s">
        <v>1632</v>
      </c>
      <c r="B23" s="62">
        <v>707062</v>
      </c>
      <c r="C23" s="62">
        <v>714418</v>
      </c>
      <c r="D23" s="62">
        <v>1421480</v>
      </c>
    </row>
    <row r="24" spans="1:4" x14ac:dyDescent="0.3">
      <c r="A24" s="57" t="s">
        <v>871</v>
      </c>
      <c r="B24" s="62">
        <v>2565526</v>
      </c>
      <c r="C24" s="62">
        <v>2674818</v>
      </c>
      <c r="D24" s="62">
        <v>5240344</v>
      </c>
    </row>
    <row r="25" spans="1:4" x14ac:dyDescent="0.3">
      <c r="A25" s="57" t="s">
        <v>2444</v>
      </c>
      <c r="B25" s="62">
        <v>1515078</v>
      </c>
      <c r="C25" s="62">
        <v>1554228</v>
      </c>
      <c r="D25" s="62">
        <v>3069306</v>
      </c>
    </row>
    <row r="26" spans="1:4" x14ac:dyDescent="0.3">
      <c r="A26" s="57" t="s">
        <v>1993</v>
      </c>
      <c r="B26" s="62">
        <v>986562</v>
      </c>
      <c r="C26" s="62">
        <v>1042240</v>
      </c>
      <c r="D26" s="62">
        <v>2028802</v>
      </c>
    </row>
    <row r="27" spans="1:4" x14ac:dyDescent="0.3">
      <c r="A27" s="57" t="s">
        <v>419</v>
      </c>
      <c r="B27" s="62">
        <v>1219444</v>
      </c>
      <c r="C27" s="62">
        <v>1416394</v>
      </c>
      <c r="D27" s="62">
        <v>2635838</v>
      </c>
    </row>
    <row r="28" spans="1:4" x14ac:dyDescent="0.3">
      <c r="A28" s="57" t="s">
        <v>2781</v>
      </c>
      <c r="B28" s="62">
        <v>815264</v>
      </c>
      <c r="C28" s="62">
        <v>832728</v>
      </c>
      <c r="D28" s="62">
        <v>1647992</v>
      </c>
    </row>
    <row r="29" spans="1:4" x14ac:dyDescent="0.3">
      <c r="A29" s="57" t="s">
        <v>1874</v>
      </c>
      <c r="B29" s="62">
        <v>469294</v>
      </c>
      <c r="C29" s="62">
        <v>471720</v>
      </c>
      <c r="D29" s="62">
        <v>941014</v>
      </c>
    </row>
    <row r="30" spans="1:4" x14ac:dyDescent="0.3">
      <c r="A30" s="57" t="s">
        <v>1237</v>
      </c>
      <c r="B30" s="62">
        <v>418918</v>
      </c>
      <c r="C30" s="62">
        <v>418548</v>
      </c>
      <c r="D30" s="62">
        <v>837466</v>
      </c>
    </row>
    <row r="31" spans="1:4" x14ac:dyDescent="0.3">
      <c r="A31" s="57" t="s">
        <v>966</v>
      </c>
      <c r="B31" s="62">
        <v>1550460</v>
      </c>
      <c r="C31" s="62">
        <v>1582156</v>
      </c>
      <c r="D31" s="62">
        <v>3132616</v>
      </c>
    </row>
    <row r="32" spans="1:4" x14ac:dyDescent="0.3">
      <c r="A32" s="57" t="s">
        <v>441</v>
      </c>
      <c r="B32" s="62">
        <v>1168340</v>
      </c>
      <c r="C32" s="62">
        <v>1304602</v>
      </c>
      <c r="D32" s="62">
        <v>2472942</v>
      </c>
    </row>
    <row r="33" spans="1:4" x14ac:dyDescent="0.3">
      <c r="A33" s="57" t="s">
        <v>2419</v>
      </c>
      <c r="B33" s="62">
        <v>540430</v>
      </c>
      <c r="C33" s="62">
        <v>563108</v>
      </c>
      <c r="D33" s="62">
        <v>1103538</v>
      </c>
    </row>
    <row r="34" spans="1:4" x14ac:dyDescent="0.3">
      <c r="A34" s="57" t="s">
        <v>824</v>
      </c>
      <c r="B34" s="62">
        <v>493670</v>
      </c>
      <c r="C34" s="62">
        <v>507544</v>
      </c>
      <c r="D34" s="62">
        <v>1001214</v>
      </c>
    </row>
    <row r="35" spans="1:4" x14ac:dyDescent="0.3">
      <c r="A35" s="57" t="s">
        <v>2739</v>
      </c>
      <c r="B35" s="62">
        <v>733064</v>
      </c>
      <c r="C35" s="62">
        <v>748744</v>
      </c>
      <c r="D35" s="62">
        <v>1481808</v>
      </c>
    </row>
    <row r="36" spans="1:4" x14ac:dyDescent="0.3">
      <c r="A36" s="57" t="s">
        <v>468</v>
      </c>
      <c r="B36" s="62">
        <v>788662</v>
      </c>
      <c r="C36" s="62">
        <v>856778</v>
      </c>
      <c r="D36" s="62">
        <v>1645440</v>
      </c>
    </row>
    <row r="37" spans="1:4" x14ac:dyDescent="0.3">
      <c r="A37" s="57" t="s">
        <v>1896</v>
      </c>
      <c r="B37" s="62">
        <v>440756</v>
      </c>
      <c r="C37" s="62">
        <v>468772</v>
      </c>
      <c r="D37" s="62">
        <v>909528</v>
      </c>
    </row>
    <row r="38" spans="1:4" x14ac:dyDescent="0.3">
      <c r="A38" s="57" t="s">
        <v>2514</v>
      </c>
      <c r="B38" s="62">
        <v>265820</v>
      </c>
      <c r="C38" s="62">
        <v>266772</v>
      </c>
      <c r="D38" s="62">
        <v>532592</v>
      </c>
    </row>
    <row r="39" spans="1:4" x14ac:dyDescent="0.3">
      <c r="A39" s="57" t="s">
        <v>2711</v>
      </c>
      <c r="B39" s="62">
        <v>504920</v>
      </c>
      <c r="C39" s="62">
        <v>533960</v>
      </c>
      <c r="D39" s="62">
        <v>1038880</v>
      </c>
    </row>
    <row r="40" spans="1:4" x14ac:dyDescent="0.3">
      <c r="A40" s="57" t="s">
        <v>2156</v>
      </c>
      <c r="B40" s="62">
        <v>503574</v>
      </c>
      <c r="C40" s="62">
        <v>531042</v>
      </c>
      <c r="D40" s="62">
        <v>1034616</v>
      </c>
    </row>
    <row r="41" spans="1:4" x14ac:dyDescent="0.3">
      <c r="A41" s="57" t="s">
        <v>2127</v>
      </c>
      <c r="B41" s="62">
        <v>819192</v>
      </c>
      <c r="C41" s="62">
        <v>859040</v>
      </c>
      <c r="D41" s="62">
        <v>1678232</v>
      </c>
    </row>
    <row r="42" spans="1:4" x14ac:dyDescent="0.3">
      <c r="A42" s="57" t="s">
        <v>2399</v>
      </c>
      <c r="B42" s="62">
        <v>465860</v>
      </c>
      <c r="C42" s="62">
        <v>502430</v>
      </c>
      <c r="D42" s="62">
        <v>968290</v>
      </c>
    </row>
    <row r="43" spans="1:4" x14ac:dyDescent="0.3">
      <c r="A43" s="57" t="s">
        <v>2191</v>
      </c>
      <c r="B43" s="62">
        <v>944134</v>
      </c>
      <c r="C43" s="62">
        <v>977302</v>
      </c>
      <c r="D43" s="62">
        <v>1921436</v>
      </c>
    </row>
    <row r="44" spans="1:4" x14ac:dyDescent="0.3">
      <c r="A44" s="57" t="s">
        <v>1847</v>
      </c>
      <c r="B44" s="62">
        <v>404756</v>
      </c>
      <c r="C44" s="62">
        <v>438734</v>
      </c>
      <c r="D44" s="62">
        <v>843490</v>
      </c>
    </row>
    <row r="45" spans="1:4" x14ac:dyDescent="0.3">
      <c r="A45" s="57" t="s">
        <v>2531</v>
      </c>
      <c r="B45" s="62">
        <v>403976</v>
      </c>
      <c r="C45" s="62">
        <v>455190</v>
      </c>
      <c r="D45" s="62">
        <v>859166</v>
      </c>
    </row>
    <row r="46" spans="1:4" x14ac:dyDescent="0.3">
      <c r="A46" s="57" t="s">
        <v>1462</v>
      </c>
      <c r="B46" s="62">
        <v>912492</v>
      </c>
      <c r="C46" s="62">
        <v>947412</v>
      </c>
      <c r="D46" s="62">
        <v>1859904</v>
      </c>
    </row>
    <row r="47" spans="1:4" x14ac:dyDescent="0.3">
      <c r="A47" s="57" t="s">
        <v>1655</v>
      </c>
      <c r="B47" s="62">
        <v>349954</v>
      </c>
      <c r="C47" s="62">
        <v>351066</v>
      </c>
      <c r="D47" s="62">
        <v>701020</v>
      </c>
    </row>
    <row r="48" spans="1:4" x14ac:dyDescent="0.3">
      <c r="A48" s="57" t="s">
        <v>1980</v>
      </c>
      <c r="B48" s="62">
        <v>291446</v>
      </c>
      <c r="C48" s="62">
        <v>284718</v>
      </c>
      <c r="D48" s="62">
        <v>576164</v>
      </c>
    </row>
    <row r="49" spans="1:4" x14ac:dyDescent="0.3">
      <c r="A49" s="57" t="s">
        <v>1161</v>
      </c>
      <c r="B49" s="62">
        <v>522408</v>
      </c>
      <c r="C49" s="62">
        <v>528242</v>
      </c>
      <c r="D49" s="62">
        <v>1050650</v>
      </c>
    </row>
    <row r="50" spans="1:4" x14ac:dyDescent="0.3">
      <c r="A50" s="57" t="s">
        <v>2762</v>
      </c>
      <c r="B50" s="62">
        <v>549402</v>
      </c>
      <c r="C50" s="62">
        <v>556546</v>
      </c>
      <c r="D50" s="62">
        <v>1105948</v>
      </c>
    </row>
    <row r="51" spans="1:4" x14ac:dyDescent="0.3">
      <c r="A51" s="57" t="s">
        <v>1489</v>
      </c>
      <c r="B51" s="62">
        <v>1259650</v>
      </c>
      <c r="C51" s="62">
        <v>1291388</v>
      </c>
      <c r="D51" s="62">
        <v>2551038</v>
      </c>
    </row>
    <row r="52" spans="1:4" x14ac:dyDescent="0.3">
      <c r="A52" s="57" t="s">
        <v>2590</v>
      </c>
      <c r="B52" s="62">
        <v>193888</v>
      </c>
      <c r="C52" s="62">
        <v>191966</v>
      </c>
      <c r="D52" s="62">
        <v>385854</v>
      </c>
    </row>
    <row r="53" spans="1:4" x14ac:dyDescent="0.3">
      <c r="A53" s="57" t="s">
        <v>697</v>
      </c>
      <c r="B53" s="62">
        <v>765958</v>
      </c>
      <c r="C53" s="62">
        <v>798384</v>
      </c>
      <c r="D53" s="62">
        <v>1564342</v>
      </c>
    </row>
    <row r="54" spans="1:4" x14ac:dyDescent="0.3">
      <c r="A54" s="57" t="s">
        <v>2223</v>
      </c>
      <c r="B54" s="62">
        <v>837894</v>
      </c>
      <c r="C54" s="62">
        <v>890180</v>
      </c>
      <c r="D54" s="62">
        <v>1728074</v>
      </c>
    </row>
    <row r="55" spans="1:4" x14ac:dyDescent="0.3">
      <c r="A55" s="57" t="s">
        <v>538</v>
      </c>
      <c r="B55" s="62">
        <v>720080</v>
      </c>
      <c r="C55" s="62">
        <v>730452</v>
      </c>
      <c r="D55" s="62">
        <v>1450532</v>
      </c>
    </row>
    <row r="56" spans="1:4" x14ac:dyDescent="0.3">
      <c r="A56" s="57" t="s">
        <v>1778</v>
      </c>
      <c r="B56" s="62">
        <v>683326</v>
      </c>
      <c r="C56" s="62">
        <v>724926</v>
      </c>
      <c r="D56" s="62">
        <v>1408252</v>
      </c>
    </row>
    <row r="57" spans="1:4" x14ac:dyDescent="0.3">
      <c r="A57" s="57" t="s">
        <v>1747</v>
      </c>
      <c r="B57" s="62">
        <v>379294</v>
      </c>
      <c r="C57" s="62">
        <v>414212</v>
      </c>
      <c r="D57" s="62">
        <v>793506</v>
      </c>
    </row>
    <row r="58" spans="1:4" x14ac:dyDescent="0.3">
      <c r="A58" s="57" t="s">
        <v>1406</v>
      </c>
      <c r="B58" s="62">
        <v>631742</v>
      </c>
      <c r="C58" s="62">
        <v>632632</v>
      </c>
      <c r="D58" s="62">
        <v>1264374</v>
      </c>
    </row>
    <row r="59" spans="1:4" x14ac:dyDescent="0.3">
      <c r="A59" s="57" t="s">
        <v>1057</v>
      </c>
      <c r="B59" s="62">
        <v>1434158</v>
      </c>
      <c r="C59" s="62">
        <v>1449868</v>
      </c>
      <c r="D59" s="62">
        <v>2884026</v>
      </c>
    </row>
    <row r="60" spans="1:4" x14ac:dyDescent="0.3">
      <c r="A60" s="57" t="s">
        <v>1592</v>
      </c>
      <c r="B60" s="62">
        <v>1128410</v>
      </c>
      <c r="C60" s="62">
        <v>1147134</v>
      </c>
      <c r="D60" s="62">
        <v>2275544</v>
      </c>
    </row>
    <row r="61" spans="1:4" x14ac:dyDescent="0.3">
      <c r="A61" s="57" t="s">
        <v>2624</v>
      </c>
      <c r="B61" s="62">
        <v>1391604</v>
      </c>
      <c r="C61" s="62">
        <v>1470610</v>
      </c>
      <c r="D61" s="62">
        <v>2862214</v>
      </c>
    </row>
    <row r="62" spans="1:4" x14ac:dyDescent="0.3">
      <c r="A62" s="57" t="s">
        <v>2673</v>
      </c>
      <c r="B62" s="62">
        <v>323334</v>
      </c>
      <c r="C62" s="62">
        <v>326424</v>
      </c>
      <c r="D62" s="62">
        <v>649758</v>
      </c>
    </row>
    <row r="63" spans="1:4" x14ac:dyDescent="0.3">
      <c r="A63" s="57" t="s">
        <v>395</v>
      </c>
      <c r="B63" s="62">
        <v>1308114</v>
      </c>
      <c r="C63" s="62">
        <v>1453538</v>
      </c>
      <c r="D63" s="62">
        <v>2761652</v>
      </c>
    </row>
    <row r="64" spans="1:4" x14ac:dyDescent="0.3">
      <c r="A64" s="57" t="s">
        <v>2390</v>
      </c>
      <c r="B64" s="62">
        <v>178080</v>
      </c>
      <c r="C64" s="62">
        <v>195488</v>
      </c>
      <c r="D64" s="62">
        <v>373568</v>
      </c>
    </row>
    <row r="65" spans="1:4" x14ac:dyDescent="0.3">
      <c r="A65" s="57" t="s">
        <v>2378</v>
      </c>
      <c r="B65" s="62">
        <v>566920</v>
      </c>
      <c r="C65" s="62">
        <v>614814</v>
      </c>
      <c r="D65" s="62">
        <v>1181734</v>
      </c>
    </row>
    <row r="66" spans="1:4" x14ac:dyDescent="0.3">
      <c r="A66" s="57" t="s">
        <v>852</v>
      </c>
      <c r="B66" s="62">
        <v>561282</v>
      </c>
      <c r="C66" s="62">
        <v>563202</v>
      </c>
      <c r="D66" s="62">
        <v>1124484</v>
      </c>
    </row>
    <row r="67" spans="1:4" x14ac:dyDescent="0.3">
      <c r="A67" s="57" t="s">
        <v>608</v>
      </c>
      <c r="B67" s="62">
        <v>626524</v>
      </c>
      <c r="C67" s="62">
        <v>651806</v>
      </c>
      <c r="D67" s="62">
        <v>1278330</v>
      </c>
    </row>
    <row r="68" spans="1:4" x14ac:dyDescent="0.3">
      <c r="A68" s="57" t="s">
        <v>568</v>
      </c>
      <c r="B68" s="62">
        <v>189790</v>
      </c>
      <c r="C68" s="62">
        <v>209816</v>
      </c>
      <c r="D68" s="62">
        <v>399606</v>
      </c>
    </row>
    <row r="69" spans="1:4" x14ac:dyDescent="0.3">
      <c r="A69" s="57" t="s">
        <v>2104</v>
      </c>
      <c r="B69" s="62">
        <v>554358</v>
      </c>
      <c r="C69" s="62">
        <v>592418</v>
      </c>
      <c r="D69" s="62">
        <v>1146776</v>
      </c>
    </row>
    <row r="70" spans="1:4" x14ac:dyDescent="0.3">
      <c r="A70" s="57" t="s">
        <v>2308</v>
      </c>
      <c r="B70" s="62">
        <v>791538</v>
      </c>
      <c r="C70" s="62">
        <v>852884</v>
      </c>
      <c r="D70" s="62">
        <v>1644422</v>
      </c>
    </row>
    <row r="71" spans="1:4" x14ac:dyDescent="0.3">
      <c r="A71" s="57" t="s">
        <v>2544</v>
      </c>
      <c r="B71" s="62">
        <v>1058154</v>
      </c>
      <c r="C71" s="62">
        <v>1095178</v>
      </c>
      <c r="D71" s="62">
        <v>2153332</v>
      </c>
    </row>
    <row r="72" spans="1:4" x14ac:dyDescent="0.3">
      <c r="A72" s="57" t="s">
        <v>1025</v>
      </c>
      <c r="B72" s="62">
        <v>1350536</v>
      </c>
      <c r="C72" s="62">
        <v>1369954</v>
      </c>
      <c r="D72" s="62">
        <v>2720490</v>
      </c>
    </row>
    <row r="73" spans="1:4" x14ac:dyDescent="0.3">
      <c r="A73" s="57" t="s">
        <v>1442</v>
      </c>
      <c r="B73" s="62">
        <v>506388</v>
      </c>
      <c r="C73" s="62">
        <v>517024</v>
      </c>
      <c r="D73" s="62">
        <v>1023412</v>
      </c>
    </row>
    <row r="74" spans="1:4" x14ac:dyDescent="0.3">
      <c r="A74" s="57" t="s">
        <v>1257</v>
      </c>
      <c r="B74" s="62">
        <v>501724</v>
      </c>
      <c r="C74" s="62">
        <v>507034</v>
      </c>
      <c r="D74" s="62">
        <v>1008758</v>
      </c>
    </row>
    <row r="75" spans="1:4" x14ac:dyDescent="0.3">
      <c r="A75" s="57" t="s">
        <v>520</v>
      </c>
      <c r="B75" s="62">
        <v>256890</v>
      </c>
      <c r="C75" s="62">
        <v>280860</v>
      </c>
      <c r="D75" s="62">
        <v>537750</v>
      </c>
    </row>
    <row r="76" spans="1:4" x14ac:dyDescent="0.3">
      <c r="A76" s="57" t="s">
        <v>1219</v>
      </c>
      <c r="B76" s="62">
        <v>369566</v>
      </c>
      <c r="C76" s="62">
        <v>374800</v>
      </c>
      <c r="D76" s="62">
        <v>744366</v>
      </c>
    </row>
    <row r="77" spans="1:4" x14ac:dyDescent="0.3">
      <c r="A77" s="57" t="s">
        <v>1345</v>
      </c>
      <c r="B77" s="62">
        <v>1530950</v>
      </c>
      <c r="C77" s="62">
        <v>1573320</v>
      </c>
      <c r="D77" s="62">
        <v>3104270</v>
      </c>
    </row>
    <row r="78" spans="1:4" x14ac:dyDescent="0.3">
      <c r="A78" s="57" t="s">
        <v>1815</v>
      </c>
      <c r="B78" s="62">
        <v>424010</v>
      </c>
      <c r="C78" s="62">
        <v>448556</v>
      </c>
      <c r="D78" s="62">
        <v>872566</v>
      </c>
    </row>
    <row r="79" spans="1:4" x14ac:dyDescent="0.3">
      <c r="A79" s="57" t="s">
        <v>2026</v>
      </c>
      <c r="B79" s="62">
        <v>312622</v>
      </c>
      <c r="C79" s="62">
        <v>328268</v>
      </c>
      <c r="D79" s="62">
        <v>640890</v>
      </c>
    </row>
    <row r="80" spans="1:4" x14ac:dyDescent="0.3">
      <c r="A80" s="57" t="s">
        <v>1098</v>
      </c>
      <c r="B80" s="62">
        <v>1859544</v>
      </c>
      <c r="C80" s="62">
        <v>1876340</v>
      </c>
      <c r="D80" s="62">
        <v>3735884</v>
      </c>
    </row>
    <row r="81" spans="1:4" x14ac:dyDescent="0.3">
      <c r="A81" s="57" t="s">
        <v>2987</v>
      </c>
      <c r="B81" s="62">
        <v>64290564</v>
      </c>
      <c r="C81" s="62">
        <v>67611856</v>
      </c>
      <c r="D81" s="62">
        <v>131902420</v>
      </c>
    </row>
    <row r="82" spans="1:4" x14ac:dyDescent="0.3">
      <c r="B8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42F8-2EB1-477F-B534-C3A267D835CB}">
  <sheetPr filterMode="1"/>
  <dimension ref="A1:K2531"/>
  <sheetViews>
    <sheetView workbookViewId="0">
      <selection activeCell="K7" sqref="K7"/>
    </sheetView>
  </sheetViews>
  <sheetFormatPr defaultRowHeight="14.4" x14ac:dyDescent="0.3"/>
  <cols>
    <col min="1" max="1" width="10.109375" bestFit="1" customWidth="1"/>
    <col min="2" max="2" width="19.6640625" bestFit="1" customWidth="1"/>
    <col min="3" max="3" width="15.5546875" customWidth="1"/>
    <col min="4" max="4" width="12.44140625" style="57" customWidth="1"/>
    <col min="5" max="5" width="24.109375" customWidth="1"/>
    <col min="6" max="6" width="14.33203125" customWidth="1"/>
    <col min="7" max="7" width="13.109375" customWidth="1"/>
    <col min="8" max="8" width="15.33203125" customWidth="1"/>
    <col min="9" max="9" width="16.5546875" customWidth="1"/>
    <col min="10" max="11" width="8.88671875" style="66"/>
  </cols>
  <sheetData>
    <row r="1" spans="1:11" s="1" customFormat="1" ht="27.6" x14ac:dyDescent="0.3">
      <c r="A1" s="58" t="s">
        <v>329</v>
      </c>
      <c r="B1" s="58" t="s">
        <v>330</v>
      </c>
      <c r="C1" s="58" t="s">
        <v>2985</v>
      </c>
      <c r="D1" s="63" t="s">
        <v>331</v>
      </c>
      <c r="E1" s="9" t="s">
        <v>332</v>
      </c>
      <c r="F1" s="58" t="s">
        <v>337</v>
      </c>
      <c r="G1" s="58" t="s">
        <v>338</v>
      </c>
      <c r="H1" s="58" t="s">
        <v>339</v>
      </c>
      <c r="I1" s="58" t="s">
        <v>340</v>
      </c>
      <c r="J1" s="65" t="s">
        <v>2998</v>
      </c>
      <c r="K1" s="65" t="s">
        <v>2999</v>
      </c>
    </row>
    <row r="2" spans="1:11" x14ac:dyDescent="0.3">
      <c r="A2" s="10">
        <v>10</v>
      </c>
      <c r="B2" s="10" t="s">
        <v>344</v>
      </c>
      <c r="C2" s="10" t="str" cm="1">
        <f t="array" ref="C2">_xlfn.IFS(A2&lt;20, "ภาคกลาง", A2&lt;30, "ภาคตะวันออก", A2&lt;50, "ภาคตะวันออกเฉียงเหนือ", A2&lt;60, "ภาคเหนือ", A2&lt;80, "ภาคกลาง/ตะวันตก", A2&gt;=80, "ภาคใต้")</f>
        <v>ภาคกลาง</v>
      </c>
      <c r="D2" s="64">
        <v>1001</v>
      </c>
      <c r="E2" s="10" t="s">
        <v>345</v>
      </c>
      <c r="F2" s="11">
        <v>2544400</v>
      </c>
      <c r="G2" s="11">
        <v>2910620</v>
      </c>
      <c r="H2" s="11">
        <v>5455020</v>
      </c>
      <c r="I2" s="11">
        <v>3304462</v>
      </c>
      <c r="J2" s="66">
        <f>F2/H2*100</f>
        <v>46.643275368376287</v>
      </c>
      <c r="K2" s="66">
        <f>G2/H2*100</f>
        <v>53.35672463162372</v>
      </c>
    </row>
    <row r="3" spans="1:11" x14ac:dyDescent="0.3">
      <c r="A3" s="10">
        <v>10</v>
      </c>
      <c r="B3" s="10" t="s">
        <v>344</v>
      </c>
      <c r="C3" s="10" t="str" cm="1">
        <f t="array" ref="C3">_xlfn.IFS(A3&lt;20, "ภาคกลาง", A3&lt;30, "ภาคตะวันออก", A3&lt;50, "ภาคตะวันออกเฉียงเหนือ", A3&lt;60, "ภาคเหนือ", A3&lt;80, "ภาคกลาง/ตะวันตก", A3&gt;=80, "ภาคใต้")</f>
        <v>ภาคกลาง</v>
      </c>
      <c r="D3" s="64">
        <v>1002</v>
      </c>
      <c r="E3" s="10" t="s">
        <v>346</v>
      </c>
      <c r="F3" s="11">
        <v>19110</v>
      </c>
      <c r="G3" s="11">
        <v>20235</v>
      </c>
      <c r="H3" s="11">
        <v>39345</v>
      </c>
      <c r="I3" s="11">
        <v>19016</v>
      </c>
      <c r="J3" s="66">
        <f t="shared" ref="J3:J51" si="0">F3/H3*100</f>
        <v>48.57033930613801</v>
      </c>
      <c r="K3" s="66">
        <f t="shared" ref="K3:K51" si="1">G3/H3*100</f>
        <v>51.42966069386199</v>
      </c>
    </row>
    <row r="4" spans="1:11" x14ac:dyDescent="0.3">
      <c r="A4" s="10">
        <v>10</v>
      </c>
      <c r="B4" s="10" t="s">
        <v>344</v>
      </c>
      <c r="C4" s="10" t="str" cm="1">
        <f t="array" ref="C4">_xlfn.IFS(A4&lt;20, "ภาคกลาง", A4&lt;30, "ภาคตะวันออก", A4&lt;50, "ภาคตะวันออกเฉียงเหนือ", A4&lt;60, "ภาคเหนือ", A4&lt;80, "ภาคกลาง/ตะวันตก", A4&gt;=80, "ภาคใต้")</f>
        <v>ภาคกลาง</v>
      </c>
      <c r="D4" s="64">
        <v>1003</v>
      </c>
      <c r="E4" s="10" t="s">
        <v>347</v>
      </c>
      <c r="F4" s="11">
        <v>39732</v>
      </c>
      <c r="G4" s="11">
        <v>34852</v>
      </c>
      <c r="H4" s="11">
        <v>74584</v>
      </c>
      <c r="I4" s="11">
        <v>32869</v>
      </c>
      <c r="J4" s="66">
        <f t="shared" si="0"/>
        <v>53.271479137616652</v>
      </c>
      <c r="K4" s="66">
        <f t="shared" si="1"/>
        <v>46.728520862383355</v>
      </c>
    </row>
    <row r="5" spans="1:11" x14ac:dyDescent="0.3">
      <c r="A5" s="10">
        <v>10</v>
      </c>
      <c r="B5" s="10" t="s">
        <v>344</v>
      </c>
      <c r="C5" s="10" t="str" cm="1">
        <f t="array" ref="C5">_xlfn.IFS(A5&lt;20, "ภาคกลาง", A5&lt;30, "ภาคตะวันออก", A5&lt;50, "ภาคตะวันออกเฉียงเหนือ", A5&lt;60, "ภาคเหนือ", A5&lt;80, "ภาคกลาง/ตะวันตก", A5&gt;=80, "ภาคใต้")</f>
        <v>ภาคกลาง</v>
      </c>
      <c r="D5" s="64">
        <v>1004</v>
      </c>
      <c r="E5" s="10" t="s">
        <v>348</v>
      </c>
      <c r="F5" s="11">
        <v>90282</v>
      </c>
      <c r="G5" s="11">
        <v>95945</v>
      </c>
      <c r="H5" s="11">
        <v>186227</v>
      </c>
      <c r="I5" s="11">
        <v>74844</v>
      </c>
      <c r="J5" s="66">
        <f t="shared" si="0"/>
        <v>48.479543782587918</v>
      </c>
      <c r="K5" s="66">
        <f t="shared" si="1"/>
        <v>51.520456217412082</v>
      </c>
    </row>
    <row r="6" spans="1:11" x14ac:dyDescent="0.3">
      <c r="A6" s="10">
        <v>10</v>
      </c>
      <c r="B6" s="10" t="s">
        <v>344</v>
      </c>
      <c r="C6" s="10" t="str" cm="1">
        <f t="array" ref="C6">_xlfn.IFS(A6&lt;20, "ภาคกลาง", A6&lt;30, "ภาคตะวันออก", A6&lt;50, "ภาคตะวันออกเฉียงเหนือ", A6&lt;60, "ภาคเหนือ", A6&lt;80, "ภาคกลาง/ตะวันตก", A6&gt;=80, "ภาคใต้")</f>
        <v>ภาคกลาง</v>
      </c>
      <c r="D6" s="64">
        <v>1005</v>
      </c>
      <c r="E6" s="10" t="s">
        <v>349</v>
      </c>
      <c r="F6" s="11">
        <v>19497</v>
      </c>
      <c r="G6" s="11">
        <v>22204</v>
      </c>
      <c r="H6" s="11">
        <v>41701</v>
      </c>
      <c r="I6" s="11">
        <v>36025</v>
      </c>
      <c r="J6" s="66">
        <f t="shared" si="0"/>
        <v>46.754274477830265</v>
      </c>
      <c r="K6" s="66">
        <f t="shared" si="1"/>
        <v>53.245725522169728</v>
      </c>
    </row>
    <row r="7" spans="1:11" x14ac:dyDescent="0.3">
      <c r="A7" s="10">
        <v>10</v>
      </c>
      <c r="B7" s="10" t="s">
        <v>344</v>
      </c>
      <c r="C7" s="10" t="str" cm="1">
        <f t="array" ref="C7">_xlfn.IFS(A7&lt;20, "ภาคกลาง", A7&lt;30, "ภาคตะวันออก", A7&lt;50, "ภาคตะวันออกเฉียงเหนือ", A7&lt;60, "ภาคเหนือ", A7&lt;80, "ภาคกลาง/ตะวันตก", A7&gt;=80, "ภาคใต้")</f>
        <v>ภาคกลาง</v>
      </c>
      <c r="D7" s="64">
        <v>1006</v>
      </c>
      <c r="E7" s="10" t="s">
        <v>350</v>
      </c>
      <c r="F7" s="11">
        <v>85680</v>
      </c>
      <c r="G7" s="11">
        <v>98551</v>
      </c>
      <c r="H7" s="11">
        <v>184231</v>
      </c>
      <c r="I7" s="11">
        <v>119489</v>
      </c>
      <c r="J7" s="66">
        <f t="shared" si="0"/>
        <v>46.506831097915118</v>
      </c>
      <c r="K7" s="66">
        <f t="shared" si="1"/>
        <v>53.493168902084889</v>
      </c>
    </row>
    <row r="8" spans="1:11" x14ac:dyDescent="0.3">
      <c r="A8" s="10">
        <v>10</v>
      </c>
      <c r="B8" s="10" t="s">
        <v>344</v>
      </c>
      <c r="C8" s="10" t="str" cm="1">
        <f t="array" ref="C8">_xlfn.IFS(A8&lt;20, "ภาคกลาง", A8&lt;30, "ภาคตะวันออก", A8&lt;50, "ภาคตะวันออกเฉียงเหนือ", A8&lt;60, "ภาคเหนือ", A8&lt;80, "ภาคกลาง/ตะวันตก", A8&gt;=80, "ภาคใต้")</f>
        <v>ภาคกลาง</v>
      </c>
      <c r="D8" s="64">
        <v>1007</v>
      </c>
      <c r="E8" s="10" t="s">
        <v>351</v>
      </c>
      <c r="F8" s="11">
        <v>63927</v>
      </c>
      <c r="G8" s="11">
        <v>77485</v>
      </c>
      <c r="H8" s="11">
        <v>141412</v>
      </c>
      <c r="I8" s="11">
        <v>117821</v>
      </c>
      <c r="J8" s="66">
        <f t="shared" si="0"/>
        <v>45.206205979690552</v>
      </c>
      <c r="K8" s="66">
        <f t="shared" si="1"/>
        <v>54.793794020309448</v>
      </c>
    </row>
    <row r="9" spans="1:11" x14ac:dyDescent="0.3">
      <c r="A9" s="10">
        <v>10</v>
      </c>
      <c r="B9" s="10" t="s">
        <v>344</v>
      </c>
      <c r="C9" s="10" t="str" cm="1">
        <f t="array" ref="C9">_xlfn.IFS(A9&lt;20, "ภาคกลาง", A9&lt;30, "ภาคตะวันออก", A9&lt;50, "ภาคตะวันออกเฉียงเหนือ", A9&lt;60, "ภาคเหนือ", A9&lt;80, "ภาคกลาง/ตะวันตก", A9&gt;=80, "ภาคใต้")</f>
        <v>ภาคกลาง</v>
      </c>
      <c r="D9" s="64">
        <v>1008</v>
      </c>
      <c r="E9" s="10" t="s">
        <v>352</v>
      </c>
      <c r="F9" s="11">
        <v>18530</v>
      </c>
      <c r="G9" s="11">
        <v>20869</v>
      </c>
      <c r="H9" s="11">
        <v>39399</v>
      </c>
      <c r="I9" s="11">
        <v>32452</v>
      </c>
      <c r="J9" s="66">
        <f t="shared" si="0"/>
        <v>47.031650549506331</v>
      </c>
      <c r="K9" s="66">
        <f t="shared" si="1"/>
        <v>52.968349450493669</v>
      </c>
    </row>
    <row r="10" spans="1:11" x14ac:dyDescent="0.3">
      <c r="A10" s="10">
        <v>10</v>
      </c>
      <c r="B10" s="10" t="s">
        <v>344</v>
      </c>
      <c r="C10" s="10" t="str" cm="1">
        <f t="array" ref="C10">_xlfn.IFS(A10&lt;20, "ภาคกลาง", A10&lt;30, "ภาคตะวันออก", A10&lt;50, "ภาคตะวันออกเฉียงเหนือ", A10&lt;60, "ภาคเหนือ", A10&lt;80, "ภาคกลาง/ตะวันตก", A10&gt;=80, "ภาคใต้")</f>
        <v>ภาคกลาง</v>
      </c>
      <c r="D10" s="64">
        <v>1009</v>
      </c>
      <c r="E10" s="10" t="s">
        <v>353</v>
      </c>
      <c r="F10" s="11">
        <v>18021</v>
      </c>
      <c r="G10" s="11">
        <v>18884</v>
      </c>
      <c r="H10" s="11">
        <v>36905</v>
      </c>
      <c r="I10" s="11">
        <v>19623</v>
      </c>
      <c r="J10" s="66">
        <f t="shared" si="0"/>
        <v>48.830781736892021</v>
      </c>
      <c r="K10" s="66">
        <f t="shared" si="1"/>
        <v>51.169218263107986</v>
      </c>
    </row>
    <row r="11" spans="1:11" x14ac:dyDescent="0.3">
      <c r="A11" s="10">
        <v>10</v>
      </c>
      <c r="B11" s="10" t="s">
        <v>344</v>
      </c>
      <c r="C11" s="10" t="str" cm="1">
        <f t="array" ref="C11">_xlfn.IFS(A11&lt;20, "ภาคกลาง", A11&lt;30, "ภาคตะวันออก", A11&lt;50, "ภาคตะวันออกเฉียงเหนือ", A11&lt;60, "ภาคเหนือ", A11&lt;80, "ภาคกลาง/ตะวันตก", A11&gt;=80, "ภาคใต้")</f>
        <v>ภาคกลาง</v>
      </c>
      <c r="D11" s="64">
        <v>1010</v>
      </c>
      <c r="E11" s="10" t="s">
        <v>354</v>
      </c>
      <c r="F11" s="11">
        <v>37951</v>
      </c>
      <c r="G11" s="11">
        <v>47119</v>
      </c>
      <c r="H11" s="11">
        <v>85070</v>
      </c>
      <c r="I11" s="11">
        <v>65282</v>
      </c>
      <c r="J11" s="66">
        <f t="shared" si="0"/>
        <v>44.611496414717294</v>
      </c>
      <c r="K11" s="66">
        <f t="shared" si="1"/>
        <v>55.388503585282713</v>
      </c>
    </row>
    <row r="12" spans="1:11" x14ac:dyDescent="0.3">
      <c r="A12" s="10">
        <v>10</v>
      </c>
      <c r="B12" s="10" t="s">
        <v>344</v>
      </c>
      <c r="C12" s="10" t="str" cm="1">
        <f t="array" ref="C12">_xlfn.IFS(A12&lt;20, "ภาคกลาง", A12&lt;30, "ภาคตะวันออก", A12&lt;50, "ภาคตะวันออกเฉียงเหนือ", A12&lt;60, "ภาคเหนือ", A12&lt;80, "ภาคกลาง/ตะวันตก", A12&gt;=80, "ภาคใต้")</f>
        <v>ภาคกลาง</v>
      </c>
      <c r="D12" s="64">
        <v>1011</v>
      </c>
      <c r="E12" s="10" t="s">
        <v>355</v>
      </c>
      <c r="F12" s="11">
        <v>66126</v>
      </c>
      <c r="G12" s="11">
        <v>74626</v>
      </c>
      <c r="H12" s="11">
        <v>140752</v>
      </c>
      <c r="I12" s="11">
        <v>66394</v>
      </c>
      <c r="J12" s="66">
        <f t="shared" si="0"/>
        <v>46.980504717517334</v>
      </c>
      <c r="K12" s="66">
        <f t="shared" si="1"/>
        <v>53.019495282482666</v>
      </c>
    </row>
    <row r="13" spans="1:11" x14ac:dyDescent="0.3">
      <c r="A13" s="10">
        <v>10</v>
      </c>
      <c r="B13" s="10" t="s">
        <v>344</v>
      </c>
      <c r="C13" s="10" t="str" cm="1">
        <f t="array" ref="C13">_xlfn.IFS(A13&lt;20, "ภาคกลาง", A13&lt;30, "ภาคตะวันออก", A13&lt;50, "ภาคตะวันออกเฉียงเหนือ", A13&lt;60, "ภาคเหนือ", A13&lt;80, "ภาคกลาง/ตะวันตก", A13&gt;=80, "ภาคใต้")</f>
        <v>ภาคกลาง</v>
      </c>
      <c r="D13" s="64">
        <v>1012</v>
      </c>
      <c r="E13" s="10" t="s">
        <v>356</v>
      </c>
      <c r="F13" s="11">
        <v>85480</v>
      </c>
      <c r="G13" s="11">
        <v>95773</v>
      </c>
      <c r="H13" s="11">
        <v>181253</v>
      </c>
      <c r="I13" s="11">
        <v>108362</v>
      </c>
      <c r="J13" s="66">
        <f t="shared" si="0"/>
        <v>47.160598721124614</v>
      </c>
      <c r="K13" s="66">
        <f t="shared" si="1"/>
        <v>52.839401278875386</v>
      </c>
    </row>
    <row r="14" spans="1:11" x14ac:dyDescent="0.3">
      <c r="A14" s="10">
        <v>10</v>
      </c>
      <c r="B14" s="10" t="s">
        <v>344</v>
      </c>
      <c r="C14" s="10" t="str" cm="1">
        <f t="array" ref="C14">_xlfn.IFS(A14&lt;20, "ภาคกลาง", A14&lt;30, "ภาคตะวันออก", A14&lt;50, "ภาคตะวันออกเฉียงเหนือ", A14&lt;60, "ภาคเหนือ", A14&lt;80, "ภาคกลาง/ตะวันตก", A14&gt;=80, "ภาคใต้")</f>
        <v>ภาคกลาง</v>
      </c>
      <c r="D14" s="64">
        <v>1013</v>
      </c>
      <c r="E14" s="10" t="s">
        <v>357</v>
      </c>
      <c r="F14" s="11">
        <v>33567</v>
      </c>
      <c r="G14" s="11">
        <v>39266</v>
      </c>
      <c r="H14" s="11">
        <v>72833</v>
      </c>
      <c r="I14" s="11">
        <v>54412</v>
      </c>
      <c r="J14" s="66">
        <f t="shared" si="0"/>
        <v>46.087625114989081</v>
      </c>
      <c r="K14" s="66">
        <f t="shared" si="1"/>
        <v>53.912374885010919</v>
      </c>
    </row>
    <row r="15" spans="1:11" x14ac:dyDescent="0.3">
      <c r="A15" s="10">
        <v>10</v>
      </c>
      <c r="B15" s="10" t="s">
        <v>344</v>
      </c>
      <c r="C15" s="10" t="str" cm="1">
        <f t="array" ref="C15">_xlfn.IFS(A15&lt;20, "ภาคกลาง", A15&lt;30, "ภาคตะวันออก", A15&lt;50, "ภาคตะวันออกเฉียงเหนือ", A15&lt;60, "ภาคเหนือ", A15&lt;80, "ภาคกลาง/ตะวันตก", A15&gt;=80, "ภาคใต้")</f>
        <v>ภาคกลาง</v>
      </c>
      <c r="D15" s="64">
        <v>1014</v>
      </c>
      <c r="E15" s="10" t="s">
        <v>358</v>
      </c>
      <c r="F15" s="11">
        <v>9144</v>
      </c>
      <c r="G15" s="11">
        <v>9701</v>
      </c>
      <c r="H15" s="11">
        <v>18845</v>
      </c>
      <c r="I15" s="11">
        <v>13160</v>
      </c>
      <c r="J15" s="66">
        <f t="shared" si="0"/>
        <v>48.522154417617401</v>
      </c>
      <c r="K15" s="66">
        <f t="shared" si="1"/>
        <v>51.477845582382599</v>
      </c>
    </row>
    <row r="16" spans="1:11" x14ac:dyDescent="0.3">
      <c r="A16" s="10">
        <v>10</v>
      </c>
      <c r="B16" s="10" t="s">
        <v>344</v>
      </c>
      <c r="C16" s="10" t="str" cm="1">
        <f t="array" ref="C16">_xlfn.IFS(A16&lt;20, "ภาคกลาง", A16&lt;30, "ภาคตะวันออก", A16&lt;50, "ภาคตะวันออกเฉียงเหนือ", A16&lt;60, "ภาคเหนือ", A16&lt;80, "ภาคกลาง/ตะวันตก", A16&gt;=80, "ภาคใต้")</f>
        <v>ภาคกลาง</v>
      </c>
      <c r="D16" s="64">
        <v>1015</v>
      </c>
      <c r="E16" s="10" t="s">
        <v>359</v>
      </c>
      <c r="F16" s="11">
        <v>30205</v>
      </c>
      <c r="G16" s="11">
        <v>32820</v>
      </c>
      <c r="H16" s="11">
        <v>63025</v>
      </c>
      <c r="I16" s="11">
        <v>46536</v>
      </c>
      <c r="J16" s="66">
        <f t="shared" si="0"/>
        <v>47.925426418088065</v>
      </c>
      <c r="K16" s="66">
        <f t="shared" si="1"/>
        <v>52.074573581911942</v>
      </c>
    </row>
    <row r="17" spans="1:11" x14ac:dyDescent="0.3">
      <c r="A17" s="10">
        <v>10</v>
      </c>
      <c r="B17" s="10" t="s">
        <v>344</v>
      </c>
      <c r="C17" s="10" t="str" cm="1">
        <f t="array" ref="C17">_xlfn.IFS(A17&lt;20, "ภาคกลาง", A17&lt;30, "ภาคตะวันออก", A17&lt;50, "ภาคตะวันออกเฉียงเหนือ", A17&lt;60, "ภาคเหนือ", A17&lt;80, "ภาคกลาง/ตะวันตก", A17&gt;=80, "ภาคใต้")</f>
        <v>ภาคกลาง</v>
      </c>
      <c r="D17" s="64">
        <v>1016</v>
      </c>
      <c r="E17" s="10" t="s">
        <v>360</v>
      </c>
      <c r="F17" s="11">
        <v>45180</v>
      </c>
      <c r="G17" s="11">
        <v>51989</v>
      </c>
      <c r="H17" s="11">
        <v>97169</v>
      </c>
      <c r="I17" s="11">
        <v>65530</v>
      </c>
      <c r="J17" s="66">
        <f t="shared" si="0"/>
        <v>46.496310551719169</v>
      </c>
      <c r="K17" s="66">
        <f t="shared" si="1"/>
        <v>53.503689448280831</v>
      </c>
    </row>
    <row r="18" spans="1:11" x14ac:dyDescent="0.3">
      <c r="A18" s="10">
        <v>10</v>
      </c>
      <c r="B18" s="10" t="s">
        <v>344</v>
      </c>
      <c r="C18" s="10" t="str" cm="1">
        <f t="array" ref="C18">_xlfn.IFS(A18&lt;20, "ภาคกลาง", A18&lt;30, "ภาคตะวันออก", A18&lt;50, "ภาคตะวันออกเฉียงเหนือ", A18&lt;60, "ภาคเหนือ", A18&lt;80, "ภาคกลาง/ตะวันตก", A18&gt;=80, "ภาคใต้")</f>
        <v>ภาคกลาง</v>
      </c>
      <c r="D18" s="64">
        <v>1017</v>
      </c>
      <c r="E18" s="10" t="s">
        <v>361</v>
      </c>
      <c r="F18" s="11">
        <v>27759</v>
      </c>
      <c r="G18" s="11">
        <v>32038</v>
      </c>
      <c r="H18" s="11">
        <v>59797</v>
      </c>
      <c r="I18" s="11">
        <v>32954</v>
      </c>
      <c r="J18" s="66">
        <f t="shared" si="0"/>
        <v>46.422061307423448</v>
      </c>
      <c r="K18" s="66">
        <f t="shared" si="1"/>
        <v>53.577938692576552</v>
      </c>
    </row>
    <row r="19" spans="1:11" x14ac:dyDescent="0.3">
      <c r="A19" s="10">
        <v>10</v>
      </c>
      <c r="B19" s="10" t="s">
        <v>344</v>
      </c>
      <c r="C19" s="10" t="str" cm="1">
        <f t="array" ref="C19">_xlfn.IFS(A19&lt;20, "ภาคกลาง", A19&lt;30, "ภาคตะวันออก", A19&lt;50, "ภาคตะวันออกเฉียงเหนือ", A19&lt;60, "ภาคเหนือ", A19&lt;80, "ภาคกลาง/ตะวันตก", A19&gt;=80, "ภาคใต้")</f>
        <v>ภาคกลาง</v>
      </c>
      <c r="D19" s="64">
        <v>1018</v>
      </c>
      <c r="E19" s="10" t="s">
        <v>362</v>
      </c>
      <c r="F19" s="11">
        <v>37334</v>
      </c>
      <c r="G19" s="11">
        <v>46624</v>
      </c>
      <c r="H19" s="11">
        <v>83958</v>
      </c>
      <c r="I19" s="11">
        <v>95001</v>
      </c>
      <c r="J19" s="66">
        <f t="shared" si="0"/>
        <v>44.467471831153674</v>
      </c>
      <c r="K19" s="66">
        <f t="shared" si="1"/>
        <v>55.532528168846326</v>
      </c>
    </row>
    <row r="20" spans="1:11" x14ac:dyDescent="0.3">
      <c r="A20" s="10">
        <v>10</v>
      </c>
      <c r="B20" s="10" t="s">
        <v>344</v>
      </c>
      <c r="C20" s="10" t="str" cm="1">
        <f t="array" ref="C20">_xlfn.IFS(A20&lt;20, "ภาคกลาง", A20&lt;30, "ภาคตะวันออก", A20&lt;50, "ภาคตะวันออกเฉียงเหนือ", A20&lt;60, "ภาคเหนือ", A20&lt;80, "ภาคกลาง/ตะวันตก", A20&gt;=80, "ภาคใต้")</f>
        <v>ภาคกลาง</v>
      </c>
      <c r="D20" s="64">
        <v>1019</v>
      </c>
      <c r="E20" s="10" t="s">
        <v>363</v>
      </c>
      <c r="F20" s="11">
        <v>29066</v>
      </c>
      <c r="G20" s="11">
        <v>34291</v>
      </c>
      <c r="H20" s="11">
        <v>63357</v>
      </c>
      <c r="I20" s="11">
        <v>42956</v>
      </c>
      <c r="J20" s="66">
        <f t="shared" si="0"/>
        <v>45.876540871569041</v>
      </c>
      <c r="K20" s="66">
        <f t="shared" si="1"/>
        <v>54.123459128430952</v>
      </c>
    </row>
    <row r="21" spans="1:11" x14ac:dyDescent="0.3">
      <c r="A21" s="10">
        <v>10</v>
      </c>
      <c r="B21" s="10" t="s">
        <v>344</v>
      </c>
      <c r="C21" s="10" t="str" cm="1">
        <f t="array" ref="C21">_xlfn.IFS(A21&lt;20, "ภาคกลาง", A21&lt;30, "ภาคตะวันออก", A21&lt;50, "ภาคตะวันออกเฉียงเหนือ", A21&lt;60, "ภาคเหนือ", A21&lt;80, "ภาคกลาง/ตะวันตก", A21&gt;=80, "ภาคใต้")</f>
        <v>ภาคกลาง</v>
      </c>
      <c r="D21" s="64">
        <v>1020</v>
      </c>
      <c r="E21" s="10" t="s">
        <v>364</v>
      </c>
      <c r="F21" s="11">
        <v>46929</v>
      </c>
      <c r="G21" s="11">
        <v>53958</v>
      </c>
      <c r="H21" s="11">
        <v>100887</v>
      </c>
      <c r="I21" s="11">
        <v>45173</v>
      </c>
      <c r="J21" s="66">
        <f t="shared" si="0"/>
        <v>46.516399536114662</v>
      </c>
      <c r="K21" s="66">
        <f t="shared" si="1"/>
        <v>53.483600463885338</v>
      </c>
    </row>
    <row r="22" spans="1:11" x14ac:dyDescent="0.3">
      <c r="A22" s="10">
        <v>10</v>
      </c>
      <c r="B22" s="10" t="s">
        <v>344</v>
      </c>
      <c r="C22" s="10" t="str" cm="1">
        <f t="array" ref="C22">_xlfn.IFS(A22&lt;20, "ภาคกลาง", A22&lt;30, "ภาคตะวันออก", A22&lt;50, "ภาคตะวันออกเฉียงเหนือ", A22&lt;60, "ภาคเหนือ", A22&lt;80, "ภาคกลาง/ตะวันตก", A22&gt;=80, "ภาคใต้")</f>
        <v>ภาคกลาง</v>
      </c>
      <c r="D22" s="64">
        <v>1021</v>
      </c>
      <c r="E22" s="10" t="s">
        <v>365</v>
      </c>
      <c r="F22" s="11">
        <v>44877</v>
      </c>
      <c r="G22" s="11">
        <v>51868</v>
      </c>
      <c r="H22" s="11">
        <v>96745</v>
      </c>
      <c r="I22" s="11">
        <v>55591</v>
      </c>
      <c r="J22" s="66">
        <f t="shared" si="0"/>
        <v>46.386893379502823</v>
      </c>
      <c r="K22" s="66">
        <f t="shared" si="1"/>
        <v>53.613106620497184</v>
      </c>
    </row>
    <row r="23" spans="1:11" x14ac:dyDescent="0.3">
      <c r="A23" s="10">
        <v>10</v>
      </c>
      <c r="B23" s="10" t="s">
        <v>344</v>
      </c>
      <c r="C23" s="10" t="str" cm="1">
        <f t="array" ref="C23">_xlfn.IFS(A23&lt;20, "ภาคกลาง", A23&lt;30, "ภาคตะวันออก", A23&lt;50, "ภาคตะวันออกเฉียงเหนือ", A23&lt;60, "ภาคเหนือ", A23&lt;80, "ภาคกลาง/ตะวันตก", A23&gt;=80, "ภาคใต้")</f>
        <v>ภาคกลาง</v>
      </c>
      <c r="D23" s="64">
        <v>1022</v>
      </c>
      <c r="E23" s="10" t="s">
        <v>366</v>
      </c>
      <c r="F23" s="11">
        <v>87025</v>
      </c>
      <c r="G23" s="11">
        <v>98570</v>
      </c>
      <c r="H23" s="11">
        <v>185595</v>
      </c>
      <c r="I23" s="11">
        <v>95111</v>
      </c>
      <c r="J23" s="66">
        <f t="shared" si="0"/>
        <v>46.889733020824913</v>
      </c>
      <c r="K23" s="66">
        <f t="shared" si="1"/>
        <v>53.11026697917508</v>
      </c>
    </row>
    <row r="24" spans="1:11" x14ac:dyDescent="0.3">
      <c r="A24" s="10">
        <v>10</v>
      </c>
      <c r="B24" s="10" t="s">
        <v>344</v>
      </c>
      <c r="C24" s="10" t="str" cm="1">
        <f t="array" ref="C24">_xlfn.IFS(A24&lt;20, "ภาคกลาง", A24&lt;30, "ภาคตะวันออก", A24&lt;50, "ภาคตะวันออกเฉียงเหนือ", A24&lt;60, "ภาคเหนือ", A24&lt;80, "ภาคกลาง/ตะวันตก", A24&gt;=80, "ภาคใต้")</f>
        <v>ภาคกลาง</v>
      </c>
      <c r="D24" s="64">
        <v>1023</v>
      </c>
      <c r="E24" s="10" t="s">
        <v>367</v>
      </c>
      <c r="F24" s="11">
        <v>56096</v>
      </c>
      <c r="G24" s="11">
        <v>65620</v>
      </c>
      <c r="H24" s="11">
        <v>121716</v>
      </c>
      <c r="I24" s="11">
        <v>69711</v>
      </c>
      <c r="J24" s="66">
        <f t="shared" si="0"/>
        <v>46.087613789477146</v>
      </c>
      <c r="K24" s="66">
        <f t="shared" si="1"/>
        <v>53.912386210522854</v>
      </c>
    </row>
    <row r="25" spans="1:11" x14ac:dyDescent="0.3">
      <c r="A25" s="10">
        <v>10</v>
      </c>
      <c r="B25" s="10" t="s">
        <v>344</v>
      </c>
      <c r="C25" s="10" t="str" cm="1">
        <f t="array" ref="C25">_xlfn.IFS(A25&lt;20, "ภาคกลาง", A25&lt;30, "ภาคตะวันออก", A25&lt;50, "ภาคตะวันออกเฉียงเหนือ", A25&lt;60, "ภาคเหนือ", A25&lt;80, "ภาคกลาง/ตะวันตก", A25&gt;=80, "ภาคใต้")</f>
        <v>ภาคกลาง</v>
      </c>
      <c r="D25" s="64">
        <v>1024</v>
      </c>
      <c r="E25" s="10" t="s">
        <v>368</v>
      </c>
      <c r="F25" s="11">
        <v>71814</v>
      </c>
      <c r="G25" s="11">
        <v>83142</v>
      </c>
      <c r="H25" s="11">
        <v>154956</v>
      </c>
      <c r="I25" s="11">
        <v>66262</v>
      </c>
      <c r="J25" s="66">
        <f t="shared" si="0"/>
        <v>46.344768837605514</v>
      </c>
      <c r="K25" s="66">
        <f t="shared" si="1"/>
        <v>53.655231162394493</v>
      </c>
    </row>
    <row r="26" spans="1:11" x14ac:dyDescent="0.3">
      <c r="A26" s="10">
        <v>10</v>
      </c>
      <c r="B26" s="10" t="s">
        <v>344</v>
      </c>
      <c r="C26" s="10" t="str" cm="1">
        <f t="array" ref="C26">_xlfn.IFS(A26&lt;20, "ภาคกลาง", A26&lt;30, "ภาคตะวันออก", A26&lt;50, "ภาคตะวันออกเฉียงเหนือ", A26&lt;60, "ภาคเหนือ", A26&lt;80, "ภาคกลาง/ตะวันตก", A26&gt;=80, "ภาคใต้")</f>
        <v>ภาคกลาง</v>
      </c>
      <c r="D26" s="64">
        <v>1025</v>
      </c>
      <c r="E26" s="10" t="s">
        <v>369</v>
      </c>
      <c r="F26" s="11">
        <v>35669</v>
      </c>
      <c r="G26" s="11">
        <v>39308</v>
      </c>
      <c r="H26" s="11">
        <v>74977</v>
      </c>
      <c r="I26" s="11">
        <v>39190</v>
      </c>
      <c r="J26" s="66">
        <f t="shared" si="0"/>
        <v>47.573255798444855</v>
      </c>
      <c r="K26" s="66">
        <f t="shared" si="1"/>
        <v>52.426744201555145</v>
      </c>
    </row>
    <row r="27" spans="1:11" x14ac:dyDescent="0.3">
      <c r="A27" s="10">
        <v>10</v>
      </c>
      <c r="B27" s="10" t="s">
        <v>344</v>
      </c>
      <c r="C27" s="10" t="str" cm="1">
        <f t="array" ref="C27">_xlfn.IFS(A27&lt;20, "ภาคกลาง", A27&lt;30, "ภาคตะวันออก", A27&lt;50, "ภาคตะวันออกเฉียงเหนือ", A27&lt;60, "ภาคเหนือ", A27&lt;80, "ภาคกลาง/ตะวันตก", A27&gt;=80, "ภาคใต้")</f>
        <v>ภาคกลาง</v>
      </c>
      <c r="D27" s="64">
        <v>1026</v>
      </c>
      <c r="E27" s="10" t="s">
        <v>370</v>
      </c>
      <c r="F27" s="11">
        <v>39053</v>
      </c>
      <c r="G27" s="11">
        <v>47518</v>
      </c>
      <c r="H27" s="11">
        <v>86571</v>
      </c>
      <c r="I27" s="11">
        <v>60745</v>
      </c>
      <c r="J27" s="66">
        <f t="shared" si="0"/>
        <v>45.110949394138913</v>
      </c>
      <c r="K27" s="66">
        <f t="shared" si="1"/>
        <v>54.889050605861087</v>
      </c>
    </row>
    <row r="28" spans="1:11" x14ac:dyDescent="0.3">
      <c r="A28" s="10">
        <v>10</v>
      </c>
      <c r="B28" s="10" t="s">
        <v>344</v>
      </c>
      <c r="C28" s="10" t="str" cm="1">
        <f t="array" ref="C28">_xlfn.IFS(A28&lt;20, "ภาคกลาง", A28&lt;30, "ภาคตะวันออก", A28&lt;50, "ภาคตะวันออกเฉียงเหนือ", A28&lt;60, "ภาคเหนือ", A28&lt;80, "ภาคกลาง/ตะวันตก", A28&gt;=80, "ภาคใต้")</f>
        <v>ภาคกลาง</v>
      </c>
      <c r="D28" s="64">
        <v>1027</v>
      </c>
      <c r="E28" s="10" t="s">
        <v>371</v>
      </c>
      <c r="F28" s="11">
        <v>50731</v>
      </c>
      <c r="G28" s="11">
        <v>60049</v>
      </c>
      <c r="H28" s="11">
        <v>110780</v>
      </c>
      <c r="I28" s="11">
        <v>65046</v>
      </c>
      <c r="J28" s="66">
        <f t="shared" si="0"/>
        <v>45.79436721429861</v>
      </c>
      <c r="K28" s="66">
        <f t="shared" si="1"/>
        <v>54.205632785701383</v>
      </c>
    </row>
    <row r="29" spans="1:11" x14ac:dyDescent="0.3">
      <c r="A29" s="10">
        <v>10</v>
      </c>
      <c r="B29" s="10" t="s">
        <v>344</v>
      </c>
      <c r="C29" s="10" t="str" cm="1">
        <f t="array" ref="C29">_xlfn.IFS(A29&lt;20, "ภาคกลาง", A29&lt;30, "ภาคตะวันออก", A29&lt;50, "ภาคตะวันออกเฉียงเหนือ", A29&lt;60, "ภาคเหนือ", A29&lt;80, "ภาคกลาง/ตะวันตก", A29&gt;=80, "ภาคใต้")</f>
        <v>ภาคกลาง</v>
      </c>
      <c r="D29" s="64">
        <v>1028</v>
      </c>
      <c r="E29" s="10" t="s">
        <v>372</v>
      </c>
      <c r="F29" s="11">
        <v>61733</v>
      </c>
      <c r="G29" s="11">
        <v>74375</v>
      </c>
      <c r="H29" s="11">
        <v>136108</v>
      </c>
      <c r="I29" s="11">
        <v>77441</v>
      </c>
      <c r="J29" s="66">
        <f t="shared" si="0"/>
        <v>45.355893849002264</v>
      </c>
      <c r="K29" s="66">
        <f t="shared" si="1"/>
        <v>54.644106150997743</v>
      </c>
    </row>
    <row r="30" spans="1:11" x14ac:dyDescent="0.3">
      <c r="A30" s="10">
        <v>10</v>
      </c>
      <c r="B30" s="10" t="s">
        <v>344</v>
      </c>
      <c r="C30" s="10" t="str" cm="1">
        <f t="array" ref="C30">_xlfn.IFS(A30&lt;20, "ภาคกลาง", A30&lt;30, "ภาคตะวันออก", A30&lt;50, "ภาคตะวันออกเฉียงเหนือ", A30&lt;60, "ภาคเหนือ", A30&lt;80, "ภาคกลาง/ตะวันตก", A30&gt;=80, "ภาคใต้")</f>
        <v>ภาคกลาง</v>
      </c>
      <c r="D30" s="64">
        <v>1029</v>
      </c>
      <c r="E30" s="10" t="s">
        <v>373</v>
      </c>
      <c r="F30" s="11">
        <v>33209</v>
      </c>
      <c r="G30" s="11">
        <v>37111</v>
      </c>
      <c r="H30" s="11">
        <v>70320</v>
      </c>
      <c r="I30" s="11">
        <v>45256</v>
      </c>
      <c r="J30" s="66">
        <f t="shared" si="0"/>
        <v>47.225540386803182</v>
      </c>
      <c r="K30" s="66">
        <f t="shared" si="1"/>
        <v>52.774459613196811</v>
      </c>
    </row>
    <row r="31" spans="1:11" x14ac:dyDescent="0.3">
      <c r="A31" s="10">
        <v>10</v>
      </c>
      <c r="B31" s="10" t="s">
        <v>344</v>
      </c>
      <c r="C31" s="10" t="str" cm="1">
        <f t="array" ref="C31">_xlfn.IFS(A31&lt;20, "ภาคกลาง", A31&lt;30, "ภาคตะวันออก", A31&lt;50, "ภาคตะวันออกเฉียงเหนือ", A31&lt;60, "ภาคเหนือ", A31&lt;80, "ภาคกลาง/ตะวันตก", A31&gt;=80, "ภาคใต้")</f>
        <v>ภาคกลาง</v>
      </c>
      <c r="D31" s="64">
        <v>1030</v>
      </c>
      <c r="E31" s="10" t="s">
        <v>374</v>
      </c>
      <c r="F31" s="11">
        <v>54023</v>
      </c>
      <c r="G31" s="11">
        <v>63483</v>
      </c>
      <c r="H31" s="11">
        <v>117506</v>
      </c>
      <c r="I31" s="11">
        <v>78559</v>
      </c>
      <c r="J31" s="66">
        <f t="shared" si="0"/>
        <v>45.974673633686791</v>
      </c>
      <c r="K31" s="66">
        <f t="shared" si="1"/>
        <v>54.025326366313209</v>
      </c>
    </row>
    <row r="32" spans="1:11" x14ac:dyDescent="0.3">
      <c r="A32" s="10">
        <v>10</v>
      </c>
      <c r="B32" s="10" t="s">
        <v>344</v>
      </c>
      <c r="C32" s="10" t="str" cm="1">
        <f t="array" ref="C32">_xlfn.IFS(A32&lt;20, "ภาคกลาง", A32&lt;30, "ภาคตะวันออก", A32&lt;50, "ภาคตะวันออกเฉียงเหนือ", A32&lt;60, "ภาคเหนือ", A32&lt;80, "ภาคกลาง/ตะวันตก", A32&gt;=80, "ภาคใต้")</f>
        <v>ภาคกลาง</v>
      </c>
      <c r="D32" s="64">
        <v>1031</v>
      </c>
      <c r="E32" s="10" t="s">
        <v>375</v>
      </c>
      <c r="F32" s="11">
        <v>70502</v>
      </c>
      <c r="G32" s="11">
        <v>83998</v>
      </c>
      <c r="H32" s="11">
        <v>154500</v>
      </c>
      <c r="I32" s="11">
        <v>140621</v>
      </c>
      <c r="J32" s="66">
        <f t="shared" si="0"/>
        <v>45.632362459546925</v>
      </c>
      <c r="K32" s="66">
        <f t="shared" si="1"/>
        <v>54.367637540453075</v>
      </c>
    </row>
    <row r="33" spans="1:11" x14ac:dyDescent="0.3">
      <c r="A33" s="10">
        <v>10</v>
      </c>
      <c r="B33" s="10" t="s">
        <v>344</v>
      </c>
      <c r="C33" s="10" t="str" cm="1">
        <f t="array" ref="C33">_xlfn.IFS(A33&lt;20, "ภาคกลาง", A33&lt;30, "ภาคตะวันออก", A33&lt;50, "ภาคตะวันออกเฉียงเหนือ", A33&lt;60, "ภาคเหนือ", A33&lt;80, "ภาคกลาง/ตะวันตก", A33&gt;=80, "ภาคใต้")</f>
        <v>ภาคกลาง</v>
      </c>
      <c r="D33" s="64">
        <v>1032</v>
      </c>
      <c r="E33" s="10" t="s">
        <v>376</v>
      </c>
      <c r="F33" s="11">
        <v>35777</v>
      </c>
      <c r="G33" s="11">
        <v>40447</v>
      </c>
      <c r="H33" s="11">
        <v>76224</v>
      </c>
      <c r="I33" s="11">
        <v>40867</v>
      </c>
      <c r="J33" s="66">
        <f t="shared" si="0"/>
        <v>46.936660369437448</v>
      </c>
      <c r="K33" s="66">
        <f t="shared" si="1"/>
        <v>53.063339630562552</v>
      </c>
    </row>
    <row r="34" spans="1:11" x14ac:dyDescent="0.3">
      <c r="A34" s="10">
        <v>10</v>
      </c>
      <c r="B34" s="10" t="s">
        <v>344</v>
      </c>
      <c r="C34" s="10" t="str" cm="1">
        <f t="array" ref="C34">_xlfn.IFS(A34&lt;20, "ภาคกลาง", A34&lt;30, "ภาคตะวันออก", A34&lt;50, "ภาคตะวันออกเฉียงเหนือ", A34&lt;60, "ภาคเหนือ", A34&lt;80, "ภาคกลาง/ตะวันตก", A34&gt;=80, "ภาคใต้")</f>
        <v>ภาคกลาง</v>
      </c>
      <c r="D34" s="64">
        <v>1033</v>
      </c>
      <c r="E34" s="10" t="s">
        <v>377</v>
      </c>
      <c r="F34" s="11">
        <v>86073</v>
      </c>
      <c r="G34" s="11">
        <v>98282</v>
      </c>
      <c r="H34" s="11">
        <v>184355</v>
      </c>
      <c r="I34" s="11">
        <v>97910</v>
      </c>
      <c r="J34" s="66">
        <f t="shared" si="0"/>
        <v>46.688725556670555</v>
      </c>
      <c r="K34" s="66">
        <f t="shared" si="1"/>
        <v>53.311274443329445</v>
      </c>
    </row>
    <row r="35" spans="1:11" x14ac:dyDescent="0.3">
      <c r="A35" s="10">
        <v>10</v>
      </c>
      <c r="B35" s="10" t="s">
        <v>344</v>
      </c>
      <c r="C35" s="10" t="str" cm="1">
        <f t="array" ref="C35">_xlfn.IFS(A35&lt;20, "ภาคกลาง", A35&lt;30, "ภาคตะวันออก", A35&lt;50, "ภาคตะวันออกเฉียงเหนือ", A35&lt;60, "ภาคเหนือ", A35&lt;80, "ภาคกลาง/ตะวันตก", A35&gt;=80, "ภาคใต้")</f>
        <v>ภาคกลาง</v>
      </c>
      <c r="D35" s="64">
        <v>1034</v>
      </c>
      <c r="E35" s="10" t="s">
        <v>378</v>
      </c>
      <c r="F35" s="11">
        <v>41969</v>
      </c>
      <c r="G35" s="11">
        <v>47044</v>
      </c>
      <c r="H35" s="11">
        <v>89013</v>
      </c>
      <c r="I35" s="11">
        <v>83803</v>
      </c>
      <c r="J35" s="66">
        <f t="shared" si="0"/>
        <v>47.149292799928098</v>
      </c>
      <c r="K35" s="66">
        <f t="shared" si="1"/>
        <v>52.850707200071902</v>
      </c>
    </row>
    <row r="36" spans="1:11" x14ac:dyDescent="0.3">
      <c r="A36" s="10">
        <v>10</v>
      </c>
      <c r="B36" s="10" t="s">
        <v>344</v>
      </c>
      <c r="C36" s="10" t="str" cm="1">
        <f t="array" ref="C36">_xlfn.IFS(A36&lt;20, "ภาคกลาง", A36&lt;30, "ภาคตะวันออก", A36&lt;50, "ภาคตะวันออกเฉียงเหนือ", A36&lt;60, "ภาคเหนือ", A36&lt;80, "ภาคกลาง/ตะวันตก", A36&gt;=80, "ภาคใต้")</f>
        <v>ภาคกลาง</v>
      </c>
      <c r="D36" s="64">
        <v>1035</v>
      </c>
      <c r="E36" s="10" t="s">
        <v>379</v>
      </c>
      <c r="F36" s="11">
        <v>56013</v>
      </c>
      <c r="G36" s="11">
        <v>67392</v>
      </c>
      <c r="H36" s="11">
        <v>123405</v>
      </c>
      <c r="I36" s="11">
        <v>85646</v>
      </c>
      <c r="J36" s="66">
        <f t="shared" si="0"/>
        <v>45.389570925003035</v>
      </c>
      <c r="K36" s="66">
        <f t="shared" si="1"/>
        <v>54.610429074996958</v>
      </c>
    </row>
    <row r="37" spans="1:11" x14ac:dyDescent="0.3">
      <c r="A37" s="10">
        <v>10</v>
      </c>
      <c r="B37" s="10" t="s">
        <v>344</v>
      </c>
      <c r="C37" s="10" t="str" cm="1">
        <f t="array" ref="C37">_xlfn.IFS(A37&lt;20, "ภาคกลาง", A37&lt;30, "ภาคตะวันออก", A37&lt;50, "ภาคตะวันออกเฉียงเหนือ", A37&lt;60, "ภาคเหนือ", A37&lt;80, "ภาคกลาง/ตะวันตก", A37&gt;=80, "ภาคใต้")</f>
        <v>ภาคกลาง</v>
      </c>
      <c r="D37" s="64">
        <v>1036</v>
      </c>
      <c r="E37" s="10" t="s">
        <v>380</v>
      </c>
      <c r="F37" s="11">
        <v>65638</v>
      </c>
      <c r="G37" s="11">
        <v>73789</v>
      </c>
      <c r="H37" s="11">
        <v>139427</v>
      </c>
      <c r="I37" s="11">
        <v>74595</v>
      </c>
      <c r="J37" s="66">
        <f t="shared" si="0"/>
        <v>47.076965006777741</v>
      </c>
      <c r="K37" s="66">
        <f t="shared" si="1"/>
        <v>52.923034993222259</v>
      </c>
    </row>
    <row r="38" spans="1:11" x14ac:dyDescent="0.3">
      <c r="A38" s="10">
        <v>10</v>
      </c>
      <c r="B38" s="10" t="s">
        <v>344</v>
      </c>
      <c r="C38" s="10" t="str" cm="1">
        <f t="array" ref="C38">_xlfn.IFS(A38&lt;20, "ภาคกลาง", A38&lt;30, "ภาคตะวันออก", A38&lt;50, "ภาคตะวันออกเฉียงเหนือ", A38&lt;60, "ภาคเหนือ", A38&lt;80, "ภาคกลาง/ตะวันตก", A38&gt;=80, "ภาคใต้")</f>
        <v>ภาคกลาง</v>
      </c>
      <c r="D38" s="64">
        <v>1037</v>
      </c>
      <c r="E38" s="10" t="s">
        <v>381</v>
      </c>
      <c r="F38" s="11">
        <v>82415</v>
      </c>
      <c r="G38" s="11">
        <v>83632</v>
      </c>
      <c r="H38" s="11">
        <v>166047</v>
      </c>
      <c r="I38" s="11">
        <v>83308</v>
      </c>
      <c r="J38" s="66">
        <f t="shared" si="0"/>
        <v>49.633537492396727</v>
      </c>
      <c r="K38" s="66">
        <f t="shared" si="1"/>
        <v>50.366462507603273</v>
      </c>
    </row>
    <row r="39" spans="1:11" x14ac:dyDescent="0.3">
      <c r="A39" s="10">
        <v>10</v>
      </c>
      <c r="B39" s="10" t="s">
        <v>344</v>
      </c>
      <c r="C39" s="10" t="str" cm="1">
        <f t="array" ref="C39">_xlfn.IFS(A39&lt;20, "ภาคกลาง", A39&lt;30, "ภาคตะวันออก", A39&lt;50, "ภาคตะวันออกเฉียงเหนือ", A39&lt;60, "ภาคเหนือ", A39&lt;80, "ภาคกลาง/ตะวันตก", A39&gt;=80, "ภาคใต้")</f>
        <v>ภาคกลาง</v>
      </c>
      <c r="D39" s="64">
        <v>1038</v>
      </c>
      <c r="E39" s="10" t="s">
        <v>382</v>
      </c>
      <c r="F39" s="11">
        <v>29553</v>
      </c>
      <c r="G39" s="11">
        <v>33079</v>
      </c>
      <c r="H39" s="11">
        <v>62632</v>
      </c>
      <c r="I39" s="11">
        <v>58075</v>
      </c>
      <c r="J39" s="66">
        <f t="shared" si="0"/>
        <v>47.185144973815305</v>
      </c>
      <c r="K39" s="66">
        <f t="shared" si="1"/>
        <v>52.814855026184695</v>
      </c>
    </row>
    <row r="40" spans="1:11" x14ac:dyDescent="0.3">
      <c r="A40" s="10">
        <v>10</v>
      </c>
      <c r="B40" s="10" t="s">
        <v>344</v>
      </c>
      <c r="C40" s="10" t="str" cm="1">
        <f t="array" ref="C40">_xlfn.IFS(A40&lt;20, "ภาคกลาง", A40&lt;30, "ภาคตะวันออก", A40&lt;50, "ภาคตะวันออกเฉียงเหนือ", A40&lt;60, "ภาคเหนือ", A40&lt;80, "ภาคกลาง/ตะวันตก", A40&gt;=80, "ภาคใต้")</f>
        <v>ภาคกลาง</v>
      </c>
      <c r="D40" s="64">
        <v>1039</v>
      </c>
      <c r="E40" s="10" t="s">
        <v>383</v>
      </c>
      <c r="F40" s="11">
        <v>50667</v>
      </c>
      <c r="G40" s="11">
        <v>61419</v>
      </c>
      <c r="H40" s="11">
        <v>112086</v>
      </c>
      <c r="I40" s="11">
        <v>60732</v>
      </c>
      <c r="J40" s="66">
        <f t="shared" si="0"/>
        <v>45.203682886355118</v>
      </c>
      <c r="K40" s="66">
        <f t="shared" si="1"/>
        <v>54.796317113644875</v>
      </c>
    </row>
    <row r="41" spans="1:11" x14ac:dyDescent="0.3">
      <c r="A41" s="10">
        <v>10</v>
      </c>
      <c r="B41" s="10" t="s">
        <v>344</v>
      </c>
      <c r="C41" s="10" t="str" cm="1">
        <f t="array" ref="C41">_xlfn.IFS(A41&lt;20, "ภาคกลาง", A41&lt;30, "ภาคตะวันออก", A41&lt;50, "ภาคตะวันออกเฉียงเหนือ", A41&lt;60, "ภาคเหนือ", A41&lt;80, "ภาคกลาง/ตะวันตก", A41&gt;=80, "ภาคใต้")</f>
        <v>ภาคกลาง</v>
      </c>
      <c r="D41" s="64">
        <v>1040</v>
      </c>
      <c r="E41" s="10" t="s">
        <v>384</v>
      </c>
      <c r="F41" s="11">
        <v>37206</v>
      </c>
      <c r="G41" s="11">
        <v>43066</v>
      </c>
      <c r="H41" s="11">
        <v>80272</v>
      </c>
      <c r="I41" s="11">
        <v>87305</v>
      </c>
      <c r="J41" s="66">
        <f t="shared" si="0"/>
        <v>46.349910304963124</v>
      </c>
      <c r="K41" s="66">
        <f t="shared" si="1"/>
        <v>53.650089695036876</v>
      </c>
    </row>
    <row r="42" spans="1:11" x14ac:dyDescent="0.3">
      <c r="A42" s="10">
        <v>10</v>
      </c>
      <c r="B42" s="10" t="s">
        <v>344</v>
      </c>
      <c r="C42" s="10" t="str" cm="1">
        <f t="array" ref="C42">_xlfn.IFS(A42&lt;20, "ภาคกลาง", A42&lt;30, "ภาคตะวันออก", A42&lt;50, "ภาคตะวันออกเฉียงเหนือ", A42&lt;60, "ภาคเหนือ", A42&lt;80, "ภาคกลาง/ตะวันตก", A42&gt;=80, "ภาคใต้")</f>
        <v>ภาคกลาง</v>
      </c>
      <c r="D42" s="64">
        <v>1041</v>
      </c>
      <c r="E42" s="10" t="s">
        <v>385</v>
      </c>
      <c r="F42" s="11">
        <v>88757</v>
      </c>
      <c r="G42" s="11">
        <v>103724</v>
      </c>
      <c r="H42" s="11">
        <v>192481</v>
      </c>
      <c r="I42" s="11">
        <v>97890</v>
      </c>
      <c r="J42" s="66">
        <f t="shared" si="0"/>
        <v>46.11208379008837</v>
      </c>
      <c r="K42" s="66">
        <f t="shared" si="1"/>
        <v>53.887916209911623</v>
      </c>
    </row>
    <row r="43" spans="1:11" x14ac:dyDescent="0.3">
      <c r="A43" s="10">
        <v>10</v>
      </c>
      <c r="B43" s="10" t="s">
        <v>344</v>
      </c>
      <c r="C43" s="10" t="str" cm="1">
        <f t="array" ref="C43">_xlfn.IFS(A43&lt;20, "ภาคกลาง", A43&lt;30, "ภาคตะวันออก", A43&lt;50, "ภาคตะวันออกเฉียงเหนือ", A43&lt;60, "ภาคเหนือ", A43&lt;80, "ภาคกลาง/ตะวันตก", A43&gt;=80, "ภาคใต้")</f>
        <v>ภาคกลาง</v>
      </c>
      <c r="D43" s="64">
        <v>1042</v>
      </c>
      <c r="E43" s="10" t="s">
        <v>386</v>
      </c>
      <c r="F43" s="11">
        <v>46653</v>
      </c>
      <c r="G43" s="11">
        <v>51524</v>
      </c>
      <c r="H43" s="11">
        <v>98177</v>
      </c>
      <c r="I43" s="11">
        <v>62353</v>
      </c>
      <c r="J43" s="66">
        <f t="shared" si="0"/>
        <v>47.519276408934886</v>
      </c>
      <c r="K43" s="66">
        <f t="shared" si="1"/>
        <v>52.480723591065114</v>
      </c>
    </row>
    <row r="44" spans="1:11" x14ac:dyDescent="0.3">
      <c r="A44" s="10">
        <v>10</v>
      </c>
      <c r="B44" s="10" t="s">
        <v>344</v>
      </c>
      <c r="C44" s="10" t="str" cm="1">
        <f t="array" ref="C44">_xlfn.IFS(A44&lt;20, "ภาคกลาง", A44&lt;30, "ภาคตะวันออก", A44&lt;50, "ภาคตะวันออกเฉียงเหนือ", A44&lt;60, "ภาคเหนือ", A44&lt;80, "ภาคกลาง/ตะวันตก", A44&gt;=80, "ภาคใต้")</f>
        <v>ภาคกลาง</v>
      </c>
      <c r="D44" s="64">
        <v>1043</v>
      </c>
      <c r="E44" s="10" t="s">
        <v>387</v>
      </c>
      <c r="F44" s="11">
        <v>99098</v>
      </c>
      <c r="G44" s="11">
        <v>113477</v>
      </c>
      <c r="H44" s="11">
        <v>212575</v>
      </c>
      <c r="I44" s="11">
        <v>112297</v>
      </c>
      <c r="J44" s="66">
        <f t="shared" si="0"/>
        <v>46.617899564859464</v>
      </c>
      <c r="K44" s="66">
        <f t="shared" si="1"/>
        <v>53.382100435140536</v>
      </c>
    </row>
    <row r="45" spans="1:11" x14ac:dyDescent="0.3">
      <c r="A45" s="10">
        <v>10</v>
      </c>
      <c r="B45" s="10" t="s">
        <v>344</v>
      </c>
      <c r="C45" s="10" t="str" cm="1">
        <f t="array" ref="C45">_xlfn.IFS(A45&lt;20, "ภาคกลาง", A45&lt;30, "ภาคตะวันออก", A45&lt;50, "ภาคตะวันออกเฉียงเหนือ", A45&lt;60, "ภาคเหนือ", A45&lt;80, "ภาคกลาง/ตะวันตก", A45&gt;=80, "ภาคใต้")</f>
        <v>ภาคกลาง</v>
      </c>
      <c r="D45" s="64">
        <v>1044</v>
      </c>
      <c r="E45" s="10" t="s">
        <v>388</v>
      </c>
      <c r="F45" s="11">
        <v>43668</v>
      </c>
      <c r="G45" s="11">
        <v>50526</v>
      </c>
      <c r="H45" s="11">
        <v>94194</v>
      </c>
      <c r="I45" s="11">
        <v>48118</v>
      </c>
      <c r="J45" s="66">
        <f t="shared" si="0"/>
        <v>46.359640741448501</v>
      </c>
      <c r="K45" s="66">
        <f t="shared" si="1"/>
        <v>53.640359258551499</v>
      </c>
    </row>
    <row r="46" spans="1:11" x14ac:dyDescent="0.3">
      <c r="A46" s="10">
        <v>10</v>
      </c>
      <c r="B46" s="10" t="s">
        <v>344</v>
      </c>
      <c r="C46" s="10" t="str" cm="1">
        <f t="array" ref="C46">_xlfn.IFS(A46&lt;20, "ภาคกลาง", A46&lt;30, "ภาคตะวันออก", A46&lt;50, "ภาคตะวันออกเฉียงเหนือ", A46&lt;60, "ภาคเหนือ", A46&lt;80, "ภาคกลาง/ตะวันตก", A46&gt;=80, "ภาคใต้")</f>
        <v>ภาคกลาง</v>
      </c>
      <c r="D46" s="64">
        <v>1045</v>
      </c>
      <c r="E46" s="10" t="s">
        <v>389</v>
      </c>
      <c r="F46" s="11">
        <v>44684</v>
      </c>
      <c r="G46" s="11">
        <v>52975</v>
      </c>
      <c r="H46" s="11">
        <v>97659</v>
      </c>
      <c r="I46" s="11">
        <v>43914</v>
      </c>
      <c r="J46" s="66">
        <f t="shared" si="0"/>
        <v>45.755127535608594</v>
      </c>
      <c r="K46" s="66">
        <f t="shared" si="1"/>
        <v>54.244872464391406</v>
      </c>
    </row>
    <row r="47" spans="1:11" x14ac:dyDescent="0.3">
      <c r="A47" s="10">
        <v>10</v>
      </c>
      <c r="B47" s="10" t="s">
        <v>344</v>
      </c>
      <c r="C47" s="10" t="str" cm="1">
        <f t="array" ref="C47">_xlfn.IFS(A47&lt;20, "ภาคกลาง", A47&lt;30, "ภาคตะวันออก", A47&lt;50, "ภาคตะวันออกเฉียงเหนือ", A47&lt;60, "ภาคเหนือ", A47&lt;80, "ภาคกลาง/ตะวันตก", A47&gt;=80, "ภาคใต้")</f>
        <v>ภาคกลาง</v>
      </c>
      <c r="D47" s="64">
        <v>1046</v>
      </c>
      <c r="E47" s="10" t="s">
        <v>390</v>
      </c>
      <c r="F47" s="11">
        <v>46600</v>
      </c>
      <c r="G47" s="11">
        <v>56456</v>
      </c>
      <c r="H47" s="11">
        <v>103056</v>
      </c>
      <c r="I47" s="11">
        <v>65168</v>
      </c>
      <c r="J47" s="66">
        <f t="shared" si="0"/>
        <v>45.218133830150599</v>
      </c>
      <c r="K47" s="66">
        <f t="shared" si="1"/>
        <v>54.781866169849401</v>
      </c>
    </row>
    <row r="48" spans="1:11" x14ac:dyDescent="0.3">
      <c r="A48" s="10">
        <v>10</v>
      </c>
      <c r="B48" s="10" t="s">
        <v>344</v>
      </c>
      <c r="C48" s="10" t="str" cm="1">
        <f t="array" ref="C48">_xlfn.IFS(A48&lt;20, "ภาคกลาง", A48&lt;30, "ภาคตะวันออก", A48&lt;50, "ภาคตะวันออกเฉียงเหนือ", A48&lt;60, "ภาคเหนือ", A48&lt;80, "ภาคกลาง/ตะวันตก", A48&gt;=80, "ภาคใต้")</f>
        <v>ภาคกลาง</v>
      </c>
      <c r="D48" s="64">
        <v>1047</v>
      </c>
      <c r="E48" s="10" t="s">
        <v>391</v>
      </c>
      <c r="F48" s="11">
        <v>100401</v>
      </c>
      <c r="G48" s="11">
        <v>113910</v>
      </c>
      <c r="H48" s="11">
        <v>214311</v>
      </c>
      <c r="I48" s="11">
        <v>93955</v>
      </c>
      <c r="J48" s="66">
        <f t="shared" si="0"/>
        <v>46.848271903915339</v>
      </c>
      <c r="K48" s="66">
        <f t="shared" si="1"/>
        <v>53.151728096084661</v>
      </c>
    </row>
    <row r="49" spans="1:11" x14ac:dyDescent="0.3">
      <c r="A49" s="10">
        <v>10</v>
      </c>
      <c r="B49" s="10" t="s">
        <v>344</v>
      </c>
      <c r="C49" s="10" t="str" cm="1">
        <f t="array" ref="C49">_xlfn.IFS(A49&lt;20, "ภาคกลาง", A49&lt;30, "ภาคตะวันออก", A49&lt;50, "ภาคตะวันออกเฉียงเหนือ", A49&lt;60, "ภาคเหนือ", A49&lt;80, "ภาคกลาง/ตะวันตก", A49&gt;=80, "ภาคใต้")</f>
        <v>ภาคกลาง</v>
      </c>
      <c r="D49" s="64">
        <v>1048</v>
      </c>
      <c r="E49" s="10" t="s">
        <v>392</v>
      </c>
      <c r="F49" s="11">
        <v>39112</v>
      </c>
      <c r="G49" s="11">
        <v>45889</v>
      </c>
      <c r="H49" s="11">
        <v>85001</v>
      </c>
      <c r="I49" s="11">
        <v>78445</v>
      </c>
      <c r="J49" s="66">
        <f t="shared" si="0"/>
        <v>46.013576310866931</v>
      </c>
      <c r="K49" s="66">
        <f t="shared" si="1"/>
        <v>53.986423689133069</v>
      </c>
    </row>
    <row r="50" spans="1:11" x14ac:dyDescent="0.3">
      <c r="A50" s="10">
        <v>10</v>
      </c>
      <c r="B50" s="10" t="s">
        <v>344</v>
      </c>
      <c r="C50" s="10" t="str" cm="1">
        <f t="array" ref="C50">_xlfn.IFS(A50&lt;20, "ภาคกลาง", A50&lt;30, "ภาคตะวันออก", A50&lt;50, "ภาคตะวันออกเฉียงเหนือ", A50&lt;60, "ภาคเหนือ", A50&lt;80, "ภาคกลาง/ตะวันตก", A50&gt;=80, "ภาคใต้")</f>
        <v>ภาคกลาง</v>
      </c>
      <c r="D50" s="64">
        <v>1049</v>
      </c>
      <c r="E50" s="10" t="s">
        <v>393</v>
      </c>
      <c r="F50" s="11">
        <v>37026</v>
      </c>
      <c r="G50" s="11">
        <v>43323</v>
      </c>
      <c r="H50" s="11">
        <v>80349</v>
      </c>
      <c r="I50" s="11">
        <v>37042</v>
      </c>
      <c r="J50" s="66">
        <f t="shared" si="0"/>
        <v>46.081469588918345</v>
      </c>
      <c r="K50" s="66">
        <f t="shared" si="1"/>
        <v>53.918530411081655</v>
      </c>
    </row>
    <row r="51" spans="1:11" x14ac:dyDescent="0.3">
      <c r="A51" s="10">
        <v>10</v>
      </c>
      <c r="B51" s="10" t="s">
        <v>344</v>
      </c>
      <c r="C51" s="10" t="str" cm="1">
        <f t="array" ref="C51">_xlfn.IFS(A51&lt;20, "ภาคกลาง", A51&lt;30, "ภาคตะวันออก", A51&lt;50, "ภาคตะวันออกเฉียงเหนือ", A51&lt;60, "ภาคเหนือ", A51&lt;80, "ภาคกลาง/ตะวันตก", A51&gt;=80, "ภาคใต้")</f>
        <v>ภาคกลาง</v>
      </c>
      <c r="D51" s="64">
        <v>1050</v>
      </c>
      <c r="E51" s="10" t="s">
        <v>394</v>
      </c>
      <c r="F51" s="11">
        <v>57702</v>
      </c>
      <c r="G51" s="11">
        <v>66362</v>
      </c>
      <c r="H51" s="11">
        <v>124064</v>
      </c>
      <c r="I51" s="11">
        <v>57688</v>
      </c>
      <c r="J51" s="66">
        <f t="shared" si="0"/>
        <v>46.509865875677072</v>
      </c>
      <c r="K51" s="66">
        <f t="shared" si="1"/>
        <v>53.490134124322928</v>
      </c>
    </row>
    <row r="52" spans="1:11" hidden="1" x14ac:dyDescent="0.3">
      <c r="A52" s="10">
        <v>10</v>
      </c>
      <c r="B52" s="10" t="s">
        <v>344</v>
      </c>
      <c r="C52" s="10" t="str" cm="1">
        <f t="array" ref="C52">_xlfn.IFS(A52&lt;20, "ภาคกลาง", A52&lt;30, "ภาคตะวันออก", A52&lt;50, "ภาคตะวันออกเฉียงเหนือ", A52&lt;60, "ภาคเหนือ", A52&lt;80, "ภาคกลาง/ตะวันตก", A52&gt;=80, "ภาคใต้")</f>
        <v>ภาคกลาง</v>
      </c>
      <c r="D52" s="10">
        <v>0</v>
      </c>
      <c r="E52" s="10" t="s">
        <v>343</v>
      </c>
      <c r="F52" s="11">
        <v>47136</v>
      </c>
      <c r="G52" s="11">
        <v>52032</v>
      </c>
      <c r="H52" s="11">
        <v>99168</v>
      </c>
      <c r="I52" s="11">
        <v>53919</v>
      </c>
      <c r="J52"/>
      <c r="K52"/>
    </row>
    <row r="53" spans="1:11" x14ac:dyDescent="0.3">
      <c r="A53" s="10">
        <v>11</v>
      </c>
      <c r="B53" s="10" t="s">
        <v>395</v>
      </c>
      <c r="C53" s="10" t="str" cm="1">
        <f t="array" ref="C53">_xlfn.IFS(A53&lt;20, "ภาคกลาง", A53&lt;30, "ภาคตะวันออก", A53&lt;50, "ภาคตะวันออกเฉียงเหนือ", A53&lt;60, "ภาคเหนือ", A53&lt;80, "ภาคกลาง/ตะวันตก", A53&gt;=80, "ภาคใต้")</f>
        <v>ภาคกลาง</v>
      </c>
      <c r="D53" s="64">
        <v>1101</v>
      </c>
      <c r="E53" s="10" t="s">
        <v>396</v>
      </c>
      <c r="F53" s="11">
        <v>654057</v>
      </c>
      <c r="G53" s="11">
        <v>726769</v>
      </c>
      <c r="H53" s="11">
        <v>1380826</v>
      </c>
      <c r="I53" s="11">
        <v>783230</v>
      </c>
      <c r="J53" s="66">
        <f t="shared" ref="J53:J75" si="2">F53/H53*100</f>
        <v>47.367083180646944</v>
      </c>
      <c r="K53" s="66">
        <f t="shared" ref="K53:K75" si="3">G53/H53*100</f>
        <v>52.632916819353056</v>
      </c>
    </row>
    <row r="54" spans="1:11" x14ac:dyDescent="0.3">
      <c r="A54" s="10">
        <v>11</v>
      </c>
      <c r="B54" s="10" t="s">
        <v>395</v>
      </c>
      <c r="C54" s="10" t="str" cm="1">
        <f t="array" ref="C54">_xlfn.IFS(A54&lt;20, "ภาคกลาง", A54&lt;30, "ภาคตะวันออก", A54&lt;50, "ภาคตะวันออกเฉียงเหนือ", A54&lt;60, "ภาคเหนือ", A54&lt;80, "ภาคกลาง/ตะวันตก", A54&gt;=80, "ภาคใต้")</f>
        <v>ภาคกลาง</v>
      </c>
      <c r="D54" s="64">
        <v>1102</v>
      </c>
      <c r="E54" s="10" t="s">
        <v>397</v>
      </c>
      <c r="F54" s="11">
        <v>61166</v>
      </c>
      <c r="G54" s="11">
        <v>68415</v>
      </c>
      <c r="H54" s="11">
        <v>129581</v>
      </c>
      <c r="I54" s="11">
        <v>61601</v>
      </c>
      <c r="J54" s="66">
        <f t="shared" si="2"/>
        <v>47.202907833710192</v>
      </c>
      <c r="K54" s="66">
        <f t="shared" si="3"/>
        <v>52.797092166289815</v>
      </c>
    </row>
    <row r="55" spans="1:11" x14ac:dyDescent="0.3">
      <c r="A55" s="10">
        <v>11</v>
      </c>
      <c r="B55" s="10" t="s">
        <v>395</v>
      </c>
      <c r="C55" s="10" t="str" cm="1">
        <f t="array" ref="C55">_xlfn.IFS(A55&lt;20, "ภาคกลาง", A55&lt;30, "ภาคตะวันออก", A55&lt;50, "ภาคตะวันออกเฉียงเหนือ", A55&lt;60, "ภาคเหนือ", A55&lt;80, "ภาคกลาง/ตะวันตก", A55&gt;=80, "ภาคใต้")</f>
        <v>ภาคกลาง</v>
      </c>
      <c r="D55" s="64">
        <v>1103</v>
      </c>
      <c r="E55" s="10" t="s">
        <v>398</v>
      </c>
      <c r="F55" s="11">
        <v>48301</v>
      </c>
      <c r="G55" s="11">
        <v>51734</v>
      </c>
      <c r="H55" s="11">
        <v>100035</v>
      </c>
      <c r="I55" s="11">
        <v>52769</v>
      </c>
      <c r="J55" s="66">
        <f t="shared" si="2"/>
        <v>48.284100564802316</v>
      </c>
      <c r="K55" s="66">
        <f t="shared" si="3"/>
        <v>51.715899435197677</v>
      </c>
    </row>
    <row r="56" spans="1:11" x14ac:dyDescent="0.3">
      <c r="A56" s="10">
        <v>11</v>
      </c>
      <c r="B56" s="10" t="s">
        <v>395</v>
      </c>
      <c r="C56" s="10" t="str" cm="1">
        <f t="array" ref="C56">_xlfn.IFS(A56&lt;20, "ภาคกลาง", A56&lt;30, "ภาคตะวันออก", A56&lt;50, "ภาคตะวันออกเฉียงเหนือ", A56&lt;60, "ภาคเหนือ", A56&lt;80, "ภาคกลาง/ตะวันตก", A56&gt;=80, "ภาคใต้")</f>
        <v>ภาคกลาง</v>
      </c>
      <c r="D56" s="64">
        <v>1104</v>
      </c>
      <c r="E56" s="10" t="s">
        <v>399</v>
      </c>
      <c r="F56" s="11">
        <v>133427</v>
      </c>
      <c r="G56" s="11">
        <v>152067</v>
      </c>
      <c r="H56" s="11">
        <v>285494</v>
      </c>
      <c r="I56" s="11">
        <v>192624</v>
      </c>
      <c r="J56" s="66">
        <f t="shared" si="2"/>
        <v>46.735483057437285</v>
      </c>
      <c r="K56" s="66">
        <f t="shared" si="3"/>
        <v>53.264516942562715</v>
      </c>
    </row>
    <row r="57" spans="1:11" x14ac:dyDescent="0.3">
      <c r="A57" s="10">
        <v>11</v>
      </c>
      <c r="B57" s="10" t="s">
        <v>395</v>
      </c>
      <c r="C57" s="10" t="str" cm="1">
        <f t="array" ref="C57">_xlfn.IFS(A57&lt;20, "ภาคกลาง", A57&lt;30, "ภาคตะวันออก", A57&lt;50, "ภาคตะวันออกเฉียงเหนือ", A57&lt;60, "ภาคเหนือ", A57&lt;80, "ภาคกลาง/ตะวันตก", A57&gt;=80, "ภาคใต้")</f>
        <v>ภาคกลาง</v>
      </c>
      <c r="D57" s="64">
        <v>1105</v>
      </c>
      <c r="E57" s="10" t="s">
        <v>400</v>
      </c>
      <c r="F57" s="11">
        <v>17857</v>
      </c>
      <c r="G57" s="11">
        <v>19426</v>
      </c>
      <c r="H57" s="11">
        <v>37283</v>
      </c>
      <c r="I57" s="11">
        <v>13733</v>
      </c>
      <c r="J57" s="66">
        <f t="shared" si="2"/>
        <v>47.895823833918946</v>
      </c>
      <c r="K57" s="66">
        <f t="shared" si="3"/>
        <v>52.104176166081054</v>
      </c>
    </row>
    <row r="58" spans="1:11" x14ac:dyDescent="0.3">
      <c r="A58" s="10">
        <v>11</v>
      </c>
      <c r="B58" s="10" t="s">
        <v>395</v>
      </c>
      <c r="C58" s="10" t="str" cm="1">
        <f t="array" ref="C58">_xlfn.IFS(A58&lt;20, "ภาคกลาง", A58&lt;30, "ภาคตะวันออก", A58&lt;50, "ภาคตะวันออกเฉียงเหนือ", A58&lt;60, "ภาคเหนือ", A58&lt;80, "ภาคกลาง/ตะวันตก", A58&gt;=80, "ภาคใต้")</f>
        <v>ภาคกลาง</v>
      </c>
      <c r="D58" s="64">
        <v>1106</v>
      </c>
      <c r="E58" s="10" t="s">
        <v>401</v>
      </c>
      <c r="F58" s="11">
        <v>60736</v>
      </c>
      <c r="G58" s="11">
        <v>66527</v>
      </c>
      <c r="H58" s="11">
        <v>127263</v>
      </c>
      <c r="I58" s="11">
        <v>61264</v>
      </c>
      <c r="J58" s="66">
        <f t="shared" si="2"/>
        <v>47.724790394694452</v>
      </c>
      <c r="K58" s="66">
        <f t="shared" si="3"/>
        <v>52.275209605305548</v>
      </c>
    </row>
    <row r="59" spans="1:11" ht="27.6" x14ac:dyDescent="0.3">
      <c r="A59" s="10">
        <v>11</v>
      </c>
      <c r="B59" s="10" t="s">
        <v>395</v>
      </c>
      <c r="C59" s="10" t="str" cm="1">
        <f t="array" ref="C59">_xlfn.IFS(A59&lt;20, "ภาคกลาง", A59&lt;30, "ภาคตะวันออก", A59&lt;50, "ภาคตะวันออกเฉียงเหนือ", A59&lt;60, "ภาคเหนือ", A59&lt;80, "ภาคกลาง/ตะวันตก", A59&gt;=80, "ภาคใต้")</f>
        <v>ภาคกลาง</v>
      </c>
      <c r="D59" s="64">
        <v>1183</v>
      </c>
      <c r="E59" s="10" t="s">
        <v>402</v>
      </c>
      <c r="F59" s="11">
        <v>30437</v>
      </c>
      <c r="G59" s="11">
        <v>33064</v>
      </c>
      <c r="H59" s="11">
        <v>63501</v>
      </c>
      <c r="I59" s="11">
        <v>48202</v>
      </c>
      <c r="J59" s="66">
        <f t="shared" si="2"/>
        <v>47.931528637344293</v>
      </c>
      <c r="K59" s="66">
        <f t="shared" si="3"/>
        <v>52.068471362655714</v>
      </c>
    </row>
    <row r="60" spans="1:11" ht="27.6" x14ac:dyDescent="0.3">
      <c r="A60" s="10">
        <v>11</v>
      </c>
      <c r="B60" s="10" t="s">
        <v>395</v>
      </c>
      <c r="C60" s="10" t="str" cm="1">
        <f t="array" ref="C60">_xlfn.IFS(A60&lt;20, "ภาคกลาง", A60&lt;30, "ภาคตะวันออก", A60&lt;50, "ภาคตะวันออกเฉียงเหนือ", A60&lt;60, "ภาคเหนือ", A60&lt;80, "ภาคกลาง/ตะวันตก", A60&gt;=80, "ภาคใต้")</f>
        <v>ภาคกลาง</v>
      </c>
      <c r="D60" s="64">
        <v>1184</v>
      </c>
      <c r="E60" s="10" t="s">
        <v>403</v>
      </c>
      <c r="F60" s="11">
        <v>19139</v>
      </c>
      <c r="G60" s="11">
        <v>22020</v>
      </c>
      <c r="H60" s="11">
        <v>41159</v>
      </c>
      <c r="I60" s="11">
        <v>17887</v>
      </c>
      <c r="J60" s="66">
        <f t="shared" si="2"/>
        <v>46.500157924147814</v>
      </c>
      <c r="K60" s="66">
        <f t="shared" si="3"/>
        <v>53.499842075852179</v>
      </c>
    </row>
    <row r="61" spans="1:11" ht="27.6" x14ac:dyDescent="0.3">
      <c r="A61" s="10">
        <v>11</v>
      </c>
      <c r="B61" s="10" t="s">
        <v>395</v>
      </c>
      <c r="C61" s="10" t="str" cm="1">
        <f t="array" ref="C61">_xlfn.IFS(A61&lt;20, "ภาคกลาง", A61&lt;30, "ภาคตะวันออก", A61&lt;50, "ภาคตะวันออกเฉียงเหนือ", A61&lt;60, "ภาคเหนือ", A61&lt;80, "ภาคกลาง/ตะวันตก", A61&gt;=80, "ภาคใต้")</f>
        <v>ภาคกลาง</v>
      </c>
      <c r="D61" s="64">
        <v>1185</v>
      </c>
      <c r="E61" s="10" t="s">
        <v>404</v>
      </c>
      <c r="F61" s="11">
        <v>9566</v>
      </c>
      <c r="G61" s="11">
        <v>10654</v>
      </c>
      <c r="H61" s="11">
        <v>20220</v>
      </c>
      <c r="I61" s="11">
        <v>18771</v>
      </c>
      <c r="J61" s="66">
        <f t="shared" si="2"/>
        <v>47.309594460929773</v>
      </c>
      <c r="K61" s="66">
        <f t="shared" si="3"/>
        <v>52.690405539070227</v>
      </c>
    </row>
    <row r="62" spans="1:11" ht="27.6" x14ac:dyDescent="0.3">
      <c r="A62" s="10">
        <v>11</v>
      </c>
      <c r="B62" s="10" t="s">
        <v>395</v>
      </c>
      <c r="C62" s="10" t="str" cm="1">
        <f t="array" ref="C62">_xlfn.IFS(A62&lt;20, "ภาคกลาง", A62&lt;30, "ภาคตะวันออก", A62&lt;50, "ภาคตะวันออกเฉียงเหนือ", A62&lt;60, "ภาคเหนือ", A62&lt;80, "ภาคกลาง/ตะวันตก", A62&gt;=80, "ภาคใต้")</f>
        <v>ภาคกลาง</v>
      </c>
      <c r="D62" s="64">
        <v>1186</v>
      </c>
      <c r="E62" s="10" t="s">
        <v>405</v>
      </c>
      <c r="F62" s="11">
        <v>10700</v>
      </c>
      <c r="G62" s="11">
        <v>11358</v>
      </c>
      <c r="H62" s="11">
        <v>22058</v>
      </c>
      <c r="I62" s="11">
        <v>9612</v>
      </c>
      <c r="J62" s="66">
        <f t="shared" si="2"/>
        <v>48.508477649832258</v>
      </c>
      <c r="K62" s="66">
        <f t="shared" si="3"/>
        <v>51.491522350167742</v>
      </c>
    </row>
    <row r="63" spans="1:11" x14ac:dyDescent="0.3">
      <c r="A63" s="10">
        <v>11</v>
      </c>
      <c r="B63" s="10" t="s">
        <v>395</v>
      </c>
      <c r="C63" s="10" t="str" cm="1">
        <f t="array" ref="C63">_xlfn.IFS(A63&lt;20, "ภาคกลาง", A63&lt;30, "ภาคตะวันออก", A63&lt;50, "ภาคตะวันออกเฉียงเหนือ", A63&lt;60, "ภาคเหนือ", A63&lt;80, "ภาคกลาง/ตะวันตก", A63&gt;=80, "ภาคใต้")</f>
        <v>ภาคกลาง</v>
      </c>
      <c r="D63" s="64">
        <v>1187</v>
      </c>
      <c r="E63" s="10" t="s">
        <v>406</v>
      </c>
      <c r="F63" s="11">
        <v>5441</v>
      </c>
      <c r="G63" s="11">
        <v>5681</v>
      </c>
      <c r="H63" s="11">
        <v>11122</v>
      </c>
      <c r="I63" s="11">
        <v>5764</v>
      </c>
      <c r="J63" s="66">
        <f t="shared" si="2"/>
        <v>48.92105736378349</v>
      </c>
      <c r="K63" s="66">
        <f t="shared" si="3"/>
        <v>51.07894263621651</v>
      </c>
    </row>
    <row r="64" spans="1:11" x14ac:dyDescent="0.3">
      <c r="A64" s="10">
        <v>11</v>
      </c>
      <c r="B64" s="10" t="s">
        <v>395</v>
      </c>
      <c r="C64" s="10" t="str" cm="1">
        <f t="array" ref="C64">_xlfn.IFS(A64&lt;20, "ภาคกลาง", A64&lt;30, "ภาคตะวันออก", A64&lt;50, "ภาคตะวันออกเฉียงเหนือ", A64&lt;60, "ภาคเหนือ", A64&lt;80, "ภาคกลาง/ตะวันตก", A64&gt;=80, "ภาคใต้")</f>
        <v>ภาคกลาง</v>
      </c>
      <c r="D64" s="64">
        <v>1188</v>
      </c>
      <c r="E64" s="10" t="s">
        <v>407</v>
      </c>
      <c r="F64" s="11">
        <v>5358</v>
      </c>
      <c r="G64" s="11">
        <v>5382</v>
      </c>
      <c r="H64" s="11">
        <v>10740</v>
      </c>
      <c r="I64" s="11">
        <v>2252</v>
      </c>
      <c r="J64" s="66">
        <f t="shared" si="2"/>
        <v>49.88826815642458</v>
      </c>
      <c r="K64" s="66">
        <f t="shared" si="3"/>
        <v>50.111731843575427</v>
      </c>
    </row>
    <row r="65" spans="1:11" ht="27.6" x14ac:dyDescent="0.3">
      <c r="A65" s="10">
        <v>11</v>
      </c>
      <c r="B65" s="10" t="s">
        <v>395</v>
      </c>
      <c r="C65" s="10" t="str" cm="1">
        <f t="array" ref="C65">_xlfn.IFS(A65&lt;20, "ภาคกลาง", A65&lt;30, "ภาคตะวันออก", A65&lt;50, "ภาคตะวันออกเฉียงเหนือ", A65&lt;60, "ภาคเหนือ", A65&lt;80, "ภาคกลาง/ตะวันตก", A65&gt;=80, "ภาคใต้")</f>
        <v>ภาคกลาง</v>
      </c>
      <c r="D65" s="64">
        <v>1189</v>
      </c>
      <c r="E65" s="10" t="s">
        <v>408</v>
      </c>
      <c r="F65" s="11">
        <v>3087</v>
      </c>
      <c r="G65" s="11">
        <v>3393</v>
      </c>
      <c r="H65" s="11">
        <v>6480</v>
      </c>
      <c r="I65" s="11">
        <v>2520</v>
      </c>
      <c r="J65" s="66">
        <f t="shared" si="2"/>
        <v>47.638888888888886</v>
      </c>
      <c r="K65" s="66">
        <f t="shared" si="3"/>
        <v>52.361111111111114</v>
      </c>
    </row>
    <row r="66" spans="1:11" ht="27.6" x14ac:dyDescent="0.3">
      <c r="A66" s="10">
        <v>11</v>
      </c>
      <c r="B66" s="10" t="s">
        <v>395</v>
      </c>
      <c r="C66" s="10" t="str" cm="1">
        <f t="array" ref="C66">_xlfn.IFS(A66&lt;20, "ภาคกลาง", A66&lt;30, "ภาคตะวันออก", A66&lt;50, "ภาคตะวันออกเฉียงเหนือ", A66&lt;60, "ภาคเหนือ", A66&lt;80, "ภาคกลาง/ตะวันตก", A66&gt;=80, "ภาคใต้")</f>
        <v>ภาคกลาง</v>
      </c>
      <c r="D66" s="64">
        <v>1190</v>
      </c>
      <c r="E66" s="10" t="s">
        <v>409</v>
      </c>
      <c r="F66" s="11">
        <v>1368</v>
      </c>
      <c r="G66" s="11">
        <v>1420</v>
      </c>
      <c r="H66" s="11">
        <v>2788</v>
      </c>
      <c r="I66" s="10">
        <v>928</v>
      </c>
      <c r="J66" s="66">
        <f t="shared" si="2"/>
        <v>49.067431850789092</v>
      </c>
      <c r="K66" s="66">
        <f t="shared" si="3"/>
        <v>50.932568149210901</v>
      </c>
    </row>
    <row r="67" spans="1:11" x14ac:dyDescent="0.3">
      <c r="A67" s="10">
        <v>11</v>
      </c>
      <c r="B67" s="10" t="s">
        <v>395</v>
      </c>
      <c r="C67" s="10" t="str" cm="1">
        <f t="array" ref="C67">_xlfn.IFS(A67&lt;20, "ภาคกลาง", A67&lt;30, "ภาคตะวันออก", A67&lt;50, "ภาคตะวันออกเฉียงเหนือ", A67&lt;60, "ภาคเหนือ", A67&lt;80, "ภาคกลาง/ตะวันตก", A67&gt;=80, "ภาคใต้")</f>
        <v>ภาคกลาง</v>
      </c>
      <c r="D67" s="64">
        <v>1191</v>
      </c>
      <c r="E67" s="10" t="s">
        <v>410</v>
      </c>
      <c r="F67" s="11">
        <v>5388</v>
      </c>
      <c r="G67" s="11">
        <v>5663</v>
      </c>
      <c r="H67" s="11">
        <v>11051</v>
      </c>
      <c r="I67" s="11">
        <v>3327</v>
      </c>
      <c r="J67" s="66">
        <f t="shared" si="2"/>
        <v>48.755768708714143</v>
      </c>
      <c r="K67" s="66">
        <f t="shared" si="3"/>
        <v>51.244231291285857</v>
      </c>
    </row>
    <row r="68" spans="1:11" ht="27.6" x14ac:dyDescent="0.3">
      <c r="A68" s="10">
        <v>11</v>
      </c>
      <c r="B68" s="10" t="s">
        <v>395</v>
      </c>
      <c r="C68" s="10" t="str" cm="1">
        <f t="array" ref="C68">_xlfn.IFS(A68&lt;20, "ภาคกลาง", A68&lt;30, "ภาคตะวันออก", A68&lt;50, "ภาคตะวันออกเฉียงเหนือ", A68&lt;60, "ภาคเหนือ", A68&lt;80, "ภาคกลาง/ตะวันตก", A68&gt;=80, "ภาคใต้")</f>
        <v>ภาคกลาง</v>
      </c>
      <c r="D68" s="64">
        <v>1192</v>
      </c>
      <c r="E68" s="10" t="s">
        <v>411</v>
      </c>
      <c r="F68" s="11">
        <v>57311</v>
      </c>
      <c r="G68" s="11">
        <v>62508</v>
      </c>
      <c r="H68" s="11">
        <v>119819</v>
      </c>
      <c r="I68" s="11">
        <v>62862</v>
      </c>
      <c r="J68" s="66">
        <f t="shared" si="2"/>
        <v>47.831312229279163</v>
      </c>
      <c r="K68" s="66">
        <f t="shared" si="3"/>
        <v>52.168687770720837</v>
      </c>
    </row>
    <row r="69" spans="1:11" ht="27.6" x14ac:dyDescent="0.3">
      <c r="A69" s="10">
        <v>11</v>
      </c>
      <c r="B69" s="10" t="s">
        <v>395</v>
      </c>
      <c r="C69" s="10" t="str" cm="1">
        <f t="array" ref="C69">_xlfn.IFS(A69&lt;20, "ภาคกลาง", A69&lt;30, "ภาคตะวันออก", A69&lt;50, "ภาคตะวันออกเฉียงเหนือ", A69&lt;60, "ภาคเหนือ", A69&lt;80, "ภาคกลาง/ตะวันตก", A69&gt;=80, "ภาคใต้")</f>
        <v>ภาคกลาง</v>
      </c>
      <c r="D69" s="64">
        <v>1193</v>
      </c>
      <c r="E69" s="10" t="s">
        <v>412</v>
      </c>
      <c r="F69" s="11">
        <v>12070</v>
      </c>
      <c r="G69" s="11">
        <v>13823</v>
      </c>
      <c r="H69" s="11">
        <v>25893</v>
      </c>
      <c r="I69" s="11">
        <v>15843</v>
      </c>
      <c r="J69" s="66">
        <f t="shared" si="2"/>
        <v>46.614915228053917</v>
      </c>
      <c r="K69" s="66">
        <f t="shared" si="3"/>
        <v>53.38508477194609</v>
      </c>
    </row>
    <row r="70" spans="1:11" ht="27.6" x14ac:dyDescent="0.3">
      <c r="A70" s="10">
        <v>11</v>
      </c>
      <c r="B70" s="10" t="s">
        <v>395</v>
      </c>
      <c r="C70" s="10" t="str" cm="1">
        <f t="array" ref="C70">_xlfn.IFS(A70&lt;20, "ภาคกลาง", A70&lt;30, "ภาคตะวันออก", A70&lt;50, "ภาคตะวันออกเฉียงเหนือ", A70&lt;60, "ภาคเหนือ", A70&lt;80, "ภาคกลาง/ตะวันตก", A70&gt;=80, "ภาคใต้")</f>
        <v>ภาคกลาง</v>
      </c>
      <c r="D70" s="64">
        <v>1194</v>
      </c>
      <c r="E70" s="10" t="s">
        <v>413</v>
      </c>
      <c r="F70" s="11">
        <v>44467</v>
      </c>
      <c r="G70" s="11">
        <v>51284</v>
      </c>
      <c r="H70" s="11">
        <v>95751</v>
      </c>
      <c r="I70" s="11">
        <v>50820</v>
      </c>
      <c r="J70" s="66">
        <f t="shared" si="2"/>
        <v>46.440246054871487</v>
      </c>
      <c r="K70" s="66">
        <f t="shared" si="3"/>
        <v>53.559753945128506</v>
      </c>
    </row>
    <row r="71" spans="1:11" ht="27.6" x14ac:dyDescent="0.3">
      <c r="A71" s="10">
        <v>11</v>
      </c>
      <c r="B71" s="10" t="s">
        <v>395</v>
      </c>
      <c r="C71" s="10" t="str" cm="1">
        <f t="array" ref="C71">_xlfn.IFS(A71&lt;20, "ภาคกลาง", A71&lt;30, "ภาคตะวันออก", A71&lt;50, "ภาคตะวันออกเฉียงเหนือ", A71&lt;60, "ภาคเหนือ", A71&lt;80, "ภาคกลาง/ตะวันตก", A71&gt;=80, "ภาคใต้")</f>
        <v>ภาคกลาง</v>
      </c>
      <c r="D71" s="64">
        <v>1195</v>
      </c>
      <c r="E71" s="10" t="s">
        <v>414</v>
      </c>
      <c r="F71" s="11">
        <v>24941</v>
      </c>
      <c r="G71" s="11">
        <v>28638</v>
      </c>
      <c r="H71" s="11">
        <v>53579</v>
      </c>
      <c r="I71" s="11">
        <v>29381</v>
      </c>
      <c r="J71" s="66">
        <f t="shared" si="2"/>
        <v>46.549954273129394</v>
      </c>
      <c r="K71" s="66">
        <f t="shared" si="3"/>
        <v>53.450045726870599</v>
      </c>
    </row>
    <row r="72" spans="1:11" ht="27.6" x14ac:dyDescent="0.3">
      <c r="A72" s="10">
        <v>11</v>
      </c>
      <c r="B72" s="10" t="s">
        <v>395</v>
      </c>
      <c r="C72" s="10" t="str" cm="1">
        <f t="array" ref="C72">_xlfn.IFS(A72&lt;20, "ภาคกลาง", A72&lt;30, "ภาคตะวันออก", A72&lt;50, "ภาคตะวันออกเฉียงเหนือ", A72&lt;60, "ภาคเหนือ", A72&lt;80, "ภาคกลาง/ตะวันตก", A72&gt;=80, "ภาคใต้")</f>
        <v>ภาคกลาง</v>
      </c>
      <c r="D72" s="64">
        <v>1196</v>
      </c>
      <c r="E72" s="10" t="s">
        <v>415</v>
      </c>
      <c r="F72" s="11">
        <v>32662</v>
      </c>
      <c r="G72" s="11">
        <v>34961</v>
      </c>
      <c r="H72" s="11">
        <v>67623</v>
      </c>
      <c r="I72" s="11">
        <v>36471</v>
      </c>
      <c r="J72" s="66">
        <f t="shared" si="2"/>
        <v>48.300134569599102</v>
      </c>
      <c r="K72" s="66">
        <f t="shared" si="3"/>
        <v>51.699865430400905</v>
      </c>
    </row>
    <row r="73" spans="1:11" x14ac:dyDescent="0.3">
      <c r="A73" s="10">
        <v>11</v>
      </c>
      <c r="B73" s="10" t="s">
        <v>395</v>
      </c>
      <c r="C73" s="10" t="str" cm="1">
        <f t="array" ref="C73">_xlfn.IFS(A73&lt;20, "ภาคกลาง", A73&lt;30, "ภาคตะวันออก", A73&lt;50, "ภาคตะวันออกเฉียงเหนือ", A73&lt;60, "ภาคเหนือ", A73&lt;80, "ภาคกลาง/ตะวันตก", A73&gt;=80, "ภาคใต้")</f>
        <v>ภาคกลาง</v>
      </c>
      <c r="D73" s="64">
        <v>1197</v>
      </c>
      <c r="E73" s="10" t="s">
        <v>416</v>
      </c>
      <c r="F73" s="11">
        <v>13772</v>
      </c>
      <c r="G73" s="11">
        <v>16775</v>
      </c>
      <c r="H73" s="11">
        <v>30547</v>
      </c>
      <c r="I73" s="11">
        <v>31575</v>
      </c>
      <c r="J73" s="66">
        <f t="shared" si="2"/>
        <v>45.084623694634494</v>
      </c>
      <c r="K73" s="66">
        <f t="shared" si="3"/>
        <v>54.915376305365506</v>
      </c>
    </row>
    <row r="74" spans="1:11" ht="27.6" x14ac:dyDescent="0.3">
      <c r="A74" s="10">
        <v>11</v>
      </c>
      <c r="B74" s="10" t="s">
        <v>395</v>
      </c>
      <c r="C74" s="10" t="str" cm="1">
        <f t="array" ref="C74">_xlfn.IFS(A74&lt;20, "ภาคกลาง", A74&lt;30, "ภาคตะวันออก", A74&lt;50, "ภาคตะวันออกเฉียงเหนือ", A74&lt;60, "ภาคเหนือ", A74&lt;80, "ภาคกลาง/ตะวันตก", A74&gt;=80, "ภาคใต้")</f>
        <v>ภาคกลาง</v>
      </c>
      <c r="D74" s="64">
        <v>1198</v>
      </c>
      <c r="E74" s="10" t="s">
        <v>417</v>
      </c>
      <c r="F74" s="11">
        <v>31356</v>
      </c>
      <c r="G74" s="11">
        <v>34584</v>
      </c>
      <c r="H74" s="11">
        <v>65940</v>
      </c>
      <c r="I74" s="11">
        <v>38716</v>
      </c>
      <c r="J74" s="66">
        <f t="shared" si="2"/>
        <v>47.552320291173793</v>
      </c>
      <c r="K74" s="66">
        <f t="shared" si="3"/>
        <v>52.4476797088262</v>
      </c>
    </row>
    <row r="75" spans="1:11" ht="27.6" x14ac:dyDescent="0.3">
      <c r="A75" s="10">
        <v>11</v>
      </c>
      <c r="B75" s="10" t="s">
        <v>395</v>
      </c>
      <c r="C75" s="10" t="str" cm="1">
        <f t="array" ref="C75">_xlfn.IFS(A75&lt;20, "ภาคกลาง", A75&lt;30, "ภาคตะวันออก", A75&lt;50, "ภาคตะวันออกเฉียงเหนือ", A75&lt;60, "ภาคเหนือ", A75&lt;80, "ภาคกลาง/ตะวันตก", A75&gt;=80, "ภาคใต้")</f>
        <v>ภาคกลาง</v>
      </c>
      <c r="D75" s="64">
        <v>1199</v>
      </c>
      <c r="E75" s="10" t="s">
        <v>418</v>
      </c>
      <c r="F75" s="11">
        <v>3836</v>
      </c>
      <c r="G75" s="11">
        <v>4128</v>
      </c>
      <c r="H75" s="11">
        <v>7964</v>
      </c>
      <c r="I75" s="11">
        <v>2187</v>
      </c>
      <c r="J75" s="66">
        <f t="shared" si="2"/>
        <v>48.166750376695127</v>
      </c>
      <c r="K75" s="66">
        <f t="shared" si="3"/>
        <v>51.833249623304866</v>
      </c>
    </row>
    <row r="76" spans="1:11" hidden="1" x14ac:dyDescent="0.3">
      <c r="A76" s="10">
        <v>11</v>
      </c>
      <c r="B76" s="10" t="s">
        <v>395</v>
      </c>
      <c r="C76" s="10" t="str" cm="1">
        <f t="array" ref="C76">_xlfn.IFS(A76&lt;20, "ภาคกลาง", A76&lt;30, "ภาคตะวันออก", A76&lt;50, "ภาคตะวันออกเฉียงเหนือ", A76&lt;60, "ภาคเหนือ", A76&lt;80, "ภาคกลาง/ตะวันตก", A76&gt;=80, "ภาคใต้")</f>
        <v>ภาคกลาง</v>
      </c>
      <c r="D76" s="10">
        <v>0</v>
      </c>
      <c r="E76" s="10" t="s">
        <v>343</v>
      </c>
      <c r="F76" s="11">
        <v>21671</v>
      </c>
      <c r="G76" s="11">
        <v>23264</v>
      </c>
      <c r="H76" s="11">
        <v>44935</v>
      </c>
      <c r="I76" s="11">
        <v>24121</v>
      </c>
      <c r="J76"/>
      <c r="K76"/>
    </row>
    <row r="77" spans="1:11" x14ac:dyDescent="0.3">
      <c r="A77" s="10">
        <v>12</v>
      </c>
      <c r="B77" s="10" t="s">
        <v>419</v>
      </c>
      <c r="C77" s="10" t="str" cm="1">
        <f t="array" ref="C77">_xlfn.IFS(A77&lt;20, "ภาคกลาง", A77&lt;30, "ภาคตะวันออก", A77&lt;50, "ภาคตะวันออกเฉียงเหนือ", A77&lt;60, "ภาคเหนือ", A77&lt;80, "ภาคกลาง/ตะวันตก", A77&gt;=80, "ภาคใต้")</f>
        <v>ภาคกลาง</v>
      </c>
      <c r="D77" s="64">
        <v>1201</v>
      </c>
      <c r="E77" s="10" t="s">
        <v>420</v>
      </c>
      <c r="F77" s="11">
        <v>609722</v>
      </c>
      <c r="G77" s="11">
        <v>708197</v>
      </c>
      <c r="H77" s="11">
        <v>1317919</v>
      </c>
      <c r="I77" s="11">
        <v>768221</v>
      </c>
      <c r="J77" s="66">
        <f t="shared" ref="J77:J97" si="4">F77/H77*100</f>
        <v>46.263996497508572</v>
      </c>
      <c r="K77" s="66">
        <f t="shared" ref="K77:K97" si="5">G77/H77*100</f>
        <v>53.736003502491428</v>
      </c>
    </row>
    <row r="78" spans="1:11" x14ac:dyDescent="0.3">
      <c r="A78" s="10">
        <v>12</v>
      </c>
      <c r="B78" s="10" t="s">
        <v>419</v>
      </c>
      <c r="C78" s="10" t="str" cm="1">
        <f t="array" ref="C78">_xlfn.IFS(A78&lt;20, "ภาคกลาง", A78&lt;30, "ภาคตะวันออก", A78&lt;50, "ภาคตะวันออกเฉียงเหนือ", A78&lt;60, "ภาคเหนือ", A78&lt;80, "ภาคกลาง/ตะวันตก", A78&gt;=80, "ภาคใต้")</f>
        <v>ภาคกลาง</v>
      </c>
      <c r="D78" s="64">
        <v>1202</v>
      </c>
      <c r="E78" s="10" t="s">
        <v>421</v>
      </c>
      <c r="F78" s="11">
        <v>27551</v>
      </c>
      <c r="G78" s="11">
        <v>32083</v>
      </c>
      <c r="H78" s="11">
        <v>59634</v>
      </c>
      <c r="I78" s="11">
        <v>32547</v>
      </c>
      <c r="J78" s="66">
        <f t="shared" si="4"/>
        <v>46.200154274407218</v>
      </c>
      <c r="K78" s="66">
        <f t="shared" si="5"/>
        <v>53.799845725592789</v>
      </c>
    </row>
    <row r="79" spans="1:11" x14ac:dyDescent="0.3">
      <c r="A79" s="10">
        <v>12</v>
      </c>
      <c r="B79" s="10" t="s">
        <v>419</v>
      </c>
      <c r="C79" s="10" t="str" cm="1">
        <f t="array" ref="C79">_xlfn.IFS(A79&lt;20, "ภาคกลาง", A79&lt;30, "ภาคตะวันออก", A79&lt;50, "ภาคตะวันออกเฉียงเหนือ", A79&lt;60, "ภาคเหนือ", A79&lt;80, "ภาคกลาง/ตะวันตก", A79&gt;=80, "ภาคใต้")</f>
        <v>ภาคกลาง</v>
      </c>
      <c r="D79" s="64">
        <v>1203</v>
      </c>
      <c r="E79" s="10" t="s">
        <v>422</v>
      </c>
      <c r="F79" s="11">
        <v>16983</v>
      </c>
      <c r="G79" s="11">
        <v>20085</v>
      </c>
      <c r="H79" s="11">
        <v>37068</v>
      </c>
      <c r="I79" s="11">
        <v>21583</v>
      </c>
      <c r="J79" s="66">
        <f t="shared" si="4"/>
        <v>45.815797992877954</v>
      </c>
      <c r="K79" s="66">
        <f t="shared" si="5"/>
        <v>54.184202007122053</v>
      </c>
    </row>
    <row r="80" spans="1:11" x14ac:dyDescent="0.3">
      <c r="A80" s="10">
        <v>12</v>
      </c>
      <c r="B80" s="10" t="s">
        <v>419</v>
      </c>
      <c r="C80" s="10" t="str" cm="1">
        <f t="array" ref="C80">_xlfn.IFS(A80&lt;20, "ภาคกลาง", A80&lt;30, "ภาคตะวันออก", A80&lt;50, "ภาคตะวันออกเฉียงเหนือ", A80&lt;60, "ภาคเหนือ", A80&lt;80, "ภาคกลาง/ตะวันตก", A80&gt;=80, "ภาคใต้")</f>
        <v>ภาคกลาง</v>
      </c>
      <c r="D80" s="64">
        <v>1204</v>
      </c>
      <c r="E80" s="10" t="s">
        <v>423</v>
      </c>
      <c r="F80" s="11">
        <v>52035</v>
      </c>
      <c r="G80" s="11">
        <v>60762</v>
      </c>
      <c r="H80" s="11">
        <v>112797</v>
      </c>
      <c r="I80" s="11">
        <v>57746</v>
      </c>
      <c r="J80" s="66">
        <f t="shared" si="4"/>
        <v>46.131546051756693</v>
      </c>
      <c r="K80" s="66">
        <f t="shared" si="5"/>
        <v>53.8684539482433</v>
      </c>
    </row>
    <row r="81" spans="1:11" x14ac:dyDescent="0.3">
      <c r="A81" s="10">
        <v>12</v>
      </c>
      <c r="B81" s="10" t="s">
        <v>419</v>
      </c>
      <c r="C81" s="10" t="str" cm="1">
        <f t="array" ref="C81">_xlfn.IFS(A81&lt;20, "ภาคกลาง", A81&lt;30, "ภาคตะวันออก", A81&lt;50, "ภาคตะวันออกเฉียงเหนือ", A81&lt;60, "ภาคเหนือ", A81&lt;80, "ภาคกลาง/ตะวันตก", A81&gt;=80, "ภาคใต้")</f>
        <v>ภาคกลาง</v>
      </c>
      <c r="D81" s="64">
        <v>1205</v>
      </c>
      <c r="E81" s="10" t="s">
        <v>424</v>
      </c>
      <c r="F81" s="11">
        <v>71049</v>
      </c>
      <c r="G81" s="11">
        <v>81309</v>
      </c>
      <c r="H81" s="11">
        <v>152358</v>
      </c>
      <c r="I81" s="11">
        <v>87928</v>
      </c>
      <c r="J81" s="66">
        <f t="shared" si="4"/>
        <v>46.632930335131725</v>
      </c>
      <c r="K81" s="66">
        <f t="shared" si="5"/>
        <v>53.367069664868275</v>
      </c>
    </row>
    <row r="82" spans="1:11" x14ac:dyDescent="0.3">
      <c r="A82" s="10">
        <v>12</v>
      </c>
      <c r="B82" s="10" t="s">
        <v>419</v>
      </c>
      <c r="C82" s="10" t="str" cm="1">
        <f t="array" ref="C82">_xlfn.IFS(A82&lt;20, "ภาคกลาง", A82&lt;30, "ภาคตะวันออก", A82&lt;50, "ภาคตะวันออกเฉียงเหนือ", A82&lt;60, "ภาคเหนือ", A82&lt;80, "ภาคกลาง/ตะวันตก", A82&gt;=80, "ภาคใต้")</f>
        <v>ภาคกลาง</v>
      </c>
      <c r="D82" s="64">
        <v>1206</v>
      </c>
      <c r="E82" s="10" t="s">
        <v>425</v>
      </c>
      <c r="F82" s="11">
        <v>35700</v>
      </c>
      <c r="G82" s="11">
        <v>39636</v>
      </c>
      <c r="H82" s="11">
        <v>75336</v>
      </c>
      <c r="I82" s="11">
        <v>37897</v>
      </c>
      <c r="J82" s="66">
        <f t="shared" si="4"/>
        <v>47.387703090156101</v>
      </c>
      <c r="K82" s="66">
        <f t="shared" si="5"/>
        <v>52.612296909843906</v>
      </c>
    </row>
    <row r="83" spans="1:11" x14ac:dyDescent="0.3">
      <c r="A83" s="10">
        <v>12</v>
      </c>
      <c r="B83" s="10" t="s">
        <v>419</v>
      </c>
      <c r="C83" s="10" t="str" cm="1">
        <f t="array" ref="C83">_xlfn.IFS(A83&lt;20, "ภาคกลาง", A83&lt;30, "ภาคตะวันออก", A83&lt;50, "ภาคตะวันออกเฉียงเหนือ", A83&lt;60, "ภาคเหนือ", A83&lt;80, "ภาคกลาง/ตะวันตก", A83&gt;=80, "ภาคใต้")</f>
        <v>ภาคกลาง</v>
      </c>
      <c r="D83" s="64">
        <v>1285</v>
      </c>
      <c r="E83" s="10" t="s">
        <v>426</v>
      </c>
      <c r="F83" s="11">
        <v>25423</v>
      </c>
      <c r="G83" s="11">
        <v>28622</v>
      </c>
      <c r="H83" s="11">
        <v>54045</v>
      </c>
      <c r="I83" s="11">
        <v>27816</v>
      </c>
      <c r="J83" s="66">
        <f t="shared" si="4"/>
        <v>47.040429271903044</v>
      </c>
      <c r="K83" s="66">
        <f t="shared" si="5"/>
        <v>52.959570728096963</v>
      </c>
    </row>
    <row r="84" spans="1:11" ht="27.6" x14ac:dyDescent="0.3">
      <c r="A84" s="10">
        <v>12</v>
      </c>
      <c r="B84" s="10" t="s">
        <v>419</v>
      </c>
      <c r="C84" s="10" t="str" cm="1">
        <f t="array" ref="C84">_xlfn.IFS(A84&lt;20, "ภาคกลาง", A84&lt;30, "ภาคตะวันออก", A84&lt;50, "ภาคตะวันออกเฉียงเหนือ", A84&lt;60, "ภาคเหนือ", A84&lt;80, "ภาคกลาง/ตะวันตก", A84&gt;=80, "ภาคใต้")</f>
        <v>ภาคกลาง</v>
      </c>
      <c r="D84" s="64">
        <v>1286</v>
      </c>
      <c r="E84" s="10" t="s">
        <v>427</v>
      </c>
      <c r="F84" s="11">
        <v>19010</v>
      </c>
      <c r="G84" s="11">
        <v>22221</v>
      </c>
      <c r="H84" s="11">
        <v>41231</v>
      </c>
      <c r="I84" s="11">
        <v>17483</v>
      </c>
      <c r="J84" s="66">
        <f t="shared" si="4"/>
        <v>46.106085227134926</v>
      </c>
      <c r="K84" s="66">
        <f t="shared" si="5"/>
        <v>53.893914772865081</v>
      </c>
    </row>
    <row r="85" spans="1:11" ht="27.6" x14ac:dyDescent="0.3">
      <c r="A85" s="10">
        <v>12</v>
      </c>
      <c r="B85" s="10" t="s">
        <v>419</v>
      </c>
      <c r="C85" s="10" t="str" cm="1">
        <f t="array" ref="C85">_xlfn.IFS(A85&lt;20, "ภาคกลาง", A85&lt;30, "ภาคตะวันออก", A85&lt;50, "ภาคตะวันออกเฉียงเหนือ", A85&lt;60, "ภาคเหนือ", A85&lt;80, "ภาคกลาง/ตะวันตก", A85&gt;=80, "ภาคใต้")</f>
        <v>ภาคกลาง</v>
      </c>
      <c r="D85" s="64">
        <v>1287</v>
      </c>
      <c r="E85" s="10" t="s">
        <v>428</v>
      </c>
      <c r="F85" s="11">
        <v>18241</v>
      </c>
      <c r="G85" s="11">
        <v>22123</v>
      </c>
      <c r="H85" s="11">
        <v>40364</v>
      </c>
      <c r="I85" s="11">
        <v>27183</v>
      </c>
      <c r="J85" s="66">
        <f t="shared" si="4"/>
        <v>45.19125953820236</v>
      </c>
      <c r="K85" s="66">
        <f t="shared" si="5"/>
        <v>54.808740461797647</v>
      </c>
    </row>
    <row r="86" spans="1:11" x14ac:dyDescent="0.3">
      <c r="A86" s="10">
        <v>12</v>
      </c>
      <c r="B86" s="10" t="s">
        <v>419</v>
      </c>
      <c r="C86" s="10" t="str" cm="1">
        <f t="array" ref="C86">_xlfn.IFS(A86&lt;20, "ภาคกลาง", A86&lt;30, "ภาคตะวันออก", A86&lt;50, "ภาคตะวันออกเฉียงเหนือ", A86&lt;60, "ภาคเหนือ", A86&lt;80, "ภาคกลาง/ตะวันตก", A86&gt;=80, "ภาคใต้")</f>
        <v>ภาคกลาง</v>
      </c>
      <c r="D86" s="64">
        <v>1288</v>
      </c>
      <c r="E86" s="10" t="s">
        <v>429</v>
      </c>
      <c r="F86" s="11">
        <v>5654</v>
      </c>
      <c r="G86" s="11">
        <v>6530</v>
      </c>
      <c r="H86" s="11">
        <v>12184</v>
      </c>
      <c r="I86" s="11">
        <v>7024</v>
      </c>
      <c r="J86" s="66">
        <f t="shared" si="4"/>
        <v>46.405121470781353</v>
      </c>
      <c r="K86" s="66">
        <f t="shared" si="5"/>
        <v>53.594878529218647</v>
      </c>
    </row>
    <row r="87" spans="1:11" ht="27.6" x14ac:dyDescent="0.3">
      <c r="A87" s="10">
        <v>12</v>
      </c>
      <c r="B87" s="10" t="s">
        <v>419</v>
      </c>
      <c r="C87" s="10" t="str" cm="1">
        <f t="array" ref="C87">_xlfn.IFS(A87&lt;20, "ภาคกลาง", A87&lt;30, "ภาคตะวันออก", A87&lt;50, "ภาคตะวันออกเฉียงเหนือ", A87&lt;60, "ภาคเหนือ", A87&lt;80, "ภาคกลาง/ตะวันตก", A87&gt;=80, "ภาคใต้")</f>
        <v>ภาคกลาง</v>
      </c>
      <c r="D87" s="64">
        <v>1289</v>
      </c>
      <c r="E87" s="10" t="s">
        <v>430</v>
      </c>
      <c r="F87" s="11">
        <v>23889</v>
      </c>
      <c r="G87" s="11">
        <v>28185</v>
      </c>
      <c r="H87" s="11">
        <v>52074</v>
      </c>
      <c r="I87" s="11">
        <v>25259</v>
      </c>
      <c r="J87" s="66">
        <f t="shared" si="4"/>
        <v>45.875100818066599</v>
      </c>
      <c r="K87" s="66">
        <f t="shared" si="5"/>
        <v>54.124899181933408</v>
      </c>
    </row>
    <row r="88" spans="1:11" x14ac:dyDescent="0.3">
      <c r="A88" s="10">
        <v>12</v>
      </c>
      <c r="B88" s="10" t="s">
        <v>419</v>
      </c>
      <c r="C88" s="10" t="str" cm="1">
        <f t="array" ref="C88">_xlfn.IFS(A88&lt;20, "ภาคกลาง", A88&lt;30, "ภาคตะวันออก", A88&lt;50, "ภาคตะวันออกเฉียงเหนือ", A88&lt;60, "ภาคเหนือ", A88&lt;80, "ภาคกลาง/ตะวันตก", A88&gt;=80, "ภาคใต้")</f>
        <v>ภาคกลาง</v>
      </c>
      <c r="D88" s="64">
        <v>1290</v>
      </c>
      <c r="E88" s="10" t="s">
        <v>431</v>
      </c>
      <c r="F88" s="11">
        <v>11408</v>
      </c>
      <c r="G88" s="11">
        <v>13521</v>
      </c>
      <c r="H88" s="11">
        <v>24929</v>
      </c>
      <c r="I88" s="11">
        <v>13668</v>
      </c>
      <c r="J88" s="66">
        <f t="shared" si="4"/>
        <v>45.761963977696659</v>
      </c>
      <c r="K88" s="66">
        <f t="shared" si="5"/>
        <v>54.238036022303341</v>
      </c>
    </row>
    <row r="89" spans="1:11" x14ac:dyDescent="0.3">
      <c r="A89" s="10">
        <v>12</v>
      </c>
      <c r="B89" s="10" t="s">
        <v>419</v>
      </c>
      <c r="C89" s="10" t="str" cm="1">
        <f t="array" ref="C89">_xlfn.IFS(A89&lt;20, "ภาคกลาง", A89&lt;30, "ภาคตะวันออก", A89&lt;50, "ภาคตะวันออกเฉียงเหนือ", A89&lt;60, "ภาคเหนือ", A89&lt;80, "ภาคกลาง/ตะวันตก", A89&gt;=80, "ภาคใต้")</f>
        <v>ภาคกลาง</v>
      </c>
      <c r="D89" s="64">
        <v>1291</v>
      </c>
      <c r="E89" s="10" t="s">
        <v>432</v>
      </c>
      <c r="F89" s="11">
        <v>11264</v>
      </c>
      <c r="G89" s="11">
        <v>13370</v>
      </c>
      <c r="H89" s="11">
        <v>24634</v>
      </c>
      <c r="I89" s="11">
        <v>16101</v>
      </c>
      <c r="J89" s="66">
        <f t="shared" si="4"/>
        <v>45.725420151010795</v>
      </c>
      <c r="K89" s="66">
        <f t="shared" si="5"/>
        <v>54.274579848989205</v>
      </c>
    </row>
    <row r="90" spans="1:11" ht="27.6" x14ac:dyDescent="0.3">
      <c r="A90" s="10">
        <v>12</v>
      </c>
      <c r="B90" s="10" t="s">
        <v>419</v>
      </c>
      <c r="C90" s="10" t="str" cm="1">
        <f t="array" ref="C90">_xlfn.IFS(A90&lt;20, "ภาคกลาง", A90&lt;30, "ภาคตะวันออก", A90&lt;50, "ภาคตะวันออกเฉียงเหนือ", A90&lt;60, "ภาคเหนือ", A90&lt;80, "ภาคกลาง/ตะวันตก", A90&gt;=80, "ภาคใต้")</f>
        <v>ภาคกลาง</v>
      </c>
      <c r="D90" s="64">
        <v>1292</v>
      </c>
      <c r="E90" s="10" t="s">
        <v>433</v>
      </c>
      <c r="F90" s="11">
        <v>1294</v>
      </c>
      <c r="G90" s="11">
        <v>1305</v>
      </c>
      <c r="H90" s="11">
        <v>2599</v>
      </c>
      <c r="I90" s="11">
        <v>1237</v>
      </c>
      <c r="J90" s="66">
        <f t="shared" si="4"/>
        <v>49.788380146210081</v>
      </c>
      <c r="K90" s="66">
        <f t="shared" si="5"/>
        <v>50.211619853789927</v>
      </c>
    </row>
    <row r="91" spans="1:11" x14ac:dyDescent="0.3">
      <c r="A91" s="10">
        <v>12</v>
      </c>
      <c r="B91" s="10" t="s">
        <v>419</v>
      </c>
      <c r="C91" s="10" t="str" cm="1">
        <f t="array" ref="C91">_xlfn.IFS(A91&lt;20, "ภาคกลาง", A91&lt;30, "ภาคตะวันออก", A91&lt;50, "ภาคตะวันออกเฉียงเหนือ", A91&lt;60, "ภาคเหนือ", A91&lt;80, "ภาคกลาง/ตะวันตก", A91&gt;=80, "ภาคใต้")</f>
        <v>ภาคกลาง</v>
      </c>
      <c r="D91" s="64">
        <v>1293</v>
      </c>
      <c r="E91" s="10" t="s">
        <v>434</v>
      </c>
      <c r="F91" s="11">
        <v>6621</v>
      </c>
      <c r="G91" s="11">
        <v>7376</v>
      </c>
      <c r="H91" s="11">
        <v>13997</v>
      </c>
      <c r="I91" s="11">
        <v>6572</v>
      </c>
      <c r="J91" s="66">
        <f t="shared" si="4"/>
        <v>47.302993498606845</v>
      </c>
      <c r="K91" s="66">
        <f t="shared" si="5"/>
        <v>52.697006501393147</v>
      </c>
    </row>
    <row r="92" spans="1:11" ht="27.6" x14ac:dyDescent="0.3">
      <c r="A92" s="10">
        <v>12</v>
      </c>
      <c r="B92" s="10" t="s">
        <v>419</v>
      </c>
      <c r="C92" s="10" t="str" cm="1">
        <f t="array" ref="C92">_xlfn.IFS(A92&lt;20, "ภาคกลาง", A92&lt;30, "ภาคตะวันออก", A92&lt;50, "ภาคตะวันออกเฉียงเหนือ", A92&lt;60, "ภาคเหนือ", A92&lt;80, "ภาคกลาง/ตะวันตก", A92&gt;=80, "ภาคใต้")</f>
        <v>ภาคกลาง</v>
      </c>
      <c r="D92" s="64">
        <v>1294</v>
      </c>
      <c r="E92" s="10" t="s">
        <v>435</v>
      </c>
      <c r="F92" s="11">
        <v>2932</v>
      </c>
      <c r="G92" s="11">
        <v>3071</v>
      </c>
      <c r="H92" s="11">
        <v>6003</v>
      </c>
      <c r="I92" s="11">
        <v>2847</v>
      </c>
      <c r="J92" s="66">
        <f t="shared" si="4"/>
        <v>48.84224554389472</v>
      </c>
      <c r="K92" s="66">
        <f t="shared" si="5"/>
        <v>51.157754456105273</v>
      </c>
    </row>
    <row r="93" spans="1:11" ht="27.6" x14ac:dyDescent="0.3">
      <c r="A93" s="10">
        <v>12</v>
      </c>
      <c r="B93" s="10" t="s">
        <v>419</v>
      </c>
      <c r="C93" s="10" t="str" cm="1">
        <f t="array" ref="C93">_xlfn.IFS(A93&lt;20, "ภาคกลาง", A93&lt;30, "ภาคตะวันออก", A93&lt;50, "ภาคตะวันออกเฉียงเหนือ", A93&lt;60, "ภาคเหนือ", A93&lt;80, "ภาคกลาง/ตะวันตก", A93&gt;=80, "ภาคใต้")</f>
        <v>ภาคกลาง</v>
      </c>
      <c r="D93" s="64">
        <v>1295</v>
      </c>
      <c r="E93" s="10" t="s">
        <v>436</v>
      </c>
      <c r="F93" s="11">
        <v>22198</v>
      </c>
      <c r="G93" s="11">
        <v>26310</v>
      </c>
      <c r="H93" s="11">
        <v>48508</v>
      </c>
      <c r="I93" s="11">
        <v>24758</v>
      </c>
      <c r="J93" s="66">
        <f t="shared" si="4"/>
        <v>45.761523872350949</v>
      </c>
      <c r="K93" s="66">
        <f t="shared" si="5"/>
        <v>54.238476127649051</v>
      </c>
    </row>
    <row r="94" spans="1:11" x14ac:dyDescent="0.3">
      <c r="A94" s="10">
        <v>12</v>
      </c>
      <c r="B94" s="10" t="s">
        <v>419</v>
      </c>
      <c r="C94" s="10" t="str" cm="1">
        <f t="array" ref="C94">_xlfn.IFS(A94&lt;20, "ภาคกลาง", A94&lt;30, "ภาคตะวันออก", A94&lt;50, "ภาคตะวันออกเฉียงเหนือ", A94&lt;60, "ภาคเหนือ", A94&lt;80, "ภาคกลาง/ตะวันตก", A94&gt;=80, "ภาคใต้")</f>
        <v>ภาคกลาง</v>
      </c>
      <c r="D94" s="64">
        <v>1296</v>
      </c>
      <c r="E94" s="10" t="s">
        <v>437</v>
      </c>
      <c r="F94" s="11">
        <v>15241</v>
      </c>
      <c r="G94" s="11">
        <v>17920</v>
      </c>
      <c r="H94" s="11">
        <v>33161</v>
      </c>
      <c r="I94" s="11">
        <v>13922</v>
      </c>
      <c r="J94" s="66">
        <f t="shared" si="4"/>
        <v>45.960616386719337</v>
      </c>
      <c r="K94" s="66">
        <f t="shared" si="5"/>
        <v>54.039383613280656</v>
      </c>
    </row>
    <row r="95" spans="1:11" x14ac:dyDescent="0.3">
      <c r="A95" s="10">
        <v>12</v>
      </c>
      <c r="B95" s="10" t="s">
        <v>419</v>
      </c>
      <c r="C95" s="10" t="str" cm="1">
        <f t="array" ref="C95">_xlfn.IFS(A95&lt;20, "ภาคกลาง", A95&lt;30, "ภาคตะวันออก", A95&lt;50, "ภาคตะวันออกเฉียงเหนือ", A95&lt;60, "ภาคเหนือ", A95&lt;80, "ภาคกลาง/ตะวันตก", A95&gt;=80, "ภาคใต้")</f>
        <v>ภาคกลาง</v>
      </c>
      <c r="D95" s="64">
        <v>1297</v>
      </c>
      <c r="E95" s="10" t="s">
        <v>438</v>
      </c>
      <c r="F95" s="11">
        <v>20294</v>
      </c>
      <c r="G95" s="11">
        <v>24158</v>
      </c>
      <c r="H95" s="11">
        <v>44452</v>
      </c>
      <c r="I95" s="11">
        <v>23084</v>
      </c>
      <c r="J95" s="66">
        <f t="shared" si="4"/>
        <v>45.653738864393048</v>
      </c>
      <c r="K95" s="66">
        <f t="shared" si="5"/>
        <v>54.346261135606944</v>
      </c>
    </row>
    <row r="96" spans="1:11" ht="27.6" x14ac:dyDescent="0.3">
      <c r="A96" s="10">
        <v>12</v>
      </c>
      <c r="B96" s="10" t="s">
        <v>419</v>
      </c>
      <c r="C96" s="10" t="str" cm="1">
        <f t="array" ref="C96">_xlfn.IFS(A96&lt;20, "ภาคกลาง", A96&lt;30, "ภาคตะวันออก", A96&lt;50, "ภาคตะวันออกเฉียงเหนือ", A96&lt;60, "ภาคเหนือ", A96&lt;80, "ภาคกลาง/ตะวันตก", A96&gt;=80, "ภาคใต้")</f>
        <v>ภาคกลาง</v>
      </c>
      <c r="D96" s="64">
        <v>1298</v>
      </c>
      <c r="E96" s="10" t="s">
        <v>439</v>
      </c>
      <c r="F96" s="11">
        <v>86885</v>
      </c>
      <c r="G96" s="11">
        <v>101978</v>
      </c>
      <c r="H96" s="11">
        <v>188863</v>
      </c>
      <c r="I96" s="11">
        <v>141775</v>
      </c>
      <c r="J96" s="66">
        <f t="shared" si="4"/>
        <v>46.00424646436835</v>
      </c>
      <c r="K96" s="66">
        <f t="shared" si="5"/>
        <v>53.99575353563165</v>
      </c>
    </row>
    <row r="97" spans="1:11" x14ac:dyDescent="0.3">
      <c r="A97" s="10">
        <v>12</v>
      </c>
      <c r="B97" s="10" t="s">
        <v>419</v>
      </c>
      <c r="C97" s="10" t="str" cm="1">
        <f t="array" ref="C97">_xlfn.IFS(A97&lt;20, "ภาคกลาง", A97&lt;30, "ภาคตะวันออก", A97&lt;50, "ภาคตะวันออกเฉียงเหนือ", A97&lt;60, "ภาคเหนือ", A97&lt;80, "ภาคกลาง/ตะวันตก", A97&gt;=80, "ภาคใต้")</f>
        <v>ภาคกลาง</v>
      </c>
      <c r="D97" s="64">
        <v>1299</v>
      </c>
      <c r="E97" s="10" t="s">
        <v>440</v>
      </c>
      <c r="F97" s="11">
        <v>23979</v>
      </c>
      <c r="G97" s="11">
        <v>28520</v>
      </c>
      <c r="H97" s="11">
        <v>52499</v>
      </c>
      <c r="I97" s="11">
        <v>27957</v>
      </c>
      <c r="J97" s="66">
        <f t="shared" si="4"/>
        <v>45.675155717251755</v>
      </c>
      <c r="K97" s="66">
        <f t="shared" si="5"/>
        <v>54.324844282748245</v>
      </c>
    </row>
    <row r="98" spans="1:11" hidden="1" x14ac:dyDescent="0.3">
      <c r="A98" s="10">
        <v>12</v>
      </c>
      <c r="B98" s="10" t="s">
        <v>419</v>
      </c>
      <c r="C98" s="10" t="str" cm="1">
        <f t="array" ref="C98">_xlfn.IFS(A98&lt;20, "ภาคกลาง", A98&lt;30, "ภาคตะวันออก", A98&lt;50, "ภาคตะวันออกเฉียงเหนือ", A98&lt;60, "ภาคเหนือ", A98&lt;80, "ภาคกลาง/ตะวันตก", A98&gt;=80, "ภาคใต้")</f>
        <v>ภาคกลาง</v>
      </c>
      <c r="D98" s="10">
        <v>0</v>
      </c>
      <c r="E98" s="10" t="s">
        <v>343</v>
      </c>
      <c r="F98" s="11">
        <v>112071</v>
      </c>
      <c r="G98" s="11">
        <v>129112</v>
      </c>
      <c r="H98" s="11">
        <v>241183</v>
      </c>
      <c r="I98" s="11">
        <v>153834</v>
      </c>
      <c r="J98"/>
      <c r="K98"/>
    </row>
    <row r="99" spans="1:11" x14ac:dyDescent="0.3">
      <c r="A99" s="10">
        <v>13</v>
      </c>
      <c r="B99" s="10" t="s">
        <v>441</v>
      </c>
      <c r="C99" s="10" t="str" cm="1">
        <f t="array" ref="C99">_xlfn.IFS(A99&lt;20, "ภาคกลาง", A99&lt;30, "ภาคตะวันออก", A99&lt;50, "ภาคตะวันออกเฉียงเหนือ", A99&lt;60, "ภาคเหนือ", A99&lt;80, "ภาคกลาง/ตะวันตก", A99&gt;=80, "ภาคใต้")</f>
        <v>ภาคกลาง</v>
      </c>
      <c r="D99" s="64">
        <v>1301</v>
      </c>
      <c r="E99" s="10" t="s">
        <v>442</v>
      </c>
      <c r="F99" s="11">
        <v>584170</v>
      </c>
      <c r="G99" s="11">
        <v>652301</v>
      </c>
      <c r="H99" s="11">
        <v>1236471</v>
      </c>
      <c r="I99" s="11">
        <v>716096</v>
      </c>
      <c r="J99" s="66">
        <f t="shared" ref="J99:J124" si="6">F99/H99*100</f>
        <v>47.244941450304943</v>
      </c>
      <c r="K99" s="66">
        <f t="shared" ref="K99:K124" si="7">G99/H99*100</f>
        <v>52.755058549695057</v>
      </c>
    </row>
    <row r="100" spans="1:11" x14ac:dyDescent="0.3">
      <c r="A100" s="10">
        <v>13</v>
      </c>
      <c r="B100" s="10" t="s">
        <v>441</v>
      </c>
      <c r="C100" s="10" t="str" cm="1">
        <f t="array" ref="C100">_xlfn.IFS(A100&lt;20, "ภาคกลาง", A100&lt;30, "ภาคตะวันออก", A100&lt;50, "ภาคตะวันออกเฉียงเหนือ", A100&lt;60, "ภาคเหนือ", A100&lt;80, "ภาคกลาง/ตะวันตก", A100&gt;=80, "ภาคใต้")</f>
        <v>ภาคกลาง</v>
      </c>
      <c r="D100" s="64">
        <v>1302</v>
      </c>
      <c r="E100" s="10" t="s">
        <v>443</v>
      </c>
      <c r="F100" s="11">
        <v>49341</v>
      </c>
      <c r="G100" s="11">
        <v>54354</v>
      </c>
      <c r="H100" s="11">
        <v>103695</v>
      </c>
      <c r="I100" s="11">
        <v>53829</v>
      </c>
      <c r="J100" s="66">
        <f t="shared" si="6"/>
        <v>47.582814986257773</v>
      </c>
      <c r="K100" s="66">
        <f t="shared" si="7"/>
        <v>52.417185013742227</v>
      </c>
    </row>
    <row r="101" spans="1:11" x14ac:dyDescent="0.3">
      <c r="A101" s="10">
        <v>13</v>
      </c>
      <c r="B101" s="10" t="s">
        <v>441</v>
      </c>
      <c r="C101" s="10" t="str" cm="1">
        <f t="array" ref="C101">_xlfn.IFS(A101&lt;20, "ภาคกลาง", A101&lt;30, "ภาคตะวันออก", A101&lt;50, "ภาคตะวันออกเฉียงเหนือ", A101&lt;60, "ภาคเหนือ", A101&lt;80, "ภาคกลาง/ตะวันตก", A101&gt;=80, "ภาคใต้")</f>
        <v>ภาคกลาง</v>
      </c>
      <c r="D101" s="64">
        <v>1304</v>
      </c>
      <c r="E101" s="10" t="s">
        <v>444</v>
      </c>
      <c r="F101" s="11">
        <v>74503</v>
      </c>
      <c r="G101" s="11">
        <v>82914</v>
      </c>
      <c r="H101" s="11">
        <v>157417</v>
      </c>
      <c r="I101" s="11">
        <v>79158</v>
      </c>
      <c r="J101" s="66">
        <f t="shared" si="6"/>
        <v>47.328433396647121</v>
      </c>
      <c r="K101" s="66">
        <f t="shared" si="7"/>
        <v>52.671566603352879</v>
      </c>
    </row>
    <row r="102" spans="1:11" x14ac:dyDescent="0.3">
      <c r="A102" s="10">
        <v>13</v>
      </c>
      <c r="B102" s="10" t="s">
        <v>441</v>
      </c>
      <c r="C102" s="10" t="str" cm="1">
        <f t="array" ref="C102">_xlfn.IFS(A102&lt;20, "ภาคกลาง", A102&lt;30, "ภาคตะวันออก", A102&lt;50, "ภาคตะวันออกเฉียงเหนือ", A102&lt;60, "ภาคเหนือ", A102&lt;80, "ภาคกลาง/ตะวันตก", A102&gt;=80, "ภาคใต้")</f>
        <v>ภาคกลาง</v>
      </c>
      <c r="D102" s="64">
        <v>1305</v>
      </c>
      <c r="E102" s="10" t="s">
        <v>445</v>
      </c>
      <c r="F102" s="11">
        <v>26334</v>
      </c>
      <c r="G102" s="11">
        <v>26896</v>
      </c>
      <c r="H102" s="11">
        <v>53230</v>
      </c>
      <c r="I102" s="11">
        <v>18370</v>
      </c>
      <c r="J102" s="66">
        <f t="shared" si="6"/>
        <v>49.472102198008642</v>
      </c>
      <c r="K102" s="66">
        <f t="shared" si="7"/>
        <v>50.527897801991358</v>
      </c>
    </row>
    <row r="103" spans="1:11" x14ac:dyDescent="0.3">
      <c r="A103" s="10">
        <v>13</v>
      </c>
      <c r="B103" s="10" t="s">
        <v>441</v>
      </c>
      <c r="C103" s="10" t="str" cm="1">
        <f t="array" ref="C103">_xlfn.IFS(A103&lt;20, "ภาคกลาง", A103&lt;30, "ภาคตะวันออก", A103&lt;50, "ภาคตะวันออกเฉียงเหนือ", A103&lt;60, "ภาคเหนือ", A103&lt;80, "ภาคกลาง/ตะวันตก", A103&gt;=80, "ภาคใต้")</f>
        <v>ภาคกลาง</v>
      </c>
      <c r="D103" s="64">
        <v>1306</v>
      </c>
      <c r="E103" s="10" t="s">
        <v>446</v>
      </c>
      <c r="F103" s="11">
        <v>30143</v>
      </c>
      <c r="G103" s="11">
        <v>31837</v>
      </c>
      <c r="H103" s="11">
        <v>61980</v>
      </c>
      <c r="I103" s="11">
        <v>32552</v>
      </c>
      <c r="J103" s="66">
        <f t="shared" si="6"/>
        <v>48.633430138754434</v>
      </c>
      <c r="K103" s="66">
        <f t="shared" si="7"/>
        <v>51.366569861245559</v>
      </c>
    </row>
    <row r="104" spans="1:11" x14ac:dyDescent="0.3">
      <c r="A104" s="10">
        <v>13</v>
      </c>
      <c r="B104" s="10" t="s">
        <v>441</v>
      </c>
      <c r="C104" s="10" t="str" cm="1">
        <f t="array" ref="C104">_xlfn.IFS(A104&lt;20, "ภาคกลาง", A104&lt;30, "ภาคตะวันออก", A104&lt;50, "ภาคตะวันออกเฉียงเหนือ", A104&lt;60, "ภาคเหนือ", A104&lt;80, "ภาคกลาง/ตะวันตก", A104&gt;=80, "ภาคใต้")</f>
        <v>ภาคกลาง</v>
      </c>
      <c r="D104" s="64">
        <v>1307</v>
      </c>
      <c r="E104" s="10" t="s">
        <v>447</v>
      </c>
      <c r="F104" s="11">
        <v>44499</v>
      </c>
      <c r="G104" s="11">
        <v>47784</v>
      </c>
      <c r="H104" s="11">
        <v>92283</v>
      </c>
      <c r="I104" s="11">
        <v>47687</v>
      </c>
      <c r="J104" s="66">
        <f t="shared" si="6"/>
        <v>48.220148889828032</v>
      </c>
      <c r="K104" s="66">
        <f t="shared" si="7"/>
        <v>51.779851110171968</v>
      </c>
    </row>
    <row r="105" spans="1:11" x14ac:dyDescent="0.3">
      <c r="A105" s="10">
        <v>13</v>
      </c>
      <c r="B105" s="10" t="s">
        <v>441</v>
      </c>
      <c r="C105" s="10" t="str" cm="1">
        <f t="array" ref="C105">_xlfn.IFS(A105&lt;20, "ภาคกลาง", A105&lt;30, "ภาคตะวันออก", A105&lt;50, "ภาคตะวันออกเฉียงเหนือ", A105&lt;60, "ภาคเหนือ", A105&lt;80, "ภาคกลาง/ตะวันตก", A105&gt;=80, "ภาคใต้")</f>
        <v>ภาคกลาง</v>
      </c>
      <c r="D105" s="64">
        <v>1379</v>
      </c>
      <c r="E105" s="10" t="s">
        <v>448</v>
      </c>
      <c r="F105" s="11">
        <v>22500</v>
      </c>
      <c r="G105" s="11">
        <v>24085</v>
      </c>
      <c r="H105" s="11">
        <v>46585</v>
      </c>
      <c r="I105" s="11">
        <v>21923</v>
      </c>
      <c r="J105" s="66">
        <f t="shared" si="6"/>
        <v>48.298808629387139</v>
      </c>
      <c r="K105" s="66">
        <f t="shared" si="7"/>
        <v>51.701191370612854</v>
      </c>
    </row>
    <row r="106" spans="1:11" x14ac:dyDescent="0.3">
      <c r="A106" s="10">
        <v>13</v>
      </c>
      <c r="B106" s="10" t="s">
        <v>441</v>
      </c>
      <c r="C106" s="10" t="str" cm="1">
        <f t="array" ref="C106">_xlfn.IFS(A106&lt;20, "ภาคกลาง", A106&lt;30, "ภาคตะวันออก", A106&lt;50, "ภาคตะวันออกเฉียงเหนือ", A106&lt;60, "ภาคเหนือ", A106&lt;80, "ภาคกลาง/ตะวันตก", A106&gt;=80, "ภาคใต้")</f>
        <v>ภาคกลาง</v>
      </c>
      <c r="D106" s="64">
        <v>1380</v>
      </c>
      <c r="E106" s="10" t="s">
        <v>449</v>
      </c>
      <c r="F106" s="11">
        <v>34392</v>
      </c>
      <c r="G106" s="11">
        <v>39735</v>
      </c>
      <c r="H106" s="11">
        <v>74127</v>
      </c>
      <c r="I106" s="11">
        <v>43060</v>
      </c>
      <c r="J106" s="66">
        <f t="shared" si="6"/>
        <v>46.396050022259097</v>
      </c>
      <c r="K106" s="66">
        <f t="shared" si="7"/>
        <v>53.603949977740903</v>
      </c>
    </row>
    <row r="107" spans="1:11" ht="27.6" x14ac:dyDescent="0.3">
      <c r="A107" s="10">
        <v>13</v>
      </c>
      <c r="B107" s="10" t="s">
        <v>441</v>
      </c>
      <c r="C107" s="10" t="str" cm="1">
        <f t="array" ref="C107">_xlfn.IFS(A107&lt;20, "ภาคกลาง", A107&lt;30, "ภาคตะวันออก", A107&lt;50, "ภาคตะวันออกเฉียงเหนือ", A107&lt;60, "ภาคเหนือ", A107&lt;80, "ภาคกลาง/ตะวันตก", A107&gt;=80, "ภาคใต้")</f>
        <v>ภาคกลาง</v>
      </c>
      <c r="D107" s="64">
        <v>1381</v>
      </c>
      <c r="E107" s="10" t="s">
        <v>450</v>
      </c>
      <c r="F107" s="11">
        <v>12562</v>
      </c>
      <c r="G107" s="11">
        <v>14183</v>
      </c>
      <c r="H107" s="11">
        <v>26745</v>
      </c>
      <c r="I107" s="11">
        <v>22598</v>
      </c>
      <c r="J107" s="66">
        <f t="shared" si="6"/>
        <v>46.969527014395211</v>
      </c>
      <c r="K107" s="66">
        <f t="shared" si="7"/>
        <v>53.030472985604781</v>
      </c>
    </row>
    <row r="108" spans="1:11" ht="27.6" x14ac:dyDescent="0.3">
      <c r="A108" s="10">
        <v>13</v>
      </c>
      <c r="B108" s="10" t="s">
        <v>441</v>
      </c>
      <c r="C108" s="10" t="str" cm="1">
        <f t="array" ref="C108">_xlfn.IFS(A108&lt;20, "ภาคกลาง", A108&lt;30, "ภาคตะวันออก", A108&lt;50, "ภาคตะวันออกเฉียงเหนือ", A108&lt;60, "ภาคเหนือ", A108&lt;80, "ภาคกลาง/ตะวันตก", A108&gt;=80, "ภาคใต้")</f>
        <v>ภาคกลาง</v>
      </c>
      <c r="D108" s="64">
        <v>1382</v>
      </c>
      <c r="E108" s="10" t="s">
        <v>451</v>
      </c>
      <c r="F108" s="11">
        <v>6278</v>
      </c>
      <c r="G108" s="11">
        <v>7143</v>
      </c>
      <c r="H108" s="11">
        <v>13421</v>
      </c>
      <c r="I108" s="11">
        <v>7614</v>
      </c>
      <c r="J108" s="66">
        <f t="shared" si="6"/>
        <v>46.777438342895458</v>
      </c>
      <c r="K108" s="66">
        <f t="shared" si="7"/>
        <v>53.222561657104542</v>
      </c>
    </row>
    <row r="109" spans="1:11" x14ac:dyDescent="0.3">
      <c r="A109" s="10">
        <v>13</v>
      </c>
      <c r="B109" s="10" t="s">
        <v>441</v>
      </c>
      <c r="C109" s="10" t="str" cm="1">
        <f t="array" ref="C109">_xlfn.IFS(A109&lt;20, "ภาคกลาง", A109&lt;30, "ภาคตะวันออก", A109&lt;50, "ภาคตะวันออกเฉียงเหนือ", A109&lt;60, "ภาคเหนือ", A109&lt;80, "ภาคกลาง/ตะวันตก", A109&gt;=80, "ภาคใต้")</f>
        <v>ภาคกลาง</v>
      </c>
      <c r="D109" s="64">
        <v>1383</v>
      </c>
      <c r="E109" s="10" t="s">
        <v>452</v>
      </c>
      <c r="F109" s="11">
        <v>30376</v>
      </c>
      <c r="G109" s="11">
        <v>35368</v>
      </c>
      <c r="H109" s="11">
        <v>65744</v>
      </c>
      <c r="I109" s="11">
        <v>34215</v>
      </c>
      <c r="J109" s="66">
        <f t="shared" si="6"/>
        <v>46.20345582866878</v>
      </c>
      <c r="K109" s="66">
        <f t="shared" si="7"/>
        <v>53.796544171331227</v>
      </c>
    </row>
    <row r="110" spans="1:11" x14ac:dyDescent="0.3">
      <c r="A110" s="10">
        <v>13</v>
      </c>
      <c r="B110" s="10" t="s">
        <v>441</v>
      </c>
      <c r="C110" s="10" t="str" cm="1">
        <f t="array" ref="C110">_xlfn.IFS(A110&lt;20, "ภาคกลาง", A110&lt;30, "ภาคตะวันออก", A110&lt;50, "ภาคตะวันออกเฉียงเหนือ", A110&lt;60, "ภาคเหนือ", A110&lt;80, "ภาคกลาง/ตะวันตก", A110&gt;=80, "ภาคใต้")</f>
        <v>ภาคกลาง</v>
      </c>
      <c r="D110" s="64">
        <v>1384</v>
      </c>
      <c r="E110" s="10" t="s">
        <v>453</v>
      </c>
      <c r="F110" s="11">
        <v>15493</v>
      </c>
      <c r="G110" s="11">
        <v>17926</v>
      </c>
      <c r="H110" s="11">
        <v>33419</v>
      </c>
      <c r="I110" s="11">
        <v>21232</v>
      </c>
      <c r="J110" s="66">
        <f t="shared" si="6"/>
        <v>46.359855172207425</v>
      </c>
      <c r="K110" s="66">
        <f t="shared" si="7"/>
        <v>53.640144827792568</v>
      </c>
    </row>
    <row r="111" spans="1:11" x14ac:dyDescent="0.3">
      <c r="A111" s="10">
        <v>13</v>
      </c>
      <c r="B111" s="10" t="s">
        <v>441</v>
      </c>
      <c r="C111" s="10" t="str" cm="1">
        <f t="array" ref="C111">_xlfn.IFS(A111&lt;20, "ภาคกลาง", A111&lt;30, "ภาคตะวันออก", A111&lt;50, "ภาคตะวันออกเฉียงเหนือ", A111&lt;60, "ภาคเหนือ", A111&lt;80, "ภาคกลาง/ตะวันตก", A111&gt;=80, "ภาคใต้")</f>
        <v>ภาคกลาง</v>
      </c>
      <c r="D111" s="64">
        <v>1386</v>
      </c>
      <c r="E111" s="10" t="s">
        <v>454</v>
      </c>
      <c r="F111" s="11">
        <v>15807</v>
      </c>
      <c r="G111" s="11">
        <v>18801</v>
      </c>
      <c r="H111" s="11">
        <v>34608</v>
      </c>
      <c r="I111" s="11">
        <v>16961</v>
      </c>
      <c r="J111" s="66">
        <f t="shared" si="6"/>
        <v>45.674410540915396</v>
      </c>
      <c r="K111" s="66">
        <f t="shared" si="7"/>
        <v>54.325589459084597</v>
      </c>
    </row>
    <row r="112" spans="1:11" x14ac:dyDescent="0.3">
      <c r="A112" s="10">
        <v>13</v>
      </c>
      <c r="B112" s="10" t="s">
        <v>441</v>
      </c>
      <c r="C112" s="10" t="str" cm="1">
        <f t="array" ref="C112">_xlfn.IFS(A112&lt;20, "ภาคกลาง", A112&lt;30, "ภาคตะวันออก", A112&lt;50, "ภาคตะวันออกเฉียงเหนือ", A112&lt;60, "ภาคเหนือ", A112&lt;80, "ภาคกลาง/ตะวันตก", A112&gt;=80, "ภาคใต้")</f>
        <v>ภาคกลาง</v>
      </c>
      <c r="D112" s="64">
        <v>1387</v>
      </c>
      <c r="E112" s="10" t="s">
        <v>455</v>
      </c>
      <c r="F112" s="11">
        <v>7665</v>
      </c>
      <c r="G112" s="11">
        <v>8824</v>
      </c>
      <c r="H112" s="11">
        <v>16489</v>
      </c>
      <c r="I112" s="11">
        <v>9185</v>
      </c>
      <c r="J112" s="66">
        <f t="shared" si="6"/>
        <v>46.485535811753294</v>
      </c>
      <c r="K112" s="66">
        <f t="shared" si="7"/>
        <v>53.514464188246713</v>
      </c>
    </row>
    <row r="113" spans="1:11" x14ac:dyDescent="0.3">
      <c r="A113" s="10">
        <v>13</v>
      </c>
      <c r="B113" s="10" t="s">
        <v>441</v>
      </c>
      <c r="C113" s="10" t="str" cm="1">
        <f t="array" ref="C113">_xlfn.IFS(A113&lt;20, "ภาคกลาง", A113&lt;30, "ภาคตะวันออก", A113&lt;50, "ภาคตะวันออกเฉียงเหนือ", A113&lt;60, "ภาคเหนือ", A113&lt;80, "ภาคกลาง/ตะวันตก", A113&gt;=80, "ภาคใต้")</f>
        <v>ภาคกลาง</v>
      </c>
      <c r="D113" s="64">
        <v>1388</v>
      </c>
      <c r="E113" s="10" t="s">
        <v>456</v>
      </c>
      <c r="F113" s="11">
        <v>5540</v>
      </c>
      <c r="G113" s="11">
        <v>5929</v>
      </c>
      <c r="H113" s="11">
        <v>11469</v>
      </c>
      <c r="I113" s="11">
        <v>5209</v>
      </c>
      <c r="J113" s="66">
        <f t="shared" si="6"/>
        <v>48.304124160781235</v>
      </c>
      <c r="K113" s="66">
        <f t="shared" si="7"/>
        <v>51.695875839218765</v>
      </c>
    </row>
    <row r="114" spans="1:11" x14ac:dyDescent="0.3">
      <c r="A114" s="10">
        <v>13</v>
      </c>
      <c r="B114" s="10" t="s">
        <v>441</v>
      </c>
      <c r="C114" s="10" t="str" cm="1">
        <f t="array" ref="C114">_xlfn.IFS(A114&lt;20, "ภาคกลาง", A114&lt;30, "ภาคตะวันออก", A114&lt;50, "ภาคตะวันออกเฉียงเหนือ", A114&lt;60, "ภาคเหนือ", A114&lt;80, "ภาคกลาง/ตะวันตก", A114&gt;=80, "ภาคใต้")</f>
        <v>ภาคกลาง</v>
      </c>
      <c r="D114" s="64">
        <v>1389</v>
      </c>
      <c r="E114" s="10" t="s">
        <v>457</v>
      </c>
      <c r="F114" s="11">
        <v>10211</v>
      </c>
      <c r="G114" s="11">
        <v>11422</v>
      </c>
      <c r="H114" s="11">
        <v>21633</v>
      </c>
      <c r="I114" s="11">
        <v>11782</v>
      </c>
      <c r="J114" s="66">
        <f t="shared" si="6"/>
        <v>47.201035455091755</v>
      </c>
      <c r="K114" s="66">
        <f t="shared" si="7"/>
        <v>52.798964544908245</v>
      </c>
    </row>
    <row r="115" spans="1:11" x14ac:dyDescent="0.3">
      <c r="A115" s="10">
        <v>13</v>
      </c>
      <c r="B115" s="10" t="s">
        <v>441</v>
      </c>
      <c r="C115" s="10" t="str" cm="1">
        <f t="array" ref="C115">_xlfn.IFS(A115&lt;20, "ภาคกลาง", A115&lt;30, "ภาคตะวันออก", A115&lt;50, "ภาคตะวันออกเฉียงเหนือ", A115&lt;60, "ภาคเหนือ", A115&lt;80, "ภาคกลาง/ตะวันตก", A115&gt;=80, "ภาคใต้")</f>
        <v>ภาคกลาง</v>
      </c>
      <c r="D115" s="64">
        <v>1390</v>
      </c>
      <c r="E115" s="10" t="s">
        <v>458</v>
      </c>
      <c r="F115" s="11">
        <v>1334</v>
      </c>
      <c r="G115" s="11">
        <v>1399</v>
      </c>
      <c r="H115" s="11">
        <v>2733</v>
      </c>
      <c r="I115" s="11">
        <v>1088</v>
      </c>
      <c r="J115" s="66">
        <f t="shared" si="6"/>
        <v>48.810830589096234</v>
      </c>
      <c r="K115" s="66">
        <f t="shared" si="7"/>
        <v>51.189169410903766</v>
      </c>
    </row>
    <row r="116" spans="1:11" ht="27.6" x14ac:dyDescent="0.3">
      <c r="A116" s="10">
        <v>13</v>
      </c>
      <c r="B116" s="10" t="s">
        <v>441</v>
      </c>
      <c r="C116" s="10" t="str" cm="1">
        <f t="array" ref="C116">_xlfn.IFS(A116&lt;20, "ภาคกลาง", A116&lt;30, "ภาคตะวันออก", A116&lt;50, "ภาคตะวันออกเฉียงเหนือ", A116&lt;60, "ภาคเหนือ", A116&lt;80, "ภาคกลาง/ตะวันตก", A116&gt;=80, "ภาคใต้")</f>
        <v>ภาคกลาง</v>
      </c>
      <c r="D116" s="64">
        <v>1391</v>
      </c>
      <c r="E116" s="10" t="s">
        <v>459</v>
      </c>
      <c r="F116" s="11">
        <v>5387</v>
      </c>
      <c r="G116" s="11">
        <v>5788</v>
      </c>
      <c r="H116" s="11">
        <v>11175</v>
      </c>
      <c r="I116" s="11">
        <v>6073</v>
      </c>
      <c r="J116" s="66">
        <f t="shared" si="6"/>
        <v>48.205816554809843</v>
      </c>
      <c r="K116" s="66">
        <f t="shared" si="7"/>
        <v>51.794183445190157</v>
      </c>
    </row>
    <row r="117" spans="1:11" x14ac:dyDescent="0.3">
      <c r="A117" s="10">
        <v>13</v>
      </c>
      <c r="B117" s="10" t="s">
        <v>441</v>
      </c>
      <c r="C117" s="10" t="str" cm="1">
        <f t="array" ref="C117">_xlfn.IFS(A117&lt;20, "ภาคกลาง", A117&lt;30, "ภาคตะวันออก", A117&lt;50, "ภาคตะวันออกเฉียงเหนือ", A117&lt;60, "ภาคเหนือ", A117&lt;80, "ภาคกลาง/ตะวันตก", A117&gt;=80, "ภาคใต้")</f>
        <v>ภาคกลาง</v>
      </c>
      <c r="D117" s="64">
        <v>1392</v>
      </c>
      <c r="E117" s="10" t="s">
        <v>460</v>
      </c>
      <c r="F117" s="11">
        <v>1995</v>
      </c>
      <c r="G117" s="11">
        <v>2067</v>
      </c>
      <c r="H117" s="11">
        <v>4062</v>
      </c>
      <c r="I117" s="11">
        <v>2019</v>
      </c>
      <c r="J117" s="66">
        <f t="shared" si="6"/>
        <v>49.113737075332345</v>
      </c>
      <c r="K117" s="66">
        <f t="shared" si="7"/>
        <v>50.886262924667648</v>
      </c>
    </row>
    <row r="118" spans="1:11" x14ac:dyDescent="0.3">
      <c r="A118" s="10">
        <v>13</v>
      </c>
      <c r="B118" s="10" t="s">
        <v>441</v>
      </c>
      <c r="C118" s="10" t="str" cm="1">
        <f t="array" ref="C118">_xlfn.IFS(A118&lt;20, "ภาคกลาง", A118&lt;30, "ภาคตะวันออก", A118&lt;50, "ภาคตะวันออกเฉียงเหนือ", A118&lt;60, "ภาคเหนือ", A118&lt;80, "ภาคกลาง/ตะวันตก", A118&gt;=80, "ภาคใต้")</f>
        <v>ภาคกลาง</v>
      </c>
      <c r="D118" s="64">
        <v>1393</v>
      </c>
      <c r="E118" s="10" t="s">
        <v>461</v>
      </c>
      <c r="F118" s="11">
        <v>15645</v>
      </c>
      <c r="G118" s="11">
        <v>17542</v>
      </c>
      <c r="H118" s="11">
        <v>33187</v>
      </c>
      <c r="I118" s="11">
        <v>18204</v>
      </c>
      <c r="J118" s="66">
        <f t="shared" si="6"/>
        <v>47.141953174435777</v>
      </c>
      <c r="K118" s="66">
        <f t="shared" si="7"/>
        <v>52.85804682556423</v>
      </c>
    </row>
    <row r="119" spans="1:11" ht="27.6" x14ac:dyDescent="0.3">
      <c r="A119" s="10">
        <v>13</v>
      </c>
      <c r="B119" s="10" t="s">
        <v>441</v>
      </c>
      <c r="C119" s="10" t="str" cm="1">
        <f t="array" ref="C119">_xlfn.IFS(A119&lt;20, "ภาคกลาง", A119&lt;30, "ภาคตะวันออก", A119&lt;50, "ภาคตะวันออกเฉียงเหนือ", A119&lt;60, "ภาคเหนือ", A119&lt;80, "ภาคกลาง/ตะวันตก", A119&gt;=80, "ภาคใต้")</f>
        <v>ภาคกลาง</v>
      </c>
      <c r="D119" s="64">
        <v>1394</v>
      </c>
      <c r="E119" s="10" t="s">
        <v>462</v>
      </c>
      <c r="F119" s="11">
        <v>31208</v>
      </c>
      <c r="G119" s="11">
        <v>34678</v>
      </c>
      <c r="H119" s="11">
        <v>65886</v>
      </c>
      <c r="I119" s="11">
        <v>35018</v>
      </c>
      <c r="J119" s="66">
        <f t="shared" si="6"/>
        <v>47.366663631120417</v>
      </c>
      <c r="K119" s="66">
        <f t="shared" si="7"/>
        <v>52.633336368879583</v>
      </c>
    </row>
    <row r="120" spans="1:11" ht="27.6" x14ac:dyDescent="0.3">
      <c r="A120" s="10">
        <v>13</v>
      </c>
      <c r="B120" s="10" t="s">
        <v>441</v>
      </c>
      <c r="C120" s="10" t="str" cm="1">
        <f t="array" ref="C120">_xlfn.IFS(A120&lt;20, "ภาคกลาง", A120&lt;30, "ภาคตะวันออก", A120&lt;50, "ภาคตะวันออกเฉียงเหนือ", A120&lt;60, "ภาคเหนือ", A120&lt;80, "ภาคกลาง/ตะวันตก", A120&gt;=80, "ภาคใต้")</f>
        <v>ภาคกลาง</v>
      </c>
      <c r="D120" s="64">
        <v>1395</v>
      </c>
      <c r="E120" s="10" t="s">
        <v>463</v>
      </c>
      <c r="F120" s="11">
        <v>34625</v>
      </c>
      <c r="G120" s="11">
        <v>39684</v>
      </c>
      <c r="H120" s="11">
        <v>74309</v>
      </c>
      <c r="I120" s="11">
        <v>65588</v>
      </c>
      <c r="J120" s="66">
        <f t="shared" si="6"/>
        <v>46.595970878359282</v>
      </c>
      <c r="K120" s="66">
        <f t="shared" si="7"/>
        <v>53.404029121640718</v>
      </c>
    </row>
    <row r="121" spans="1:11" x14ac:dyDescent="0.3">
      <c r="A121" s="10">
        <v>13</v>
      </c>
      <c r="B121" s="10" t="s">
        <v>441</v>
      </c>
      <c r="C121" s="10" t="str" cm="1">
        <f t="array" ref="C121">_xlfn.IFS(A121&lt;20, "ภาคกลาง", A121&lt;30, "ภาคตะวันออก", A121&lt;50, "ภาคตะวันออกเฉียงเหนือ", A121&lt;60, "ภาคเหนือ", A121&lt;80, "ภาคกลาง/ตะวันตก", A121&gt;=80, "ภาคใต้")</f>
        <v>ภาคกลาง</v>
      </c>
      <c r="D121" s="64">
        <v>1396</v>
      </c>
      <c r="E121" s="10" t="s">
        <v>464</v>
      </c>
      <c r="F121" s="11">
        <v>3751</v>
      </c>
      <c r="G121" s="11">
        <v>4220</v>
      </c>
      <c r="H121" s="11">
        <v>7971</v>
      </c>
      <c r="I121" s="11">
        <v>4625</v>
      </c>
      <c r="J121" s="66">
        <f t="shared" si="6"/>
        <v>47.058085560155568</v>
      </c>
      <c r="K121" s="66">
        <f t="shared" si="7"/>
        <v>52.941914439844439</v>
      </c>
    </row>
    <row r="122" spans="1:11" x14ac:dyDescent="0.3">
      <c r="A122" s="10">
        <v>13</v>
      </c>
      <c r="B122" s="10" t="s">
        <v>441</v>
      </c>
      <c r="C122" s="10" t="str" cm="1">
        <f t="array" ref="C122">_xlfn.IFS(A122&lt;20, "ภาคกลาง", A122&lt;30, "ภาคตะวันออก", A122&lt;50, "ภาคตะวันออกเฉียงเหนือ", A122&lt;60, "ภาคเหนือ", A122&lt;80, "ภาคกลาง/ตะวันตก", A122&gt;=80, "ภาคใต้")</f>
        <v>ภาคกลาง</v>
      </c>
      <c r="D122" s="64">
        <v>1397</v>
      </c>
      <c r="E122" s="10" t="s">
        <v>465</v>
      </c>
      <c r="F122" s="11">
        <v>34959</v>
      </c>
      <c r="G122" s="11">
        <v>39828</v>
      </c>
      <c r="H122" s="11">
        <v>74787</v>
      </c>
      <c r="I122" s="11">
        <v>60771</v>
      </c>
      <c r="J122" s="66">
        <f t="shared" si="6"/>
        <v>46.744755104496768</v>
      </c>
      <c r="K122" s="66">
        <f t="shared" si="7"/>
        <v>53.255244895503232</v>
      </c>
    </row>
    <row r="123" spans="1:11" x14ac:dyDescent="0.3">
      <c r="A123" s="10">
        <v>13</v>
      </c>
      <c r="B123" s="10" t="s">
        <v>441</v>
      </c>
      <c r="C123" s="10" t="str" cm="1">
        <f t="array" ref="C123">_xlfn.IFS(A123&lt;20, "ภาคกลาง", A123&lt;30, "ภาคตะวันออก", A123&lt;50, "ภาคตะวันออกเฉียงเหนือ", A123&lt;60, "ภาคเหนือ", A123&lt;80, "ภาคกลาง/ตะวันตก", A123&gt;=80, "ภาคใต้")</f>
        <v>ภาคกลาง</v>
      </c>
      <c r="D123" s="64">
        <v>1398</v>
      </c>
      <c r="E123" s="10" t="s">
        <v>466</v>
      </c>
      <c r="F123" s="11">
        <v>19829</v>
      </c>
      <c r="G123" s="11">
        <v>22243</v>
      </c>
      <c r="H123" s="11">
        <v>42072</v>
      </c>
      <c r="I123" s="11">
        <v>29248</v>
      </c>
      <c r="J123" s="66">
        <f t="shared" si="6"/>
        <v>47.13110857577486</v>
      </c>
      <c r="K123" s="66">
        <f t="shared" si="7"/>
        <v>52.86889142422514</v>
      </c>
    </row>
    <row r="124" spans="1:11" x14ac:dyDescent="0.3">
      <c r="A124" s="10">
        <v>13</v>
      </c>
      <c r="B124" s="10" t="s">
        <v>441</v>
      </c>
      <c r="C124" s="10" t="str" cm="1">
        <f t="array" ref="C124">_xlfn.IFS(A124&lt;20, "ภาคกลาง", A124&lt;30, "ภาคตะวันออก", A124&lt;50, "ภาคตะวันออกเฉียงเหนือ", A124&lt;60, "ภาคเหนือ", A124&lt;80, "ภาคกลาง/ตะวันตก", A124&gt;=80, "ภาคใต้")</f>
        <v>ภาคกลาง</v>
      </c>
      <c r="D124" s="64">
        <v>1399</v>
      </c>
      <c r="E124" s="10" t="s">
        <v>467</v>
      </c>
      <c r="F124" s="11">
        <v>39418</v>
      </c>
      <c r="G124" s="11">
        <v>45906</v>
      </c>
      <c r="H124" s="11">
        <v>85324</v>
      </c>
      <c r="I124" s="11">
        <v>58403</v>
      </c>
      <c r="J124" s="66">
        <f t="shared" si="6"/>
        <v>46.198021658618913</v>
      </c>
      <c r="K124" s="66">
        <f t="shared" si="7"/>
        <v>53.801978341381087</v>
      </c>
    </row>
    <row r="125" spans="1:11" hidden="1" x14ac:dyDescent="0.3">
      <c r="A125" s="10">
        <v>13</v>
      </c>
      <c r="B125" s="10" t="s">
        <v>441</v>
      </c>
      <c r="C125" s="10" t="str" cm="1">
        <f t="array" ref="C125">_xlfn.IFS(A125&lt;20, "ภาคกลาง", A125&lt;30, "ภาคตะวันออก", A125&lt;50, "ภาคตะวันออกเฉียงเหนือ", A125&lt;60, "ภาคเหนือ", A125&lt;80, "ภาคกลาง/ตะวันตก", A125&gt;=80, "ภาคใต้")</f>
        <v>ภาคกลาง</v>
      </c>
      <c r="D125" s="10">
        <v>0</v>
      </c>
      <c r="E125" s="10" t="s">
        <v>343</v>
      </c>
      <c r="F125" s="11">
        <v>10375</v>
      </c>
      <c r="G125" s="11">
        <v>11745</v>
      </c>
      <c r="H125" s="11">
        <v>22120</v>
      </c>
      <c r="I125" s="11">
        <v>9684</v>
      </c>
      <c r="J125"/>
      <c r="K125"/>
    </row>
    <row r="126" spans="1:11" x14ac:dyDescent="0.3">
      <c r="A126" s="10">
        <v>14</v>
      </c>
      <c r="B126" s="10" t="s">
        <v>468</v>
      </c>
      <c r="C126" s="10" t="str" cm="1">
        <f t="array" ref="C126">_xlfn.IFS(A126&lt;20, "ภาคกลาง", A126&lt;30, "ภาคตะวันออก", A126&lt;50, "ภาคตะวันออกเฉียงเหนือ", A126&lt;60, "ภาคเหนือ", A126&lt;80, "ภาคกลาง/ตะวันตก", A126&gt;=80, "ภาคใต้")</f>
        <v>ภาคกลาง</v>
      </c>
      <c r="D126" s="64">
        <v>1401</v>
      </c>
      <c r="E126" s="10" t="s">
        <v>469</v>
      </c>
      <c r="F126" s="11">
        <v>394331</v>
      </c>
      <c r="G126" s="11">
        <v>428389</v>
      </c>
      <c r="H126" s="11">
        <v>822720</v>
      </c>
      <c r="I126" s="11">
        <v>362285</v>
      </c>
      <c r="J126" s="66">
        <f t="shared" ref="J126:J176" si="8">F126/H126*100</f>
        <v>47.930158498638662</v>
      </c>
      <c r="K126" s="66">
        <f t="shared" ref="K126:K176" si="9">G126/H126*100</f>
        <v>52.069841501361338</v>
      </c>
    </row>
    <row r="127" spans="1:11" x14ac:dyDescent="0.3">
      <c r="A127" s="10">
        <v>14</v>
      </c>
      <c r="B127" s="10" t="s">
        <v>468</v>
      </c>
      <c r="C127" s="10" t="str" cm="1">
        <f t="array" ref="C127">_xlfn.IFS(A127&lt;20, "ภาคกลาง", A127&lt;30, "ภาคตะวันออก", A127&lt;50, "ภาคตะวันออกเฉียงเหนือ", A127&lt;60, "ภาคเหนือ", A127&lt;80, "ภาคกลาง/ตะวันตก", A127&gt;=80, "ภาคใต้")</f>
        <v>ภาคกลาง</v>
      </c>
      <c r="D127" s="64">
        <v>1402</v>
      </c>
      <c r="E127" s="10" t="s">
        <v>470</v>
      </c>
      <c r="F127" s="11">
        <v>34471</v>
      </c>
      <c r="G127" s="11">
        <v>37891</v>
      </c>
      <c r="H127" s="11">
        <v>72362</v>
      </c>
      <c r="I127" s="11">
        <v>27558</v>
      </c>
      <c r="J127" s="66">
        <f t="shared" si="8"/>
        <v>47.636881236007852</v>
      </c>
      <c r="K127" s="66">
        <f t="shared" si="9"/>
        <v>52.363118763992155</v>
      </c>
    </row>
    <row r="128" spans="1:11" x14ac:dyDescent="0.3">
      <c r="A128" s="10">
        <v>14</v>
      </c>
      <c r="B128" s="10" t="s">
        <v>468</v>
      </c>
      <c r="C128" s="10" t="str" cm="1">
        <f t="array" ref="C128">_xlfn.IFS(A128&lt;20, "ภาคกลาง", A128&lt;30, "ภาคตะวันออก", A128&lt;50, "ภาคตะวันออกเฉียงเหนือ", A128&lt;60, "ภาคเหนือ", A128&lt;80, "ภาคกลาง/ตะวันตก", A128&gt;=80, "ภาคใต้")</f>
        <v>ภาคกลาง</v>
      </c>
      <c r="D128" s="64">
        <v>1403</v>
      </c>
      <c r="E128" s="10" t="s">
        <v>471</v>
      </c>
      <c r="F128" s="11">
        <v>14680</v>
      </c>
      <c r="G128" s="11">
        <v>16177</v>
      </c>
      <c r="H128" s="11">
        <v>30857</v>
      </c>
      <c r="I128" s="11">
        <v>12016</v>
      </c>
      <c r="J128" s="66">
        <f t="shared" si="8"/>
        <v>47.574294325436696</v>
      </c>
      <c r="K128" s="66">
        <f t="shared" si="9"/>
        <v>52.425705674563304</v>
      </c>
    </row>
    <row r="129" spans="1:11" x14ac:dyDescent="0.3">
      <c r="A129" s="10">
        <v>14</v>
      </c>
      <c r="B129" s="10" t="s">
        <v>468</v>
      </c>
      <c r="C129" s="10" t="str" cm="1">
        <f t="array" ref="C129">_xlfn.IFS(A129&lt;20, "ภาคกลาง", A129&lt;30, "ภาคตะวันออก", A129&lt;50, "ภาคตะวันออกเฉียงเหนือ", A129&lt;60, "ภาคเหนือ", A129&lt;80, "ภาคกลาง/ตะวันตก", A129&gt;=80, "ภาคใต้")</f>
        <v>ภาคกลาง</v>
      </c>
      <c r="D129" s="64">
        <v>1404</v>
      </c>
      <c r="E129" s="10" t="s">
        <v>472</v>
      </c>
      <c r="F129" s="11">
        <v>10547</v>
      </c>
      <c r="G129" s="11">
        <v>11571</v>
      </c>
      <c r="H129" s="11">
        <v>22118</v>
      </c>
      <c r="I129" s="11">
        <v>12395</v>
      </c>
      <c r="J129" s="66">
        <f t="shared" si="8"/>
        <v>47.685143322181027</v>
      </c>
      <c r="K129" s="66">
        <f t="shared" si="9"/>
        <v>52.314856677818966</v>
      </c>
    </row>
    <row r="130" spans="1:11" x14ac:dyDescent="0.3">
      <c r="A130" s="10">
        <v>14</v>
      </c>
      <c r="B130" s="10" t="s">
        <v>468</v>
      </c>
      <c r="C130" s="10" t="str" cm="1">
        <f t="array" ref="C130">_xlfn.IFS(A130&lt;20, "ภาคกลาง", A130&lt;30, "ภาคตะวันออก", A130&lt;50, "ภาคตะวันออกเฉียงเหนือ", A130&lt;60, "ภาคเหนือ", A130&lt;80, "ภาคกลาง/ตะวันตก", A130&gt;=80, "ภาคใต้")</f>
        <v>ภาคกลาง</v>
      </c>
      <c r="D130" s="64">
        <v>1405</v>
      </c>
      <c r="E130" s="10" t="s">
        <v>473</v>
      </c>
      <c r="F130" s="11">
        <v>15281</v>
      </c>
      <c r="G130" s="11">
        <v>16112</v>
      </c>
      <c r="H130" s="11">
        <v>31393</v>
      </c>
      <c r="I130" s="11">
        <v>11241</v>
      </c>
      <c r="J130" s="66">
        <f t="shared" si="8"/>
        <v>48.67645653489631</v>
      </c>
      <c r="K130" s="66">
        <f t="shared" si="9"/>
        <v>51.323543465103683</v>
      </c>
    </row>
    <row r="131" spans="1:11" x14ac:dyDescent="0.3">
      <c r="A131" s="10">
        <v>14</v>
      </c>
      <c r="B131" s="10" t="s">
        <v>468</v>
      </c>
      <c r="C131" s="10" t="str" cm="1">
        <f t="array" ref="C131">_xlfn.IFS(A131&lt;20, "ภาคกลาง", A131&lt;30, "ภาคตะวันออก", A131&lt;50, "ภาคตะวันออกเฉียงเหนือ", A131&lt;60, "ภาคเหนือ", A131&lt;80, "ภาคกลาง/ตะวันตก", A131&gt;=80, "ภาคใต้")</f>
        <v>ภาคกลาง</v>
      </c>
      <c r="D131" s="64">
        <v>1406</v>
      </c>
      <c r="E131" s="10" t="s">
        <v>474</v>
      </c>
      <c r="F131" s="11">
        <v>6817</v>
      </c>
      <c r="G131" s="11">
        <v>7399</v>
      </c>
      <c r="H131" s="11">
        <v>14216</v>
      </c>
      <c r="I131" s="11">
        <v>5639</v>
      </c>
      <c r="J131" s="66">
        <f t="shared" si="8"/>
        <v>47.953010692177827</v>
      </c>
      <c r="K131" s="66">
        <f t="shared" si="9"/>
        <v>52.046989307822166</v>
      </c>
    </row>
    <row r="132" spans="1:11" x14ac:dyDescent="0.3">
      <c r="A132" s="10">
        <v>14</v>
      </c>
      <c r="B132" s="10" t="s">
        <v>468</v>
      </c>
      <c r="C132" s="10" t="str" cm="1">
        <f t="array" ref="C132">_xlfn.IFS(A132&lt;20, "ภาคกลาง", A132&lt;30, "ภาคตะวันออก", A132&lt;50, "ภาคตะวันออกเฉียงเหนือ", A132&lt;60, "ภาคเหนือ", A132&lt;80, "ภาคกลาง/ตะวันตก", A132&gt;=80, "ภาคใต้")</f>
        <v>ภาคกลาง</v>
      </c>
      <c r="D132" s="64">
        <v>1407</v>
      </c>
      <c r="E132" s="10" t="s">
        <v>475</v>
      </c>
      <c r="F132" s="11">
        <v>19043</v>
      </c>
      <c r="G132" s="11">
        <v>20931</v>
      </c>
      <c r="H132" s="11">
        <v>39974</v>
      </c>
      <c r="I132" s="11">
        <v>19079</v>
      </c>
      <c r="J132" s="66">
        <f t="shared" si="8"/>
        <v>47.638465002251465</v>
      </c>
      <c r="K132" s="66">
        <f t="shared" si="9"/>
        <v>52.361534997748535</v>
      </c>
    </row>
    <row r="133" spans="1:11" x14ac:dyDescent="0.3">
      <c r="A133" s="10">
        <v>14</v>
      </c>
      <c r="B133" s="10" t="s">
        <v>468</v>
      </c>
      <c r="C133" s="10" t="str" cm="1">
        <f t="array" ref="C133">_xlfn.IFS(A133&lt;20, "ภาคกลาง", A133&lt;30, "ภาคตะวันออก", A133&lt;50, "ภาคตะวันออกเฉียงเหนือ", A133&lt;60, "ภาคเหนือ", A133&lt;80, "ภาคกลาง/ตะวันตก", A133&gt;=80, "ภาคใต้")</f>
        <v>ภาคกลาง</v>
      </c>
      <c r="D133" s="64">
        <v>1408</v>
      </c>
      <c r="E133" s="10" t="s">
        <v>476</v>
      </c>
      <c r="F133" s="11">
        <v>17399</v>
      </c>
      <c r="G133" s="11">
        <v>18569</v>
      </c>
      <c r="H133" s="11">
        <v>35968</v>
      </c>
      <c r="I133" s="11">
        <v>13122</v>
      </c>
      <c r="J133" s="66">
        <f t="shared" si="8"/>
        <v>48.373554270462634</v>
      </c>
      <c r="K133" s="66">
        <f t="shared" si="9"/>
        <v>51.626445729537366</v>
      </c>
    </row>
    <row r="134" spans="1:11" x14ac:dyDescent="0.3">
      <c r="A134" s="10">
        <v>14</v>
      </c>
      <c r="B134" s="10" t="s">
        <v>468</v>
      </c>
      <c r="C134" s="10" t="str" cm="1">
        <f t="array" ref="C134">_xlfn.IFS(A134&lt;20, "ภาคกลาง", A134&lt;30, "ภาคตะวันออก", A134&lt;50, "ภาคตะวันออกเฉียงเหนือ", A134&lt;60, "ภาคเหนือ", A134&lt;80, "ภาคกลาง/ตะวันตก", A134&gt;=80, "ภาคใต้")</f>
        <v>ภาคกลาง</v>
      </c>
      <c r="D134" s="64">
        <v>1409</v>
      </c>
      <c r="E134" s="10" t="s">
        <v>477</v>
      </c>
      <c r="F134" s="11">
        <v>10398</v>
      </c>
      <c r="G134" s="11">
        <v>11217</v>
      </c>
      <c r="H134" s="11">
        <v>21615</v>
      </c>
      <c r="I134" s="11">
        <v>7573</v>
      </c>
      <c r="J134" s="66">
        <f t="shared" si="8"/>
        <v>48.10548230395559</v>
      </c>
      <c r="K134" s="66">
        <f t="shared" si="9"/>
        <v>51.894517696044417</v>
      </c>
    </row>
    <row r="135" spans="1:11" x14ac:dyDescent="0.3">
      <c r="A135" s="10">
        <v>14</v>
      </c>
      <c r="B135" s="10" t="s">
        <v>468</v>
      </c>
      <c r="C135" s="10" t="str" cm="1">
        <f t="array" ref="C135">_xlfn.IFS(A135&lt;20, "ภาคกลาง", A135&lt;30, "ภาคตะวันออก", A135&lt;50, "ภาคตะวันออกเฉียงเหนือ", A135&lt;60, "ภาคเหนือ", A135&lt;80, "ภาคกลาง/ตะวันตก", A135&gt;=80, "ภาคใต้")</f>
        <v>ภาคกลาง</v>
      </c>
      <c r="D135" s="64">
        <v>1410</v>
      </c>
      <c r="E135" s="10" t="s">
        <v>478</v>
      </c>
      <c r="F135" s="11">
        <v>12548</v>
      </c>
      <c r="G135" s="11">
        <v>13293</v>
      </c>
      <c r="H135" s="11">
        <v>25841</v>
      </c>
      <c r="I135" s="11">
        <v>8876</v>
      </c>
      <c r="J135" s="66">
        <f t="shared" si="8"/>
        <v>48.558492318408732</v>
      </c>
      <c r="K135" s="66">
        <f t="shared" si="9"/>
        <v>51.441507681591268</v>
      </c>
    </row>
    <row r="136" spans="1:11" x14ac:dyDescent="0.3">
      <c r="A136" s="10">
        <v>14</v>
      </c>
      <c r="B136" s="10" t="s">
        <v>468</v>
      </c>
      <c r="C136" s="10" t="str" cm="1">
        <f t="array" ref="C136">_xlfn.IFS(A136&lt;20, "ภาคกลาง", A136&lt;30, "ภาคตะวันออก", A136&lt;50, "ภาคตะวันออกเฉียงเหนือ", A136&lt;60, "ภาคเหนือ", A136&lt;80, "ภาคกลาง/ตะวันตก", A136&gt;=80, "ภาคใต้")</f>
        <v>ภาคกลาง</v>
      </c>
      <c r="D136" s="64">
        <v>1411</v>
      </c>
      <c r="E136" s="10" t="s">
        <v>479</v>
      </c>
      <c r="F136" s="11">
        <v>14649</v>
      </c>
      <c r="G136" s="11">
        <v>15025</v>
      </c>
      <c r="H136" s="11">
        <v>29674</v>
      </c>
      <c r="I136" s="11">
        <v>10235</v>
      </c>
      <c r="J136" s="66">
        <f t="shared" si="8"/>
        <v>49.366448743007346</v>
      </c>
      <c r="K136" s="66">
        <f t="shared" si="9"/>
        <v>50.633551256992646</v>
      </c>
    </row>
    <row r="137" spans="1:11" x14ac:dyDescent="0.3">
      <c r="A137" s="10">
        <v>14</v>
      </c>
      <c r="B137" s="10" t="s">
        <v>468</v>
      </c>
      <c r="C137" s="10" t="str" cm="1">
        <f t="array" ref="C137">_xlfn.IFS(A137&lt;20, "ภาคกลาง", A137&lt;30, "ภาคตะวันออก", A137&lt;50, "ภาคตะวันออกเฉียงเหนือ", A137&lt;60, "ภาคเหนือ", A137&lt;80, "ภาคกลาง/ตะวันตก", A137&gt;=80, "ภาคใต้")</f>
        <v>ภาคกลาง</v>
      </c>
      <c r="D137" s="64">
        <v>1412</v>
      </c>
      <c r="E137" s="10" t="s">
        <v>480</v>
      </c>
      <c r="F137" s="11">
        <v>28592</v>
      </c>
      <c r="G137" s="11">
        <v>30246</v>
      </c>
      <c r="H137" s="11">
        <v>58838</v>
      </c>
      <c r="I137" s="11">
        <v>28560</v>
      </c>
      <c r="J137" s="66">
        <f t="shared" si="8"/>
        <v>48.594445766341479</v>
      </c>
      <c r="K137" s="66">
        <f t="shared" si="9"/>
        <v>51.405554233658521</v>
      </c>
    </row>
    <row r="138" spans="1:11" x14ac:dyDescent="0.3">
      <c r="A138" s="10">
        <v>14</v>
      </c>
      <c r="B138" s="10" t="s">
        <v>468</v>
      </c>
      <c r="C138" s="10" t="str" cm="1">
        <f t="array" ref="C138">_xlfn.IFS(A138&lt;20, "ภาคกลาง", A138&lt;30, "ภาคตะวันออก", A138&lt;50, "ภาคตะวันออกเฉียงเหนือ", A138&lt;60, "ภาคเหนือ", A138&lt;80, "ภาคกลาง/ตะวันตก", A138&gt;=80, "ภาคใต้")</f>
        <v>ภาคกลาง</v>
      </c>
      <c r="D138" s="64">
        <v>1413</v>
      </c>
      <c r="E138" s="10" t="s">
        <v>481</v>
      </c>
      <c r="F138" s="11">
        <v>14780</v>
      </c>
      <c r="G138" s="11">
        <v>15677</v>
      </c>
      <c r="H138" s="11">
        <v>30457</v>
      </c>
      <c r="I138" s="11">
        <v>10296</v>
      </c>
      <c r="J138" s="66">
        <f t="shared" si="8"/>
        <v>48.527432117411436</v>
      </c>
      <c r="K138" s="66">
        <f t="shared" si="9"/>
        <v>51.472567882588571</v>
      </c>
    </row>
    <row r="139" spans="1:11" x14ac:dyDescent="0.3">
      <c r="A139" s="10">
        <v>14</v>
      </c>
      <c r="B139" s="10" t="s">
        <v>468</v>
      </c>
      <c r="C139" s="10" t="str" cm="1">
        <f t="array" ref="C139">_xlfn.IFS(A139&lt;20, "ภาคกลาง", A139&lt;30, "ภาคตะวันออก", A139&lt;50, "ภาคตะวันออกเฉียงเหนือ", A139&lt;60, "ภาคเหนือ", A139&lt;80, "ภาคกลาง/ตะวันตก", A139&gt;=80, "ภาคใต้")</f>
        <v>ภาคกลาง</v>
      </c>
      <c r="D139" s="64">
        <v>1414</v>
      </c>
      <c r="E139" s="10" t="s">
        <v>482</v>
      </c>
      <c r="F139" s="11">
        <v>6745</v>
      </c>
      <c r="G139" s="11">
        <v>6895</v>
      </c>
      <c r="H139" s="11">
        <v>13640</v>
      </c>
      <c r="I139" s="11">
        <v>4652</v>
      </c>
      <c r="J139" s="66">
        <f t="shared" si="8"/>
        <v>49.450146627565985</v>
      </c>
      <c r="K139" s="66">
        <f t="shared" si="9"/>
        <v>50.549853372434015</v>
      </c>
    </row>
    <row r="140" spans="1:11" x14ac:dyDescent="0.3">
      <c r="A140" s="10">
        <v>14</v>
      </c>
      <c r="B140" s="10" t="s">
        <v>468</v>
      </c>
      <c r="C140" s="10" t="str" cm="1">
        <f t="array" ref="C140">_xlfn.IFS(A140&lt;20, "ภาคกลาง", A140&lt;30, "ภาคตะวันออก", A140&lt;50, "ภาคตะวันออกเฉียงเหนือ", A140&lt;60, "ภาคเหนือ", A140&lt;80, "ภาคกลาง/ตะวันตก", A140&gt;=80, "ภาคใต้")</f>
        <v>ภาคกลาง</v>
      </c>
      <c r="D140" s="64">
        <v>1415</v>
      </c>
      <c r="E140" s="10" t="s">
        <v>483</v>
      </c>
      <c r="F140" s="11">
        <v>22617</v>
      </c>
      <c r="G140" s="11">
        <v>24526</v>
      </c>
      <c r="H140" s="11">
        <v>47143</v>
      </c>
      <c r="I140" s="11">
        <v>23369</v>
      </c>
      <c r="J140" s="66">
        <f t="shared" si="8"/>
        <v>47.975309165729804</v>
      </c>
      <c r="K140" s="66">
        <f t="shared" si="9"/>
        <v>52.024690834270203</v>
      </c>
    </row>
    <row r="141" spans="1:11" x14ac:dyDescent="0.3">
      <c r="A141" s="10">
        <v>14</v>
      </c>
      <c r="B141" s="10" t="s">
        <v>468</v>
      </c>
      <c r="C141" s="10" t="str" cm="1">
        <f t="array" ref="C141">_xlfn.IFS(A141&lt;20, "ภาคกลาง", A141&lt;30, "ภาคตะวันออก", A141&lt;50, "ภาคตะวันออกเฉียงเหนือ", A141&lt;60, "ภาคเหนือ", A141&lt;80, "ภาคกลาง/ตะวันตก", A141&gt;=80, "ภาคใต้")</f>
        <v>ภาคกลาง</v>
      </c>
      <c r="D141" s="64">
        <v>1416</v>
      </c>
      <c r="E141" s="10" t="s">
        <v>484</v>
      </c>
      <c r="F141" s="11">
        <v>6364</v>
      </c>
      <c r="G141" s="11">
        <v>6984</v>
      </c>
      <c r="H141" s="11">
        <v>13348</v>
      </c>
      <c r="I141" s="11">
        <v>5342</v>
      </c>
      <c r="J141" s="66">
        <f t="shared" si="8"/>
        <v>47.677554689841173</v>
      </c>
      <c r="K141" s="66">
        <f t="shared" si="9"/>
        <v>52.322445310158827</v>
      </c>
    </row>
    <row r="142" spans="1:11" x14ac:dyDescent="0.3">
      <c r="A142" s="10">
        <v>14</v>
      </c>
      <c r="B142" s="10" t="s">
        <v>468</v>
      </c>
      <c r="C142" s="10" t="str" cm="1">
        <f t="array" ref="C142">_xlfn.IFS(A142&lt;20, "ภาคกลาง", A142&lt;30, "ภาคตะวันออก", A142&lt;50, "ภาคตะวันออกเฉียงเหนือ", A142&lt;60, "ภาคเหนือ", A142&lt;80, "ภาคกลาง/ตะวันตก", A142&gt;=80, "ภาคใต้")</f>
        <v>ภาคกลาง</v>
      </c>
      <c r="D142" s="64">
        <v>1465</v>
      </c>
      <c r="E142" s="10" t="s">
        <v>485</v>
      </c>
      <c r="F142" s="11">
        <v>3121</v>
      </c>
      <c r="G142" s="11">
        <v>3568</v>
      </c>
      <c r="H142" s="11">
        <v>6689</v>
      </c>
      <c r="I142" s="11">
        <v>2766</v>
      </c>
      <c r="J142" s="66">
        <f t="shared" si="8"/>
        <v>46.658693377186431</v>
      </c>
      <c r="K142" s="66">
        <f t="shared" si="9"/>
        <v>53.341306622813576</v>
      </c>
    </row>
    <row r="143" spans="1:11" ht="27.6" x14ac:dyDescent="0.3">
      <c r="A143" s="10">
        <v>14</v>
      </c>
      <c r="B143" s="10" t="s">
        <v>468</v>
      </c>
      <c r="C143" s="10" t="str" cm="1">
        <f t="array" ref="C143">_xlfn.IFS(A143&lt;20, "ภาคกลาง", A143&lt;30, "ภาคตะวันออก", A143&lt;50, "ภาคตะวันออกเฉียงเหนือ", A143&lt;60, "ภาคเหนือ", A143&lt;80, "ภาคกลาง/ตะวันตก", A143&gt;=80, "ภาคใต้")</f>
        <v>ภาคกลาง</v>
      </c>
      <c r="D143" s="64">
        <v>1466</v>
      </c>
      <c r="E143" s="10" t="s">
        <v>486</v>
      </c>
      <c r="F143" s="11">
        <v>6931</v>
      </c>
      <c r="G143" s="11">
        <v>8122</v>
      </c>
      <c r="H143" s="11">
        <v>15053</v>
      </c>
      <c r="I143" s="11">
        <v>10719</v>
      </c>
      <c r="J143" s="66">
        <f t="shared" si="8"/>
        <v>46.04397794459576</v>
      </c>
      <c r="K143" s="66">
        <f t="shared" si="9"/>
        <v>53.95602205540424</v>
      </c>
    </row>
    <row r="144" spans="1:11" x14ac:dyDescent="0.3">
      <c r="A144" s="10">
        <v>14</v>
      </c>
      <c r="B144" s="10" t="s">
        <v>468</v>
      </c>
      <c r="C144" s="10" t="str" cm="1">
        <f t="array" ref="C144">_xlfn.IFS(A144&lt;20, "ภาคกลาง", A144&lt;30, "ภาคตะวันออก", A144&lt;50, "ภาคตะวันออกเฉียงเหนือ", A144&lt;60, "ภาคเหนือ", A144&lt;80, "ภาคกลาง/ตะวันตก", A144&gt;=80, "ภาคใต้")</f>
        <v>ภาคกลาง</v>
      </c>
      <c r="D144" s="64">
        <v>1467</v>
      </c>
      <c r="E144" s="10" t="s">
        <v>487</v>
      </c>
      <c r="F144" s="11">
        <v>3670</v>
      </c>
      <c r="G144" s="11">
        <v>3823</v>
      </c>
      <c r="H144" s="11">
        <v>7493</v>
      </c>
      <c r="I144" s="11">
        <v>3061</v>
      </c>
      <c r="J144" s="66">
        <f t="shared" si="8"/>
        <v>48.979047110636593</v>
      </c>
      <c r="K144" s="66">
        <f t="shared" si="9"/>
        <v>51.0209528893634</v>
      </c>
    </row>
    <row r="145" spans="1:11" ht="27.6" x14ac:dyDescent="0.3">
      <c r="A145" s="10">
        <v>14</v>
      </c>
      <c r="B145" s="10" t="s">
        <v>468</v>
      </c>
      <c r="C145" s="10" t="str" cm="1">
        <f t="array" ref="C145">_xlfn.IFS(A145&lt;20, "ภาคกลาง", A145&lt;30, "ภาคตะวันออก", A145&lt;50, "ภาคตะวันออกเฉียงเหนือ", A145&lt;60, "ภาคเหนือ", A145&lt;80, "ภาคกลาง/ตะวันตก", A145&gt;=80, "ภาคใต้")</f>
        <v>ภาคกลาง</v>
      </c>
      <c r="D145" s="64">
        <v>1468</v>
      </c>
      <c r="E145" s="10" t="s">
        <v>488</v>
      </c>
      <c r="F145" s="11">
        <v>3199</v>
      </c>
      <c r="G145" s="11">
        <v>3550</v>
      </c>
      <c r="H145" s="11">
        <v>6749</v>
      </c>
      <c r="I145" s="11">
        <v>3047</v>
      </c>
      <c r="J145" s="66">
        <f t="shared" si="8"/>
        <v>47.399614757741887</v>
      </c>
      <c r="K145" s="66">
        <f t="shared" si="9"/>
        <v>52.600385242258106</v>
      </c>
    </row>
    <row r="146" spans="1:11" ht="27.6" x14ac:dyDescent="0.3">
      <c r="A146" s="10">
        <v>14</v>
      </c>
      <c r="B146" s="10" t="s">
        <v>468</v>
      </c>
      <c r="C146" s="10" t="str" cm="1">
        <f t="array" ref="C146">_xlfn.IFS(A146&lt;20, "ภาคกลาง", A146&lt;30, "ภาคตะวันออก", A146&lt;50, "ภาคตะวันออกเฉียงเหนือ", A146&lt;60, "ภาคเหนือ", A146&lt;80, "ภาคกลาง/ตะวันตก", A146&gt;=80, "ภาคใต้")</f>
        <v>ภาคกลาง</v>
      </c>
      <c r="D146" s="64">
        <v>1469</v>
      </c>
      <c r="E146" s="10" t="s">
        <v>489</v>
      </c>
      <c r="F146" s="11">
        <v>3673</v>
      </c>
      <c r="G146" s="11">
        <v>4150</v>
      </c>
      <c r="H146" s="11">
        <v>7823</v>
      </c>
      <c r="I146" s="11">
        <v>4352</v>
      </c>
      <c r="J146" s="66">
        <f t="shared" si="8"/>
        <v>46.951297456218846</v>
      </c>
      <c r="K146" s="66">
        <f t="shared" si="9"/>
        <v>53.048702543781154</v>
      </c>
    </row>
    <row r="147" spans="1:11" ht="27.6" x14ac:dyDescent="0.3">
      <c r="A147" s="10">
        <v>14</v>
      </c>
      <c r="B147" s="10" t="s">
        <v>468</v>
      </c>
      <c r="C147" s="10" t="str" cm="1">
        <f t="array" ref="C147">_xlfn.IFS(A147&lt;20, "ภาคกลาง", A147&lt;30, "ภาคตะวันออก", A147&lt;50, "ภาคตะวันออกเฉียงเหนือ", A147&lt;60, "ภาคเหนือ", A147&lt;80, "ภาคกลาง/ตะวันตก", A147&gt;=80, "ภาคใต้")</f>
        <v>ภาคกลาง</v>
      </c>
      <c r="D147" s="64">
        <v>1470</v>
      </c>
      <c r="E147" s="10" t="s">
        <v>490</v>
      </c>
      <c r="F147" s="11">
        <v>6321</v>
      </c>
      <c r="G147" s="11">
        <v>7321</v>
      </c>
      <c r="H147" s="11">
        <v>13642</v>
      </c>
      <c r="I147" s="11">
        <v>6045</v>
      </c>
      <c r="J147" s="66">
        <f t="shared" si="8"/>
        <v>46.334848262718076</v>
      </c>
      <c r="K147" s="66">
        <f t="shared" si="9"/>
        <v>53.665151737281924</v>
      </c>
    </row>
    <row r="148" spans="1:11" x14ac:dyDescent="0.3">
      <c r="A148" s="10">
        <v>14</v>
      </c>
      <c r="B148" s="10" t="s">
        <v>468</v>
      </c>
      <c r="C148" s="10" t="str" cm="1">
        <f t="array" ref="C148">_xlfn.IFS(A148&lt;20, "ภาคกลาง", A148&lt;30, "ภาคตะวันออก", A148&lt;50, "ภาคตะวันออกเฉียงเหนือ", A148&lt;60, "ภาคเหนือ", A148&lt;80, "ภาคกลาง/ตะวันตก", A148&gt;=80, "ภาคใต้")</f>
        <v>ภาคกลาง</v>
      </c>
      <c r="D148" s="64">
        <v>1471</v>
      </c>
      <c r="E148" s="10" t="s">
        <v>491</v>
      </c>
      <c r="F148" s="11">
        <v>4982</v>
      </c>
      <c r="G148" s="11">
        <v>5303</v>
      </c>
      <c r="H148" s="11">
        <v>10285</v>
      </c>
      <c r="I148" s="11">
        <v>4727</v>
      </c>
      <c r="J148" s="66">
        <f t="shared" si="8"/>
        <v>48.439474963539134</v>
      </c>
      <c r="K148" s="66">
        <f t="shared" si="9"/>
        <v>51.560525036460866</v>
      </c>
    </row>
    <row r="149" spans="1:11" ht="27.6" x14ac:dyDescent="0.3">
      <c r="A149" s="10">
        <v>14</v>
      </c>
      <c r="B149" s="10" t="s">
        <v>468</v>
      </c>
      <c r="C149" s="10" t="str" cm="1">
        <f t="array" ref="C149">_xlfn.IFS(A149&lt;20, "ภาคกลาง", A149&lt;30, "ภาคตะวันออก", A149&lt;50, "ภาคตะวันออกเฉียงเหนือ", A149&lt;60, "ภาคเหนือ", A149&lt;80, "ภาคกลาง/ตะวันตก", A149&gt;=80, "ภาคใต้")</f>
        <v>ภาคกลาง</v>
      </c>
      <c r="D149" s="64">
        <v>1472</v>
      </c>
      <c r="E149" s="10" t="s">
        <v>492</v>
      </c>
      <c r="F149" s="11">
        <v>4598</v>
      </c>
      <c r="G149" s="11">
        <v>5163</v>
      </c>
      <c r="H149" s="11">
        <v>9761</v>
      </c>
      <c r="I149" s="11">
        <v>6103</v>
      </c>
      <c r="J149" s="66">
        <f t="shared" si="8"/>
        <v>47.105829320766311</v>
      </c>
      <c r="K149" s="66">
        <f t="shared" si="9"/>
        <v>52.894170679233689</v>
      </c>
    </row>
    <row r="150" spans="1:11" ht="27.6" x14ac:dyDescent="0.3">
      <c r="A150" s="10">
        <v>14</v>
      </c>
      <c r="B150" s="10" t="s">
        <v>468</v>
      </c>
      <c r="C150" s="10" t="str" cm="1">
        <f t="array" ref="C150">_xlfn.IFS(A150&lt;20, "ภาคกลาง", A150&lt;30, "ภาคตะวันออก", A150&lt;50, "ภาคตะวันออกเฉียงเหนือ", A150&lt;60, "ภาคเหนือ", A150&lt;80, "ภาคกลาง/ตะวันตก", A150&gt;=80, "ภาคใต้")</f>
        <v>ภาคกลาง</v>
      </c>
      <c r="D150" s="64">
        <v>1473</v>
      </c>
      <c r="E150" s="10" t="s">
        <v>493</v>
      </c>
      <c r="F150" s="11">
        <v>2487</v>
      </c>
      <c r="G150" s="11">
        <v>2823</v>
      </c>
      <c r="H150" s="11">
        <v>5310</v>
      </c>
      <c r="I150" s="11">
        <v>3511</v>
      </c>
      <c r="J150" s="66">
        <f t="shared" si="8"/>
        <v>46.836158192090394</v>
      </c>
      <c r="K150" s="66">
        <f t="shared" si="9"/>
        <v>53.163841807909606</v>
      </c>
    </row>
    <row r="151" spans="1:11" x14ac:dyDescent="0.3">
      <c r="A151" s="10">
        <v>14</v>
      </c>
      <c r="B151" s="10" t="s">
        <v>468</v>
      </c>
      <c r="C151" s="10" t="str" cm="1">
        <f t="array" ref="C151">_xlfn.IFS(A151&lt;20, "ภาคกลาง", A151&lt;30, "ภาคตะวันออก", A151&lt;50, "ภาคตะวันออกเฉียงเหนือ", A151&lt;60, "ภาคเหนือ", A151&lt;80, "ภาคกลาง/ตะวันตก", A151&gt;=80, "ภาคใต้")</f>
        <v>ภาคกลาง</v>
      </c>
      <c r="D151" s="64">
        <v>1474</v>
      </c>
      <c r="E151" s="10" t="s">
        <v>494</v>
      </c>
      <c r="F151" s="10">
        <v>921</v>
      </c>
      <c r="G151" s="11">
        <v>1000</v>
      </c>
      <c r="H151" s="11">
        <v>1921</v>
      </c>
      <c r="I151" s="10">
        <v>892</v>
      </c>
      <c r="J151" s="66">
        <f t="shared" si="8"/>
        <v>47.943779281624153</v>
      </c>
      <c r="K151" s="66">
        <f t="shared" si="9"/>
        <v>52.056220718375847</v>
      </c>
    </row>
    <row r="152" spans="1:11" x14ac:dyDescent="0.3">
      <c r="A152" s="10">
        <v>14</v>
      </c>
      <c r="B152" s="10" t="s">
        <v>468</v>
      </c>
      <c r="C152" s="10" t="str" cm="1">
        <f t="array" ref="C152">_xlfn.IFS(A152&lt;20, "ภาคกลาง", A152&lt;30, "ภาคตะวันออก", A152&lt;50, "ภาคตะวันออกเฉียงเหนือ", A152&lt;60, "ภาคเหนือ", A152&lt;80, "ภาคกลาง/ตะวันตก", A152&gt;=80, "ภาคใต้")</f>
        <v>ภาคกลาง</v>
      </c>
      <c r="D152" s="64">
        <v>1475</v>
      </c>
      <c r="E152" s="10" t="s">
        <v>495</v>
      </c>
      <c r="F152" s="11">
        <v>2913</v>
      </c>
      <c r="G152" s="11">
        <v>3180</v>
      </c>
      <c r="H152" s="11">
        <v>6093</v>
      </c>
      <c r="I152" s="11">
        <v>2573</v>
      </c>
      <c r="J152" s="66">
        <f t="shared" si="8"/>
        <v>47.808961102904973</v>
      </c>
      <c r="K152" s="66">
        <f t="shared" si="9"/>
        <v>52.191038897095034</v>
      </c>
    </row>
    <row r="153" spans="1:11" x14ac:dyDescent="0.3">
      <c r="A153" s="10">
        <v>14</v>
      </c>
      <c r="B153" s="10" t="s">
        <v>468</v>
      </c>
      <c r="C153" s="10" t="str" cm="1">
        <f t="array" ref="C153">_xlfn.IFS(A153&lt;20, "ภาคกลาง", A153&lt;30, "ภาคตะวันออก", A153&lt;50, "ภาคตะวันออกเฉียงเหนือ", A153&lt;60, "ภาคเหนือ", A153&lt;80, "ภาคกลาง/ตะวันตก", A153&gt;=80, "ภาคใต้")</f>
        <v>ภาคกลาง</v>
      </c>
      <c r="D153" s="64">
        <v>1476</v>
      </c>
      <c r="E153" s="10" t="s">
        <v>496</v>
      </c>
      <c r="F153" s="11">
        <v>1541</v>
      </c>
      <c r="G153" s="11">
        <v>1631</v>
      </c>
      <c r="H153" s="11">
        <v>3172</v>
      </c>
      <c r="I153" s="11">
        <v>1506</v>
      </c>
      <c r="J153" s="66">
        <f t="shared" si="8"/>
        <v>48.581336696090794</v>
      </c>
      <c r="K153" s="66">
        <f t="shared" si="9"/>
        <v>51.418663303909206</v>
      </c>
    </row>
    <row r="154" spans="1:11" x14ac:dyDescent="0.3">
      <c r="A154" s="10">
        <v>14</v>
      </c>
      <c r="B154" s="10" t="s">
        <v>468</v>
      </c>
      <c r="C154" s="10" t="str" cm="1">
        <f t="array" ref="C154">_xlfn.IFS(A154&lt;20, "ภาคกลาง", A154&lt;30, "ภาคตะวันออก", A154&lt;50, "ภาคตะวันออกเฉียงเหนือ", A154&lt;60, "ภาคเหนือ", A154&lt;80, "ภาคกลาง/ตะวันตก", A154&gt;=80, "ภาคใต้")</f>
        <v>ภาคกลาง</v>
      </c>
      <c r="D154" s="64">
        <v>1477</v>
      </c>
      <c r="E154" s="10" t="s">
        <v>497</v>
      </c>
      <c r="F154" s="11">
        <v>3461</v>
      </c>
      <c r="G154" s="11">
        <v>3980</v>
      </c>
      <c r="H154" s="11">
        <v>7441</v>
      </c>
      <c r="I154" s="11">
        <v>4734</v>
      </c>
      <c r="J154" s="66">
        <f t="shared" si="8"/>
        <v>46.512565515387713</v>
      </c>
      <c r="K154" s="66">
        <f t="shared" si="9"/>
        <v>53.487434484612287</v>
      </c>
    </row>
    <row r="155" spans="1:11" x14ac:dyDescent="0.3">
      <c r="A155" s="10">
        <v>14</v>
      </c>
      <c r="B155" s="10" t="s">
        <v>468</v>
      </c>
      <c r="C155" s="10" t="str" cm="1">
        <f t="array" ref="C155">_xlfn.IFS(A155&lt;20, "ภาคกลาง", A155&lt;30, "ภาคตะวันออก", A155&lt;50, "ภาคตะวันออกเฉียงเหนือ", A155&lt;60, "ภาคเหนือ", A155&lt;80, "ภาคกลาง/ตะวันตก", A155&gt;=80, "ภาคใต้")</f>
        <v>ภาคกลาง</v>
      </c>
      <c r="D155" s="64">
        <v>1478</v>
      </c>
      <c r="E155" s="10" t="s">
        <v>498</v>
      </c>
      <c r="F155" s="11">
        <v>2507</v>
      </c>
      <c r="G155" s="11">
        <v>2679</v>
      </c>
      <c r="H155" s="11">
        <v>5186</v>
      </c>
      <c r="I155" s="11">
        <v>1957</v>
      </c>
      <c r="J155" s="66">
        <f t="shared" si="8"/>
        <v>48.341689163131505</v>
      </c>
      <c r="K155" s="66">
        <f t="shared" si="9"/>
        <v>51.658310836868495</v>
      </c>
    </row>
    <row r="156" spans="1:11" x14ac:dyDescent="0.3">
      <c r="A156" s="10">
        <v>14</v>
      </c>
      <c r="B156" s="10" t="s">
        <v>468</v>
      </c>
      <c r="C156" s="10" t="str" cm="1">
        <f t="array" ref="C156">_xlfn.IFS(A156&lt;20, "ภาคกลาง", A156&lt;30, "ภาคตะวันออก", A156&lt;50, "ภาคตะวันออกเฉียงเหนือ", A156&lt;60, "ภาคเหนือ", A156&lt;80, "ภาคกลาง/ตะวันตก", A156&gt;=80, "ภาคใต้")</f>
        <v>ภาคกลาง</v>
      </c>
      <c r="D156" s="64">
        <v>1479</v>
      </c>
      <c r="E156" s="10" t="s">
        <v>499</v>
      </c>
      <c r="F156" s="11">
        <v>2710</v>
      </c>
      <c r="G156" s="11">
        <v>2955</v>
      </c>
      <c r="H156" s="11">
        <v>5665</v>
      </c>
      <c r="I156" s="11">
        <v>1860</v>
      </c>
      <c r="J156" s="66">
        <f t="shared" si="8"/>
        <v>47.837599293909975</v>
      </c>
      <c r="K156" s="66">
        <f t="shared" si="9"/>
        <v>52.162400706090025</v>
      </c>
    </row>
    <row r="157" spans="1:11" ht="27.6" x14ac:dyDescent="0.3">
      <c r="A157" s="10">
        <v>14</v>
      </c>
      <c r="B157" s="10" t="s">
        <v>468</v>
      </c>
      <c r="C157" s="10" t="str" cm="1">
        <f t="array" ref="C157">_xlfn.IFS(A157&lt;20, "ภาคกลาง", A157&lt;30, "ภาคตะวันออก", A157&lt;50, "ภาคตะวันออกเฉียงเหนือ", A157&lt;60, "ภาคเหนือ", A157&lt;80, "ภาคกลาง/ตะวันตก", A157&gt;=80, "ภาคใต้")</f>
        <v>ภาคกลาง</v>
      </c>
      <c r="D157" s="64">
        <v>1480</v>
      </c>
      <c r="E157" s="10" t="s">
        <v>500</v>
      </c>
      <c r="F157" s="11">
        <v>10705</v>
      </c>
      <c r="G157" s="11">
        <v>11338</v>
      </c>
      <c r="H157" s="11">
        <v>22043</v>
      </c>
      <c r="I157" s="11">
        <v>10322</v>
      </c>
      <c r="J157" s="66">
        <f t="shared" si="8"/>
        <v>48.564170031302453</v>
      </c>
      <c r="K157" s="66">
        <f t="shared" si="9"/>
        <v>51.435829968697547</v>
      </c>
    </row>
    <row r="158" spans="1:11" x14ac:dyDescent="0.3">
      <c r="A158" s="10">
        <v>14</v>
      </c>
      <c r="B158" s="10" t="s">
        <v>468</v>
      </c>
      <c r="C158" s="10" t="str" cm="1">
        <f t="array" ref="C158">_xlfn.IFS(A158&lt;20, "ภาคกลาง", A158&lt;30, "ภาคตะวันออก", A158&lt;50, "ภาคตะวันออกเฉียงเหนือ", A158&lt;60, "ภาคเหนือ", A158&lt;80, "ภาคกลาง/ตะวันตก", A158&gt;=80, "ภาคใต้")</f>
        <v>ภาคกลาง</v>
      </c>
      <c r="D158" s="64">
        <v>1481</v>
      </c>
      <c r="E158" s="10" t="s">
        <v>501</v>
      </c>
      <c r="F158" s="11">
        <v>1264</v>
      </c>
      <c r="G158" s="11">
        <v>1308</v>
      </c>
      <c r="H158" s="11">
        <v>2572</v>
      </c>
      <c r="I158" s="11">
        <v>1459</v>
      </c>
      <c r="J158" s="66">
        <f t="shared" si="8"/>
        <v>49.144634525660962</v>
      </c>
      <c r="K158" s="66">
        <f t="shared" si="9"/>
        <v>50.855365474339031</v>
      </c>
    </row>
    <row r="159" spans="1:11" ht="27.6" x14ac:dyDescent="0.3">
      <c r="A159" s="10">
        <v>14</v>
      </c>
      <c r="B159" s="10" t="s">
        <v>468</v>
      </c>
      <c r="C159" s="10" t="str" cm="1">
        <f t="array" ref="C159">_xlfn.IFS(A159&lt;20, "ภาคกลาง", A159&lt;30, "ภาคตะวันออก", A159&lt;50, "ภาคตะวันออกเฉียงเหนือ", A159&lt;60, "ภาคเหนือ", A159&lt;80, "ภาคกลาง/ตะวันตก", A159&gt;=80, "ภาคใต้")</f>
        <v>ภาคกลาง</v>
      </c>
      <c r="D159" s="64">
        <v>1482</v>
      </c>
      <c r="E159" s="10" t="s">
        <v>502</v>
      </c>
      <c r="F159" s="11">
        <v>2417</v>
      </c>
      <c r="G159" s="11">
        <v>2758</v>
      </c>
      <c r="H159" s="11">
        <v>5175</v>
      </c>
      <c r="I159" s="11">
        <v>2642</v>
      </c>
      <c r="J159" s="66">
        <f t="shared" si="8"/>
        <v>46.705314009661834</v>
      </c>
      <c r="K159" s="66">
        <f t="shared" si="9"/>
        <v>53.294685990338166</v>
      </c>
    </row>
    <row r="160" spans="1:11" x14ac:dyDescent="0.3">
      <c r="A160" s="10">
        <v>14</v>
      </c>
      <c r="B160" s="10" t="s">
        <v>468</v>
      </c>
      <c r="C160" s="10" t="str" cm="1">
        <f t="array" ref="C160">_xlfn.IFS(A160&lt;20, "ภาคกลาง", A160&lt;30, "ภาคตะวันออก", A160&lt;50, "ภาคตะวันออกเฉียงเหนือ", A160&lt;60, "ภาคเหนือ", A160&lt;80, "ภาคกลาง/ตะวันตก", A160&gt;=80, "ภาคใต้")</f>
        <v>ภาคกลาง</v>
      </c>
      <c r="D160" s="64">
        <v>1483</v>
      </c>
      <c r="E160" s="10" t="s">
        <v>503</v>
      </c>
      <c r="F160" s="11">
        <v>3530</v>
      </c>
      <c r="G160" s="11">
        <v>3701</v>
      </c>
      <c r="H160" s="11">
        <v>7231</v>
      </c>
      <c r="I160" s="11">
        <v>2858</v>
      </c>
      <c r="J160" s="66">
        <f t="shared" si="8"/>
        <v>48.817590927949105</v>
      </c>
      <c r="K160" s="66">
        <f t="shared" si="9"/>
        <v>51.182409072050895</v>
      </c>
    </row>
    <row r="161" spans="1:11" ht="27.6" x14ac:dyDescent="0.3">
      <c r="A161" s="10">
        <v>14</v>
      </c>
      <c r="B161" s="10" t="s">
        <v>468</v>
      </c>
      <c r="C161" s="10" t="str" cm="1">
        <f t="array" ref="C161">_xlfn.IFS(A161&lt;20, "ภาคกลาง", A161&lt;30, "ภาคตะวันออก", A161&lt;50, "ภาคตะวันออกเฉียงเหนือ", A161&lt;60, "ภาคเหนือ", A161&lt;80, "ภาคกลาง/ตะวันตก", A161&gt;=80, "ภาคใต้")</f>
        <v>ภาคกลาง</v>
      </c>
      <c r="D161" s="64">
        <v>1484</v>
      </c>
      <c r="E161" s="10" t="s">
        <v>504</v>
      </c>
      <c r="F161" s="11">
        <v>4401</v>
      </c>
      <c r="G161" s="11">
        <v>4688</v>
      </c>
      <c r="H161" s="11">
        <v>9089</v>
      </c>
      <c r="I161" s="11">
        <v>4451</v>
      </c>
      <c r="J161" s="66">
        <f t="shared" si="8"/>
        <v>48.421168445373532</v>
      </c>
      <c r="K161" s="66">
        <f t="shared" si="9"/>
        <v>51.578831554626468</v>
      </c>
    </row>
    <row r="162" spans="1:11" ht="27.6" x14ac:dyDescent="0.3">
      <c r="A162" s="10">
        <v>14</v>
      </c>
      <c r="B162" s="10" t="s">
        <v>468</v>
      </c>
      <c r="C162" s="10" t="str" cm="1">
        <f t="array" ref="C162">_xlfn.IFS(A162&lt;20, "ภาคกลาง", A162&lt;30, "ภาคตะวันออก", A162&lt;50, "ภาคตะวันออกเฉียงเหนือ", A162&lt;60, "ภาคเหนือ", A162&lt;80, "ภาคกลาง/ตะวันตก", A162&gt;=80, "ภาคใต้")</f>
        <v>ภาคกลาง</v>
      </c>
      <c r="D162" s="64">
        <v>1485</v>
      </c>
      <c r="E162" s="10" t="s">
        <v>505</v>
      </c>
      <c r="F162" s="11">
        <v>4436</v>
      </c>
      <c r="G162" s="11">
        <v>5032</v>
      </c>
      <c r="H162" s="11">
        <v>9468</v>
      </c>
      <c r="I162" s="11">
        <v>6919</v>
      </c>
      <c r="J162" s="66">
        <f t="shared" si="8"/>
        <v>46.852555978031262</v>
      </c>
      <c r="K162" s="66">
        <f t="shared" si="9"/>
        <v>53.147444021968738</v>
      </c>
    </row>
    <row r="163" spans="1:11" ht="27.6" x14ac:dyDescent="0.3">
      <c r="A163" s="10">
        <v>14</v>
      </c>
      <c r="B163" s="10" t="s">
        <v>468</v>
      </c>
      <c r="C163" s="10" t="str" cm="1">
        <f t="array" ref="C163">_xlfn.IFS(A163&lt;20, "ภาคกลาง", A163&lt;30, "ภาคตะวันออก", A163&lt;50, "ภาคตะวันออกเฉียงเหนือ", A163&lt;60, "ภาคเหนือ", A163&lt;80, "ภาคกลาง/ตะวันตก", A163&gt;=80, "ภาคใต้")</f>
        <v>ภาคกลาง</v>
      </c>
      <c r="D163" s="64">
        <v>1486</v>
      </c>
      <c r="E163" s="10" t="s">
        <v>506</v>
      </c>
      <c r="F163" s="11">
        <v>5322</v>
      </c>
      <c r="G163" s="11">
        <v>6152</v>
      </c>
      <c r="H163" s="11">
        <v>11474</v>
      </c>
      <c r="I163" s="11">
        <v>7605</v>
      </c>
      <c r="J163" s="66">
        <f t="shared" si="8"/>
        <v>46.383127069897157</v>
      </c>
      <c r="K163" s="66">
        <f t="shared" si="9"/>
        <v>53.616872930102843</v>
      </c>
    </row>
    <row r="164" spans="1:11" ht="27.6" x14ac:dyDescent="0.3">
      <c r="A164" s="10">
        <v>14</v>
      </c>
      <c r="B164" s="10" t="s">
        <v>468</v>
      </c>
      <c r="C164" s="10" t="str" cm="1">
        <f t="array" ref="C164">_xlfn.IFS(A164&lt;20, "ภาคกลาง", A164&lt;30, "ภาคตะวันออก", A164&lt;50, "ภาคตะวันออกเฉียงเหนือ", A164&lt;60, "ภาคเหนือ", A164&lt;80, "ภาคกลาง/ตะวันตก", A164&gt;=80, "ภาคใต้")</f>
        <v>ภาคกลาง</v>
      </c>
      <c r="D164" s="64">
        <v>1487</v>
      </c>
      <c r="E164" s="10" t="s">
        <v>507</v>
      </c>
      <c r="F164" s="11">
        <v>3124</v>
      </c>
      <c r="G164" s="11">
        <v>3222</v>
      </c>
      <c r="H164" s="11">
        <v>6346</v>
      </c>
      <c r="I164" s="11">
        <v>2210</v>
      </c>
      <c r="J164" s="66">
        <f t="shared" si="8"/>
        <v>49.227860069335016</v>
      </c>
      <c r="K164" s="66">
        <f t="shared" si="9"/>
        <v>50.772139930664984</v>
      </c>
    </row>
    <row r="165" spans="1:11" ht="27.6" x14ac:dyDescent="0.3">
      <c r="A165" s="10">
        <v>14</v>
      </c>
      <c r="B165" s="10" t="s">
        <v>468</v>
      </c>
      <c r="C165" s="10" t="str" cm="1">
        <f t="array" ref="C165">_xlfn.IFS(A165&lt;20, "ภาคกลาง", A165&lt;30, "ภาคตะวันออก", A165&lt;50, "ภาคตะวันออกเฉียงเหนือ", A165&lt;60, "ภาคเหนือ", A165&lt;80, "ภาคกลาง/ตะวันตก", A165&gt;=80, "ภาคใต้")</f>
        <v>ภาคกลาง</v>
      </c>
      <c r="D165" s="64">
        <v>1488</v>
      </c>
      <c r="E165" s="10" t="s">
        <v>508</v>
      </c>
      <c r="F165" s="11">
        <v>2413</v>
      </c>
      <c r="G165" s="11">
        <v>2707</v>
      </c>
      <c r="H165" s="11">
        <v>5120</v>
      </c>
      <c r="I165" s="11">
        <v>2280</v>
      </c>
      <c r="J165" s="66">
        <f t="shared" si="8"/>
        <v>47.12890625</v>
      </c>
      <c r="K165" s="66">
        <f t="shared" si="9"/>
        <v>52.87109375</v>
      </c>
    </row>
    <row r="166" spans="1:11" x14ac:dyDescent="0.3">
      <c r="A166" s="10">
        <v>14</v>
      </c>
      <c r="B166" s="10" t="s">
        <v>468</v>
      </c>
      <c r="C166" s="10" t="str" cm="1">
        <f t="array" ref="C166">_xlfn.IFS(A166&lt;20, "ภาคกลาง", A166&lt;30, "ภาคตะวันออก", A166&lt;50, "ภาคตะวันออกเฉียงเหนือ", A166&lt;60, "ภาคเหนือ", A166&lt;80, "ภาคกลาง/ตะวันตก", A166&gt;=80, "ภาคใต้")</f>
        <v>ภาคกลาง</v>
      </c>
      <c r="D166" s="64">
        <v>1489</v>
      </c>
      <c r="E166" s="10" t="s">
        <v>509</v>
      </c>
      <c r="F166" s="11">
        <v>4037</v>
      </c>
      <c r="G166" s="11">
        <v>4286</v>
      </c>
      <c r="H166" s="11">
        <v>8323</v>
      </c>
      <c r="I166" s="11">
        <v>3426</v>
      </c>
      <c r="J166" s="66">
        <f t="shared" si="8"/>
        <v>48.504145139973566</v>
      </c>
      <c r="K166" s="66">
        <f t="shared" si="9"/>
        <v>51.495854860026434</v>
      </c>
    </row>
    <row r="167" spans="1:11" ht="27.6" x14ac:dyDescent="0.3">
      <c r="A167" s="10">
        <v>14</v>
      </c>
      <c r="B167" s="10" t="s">
        <v>468</v>
      </c>
      <c r="C167" s="10" t="str" cm="1">
        <f t="array" ref="C167">_xlfn.IFS(A167&lt;20, "ภาคกลาง", A167&lt;30, "ภาคตะวันออก", A167&lt;50, "ภาคตะวันออกเฉียงเหนือ", A167&lt;60, "ภาคเหนือ", A167&lt;80, "ภาคกลาง/ตะวันตก", A167&gt;=80, "ภาคใต้")</f>
        <v>ภาคกลาง</v>
      </c>
      <c r="D167" s="64">
        <v>1490</v>
      </c>
      <c r="E167" s="10" t="s">
        <v>510</v>
      </c>
      <c r="F167" s="11">
        <v>5094</v>
      </c>
      <c r="G167" s="11">
        <v>5592</v>
      </c>
      <c r="H167" s="11">
        <v>10686</v>
      </c>
      <c r="I167" s="11">
        <v>3851</v>
      </c>
      <c r="J167" s="66">
        <f t="shared" si="8"/>
        <v>47.669848399775404</v>
      </c>
      <c r="K167" s="66">
        <f t="shared" si="9"/>
        <v>52.330151600224596</v>
      </c>
    </row>
    <row r="168" spans="1:11" x14ac:dyDescent="0.3">
      <c r="A168" s="10">
        <v>14</v>
      </c>
      <c r="B168" s="10" t="s">
        <v>468</v>
      </c>
      <c r="C168" s="10" t="str" cm="1">
        <f t="array" ref="C168">_xlfn.IFS(A168&lt;20, "ภาคกลาง", A168&lt;30, "ภาคตะวันออก", A168&lt;50, "ภาคตะวันออกเฉียงเหนือ", A168&lt;60, "ภาคเหนือ", A168&lt;80, "ภาคกลาง/ตะวันตก", A168&gt;=80, "ภาคใต้")</f>
        <v>ภาคกลาง</v>
      </c>
      <c r="D168" s="64">
        <v>1491</v>
      </c>
      <c r="E168" s="10" t="s">
        <v>511</v>
      </c>
      <c r="F168" s="11">
        <v>3011</v>
      </c>
      <c r="G168" s="11">
        <v>3090</v>
      </c>
      <c r="H168" s="11">
        <v>6101</v>
      </c>
      <c r="I168" s="11">
        <v>1900</v>
      </c>
      <c r="J168" s="66">
        <f t="shared" si="8"/>
        <v>49.352565153253565</v>
      </c>
      <c r="K168" s="66">
        <f t="shared" si="9"/>
        <v>50.647434846746428</v>
      </c>
    </row>
    <row r="169" spans="1:11" x14ac:dyDescent="0.3">
      <c r="A169" s="10">
        <v>14</v>
      </c>
      <c r="B169" s="10" t="s">
        <v>468</v>
      </c>
      <c r="C169" s="10" t="str" cm="1">
        <f t="array" ref="C169">_xlfn.IFS(A169&lt;20, "ภาคกลาง", A169&lt;30, "ภาคตะวันออก", A169&lt;50, "ภาคตะวันออกเฉียงเหนือ", A169&lt;60, "ภาคเหนือ", A169&lt;80, "ภาคกลาง/ตะวันตก", A169&gt;=80, "ภาคใต้")</f>
        <v>ภาคกลาง</v>
      </c>
      <c r="D169" s="64">
        <v>1492</v>
      </c>
      <c r="E169" s="10" t="s">
        <v>512</v>
      </c>
      <c r="F169" s="11">
        <v>4910</v>
      </c>
      <c r="G169" s="11">
        <v>5127</v>
      </c>
      <c r="H169" s="11">
        <v>10037</v>
      </c>
      <c r="I169" s="11">
        <v>4048</v>
      </c>
      <c r="J169" s="66">
        <f t="shared" si="8"/>
        <v>48.918999701105911</v>
      </c>
      <c r="K169" s="66">
        <f t="shared" si="9"/>
        <v>51.081000298894097</v>
      </c>
    </row>
    <row r="170" spans="1:11" ht="27.6" x14ac:dyDescent="0.3">
      <c r="A170" s="10">
        <v>14</v>
      </c>
      <c r="B170" s="10" t="s">
        <v>468</v>
      </c>
      <c r="C170" s="10" t="str" cm="1">
        <f t="array" ref="C170">_xlfn.IFS(A170&lt;20, "ภาคกลาง", A170&lt;30, "ภาคตะวันออก", A170&lt;50, "ภาคตะวันออกเฉียงเหนือ", A170&lt;60, "ภาคเหนือ", A170&lt;80, "ภาคกลาง/ตะวันตก", A170&gt;=80, "ภาคใต้")</f>
        <v>ภาคกลาง</v>
      </c>
      <c r="D170" s="64">
        <v>1493</v>
      </c>
      <c r="E170" s="10" t="s">
        <v>513</v>
      </c>
      <c r="F170" s="11">
        <v>3653</v>
      </c>
      <c r="G170" s="11">
        <v>3907</v>
      </c>
      <c r="H170" s="11">
        <v>7560</v>
      </c>
      <c r="I170" s="11">
        <v>2910</v>
      </c>
      <c r="J170" s="66">
        <f t="shared" si="8"/>
        <v>48.320105820105816</v>
      </c>
      <c r="K170" s="66">
        <f t="shared" si="9"/>
        <v>51.679894179894184</v>
      </c>
    </row>
    <row r="171" spans="1:11" x14ac:dyDescent="0.3">
      <c r="A171" s="10">
        <v>14</v>
      </c>
      <c r="B171" s="10" t="s">
        <v>468</v>
      </c>
      <c r="C171" s="10" t="str" cm="1">
        <f t="array" ref="C171">_xlfn.IFS(A171&lt;20, "ภาคกลาง", A171&lt;30, "ภาคตะวันออก", A171&lt;50, "ภาคตะวันออกเฉียงเหนือ", A171&lt;60, "ภาคเหนือ", A171&lt;80, "ภาคกลาง/ตะวันตก", A171&gt;=80, "ภาคใต้")</f>
        <v>ภาคกลาง</v>
      </c>
      <c r="D171" s="64">
        <v>1494</v>
      </c>
      <c r="E171" s="10" t="s">
        <v>514</v>
      </c>
      <c r="F171" s="11">
        <v>3229</v>
      </c>
      <c r="G171" s="11">
        <v>3520</v>
      </c>
      <c r="H171" s="11">
        <v>6749</v>
      </c>
      <c r="I171" s="11">
        <v>3079</v>
      </c>
      <c r="J171" s="66">
        <f t="shared" si="8"/>
        <v>47.844125055563786</v>
      </c>
      <c r="K171" s="66">
        <f t="shared" si="9"/>
        <v>52.155874944436206</v>
      </c>
    </row>
    <row r="172" spans="1:11" x14ac:dyDescent="0.3">
      <c r="A172" s="10">
        <v>14</v>
      </c>
      <c r="B172" s="10" t="s">
        <v>468</v>
      </c>
      <c r="C172" s="10" t="str" cm="1">
        <f t="array" ref="C172">_xlfn.IFS(A172&lt;20, "ภาคกลาง", A172&lt;30, "ภาคตะวันออก", A172&lt;50, "ภาคตะวันออกเฉียงเหนือ", A172&lt;60, "ภาคเหนือ", A172&lt;80, "ภาคกลาง/ตะวันตก", A172&gt;=80, "ภาคใต้")</f>
        <v>ภาคกลาง</v>
      </c>
      <c r="D172" s="64">
        <v>1495</v>
      </c>
      <c r="E172" s="10" t="s">
        <v>515</v>
      </c>
      <c r="F172" s="11">
        <v>3793</v>
      </c>
      <c r="G172" s="11">
        <v>4241</v>
      </c>
      <c r="H172" s="11">
        <v>8034</v>
      </c>
      <c r="I172" s="11">
        <v>4190</v>
      </c>
      <c r="J172" s="66">
        <f t="shared" si="8"/>
        <v>47.211849639034106</v>
      </c>
      <c r="K172" s="66">
        <f t="shared" si="9"/>
        <v>52.788150360965894</v>
      </c>
    </row>
    <row r="173" spans="1:11" x14ac:dyDescent="0.3">
      <c r="A173" s="10">
        <v>14</v>
      </c>
      <c r="B173" s="10" t="s">
        <v>468</v>
      </c>
      <c r="C173" s="10" t="str" cm="1">
        <f t="array" ref="C173">_xlfn.IFS(A173&lt;20, "ภาคกลาง", A173&lt;30, "ภาคตะวันออก", A173&lt;50, "ภาคตะวันออกเฉียงเหนือ", A173&lt;60, "ภาคเหนือ", A173&lt;80, "ภาคกลาง/ตะวันตก", A173&gt;=80, "ภาคใต้")</f>
        <v>ภาคกลาง</v>
      </c>
      <c r="D173" s="64">
        <v>1496</v>
      </c>
      <c r="E173" s="10" t="s">
        <v>516</v>
      </c>
      <c r="F173" s="11">
        <v>9053</v>
      </c>
      <c r="G173" s="11">
        <v>10645</v>
      </c>
      <c r="H173" s="11">
        <v>19698</v>
      </c>
      <c r="I173" s="11">
        <v>11524</v>
      </c>
      <c r="J173" s="66">
        <f t="shared" si="8"/>
        <v>45.958980607168243</v>
      </c>
      <c r="K173" s="66">
        <f t="shared" si="9"/>
        <v>54.041019392831757</v>
      </c>
    </row>
    <row r="174" spans="1:11" x14ac:dyDescent="0.3">
      <c r="A174" s="10">
        <v>14</v>
      </c>
      <c r="B174" s="10" t="s">
        <v>468</v>
      </c>
      <c r="C174" s="10" t="str" cm="1">
        <f t="array" ref="C174">_xlfn.IFS(A174&lt;20, "ภาคกลาง", A174&lt;30, "ภาคตะวันออก", A174&lt;50, "ภาคตะวันออกเฉียงเหนือ", A174&lt;60, "ภาคเหนือ", A174&lt;80, "ภาคกลาง/ตะวันตก", A174&gt;=80, "ภาคใต้")</f>
        <v>ภาคกลาง</v>
      </c>
      <c r="D174" s="64">
        <v>1497</v>
      </c>
      <c r="E174" s="10" t="s">
        <v>517</v>
      </c>
      <c r="F174" s="11">
        <v>5066</v>
      </c>
      <c r="G174" s="11">
        <v>5525</v>
      </c>
      <c r="H174" s="11">
        <v>10591</v>
      </c>
      <c r="I174" s="11">
        <v>3362</v>
      </c>
      <c r="J174" s="66">
        <f t="shared" si="8"/>
        <v>47.833065810593901</v>
      </c>
      <c r="K174" s="66">
        <f t="shared" si="9"/>
        <v>52.166934189406099</v>
      </c>
    </row>
    <row r="175" spans="1:11" x14ac:dyDescent="0.3">
      <c r="A175" s="10">
        <v>14</v>
      </c>
      <c r="B175" s="10" t="s">
        <v>468</v>
      </c>
      <c r="C175" s="10" t="str" cm="1">
        <f t="array" ref="C175">_xlfn.IFS(A175&lt;20, "ภาคกลาง", A175&lt;30, "ภาคตะวันออก", A175&lt;50, "ภาคตะวันออกเฉียงเหนือ", A175&lt;60, "ภาคเหนือ", A175&lt;80, "ภาคกลาง/ตะวันตก", A175&gt;=80, "ภาคใต้")</f>
        <v>ภาคกลาง</v>
      </c>
      <c r="D175" s="64">
        <v>1498</v>
      </c>
      <c r="E175" s="10" t="s">
        <v>518</v>
      </c>
      <c r="F175" s="11">
        <v>2910</v>
      </c>
      <c r="G175" s="11">
        <v>3318</v>
      </c>
      <c r="H175" s="11">
        <v>6228</v>
      </c>
      <c r="I175" s="11">
        <v>3261</v>
      </c>
      <c r="J175" s="66">
        <f t="shared" si="8"/>
        <v>46.724470134874757</v>
      </c>
      <c r="K175" s="66">
        <f t="shared" si="9"/>
        <v>53.275529865125236</v>
      </c>
    </row>
    <row r="176" spans="1:11" ht="27.6" x14ac:dyDescent="0.3">
      <c r="A176" s="10">
        <v>14</v>
      </c>
      <c r="B176" s="10" t="s">
        <v>468</v>
      </c>
      <c r="C176" s="10" t="str" cm="1">
        <f t="array" ref="C176">_xlfn.IFS(A176&lt;20, "ภาคกลาง", A176&lt;30, "ภาคตะวันออก", A176&lt;50, "ภาคตะวันออกเฉียงเหนือ", A176&lt;60, "ภาคเหนือ", A176&lt;80, "ภาคกลาง/ตะวันตก", A176&gt;=80, "ภาคใต้")</f>
        <v>ภาคกลาง</v>
      </c>
      <c r="D176" s="64">
        <v>1499</v>
      </c>
      <c r="E176" s="10" t="s">
        <v>519</v>
      </c>
      <c r="F176" s="11">
        <v>1615</v>
      </c>
      <c r="G176" s="11">
        <v>1794</v>
      </c>
      <c r="H176" s="11">
        <v>3409</v>
      </c>
      <c r="I176" s="11">
        <v>1500</v>
      </c>
      <c r="J176" s="66">
        <f t="shared" si="8"/>
        <v>47.374596655910821</v>
      </c>
      <c r="K176" s="66">
        <f t="shared" si="9"/>
        <v>52.625403344089172</v>
      </c>
    </row>
    <row r="177" spans="1:11" hidden="1" x14ac:dyDescent="0.3">
      <c r="A177" s="10">
        <v>14</v>
      </c>
      <c r="B177" s="10" t="s">
        <v>468</v>
      </c>
      <c r="C177" s="10" t="str" cm="1">
        <f t="array" ref="C177">_xlfn.IFS(A177&lt;20, "ภาคกลาง", A177&lt;30, "ภาคตะวันออก", A177&lt;50, "ภาคตะวันออกเฉียงเหนือ", A177&lt;60, "ภาคเหนือ", A177&lt;80, "ภาคกลาง/ตะวันตก", A177&gt;=80, "ภาคใต้")</f>
        <v>ภาคกลาง</v>
      </c>
      <c r="D177" s="10">
        <v>0</v>
      </c>
      <c r="E177" s="10" t="s">
        <v>343</v>
      </c>
      <c r="F177" s="11">
        <v>22382</v>
      </c>
      <c r="G177" s="11">
        <v>24677</v>
      </c>
      <c r="H177" s="11">
        <v>47059</v>
      </c>
      <c r="I177" s="11">
        <v>20682</v>
      </c>
      <c r="J177"/>
      <c r="K177"/>
    </row>
    <row r="178" spans="1:11" x14ac:dyDescent="0.3">
      <c r="A178" s="10">
        <v>15</v>
      </c>
      <c r="B178" s="10" t="s">
        <v>520</v>
      </c>
      <c r="C178" s="10" t="str" cm="1">
        <f t="array" ref="C178">_xlfn.IFS(A178&lt;20, "ภาคกลาง", A178&lt;30, "ภาคตะวันออก", A178&lt;50, "ภาคตะวันออกเฉียงเหนือ", A178&lt;60, "ภาคเหนือ", A178&lt;80, "ภาคกลาง/ตะวันตก", A178&gt;=80, "ภาคใต้")</f>
        <v>ภาคกลาง</v>
      </c>
      <c r="D178" s="64">
        <v>1501</v>
      </c>
      <c r="E178" s="10" t="s">
        <v>521</v>
      </c>
      <c r="F178" s="11">
        <v>128445</v>
      </c>
      <c r="G178" s="11">
        <v>140430</v>
      </c>
      <c r="H178" s="11">
        <v>268875</v>
      </c>
      <c r="I178" s="11">
        <v>105354</v>
      </c>
      <c r="J178" s="66">
        <f t="shared" ref="J178:J194" si="10">F178/H178*100</f>
        <v>47.771269177126918</v>
      </c>
      <c r="K178" s="66">
        <f t="shared" ref="K178:K194" si="11">G178/H178*100</f>
        <v>52.228730822873082</v>
      </c>
    </row>
    <row r="179" spans="1:11" x14ac:dyDescent="0.3">
      <c r="A179" s="10">
        <v>15</v>
      </c>
      <c r="B179" s="10" t="s">
        <v>520</v>
      </c>
      <c r="C179" s="10" t="str" cm="1">
        <f t="array" ref="C179">_xlfn.IFS(A179&lt;20, "ภาคกลาง", A179&lt;30, "ภาคตะวันออก", A179&lt;50, "ภาคตะวันออกเฉียงเหนือ", A179&lt;60, "ภาคเหนือ", A179&lt;80, "ภาคกลาง/ตะวันตก", A179&gt;=80, "ภาคใต้")</f>
        <v>ภาคกลาง</v>
      </c>
      <c r="D179" s="64">
        <v>1502</v>
      </c>
      <c r="E179" s="10" t="s">
        <v>522</v>
      </c>
      <c r="F179" s="11">
        <v>20501</v>
      </c>
      <c r="G179" s="11">
        <v>22698</v>
      </c>
      <c r="H179" s="11">
        <v>43199</v>
      </c>
      <c r="I179" s="11">
        <v>17828</v>
      </c>
      <c r="J179" s="66">
        <f t="shared" si="10"/>
        <v>47.45711706289498</v>
      </c>
      <c r="K179" s="66">
        <f t="shared" si="11"/>
        <v>52.542882937105027</v>
      </c>
    </row>
    <row r="180" spans="1:11" x14ac:dyDescent="0.3">
      <c r="A180" s="10">
        <v>15</v>
      </c>
      <c r="B180" s="10" t="s">
        <v>520</v>
      </c>
      <c r="C180" s="10" t="str" cm="1">
        <f t="array" ref="C180">_xlfn.IFS(A180&lt;20, "ภาคกลาง", A180&lt;30, "ภาคตะวันออก", A180&lt;50, "ภาคตะวันออกเฉียงเหนือ", A180&lt;60, "ภาคเหนือ", A180&lt;80, "ภาคกลาง/ตะวันตก", A180&gt;=80, "ภาคใต้")</f>
        <v>ภาคกลาง</v>
      </c>
      <c r="D180" s="64">
        <v>1503</v>
      </c>
      <c r="E180" s="10" t="s">
        <v>523</v>
      </c>
      <c r="F180" s="11">
        <v>3383</v>
      </c>
      <c r="G180" s="11">
        <v>3604</v>
      </c>
      <c r="H180" s="11">
        <v>6987</v>
      </c>
      <c r="I180" s="11">
        <v>2535</v>
      </c>
      <c r="J180" s="66">
        <f t="shared" si="10"/>
        <v>48.418491484184919</v>
      </c>
      <c r="K180" s="66">
        <f t="shared" si="11"/>
        <v>51.581508515815088</v>
      </c>
    </row>
    <row r="181" spans="1:11" x14ac:dyDescent="0.3">
      <c r="A181" s="10">
        <v>15</v>
      </c>
      <c r="B181" s="10" t="s">
        <v>520</v>
      </c>
      <c r="C181" s="10" t="str" cm="1">
        <f t="array" ref="C181">_xlfn.IFS(A181&lt;20, "ภาคกลาง", A181&lt;30, "ภาคตะวันออก", A181&lt;50, "ภาคตะวันออกเฉียงเหนือ", A181&lt;60, "ภาคเหนือ", A181&lt;80, "ภาคกลาง/ตะวันตก", A181&gt;=80, "ภาคใต้")</f>
        <v>ภาคกลาง</v>
      </c>
      <c r="D181" s="64">
        <v>1504</v>
      </c>
      <c r="E181" s="10" t="s">
        <v>524</v>
      </c>
      <c r="F181" s="11">
        <v>8767</v>
      </c>
      <c r="G181" s="11">
        <v>9637</v>
      </c>
      <c r="H181" s="11">
        <v>18404</v>
      </c>
      <c r="I181" s="11">
        <v>6972</v>
      </c>
      <c r="J181" s="66">
        <f t="shared" si="10"/>
        <v>47.636383394914148</v>
      </c>
      <c r="K181" s="66">
        <f t="shared" si="11"/>
        <v>52.363616605085852</v>
      </c>
    </row>
    <row r="182" spans="1:11" x14ac:dyDescent="0.3">
      <c r="A182" s="10">
        <v>15</v>
      </c>
      <c r="B182" s="10" t="s">
        <v>520</v>
      </c>
      <c r="C182" s="10" t="str" cm="1">
        <f t="array" ref="C182">_xlfn.IFS(A182&lt;20, "ภาคกลาง", A182&lt;30, "ภาคตะวันออก", A182&lt;50, "ภาคตะวันออกเฉียงเหนือ", A182&lt;60, "ภาคเหนือ", A182&lt;80, "ภาคกลาง/ตะวันตก", A182&gt;=80, "ภาคใต้")</f>
        <v>ภาคกลาง</v>
      </c>
      <c r="D182" s="64">
        <v>1505</v>
      </c>
      <c r="E182" s="10" t="s">
        <v>525</v>
      </c>
      <c r="F182" s="11">
        <v>20382</v>
      </c>
      <c r="G182" s="11">
        <v>22485</v>
      </c>
      <c r="H182" s="11">
        <v>42867</v>
      </c>
      <c r="I182" s="11">
        <v>15483</v>
      </c>
      <c r="J182" s="66">
        <f t="shared" si="10"/>
        <v>47.547064175239697</v>
      </c>
      <c r="K182" s="66">
        <f t="shared" si="11"/>
        <v>52.452935824760303</v>
      </c>
    </row>
    <row r="183" spans="1:11" x14ac:dyDescent="0.3">
      <c r="A183" s="10">
        <v>15</v>
      </c>
      <c r="B183" s="10" t="s">
        <v>520</v>
      </c>
      <c r="C183" s="10" t="str" cm="1">
        <f t="array" ref="C183">_xlfn.IFS(A183&lt;20, "ภาคกลาง", A183&lt;30, "ภาคตะวันออก", A183&lt;50, "ภาคตะวันออกเฉียงเหนือ", A183&lt;60, "ภาคเหนือ", A183&lt;80, "ภาคกลาง/ตะวันตก", A183&gt;=80, "ภาคใต้")</f>
        <v>ภาคกลาง</v>
      </c>
      <c r="D183" s="64">
        <v>1506</v>
      </c>
      <c r="E183" s="10" t="s">
        <v>526</v>
      </c>
      <c r="F183" s="11">
        <v>14659</v>
      </c>
      <c r="G183" s="11">
        <v>15391</v>
      </c>
      <c r="H183" s="11">
        <v>30050</v>
      </c>
      <c r="I183" s="11">
        <v>10515</v>
      </c>
      <c r="J183" s="66">
        <f t="shared" si="10"/>
        <v>48.782029950083192</v>
      </c>
      <c r="K183" s="66">
        <f t="shared" si="11"/>
        <v>51.217970049916808</v>
      </c>
    </row>
    <row r="184" spans="1:11" x14ac:dyDescent="0.3">
      <c r="A184" s="10">
        <v>15</v>
      </c>
      <c r="B184" s="10" t="s">
        <v>520</v>
      </c>
      <c r="C184" s="10" t="str" cm="1">
        <f t="array" ref="C184">_xlfn.IFS(A184&lt;20, "ภาคกลาง", A184&lt;30, "ภาคตะวันออก", A184&lt;50, "ภาคตะวันออกเฉียงเหนือ", A184&lt;60, "ภาคเหนือ", A184&lt;80, "ภาคกลาง/ตะวันตก", A184&gt;=80, "ภาคใต้")</f>
        <v>ภาคกลาง</v>
      </c>
      <c r="D184" s="64">
        <v>1507</v>
      </c>
      <c r="E184" s="10" t="s">
        <v>527</v>
      </c>
      <c r="F184" s="11">
        <v>23882</v>
      </c>
      <c r="G184" s="11">
        <v>25891</v>
      </c>
      <c r="H184" s="11">
        <v>49773</v>
      </c>
      <c r="I184" s="11">
        <v>19007</v>
      </c>
      <c r="J184" s="66">
        <f t="shared" si="10"/>
        <v>47.98183754244269</v>
      </c>
      <c r="K184" s="66">
        <f t="shared" si="11"/>
        <v>52.018162457557317</v>
      </c>
    </row>
    <row r="185" spans="1:11" x14ac:dyDescent="0.3">
      <c r="A185" s="10">
        <v>15</v>
      </c>
      <c r="B185" s="10" t="s">
        <v>520</v>
      </c>
      <c r="C185" s="10" t="str" cm="1">
        <f t="array" ref="C185">_xlfn.IFS(A185&lt;20, "ภาคกลาง", A185&lt;30, "ภาคตะวันออก", A185&lt;50, "ภาคตะวันออกเฉียงเหนือ", A185&lt;60, "ภาคเหนือ", A185&lt;80, "ภาคกลาง/ตะวันตก", A185&gt;=80, "ภาคใต้")</f>
        <v>ภาคกลาง</v>
      </c>
      <c r="D185" s="64">
        <v>1590</v>
      </c>
      <c r="E185" s="10" t="s">
        <v>528</v>
      </c>
      <c r="F185" s="11">
        <v>3985</v>
      </c>
      <c r="G185" s="11">
        <v>4246</v>
      </c>
      <c r="H185" s="11">
        <v>8231</v>
      </c>
      <c r="I185" s="11">
        <v>2957</v>
      </c>
      <c r="J185" s="66">
        <f t="shared" si="10"/>
        <v>48.414530433726156</v>
      </c>
      <c r="K185" s="66">
        <f t="shared" si="11"/>
        <v>51.585469566273844</v>
      </c>
    </row>
    <row r="186" spans="1:11" ht="27.6" x14ac:dyDescent="0.3">
      <c r="A186" s="10">
        <v>15</v>
      </c>
      <c r="B186" s="10" t="s">
        <v>520</v>
      </c>
      <c r="C186" s="10" t="str" cm="1">
        <f t="array" ref="C186">_xlfn.IFS(A186&lt;20, "ภาคกลาง", A186&lt;30, "ภาคตะวันออก", A186&lt;50, "ภาคตะวันออกเฉียงเหนือ", A186&lt;60, "ภาคเหนือ", A186&lt;80, "ภาคกลาง/ตะวันตก", A186&gt;=80, "ภาคใต้")</f>
        <v>ภาคกลาง</v>
      </c>
      <c r="D186" s="64">
        <v>1591</v>
      </c>
      <c r="E186" s="10" t="s">
        <v>529</v>
      </c>
      <c r="F186" s="11">
        <v>4955</v>
      </c>
      <c r="G186" s="11">
        <v>5467</v>
      </c>
      <c r="H186" s="11">
        <v>10422</v>
      </c>
      <c r="I186" s="11">
        <v>3734</v>
      </c>
      <c r="J186" s="66">
        <f t="shared" si="10"/>
        <v>47.54365764728459</v>
      </c>
      <c r="K186" s="66">
        <f t="shared" si="11"/>
        <v>52.45634235271541</v>
      </c>
    </row>
    <row r="187" spans="1:11" x14ac:dyDescent="0.3">
      <c r="A187" s="10">
        <v>15</v>
      </c>
      <c r="B187" s="10" t="s">
        <v>520</v>
      </c>
      <c r="C187" s="10" t="str" cm="1">
        <f t="array" ref="C187">_xlfn.IFS(A187&lt;20, "ภาคกลาง", A187&lt;30, "ภาคตะวันออก", A187&lt;50, "ภาคตะวันออกเฉียงเหนือ", A187&lt;60, "ภาคเหนือ", A187&lt;80, "ภาคกลาง/ตะวันตก", A187&gt;=80, "ภาคใต้")</f>
        <v>ภาคกลาง</v>
      </c>
      <c r="D187" s="64">
        <v>1592</v>
      </c>
      <c r="E187" s="10" t="s">
        <v>530</v>
      </c>
      <c r="F187" s="11">
        <v>2539</v>
      </c>
      <c r="G187" s="11">
        <v>3081</v>
      </c>
      <c r="H187" s="11">
        <v>5620</v>
      </c>
      <c r="I187" s="11">
        <v>3067</v>
      </c>
      <c r="J187" s="66">
        <f t="shared" si="10"/>
        <v>45.177935943060497</v>
      </c>
      <c r="K187" s="66">
        <f t="shared" si="11"/>
        <v>54.822064056939503</v>
      </c>
    </row>
    <row r="188" spans="1:11" x14ac:dyDescent="0.3">
      <c r="A188" s="10">
        <v>15</v>
      </c>
      <c r="B188" s="10" t="s">
        <v>520</v>
      </c>
      <c r="C188" s="10" t="str" cm="1">
        <f t="array" ref="C188">_xlfn.IFS(A188&lt;20, "ภาคกลาง", A188&lt;30, "ภาคตะวันออก", A188&lt;50, "ภาคตะวันออกเฉียงเหนือ", A188&lt;60, "ภาคเหนือ", A188&lt;80, "ภาคกลาง/ตะวันตก", A188&gt;=80, "ภาคใต้")</f>
        <v>ภาคกลาง</v>
      </c>
      <c r="D188" s="64">
        <v>1593</v>
      </c>
      <c r="E188" s="10" t="s">
        <v>531</v>
      </c>
      <c r="F188" s="11">
        <v>3519</v>
      </c>
      <c r="G188" s="11">
        <v>3867</v>
      </c>
      <c r="H188" s="11">
        <v>7386</v>
      </c>
      <c r="I188" s="11">
        <v>2914</v>
      </c>
      <c r="J188" s="66">
        <f t="shared" si="10"/>
        <v>47.644191714053612</v>
      </c>
      <c r="K188" s="66">
        <f t="shared" si="11"/>
        <v>52.355808285946381</v>
      </c>
    </row>
    <row r="189" spans="1:11" x14ac:dyDescent="0.3">
      <c r="A189" s="10">
        <v>15</v>
      </c>
      <c r="B189" s="10" t="s">
        <v>520</v>
      </c>
      <c r="C189" s="10" t="str" cm="1">
        <f t="array" ref="C189">_xlfn.IFS(A189&lt;20, "ภาคกลาง", A189&lt;30, "ภาคตะวันออก", A189&lt;50, "ภาคตะวันออกเฉียงเหนือ", A189&lt;60, "ภาคเหนือ", A189&lt;80, "ภาคกลาง/ตะวันตก", A189&gt;=80, "ภาคใต้")</f>
        <v>ภาคกลาง</v>
      </c>
      <c r="D189" s="64">
        <v>1594</v>
      </c>
      <c r="E189" s="10" t="s">
        <v>532</v>
      </c>
      <c r="F189" s="11">
        <v>1490</v>
      </c>
      <c r="G189" s="11">
        <v>1611</v>
      </c>
      <c r="H189" s="11">
        <v>3101</v>
      </c>
      <c r="I189" s="11">
        <v>1292</v>
      </c>
      <c r="J189" s="66">
        <f t="shared" si="10"/>
        <v>48.04901644630764</v>
      </c>
      <c r="K189" s="66">
        <f t="shared" si="11"/>
        <v>51.950983553692353</v>
      </c>
    </row>
    <row r="190" spans="1:11" x14ac:dyDescent="0.3">
      <c r="A190" s="10">
        <v>15</v>
      </c>
      <c r="B190" s="10" t="s">
        <v>520</v>
      </c>
      <c r="C190" s="10" t="str" cm="1">
        <f t="array" ref="C190">_xlfn.IFS(A190&lt;20, "ภาคกลาง", A190&lt;30, "ภาคตะวันออก", A190&lt;50, "ภาคตะวันออกเฉียงเหนือ", A190&lt;60, "ภาคเหนือ", A190&lt;80, "ภาคกลาง/ตะวันตก", A190&gt;=80, "ภาคใต้")</f>
        <v>ภาคกลาง</v>
      </c>
      <c r="D190" s="64">
        <v>1595</v>
      </c>
      <c r="E190" s="10" t="s">
        <v>533</v>
      </c>
      <c r="F190" s="11">
        <v>1946</v>
      </c>
      <c r="G190" s="11">
        <v>2140</v>
      </c>
      <c r="H190" s="11">
        <v>4086</v>
      </c>
      <c r="I190" s="11">
        <v>1536</v>
      </c>
      <c r="J190" s="66">
        <f t="shared" si="10"/>
        <v>47.626040137053351</v>
      </c>
      <c r="K190" s="66">
        <f t="shared" si="11"/>
        <v>52.373959862946649</v>
      </c>
    </row>
    <row r="191" spans="1:11" x14ac:dyDescent="0.3">
      <c r="A191" s="10">
        <v>15</v>
      </c>
      <c r="B191" s="10" t="s">
        <v>520</v>
      </c>
      <c r="C191" s="10" t="str" cm="1">
        <f t="array" ref="C191">_xlfn.IFS(A191&lt;20, "ภาคกลาง", A191&lt;30, "ภาคตะวันออก", A191&lt;50, "ภาคตะวันออกเฉียงเหนือ", A191&lt;60, "ภาคเหนือ", A191&lt;80, "ภาคกลาง/ตะวันตก", A191&gt;=80, "ภาคใต้")</f>
        <v>ภาคกลาง</v>
      </c>
      <c r="D191" s="64">
        <v>1596</v>
      </c>
      <c r="E191" s="10" t="s">
        <v>534</v>
      </c>
      <c r="F191" s="11">
        <v>1923</v>
      </c>
      <c r="G191" s="11">
        <v>2158</v>
      </c>
      <c r="H191" s="11">
        <v>4081</v>
      </c>
      <c r="I191" s="11">
        <v>1766</v>
      </c>
      <c r="J191" s="66">
        <f t="shared" si="10"/>
        <v>47.120803724577307</v>
      </c>
      <c r="K191" s="66">
        <f t="shared" si="11"/>
        <v>52.879196275422693</v>
      </c>
    </row>
    <row r="192" spans="1:11" ht="27.6" x14ac:dyDescent="0.3">
      <c r="A192" s="10">
        <v>15</v>
      </c>
      <c r="B192" s="10" t="s">
        <v>520</v>
      </c>
      <c r="C192" s="10" t="str" cm="1">
        <f t="array" ref="C192">_xlfn.IFS(A192&lt;20, "ภาคกลาง", A192&lt;30, "ภาคตะวันออก", A192&lt;50, "ภาคตะวันออกเฉียงเหนือ", A192&lt;60, "ภาคเหนือ", A192&lt;80, "ภาคกลาง/ตะวันตก", A192&gt;=80, "ภาคใต้")</f>
        <v>ภาคกลาง</v>
      </c>
      <c r="D192" s="64">
        <v>1597</v>
      </c>
      <c r="E192" s="10" t="s">
        <v>535</v>
      </c>
      <c r="F192" s="11">
        <v>5925</v>
      </c>
      <c r="G192" s="11">
        <v>6380</v>
      </c>
      <c r="H192" s="11">
        <v>12305</v>
      </c>
      <c r="I192" s="11">
        <v>4352</v>
      </c>
      <c r="J192" s="66">
        <f t="shared" si="10"/>
        <v>48.151158065826898</v>
      </c>
      <c r="K192" s="66">
        <f t="shared" si="11"/>
        <v>51.848841934173095</v>
      </c>
    </row>
    <row r="193" spans="1:11" x14ac:dyDescent="0.3">
      <c r="A193" s="10">
        <v>15</v>
      </c>
      <c r="B193" s="10" t="s">
        <v>520</v>
      </c>
      <c r="C193" s="10" t="str" cm="1">
        <f t="array" ref="C193">_xlfn.IFS(A193&lt;20, "ภาคกลาง", A193&lt;30, "ภาคตะวันออก", A193&lt;50, "ภาคตะวันออกเฉียงเหนือ", A193&lt;60, "ภาคเหนือ", A193&lt;80, "ภาคกลาง/ตะวันตก", A193&gt;=80, "ภาคใต้")</f>
        <v>ภาคกลาง</v>
      </c>
      <c r="D193" s="64">
        <v>1598</v>
      </c>
      <c r="E193" s="10" t="s">
        <v>536</v>
      </c>
      <c r="F193" s="11">
        <v>1305</v>
      </c>
      <c r="G193" s="11">
        <v>1398</v>
      </c>
      <c r="H193" s="11">
        <v>2703</v>
      </c>
      <c r="I193" s="11">
        <v>1047</v>
      </c>
      <c r="J193" s="66">
        <f t="shared" si="10"/>
        <v>48.279689234184239</v>
      </c>
      <c r="K193" s="66">
        <f t="shared" si="11"/>
        <v>51.720310765815761</v>
      </c>
    </row>
    <row r="194" spans="1:11" x14ac:dyDescent="0.3">
      <c r="A194" s="10">
        <v>15</v>
      </c>
      <c r="B194" s="10" t="s">
        <v>520</v>
      </c>
      <c r="C194" s="10" t="str" cm="1">
        <f t="array" ref="C194">_xlfn.IFS(A194&lt;20, "ภาคกลาง", A194&lt;30, "ภาคตะวันออก", A194&lt;50, "ภาคตะวันออกเฉียงเหนือ", A194&lt;60, "ภาคเหนือ", A194&lt;80, "ภาคกลาง/ตะวันตก", A194&gt;=80, "ภาคใต้")</f>
        <v>ภาคกลาง</v>
      </c>
      <c r="D194" s="64">
        <v>1599</v>
      </c>
      <c r="E194" s="10" t="s">
        <v>537</v>
      </c>
      <c r="F194" s="11">
        <v>4001</v>
      </c>
      <c r="G194" s="11">
        <v>4436</v>
      </c>
      <c r="H194" s="11">
        <v>8437</v>
      </c>
      <c r="I194" s="11">
        <v>3645</v>
      </c>
      <c r="J194" s="66">
        <f t="shared" si="10"/>
        <v>47.422069455967765</v>
      </c>
      <c r="K194" s="66">
        <f t="shared" si="11"/>
        <v>52.577930544032235</v>
      </c>
    </row>
    <row r="195" spans="1:11" hidden="1" x14ac:dyDescent="0.3">
      <c r="A195" s="10">
        <v>15</v>
      </c>
      <c r="B195" s="10" t="s">
        <v>520</v>
      </c>
      <c r="C195" s="10" t="str" cm="1">
        <f t="array" ref="C195">_xlfn.IFS(A195&lt;20, "ภาคกลาง", A195&lt;30, "ภาคตะวันออก", A195&lt;50, "ภาคตะวันออกเฉียงเหนือ", A195&lt;60, "ภาคเหนือ", A195&lt;80, "ภาคกลาง/ตะวันตก", A195&gt;=80, "ภาคใต้")</f>
        <v>ภาคกลาง</v>
      </c>
      <c r="D195" s="10">
        <v>0</v>
      </c>
      <c r="E195" s="10" t="s">
        <v>343</v>
      </c>
      <c r="F195" s="11">
        <v>5283</v>
      </c>
      <c r="G195" s="11">
        <v>5940</v>
      </c>
      <c r="H195" s="11">
        <v>11223</v>
      </c>
      <c r="I195" s="11">
        <v>6704</v>
      </c>
      <c r="J195"/>
      <c r="K195"/>
    </row>
    <row r="196" spans="1:11" x14ac:dyDescent="0.3">
      <c r="A196" s="10">
        <v>16</v>
      </c>
      <c r="B196" s="10" t="s">
        <v>538</v>
      </c>
      <c r="C196" s="10" t="str" cm="1">
        <f t="array" ref="C196">_xlfn.IFS(A196&lt;20, "ภาคกลาง", A196&lt;30, "ภาคตะวันออก", A196&lt;50, "ภาคตะวันออกเฉียงเหนือ", A196&lt;60, "ภาคเหนือ", A196&lt;80, "ภาคกลาง/ตะวันตก", A196&gt;=80, "ภาคใต้")</f>
        <v>ภาคกลาง</v>
      </c>
      <c r="D196" s="64">
        <v>1601</v>
      </c>
      <c r="E196" s="10" t="s">
        <v>539</v>
      </c>
      <c r="F196" s="11">
        <v>360040</v>
      </c>
      <c r="G196" s="11">
        <v>365226</v>
      </c>
      <c r="H196" s="11">
        <v>725266</v>
      </c>
      <c r="I196" s="11">
        <v>306787</v>
      </c>
      <c r="J196" s="66">
        <f t="shared" ref="J196:J224" si="12">F196/H196*100</f>
        <v>49.642476001908264</v>
      </c>
      <c r="K196" s="66">
        <f t="shared" ref="K196:K224" si="13">G196/H196*100</f>
        <v>50.357523998091736</v>
      </c>
    </row>
    <row r="197" spans="1:11" x14ac:dyDescent="0.3">
      <c r="A197" s="10">
        <v>16</v>
      </c>
      <c r="B197" s="10" t="s">
        <v>538</v>
      </c>
      <c r="C197" s="10" t="str" cm="1">
        <f t="array" ref="C197">_xlfn.IFS(A197&lt;20, "ภาคกลาง", A197&lt;30, "ภาคตะวันออก", A197&lt;50, "ภาคตะวันออกเฉียงเหนือ", A197&lt;60, "ภาคเหนือ", A197&lt;80, "ภาคกลาง/ตะวันตก", A197&gt;=80, "ภาคใต้")</f>
        <v>ภาคกลาง</v>
      </c>
      <c r="D197" s="64">
        <v>1602</v>
      </c>
      <c r="E197" s="10" t="s">
        <v>540</v>
      </c>
      <c r="F197" s="11">
        <v>48899</v>
      </c>
      <c r="G197" s="11">
        <v>50068</v>
      </c>
      <c r="H197" s="11">
        <v>98967</v>
      </c>
      <c r="I197" s="11">
        <v>42967</v>
      </c>
      <c r="J197" s="66">
        <f t="shared" si="12"/>
        <v>49.409399092626835</v>
      </c>
      <c r="K197" s="66">
        <f t="shared" si="13"/>
        <v>50.590600907373165</v>
      </c>
    </row>
    <row r="198" spans="1:11" x14ac:dyDescent="0.3">
      <c r="A198" s="10">
        <v>16</v>
      </c>
      <c r="B198" s="10" t="s">
        <v>538</v>
      </c>
      <c r="C198" s="10" t="str" cm="1">
        <f t="array" ref="C198">_xlfn.IFS(A198&lt;20, "ภาคกลาง", A198&lt;30, "ภาคตะวันออก", A198&lt;50, "ภาคตะวันออกเฉียงเหนือ", A198&lt;60, "ภาคเหนือ", A198&lt;80, "ภาคกลาง/ตะวันตก", A198&gt;=80, "ภาคใต้")</f>
        <v>ภาคกลาง</v>
      </c>
      <c r="D198" s="64">
        <v>1603</v>
      </c>
      <c r="E198" s="10" t="s">
        <v>541</v>
      </c>
      <c r="F198" s="11">
        <v>27092</v>
      </c>
      <c r="G198" s="11">
        <v>28062</v>
      </c>
      <c r="H198" s="11">
        <v>55154</v>
      </c>
      <c r="I198" s="11">
        <v>24942</v>
      </c>
      <c r="J198" s="66">
        <f t="shared" si="12"/>
        <v>49.120644014939984</v>
      </c>
      <c r="K198" s="66">
        <f t="shared" si="13"/>
        <v>50.879355985060016</v>
      </c>
    </row>
    <row r="199" spans="1:11" x14ac:dyDescent="0.3">
      <c r="A199" s="10">
        <v>16</v>
      </c>
      <c r="B199" s="10" t="s">
        <v>538</v>
      </c>
      <c r="C199" s="10" t="str" cm="1">
        <f t="array" ref="C199">_xlfn.IFS(A199&lt;20, "ภาคกลาง", A199&lt;30, "ภาคตะวันออก", A199&lt;50, "ภาคตะวันออกเฉียงเหนือ", A199&lt;60, "ภาคเหนือ", A199&lt;80, "ภาคกลาง/ตะวันตก", A199&gt;=80, "ภาคใต้")</f>
        <v>ภาคกลาง</v>
      </c>
      <c r="D199" s="64">
        <v>1604</v>
      </c>
      <c r="E199" s="10" t="s">
        <v>542</v>
      </c>
      <c r="F199" s="11">
        <v>36982</v>
      </c>
      <c r="G199" s="11">
        <v>37818</v>
      </c>
      <c r="H199" s="11">
        <v>74800</v>
      </c>
      <c r="I199" s="11">
        <v>29980</v>
      </c>
      <c r="J199" s="66">
        <f t="shared" si="12"/>
        <v>49.441176470588232</v>
      </c>
      <c r="K199" s="66">
        <f t="shared" si="13"/>
        <v>50.558823529411768</v>
      </c>
    </row>
    <row r="200" spans="1:11" x14ac:dyDescent="0.3">
      <c r="A200" s="10">
        <v>16</v>
      </c>
      <c r="B200" s="10" t="s">
        <v>538</v>
      </c>
      <c r="C200" s="10" t="str" cm="1">
        <f t="array" ref="C200">_xlfn.IFS(A200&lt;20, "ภาคกลาง", A200&lt;30, "ภาคตะวันออก", A200&lt;50, "ภาคตะวันออกเฉียงเหนือ", A200&lt;60, "ภาคเหนือ", A200&lt;80, "ภาคกลาง/ตะวันตก", A200&gt;=80, "ภาคใต้")</f>
        <v>ภาคกลาง</v>
      </c>
      <c r="D200" s="64">
        <v>1605</v>
      </c>
      <c r="E200" s="10" t="s">
        <v>543</v>
      </c>
      <c r="F200" s="11">
        <v>36093</v>
      </c>
      <c r="G200" s="11">
        <v>36928</v>
      </c>
      <c r="H200" s="11">
        <v>73021</v>
      </c>
      <c r="I200" s="11">
        <v>29362</v>
      </c>
      <c r="J200" s="66">
        <f t="shared" si="12"/>
        <v>49.428246668766519</v>
      </c>
      <c r="K200" s="66">
        <f t="shared" si="13"/>
        <v>50.571753331233481</v>
      </c>
    </row>
    <row r="201" spans="1:11" x14ac:dyDescent="0.3">
      <c r="A201" s="10">
        <v>16</v>
      </c>
      <c r="B201" s="10" t="s">
        <v>538</v>
      </c>
      <c r="C201" s="10" t="str" cm="1">
        <f t="array" ref="C201">_xlfn.IFS(A201&lt;20, "ภาคกลาง", A201&lt;30, "ภาคตะวันออก", A201&lt;50, "ภาคตะวันออกเฉียงเหนือ", A201&lt;60, "ภาคเหนือ", A201&lt;80, "ภาคกลาง/ตะวันตก", A201&gt;=80, "ภาคใต้")</f>
        <v>ภาคกลาง</v>
      </c>
      <c r="D201" s="64">
        <v>1606</v>
      </c>
      <c r="E201" s="10" t="s">
        <v>544</v>
      </c>
      <c r="F201" s="11">
        <v>20612</v>
      </c>
      <c r="G201" s="11">
        <v>22431</v>
      </c>
      <c r="H201" s="11">
        <v>43043</v>
      </c>
      <c r="I201" s="11">
        <v>14624</v>
      </c>
      <c r="J201" s="66">
        <f t="shared" si="12"/>
        <v>47.886996724206028</v>
      </c>
      <c r="K201" s="66">
        <f t="shared" si="13"/>
        <v>52.113003275793979</v>
      </c>
    </row>
    <row r="202" spans="1:11" x14ac:dyDescent="0.3">
      <c r="A202" s="10">
        <v>16</v>
      </c>
      <c r="B202" s="10" t="s">
        <v>538</v>
      </c>
      <c r="C202" s="10" t="str" cm="1">
        <f t="array" ref="C202">_xlfn.IFS(A202&lt;20, "ภาคกลาง", A202&lt;30, "ภาคตะวันออก", A202&lt;50, "ภาคตะวันออกเฉียงเหนือ", A202&lt;60, "ภาคเหนือ", A202&lt;80, "ภาคกลาง/ตะวันตก", A202&gt;=80, "ภาคใต้")</f>
        <v>ภาคกลาง</v>
      </c>
      <c r="D202" s="64">
        <v>1607</v>
      </c>
      <c r="E202" s="10" t="s">
        <v>545</v>
      </c>
      <c r="F202" s="11">
        <v>32006</v>
      </c>
      <c r="G202" s="11">
        <v>34773</v>
      </c>
      <c r="H202" s="11">
        <v>66779</v>
      </c>
      <c r="I202" s="11">
        <v>24176</v>
      </c>
      <c r="J202" s="66">
        <f t="shared" si="12"/>
        <v>47.928240914059813</v>
      </c>
      <c r="K202" s="66">
        <f t="shared" si="13"/>
        <v>52.071759085940194</v>
      </c>
    </row>
    <row r="203" spans="1:11" x14ac:dyDescent="0.3">
      <c r="A203" s="10">
        <v>16</v>
      </c>
      <c r="B203" s="10" t="s">
        <v>538</v>
      </c>
      <c r="C203" s="10" t="str" cm="1">
        <f t="array" ref="C203">_xlfn.IFS(A203&lt;20, "ภาคกลาง", A203&lt;30, "ภาคตะวันออก", A203&lt;50, "ภาคตะวันออกเฉียงเหนือ", A203&lt;60, "ภาคเหนือ", A203&lt;80, "ภาคกลาง/ตะวันตก", A203&gt;=80, "ภาคใต้")</f>
        <v>ภาคกลาง</v>
      </c>
      <c r="D203" s="64">
        <v>1608</v>
      </c>
      <c r="E203" s="10" t="s">
        <v>546</v>
      </c>
      <c r="F203" s="11">
        <v>12697</v>
      </c>
      <c r="G203" s="11">
        <v>13021</v>
      </c>
      <c r="H203" s="11">
        <v>25718</v>
      </c>
      <c r="I203" s="11">
        <v>8933</v>
      </c>
      <c r="J203" s="66">
        <f t="shared" si="12"/>
        <v>49.370090986857456</v>
      </c>
      <c r="K203" s="66">
        <f t="shared" si="13"/>
        <v>50.629909013142552</v>
      </c>
    </row>
    <row r="204" spans="1:11" x14ac:dyDescent="0.3">
      <c r="A204" s="10">
        <v>16</v>
      </c>
      <c r="B204" s="10" t="s">
        <v>538</v>
      </c>
      <c r="C204" s="10" t="str" cm="1">
        <f t="array" ref="C204">_xlfn.IFS(A204&lt;20, "ภาคกลาง", A204&lt;30, "ภาคตะวันออก", A204&lt;50, "ภาคตะวันออกเฉียงเหนือ", A204&lt;60, "ภาคเหนือ", A204&lt;80, "ภาคกลาง/ตะวันตก", A204&gt;=80, "ภาคใต้")</f>
        <v>ภาคกลาง</v>
      </c>
      <c r="D204" s="64">
        <v>1609</v>
      </c>
      <c r="E204" s="10" t="s">
        <v>547</v>
      </c>
      <c r="F204" s="11">
        <v>7034</v>
      </c>
      <c r="G204" s="11">
        <v>6901</v>
      </c>
      <c r="H204" s="11">
        <v>13935</v>
      </c>
      <c r="I204" s="11">
        <v>5500</v>
      </c>
      <c r="J204" s="66">
        <f t="shared" si="12"/>
        <v>50.477215644061715</v>
      </c>
      <c r="K204" s="66">
        <f t="shared" si="13"/>
        <v>49.522784355938285</v>
      </c>
    </row>
    <row r="205" spans="1:11" x14ac:dyDescent="0.3">
      <c r="A205" s="10">
        <v>16</v>
      </c>
      <c r="B205" s="10" t="s">
        <v>538</v>
      </c>
      <c r="C205" s="10" t="str" cm="1">
        <f t="array" ref="C205">_xlfn.IFS(A205&lt;20, "ภาคกลาง", A205&lt;30, "ภาคตะวันออก", A205&lt;50, "ภาคตะวันออกเฉียงเหนือ", A205&lt;60, "ภาคเหนือ", A205&lt;80, "ภาคกลาง/ตะวันตก", A205&gt;=80, "ภาคใต้")</f>
        <v>ภาคกลาง</v>
      </c>
      <c r="D205" s="64">
        <v>1610</v>
      </c>
      <c r="E205" s="10" t="s">
        <v>548</v>
      </c>
      <c r="F205" s="11">
        <v>12049</v>
      </c>
      <c r="G205" s="11">
        <v>12080</v>
      </c>
      <c r="H205" s="11">
        <v>24129</v>
      </c>
      <c r="I205" s="11">
        <v>8178</v>
      </c>
      <c r="J205" s="66">
        <f t="shared" si="12"/>
        <v>49.935761946205808</v>
      </c>
      <c r="K205" s="66">
        <f t="shared" si="13"/>
        <v>50.064238053794185</v>
      </c>
    </row>
    <row r="206" spans="1:11" x14ac:dyDescent="0.3">
      <c r="A206" s="10">
        <v>16</v>
      </c>
      <c r="B206" s="10" t="s">
        <v>538</v>
      </c>
      <c r="C206" s="10" t="str" cm="1">
        <f t="array" ref="C206">_xlfn.IFS(A206&lt;20, "ภาคกลาง", A206&lt;30, "ภาคตะวันออก", A206&lt;50, "ภาคตะวันออกเฉียงเหนือ", A206&lt;60, "ภาคเหนือ", A206&lt;80, "ภาคกลาง/ตะวันตก", A206&gt;=80, "ภาคใต้")</f>
        <v>ภาคกลาง</v>
      </c>
      <c r="D206" s="64">
        <v>1611</v>
      </c>
      <c r="E206" s="10" t="s">
        <v>549</v>
      </c>
      <c r="F206" s="11">
        <v>13320</v>
      </c>
      <c r="G206" s="11">
        <v>13602</v>
      </c>
      <c r="H206" s="11">
        <v>26922</v>
      </c>
      <c r="I206" s="11">
        <v>9872</v>
      </c>
      <c r="J206" s="66">
        <f t="shared" si="12"/>
        <v>49.476264764876312</v>
      </c>
      <c r="K206" s="66">
        <f t="shared" si="13"/>
        <v>50.523735235123688</v>
      </c>
    </row>
    <row r="207" spans="1:11" x14ac:dyDescent="0.3">
      <c r="A207" s="10">
        <v>16</v>
      </c>
      <c r="B207" s="10" t="s">
        <v>538</v>
      </c>
      <c r="C207" s="10" t="str" cm="1">
        <f t="array" ref="C207">_xlfn.IFS(A207&lt;20, "ภาคกลาง", A207&lt;30, "ภาคตะวันออก", A207&lt;50, "ภาคตะวันออกเฉียงเหนือ", A207&lt;60, "ภาคเหนือ", A207&lt;80, "ภาคกลาง/ตะวันตก", A207&gt;=80, "ภาคใต้")</f>
        <v>ภาคกลาง</v>
      </c>
      <c r="D207" s="64">
        <v>1681</v>
      </c>
      <c r="E207" s="10" t="s">
        <v>550</v>
      </c>
      <c r="F207" s="11">
        <v>13460</v>
      </c>
      <c r="G207" s="11">
        <v>13956</v>
      </c>
      <c r="H207" s="11">
        <v>27416</v>
      </c>
      <c r="I207" s="11">
        <v>10512</v>
      </c>
      <c r="J207" s="66">
        <f t="shared" si="12"/>
        <v>49.095418733586229</v>
      </c>
      <c r="K207" s="66">
        <f t="shared" si="13"/>
        <v>50.904581266413771</v>
      </c>
    </row>
    <row r="208" spans="1:11" ht="27.6" x14ac:dyDescent="0.3">
      <c r="A208" s="10">
        <v>16</v>
      </c>
      <c r="B208" s="10" t="s">
        <v>538</v>
      </c>
      <c r="C208" s="10" t="str" cm="1">
        <f t="array" ref="C208">_xlfn.IFS(A208&lt;20, "ภาคกลาง", A208&lt;30, "ภาคตะวันออก", A208&lt;50, "ภาคตะวันออกเฉียงเหนือ", A208&lt;60, "ภาคเหนือ", A208&lt;80, "ภาคกลาง/ตะวันตก", A208&gt;=80, "ภาคใต้")</f>
        <v>ภาคกลาง</v>
      </c>
      <c r="D208" s="64">
        <v>1682</v>
      </c>
      <c r="E208" s="10" t="s">
        <v>551</v>
      </c>
      <c r="F208" s="11">
        <v>5180</v>
      </c>
      <c r="G208" s="11">
        <v>6093</v>
      </c>
      <c r="H208" s="11">
        <v>11273</v>
      </c>
      <c r="I208" s="11">
        <v>6169</v>
      </c>
      <c r="J208" s="66">
        <f t="shared" si="12"/>
        <v>45.950501197551674</v>
      </c>
      <c r="K208" s="66">
        <f t="shared" si="13"/>
        <v>54.049498802448326</v>
      </c>
    </row>
    <row r="209" spans="1:11" ht="27.6" x14ac:dyDescent="0.3">
      <c r="A209" s="10">
        <v>16</v>
      </c>
      <c r="B209" s="10" t="s">
        <v>538</v>
      </c>
      <c r="C209" s="10" t="str" cm="1">
        <f t="array" ref="C209">_xlfn.IFS(A209&lt;20, "ภาคกลาง", A209&lt;30, "ภาคตะวันออก", A209&lt;50, "ภาคตะวันออกเฉียงเหนือ", A209&lt;60, "ภาคเหนือ", A209&lt;80, "ภาคกลาง/ตะวันตก", A209&gt;=80, "ภาคใต้")</f>
        <v>ภาคกลาง</v>
      </c>
      <c r="D209" s="64">
        <v>1683</v>
      </c>
      <c r="E209" s="10" t="s">
        <v>552</v>
      </c>
      <c r="F209" s="11">
        <v>6044</v>
      </c>
      <c r="G209" s="11">
        <v>5086</v>
      </c>
      <c r="H209" s="11">
        <v>11130</v>
      </c>
      <c r="I209" s="11">
        <v>5000</v>
      </c>
      <c r="J209" s="66">
        <f t="shared" si="12"/>
        <v>54.303683737646004</v>
      </c>
      <c r="K209" s="66">
        <f t="shared" si="13"/>
        <v>45.696316262353996</v>
      </c>
    </row>
    <row r="210" spans="1:11" x14ac:dyDescent="0.3">
      <c r="A210" s="10">
        <v>16</v>
      </c>
      <c r="B210" s="10" t="s">
        <v>538</v>
      </c>
      <c r="C210" s="10" t="str" cm="1">
        <f t="array" ref="C210">_xlfn.IFS(A210&lt;20, "ภาคกลาง", A210&lt;30, "ภาคตะวันออก", A210&lt;50, "ภาคตะวันออกเฉียงเหนือ", A210&lt;60, "ภาคเหนือ", A210&lt;80, "ภาคกลาง/ตะวันตก", A210&gt;=80, "ภาคใต้")</f>
        <v>ภาคกลาง</v>
      </c>
      <c r="D210" s="64">
        <v>1684</v>
      </c>
      <c r="E210" s="10" t="s">
        <v>553</v>
      </c>
      <c r="F210" s="11">
        <v>15304</v>
      </c>
      <c r="G210" s="11">
        <v>12993</v>
      </c>
      <c r="H210" s="11">
        <v>28297</v>
      </c>
      <c r="I210" s="11">
        <v>13166</v>
      </c>
      <c r="J210" s="66">
        <f t="shared" si="12"/>
        <v>54.083471746121489</v>
      </c>
      <c r="K210" s="66">
        <f t="shared" si="13"/>
        <v>45.916528253878504</v>
      </c>
    </row>
    <row r="211" spans="1:11" x14ac:dyDescent="0.3">
      <c r="A211" s="10">
        <v>16</v>
      </c>
      <c r="B211" s="10" t="s">
        <v>538</v>
      </c>
      <c r="C211" s="10" t="str" cm="1">
        <f t="array" ref="C211">_xlfn.IFS(A211&lt;20, "ภาคกลาง", A211&lt;30, "ภาคตะวันออก", A211&lt;50, "ภาคตะวันออกเฉียงเหนือ", A211&lt;60, "ภาคเหนือ", A211&lt;80, "ภาคกลาง/ตะวันตก", A211&gt;=80, "ภาคใต้")</f>
        <v>ภาคกลาง</v>
      </c>
      <c r="D211" s="64">
        <v>1685</v>
      </c>
      <c r="E211" s="10" t="s">
        <v>554</v>
      </c>
      <c r="F211" s="11">
        <v>6730</v>
      </c>
      <c r="G211" s="11">
        <v>7628</v>
      </c>
      <c r="H211" s="11">
        <v>14358</v>
      </c>
      <c r="I211" s="11">
        <v>7340</v>
      </c>
      <c r="J211" s="66">
        <f t="shared" si="12"/>
        <v>46.872823513024095</v>
      </c>
      <c r="K211" s="66">
        <f t="shared" si="13"/>
        <v>53.127176486975905</v>
      </c>
    </row>
    <row r="212" spans="1:11" ht="27.6" x14ac:dyDescent="0.3">
      <c r="A212" s="10">
        <v>16</v>
      </c>
      <c r="B212" s="10" t="s">
        <v>538</v>
      </c>
      <c r="C212" s="10" t="str" cm="1">
        <f t="array" ref="C212">_xlfn.IFS(A212&lt;20, "ภาคกลาง", A212&lt;30, "ภาคตะวันออก", A212&lt;50, "ภาคตะวันออกเฉียงเหนือ", A212&lt;60, "ภาคเหนือ", A212&lt;80, "ภาคกลาง/ตะวันตก", A212&gt;=80, "ภาคใต้")</f>
        <v>ภาคกลาง</v>
      </c>
      <c r="D212" s="64">
        <v>1686</v>
      </c>
      <c r="E212" s="10" t="s">
        <v>555</v>
      </c>
      <c r="F212" s="11">
        <v>3889</v>
      </c>
      <c r="G212" s="11">
        <v>4167</v>
      </c>
      <c r="H212" s="11">
        <v>8056</v>
      </c>
      <c r="I212" s="11">
        <v>3955</v>
      </c>
      <c r="J212" s="66">
        <f t="shared" si="12"/>
        <v>48.274577954319767</v>
      </c>
      <c r="K212" s="66">
        <f t="shared" si="13"/>
        <v>51.725422045680233</v>
      </c>
    </row>
    <row r="213" spans="1:11" ht="27.6" x14ac:dyDescent="0.3">
      <c r="A213" s="10">
        <v>16</v>
      </c>
      <c r="B213" s="10" t="s">
        <v>538</v>
      </c>
      <c r="C213" s="10" t="str" cm="1">
        <f t="array" ref="C213">_xlfn.IFS(A213&lt;20, "ภาคกลาง", A213&lt;30, "ภาคตะวันออก", A213&lt;50, "ภาคตะวันออกเฉียงเหนือ", A213&lt;60, "ภาคเหนือ", A213&lt;80, "ภาคกลาง/ตะวันตก", A213&gt;=80, "ภาคใต้")</f>
        <v>ภาคกลาง</v>
      </c>
      <c r="D213" s="64">
        <v>1688</v>
      </c>
      <c r="E213" s="10" t="s">
        <v>556</v>
      </c>
      <c r="F213" s="11">
        <v>14600</v>
      </c>
      <c r="G213" s="11">
        <v>8666</v>
      </c>
      <c r="H213" s="11">
        <v>23266</v>
      </c>
      <c r="I213" s="11">
        <v>12062</v>
      </c>
      <c r="J213" s="66">
        <f t="shared" si="12"/>
        <v>62.752514398693371</v>
      </c>
      <c r="K213" s="66">
        <f t="shared" si="13"/>
        <v>37.247485601306629</v>
      </c>
    </row>
    <row r="214" spans="1:11" ht="27.6" x14ac:dyDescent="0.3">
      <c r="A214" s="10">
        <v>16</v>
      </c>
      <c r="B214" s="10" t="s">
        <v>538</v>
      </c>
      <c r="C214" s="10" t="str" cm="1">
        <f t="array" ref="C214">_xlfn.IFS(A214&lt;20, "ภาคกลาง", A214&lt;30, "ภาคตะวันออก", A214&lt;50, "ภาคตะวันออกเฉียงเหนือ", A214&lt;60, "ภาคเหนือ", A214&lt;80, "ภาคกลาง/ตะวันตก", A214&gt;=80, "ภาคใต้")</f>
        <v>ภาคกลาง</v>
      </c>
      <c r="D214" s="64">
        <v>1689</v>
      </c>
      <c r="E214" s="10" t="s">
        <v>557</v>
      </c>
      <c r="F214" s="11">
        <v>3337</v>
      </c>
      <c r="G214" s="11">
        <v>3610</v>
      </c>
      <c r="H214" s="11">
        <v>6947</v>
      </c>
      <c r="I214" s="11">
        <v>3246</v>
      </c>
      <c r="J214" s="66">
        <f t="shared" si="12"/>
        <v>48.035123074708508</v>
      </c>
      <c r="K214" s="66">
        <f t="shared" si="13"/>
        <v>51.964876925291492</v>
      </c>
    </row>
    <row r="215" spans="1:11" x14ac:dyDescent="0.3">
      <c r="A215" s="10">
        <v>16</v>
      </c>
      <c r="B215" s="10" t="s">
        <v>538</v>
      </c>
      <c r="C215" s="10" t="str" cm="1">
        <f t="array" ref="C215">_xlfn.IFS(A215&lt;20, "ภาคกลาง", A215&lt;30, "ภาคตะวันออก", A215&lt;50, "ภาคตะวันออกเฉียงเหนือ", A215&lt;60, "ภาคเหนือ", A215&lt;80, "ภาคกลาง/ตะวันตก", A215&gt;=80, "ภาคใต้")</f>
        <v>ภาคกลาง</v>
      </c>
      <c r="D215" s="64">
        <v>1690</v>
      </c>
      <c r="E215" s="10" t="s">
        <v>558</v>
      </c>
      <c r="F215" s="11">
        <v>1853</v>
      </c>
      <c r="G215" s="11">
        <v>1882</v>
      </c>
      <c r="H215" s="11">
        <v>3735</v>
      </c>
      <c r="I215" s="11">
        <v>2222</v>
      </c>
      <c r="J215" s="66">
        <f t="shared" si="12"/>
        <v>49.611780455153948</v>
      </c>
      <c r="K215" s="66">
        <f t="shared" si="13"/>
        <v>50.388219544846045</v>
      </c>
    </row>
    <row r="216" spans="1:11" x14ac:dyDescent="0.3">
      <c r="A216" s="10">
        <v>16</v>
      </c>
      <c r="B216" s="10" t="s">
        <v>538</v>
      </c>
      <c r="C216" s="10" t="str" cm="1">
        <f t="array" ref="C216">_xlfn.IFS(A216&lt;20, "ภาคกลาง", A216&lt;30, "ภาคตะวันออก", A216&lt;50, "ภาคตะวันออกเฉียงเหนือ", A216&lt;60, "ภาคเหนือ", A216&lt;80, "ภาคกลาง/ตะวันตก", A216&gt;=80, "ภาคใต้")</f>
        <v>ภาคกลาง</v>
      </c>
      <c r="D216" s="64">
        <v>1691</v>
      </c>
      <c r="E216" s="10" t="s">
        <v>559</v>
      </c>
      <c r="F216" s="10">
        <v>992</v>
      </c>
      <c r="G216" s="11">
        <v>1053</v>
      </c>
      <c r="H216" s="11">
        <v>2045</v>
      </c>
      <c r="I216" s="10">
        <v>916</v>
      </c>
      <c r="J216" s="66">
        <f t="shared" si="12"/>
        <v>48.508557457212717</v>
      </c>
      <c r="K216" s="66">
        <f t="shared" si="13"/>
        <v>51.49144254278729</v>
      </c>
    </row>
    <row r="217" spans="1:11" ht="27.6" x14ac:dyDescent="0.3">
      <c r="A217" s="10">
        <v>16</v>
      </c>
      <c r="B217" s="10" t="s">
        <v>538</v>
      </c>
      <c r="C217" s="10" t="str" cm="1">
        <f t="array" ref="C217">_xlfn.IFS(A217&lt;20, "ภาคกลาง", A217&lt;30, "ภาคตะวันออก", A217&lt;50, "ภาคตะวันออกเฉียงเหนือ", A217&lt;60, "ภาคเหนือ", A217&lt;80, "ภาคกลาง/ตะวันตก", A217&gt;=80, "ภาคใต้")</f>
        <v>ภาคกลาง</v>
      </c>
      <c r="D217" s="64">
        <v>1692</v>
      </c>
      <c r="E217" s="10" t="s">
        <v>560</v>
      </c>
      <c r="F217" s="11">
        <v>1017</v>
      </c>
      <c r="G217" s="11">
        <v>1181</v>
      </c>
      <c r="H217" s="11">
        <v>2198</v>
      </c>
      <c r="I217" s="11">
        <v>1044</v>
      </c>
      <c r="J217" s="66">
        <f t="shared" si="12"/>
        <v>46.269335759781619</v>
      </c>
      <c r="K217" s="66">
        <f t="shared" si="13"/>
        <v>53.730664240218381</v>
      </c>
    </row>
    <row r="218" spans="1:11" ht="27.6" x14ac:dyDescent="0.3">
      <c r="A218" s="10">
        <v>16</v>
      </c>
      <c r="B218" s="10" t="s">
        <v>538</v>
      </c>
      <c r="C218" s="10" t="str" cm="1">
        <f t="array" ref="C218">_xlfn.IFS(A218&lt;20, "ภาคกลาง", A218&lt;30, "ภาคตะวันออก", A218&lt;50, "ภาคตะวันออกเฉียงเหนือ", A218&lt;60, "ภาคเหนือ", A218&lt;80, "ภาคกลาง/ตะวันตก", A218&gt;=80, "ภาคใต้")</f>
        <v>ภาคกลาง</v>
      </c>
      <c r="D218" s="64">
        <v>1693</v>
      </c>
      <c r="E218" s="10" t="s">
        <v>561</v>
      </c>
      <c r="F218" s="11">
        <v>7288</v>
      </c>
      <c r="G218" s="11">
        <v>7844</v>
      </c>
      <c r="H218" s="11">
        <v>15132</v>
      </c>
      <c r="I218" s="11">
        <v>8808</v>
      </c>
      <c r="J218" s="66">
        <f t="shared" si="12"/>
        <v>48.162833729844039</v>
      </c>
      <c r="K218" s="66">
        <f t="shared" si="13"/>
        <v>51.837166270155969</v>
      </c>
    </row>
    <row r="219" spans="1:11" ht="27.6" x14ac:dyDescent="0.3">
      <c r="A219" s="10">
        <v>16</v>
      </c>
      <c r="B219" s="10" t="s">
        <v>538</v>
      </c>
      <c r="C219" s="10" t="str" cm="1">
        <f t="array" ref="C219">_xlfn.IFS(A219&lt;20, "ภาคกลาง", A219&lt;30, "ภาคตะวันออก", A219&lt;50, "ภาคตะวันออกเฉียงเหนือ", A219&lt;60, "ภาคเหนือ", A219&lt;80, "ภาคกลาง/ตะวันตก", A219&gt;=80, "ภาคใต้")</f>
        <v>ภาคกลาง</v>
      </c>
      <c r="D219" s="64">
        <v>1694</v>
      </c>
      <c r="E219" s="10" t="s">
        <v>562</v>
      </c>
      <c r="F219" s="11">
        <v>2298</v>
      </c>
      <c r="G219" s="11">
        <v>2454</v>
      </c>
      <c r="H219" s="11">
        <v>4752</v>
      </c>
      <c r="I219" s="11">
        <v>2181</v>
      </c>
      <c r="J219" s="66">
        <f t="shared" si="12"/>
        <v>48.358585858585855</v>
      </c>
      <c r="K219" s="66">
        <f t="shared" si="13"/>
        <v>51.641414141414145</v>
      </c>
    </row>
    <row r="220" spans="1:11" ht="27.6" x14ac:dyDescent="0.3">
      <c r="A220" s="10">
        <v>16</v>
      </c>
      <c r="B220" s="10" t="s">
        <v>538</v>
      </c>
      <c r="C220" s="10" t="str" cm="1">
        <f t="array" ref="C220">_xlfn.IFS(A220&lt;20, "ภาคกลาง", A220&lt;30, "ภาคตะวันออก", A220&lt;50, "ภาคตะวันออกเฉียงเหนือ", A220&lt;60, "ภาคเหนือ", A220&lt;80, "ภาคกลาง/ตะวันตก", A220&gt;=80, "ภาคใต้")</f>
        <v>ภาคกลาง</v>
      </c>
      <c r="D220" s="64">
        <v>1695</v>
      </c>
      <c r="E220" s="10" t="s">
        <v>563</v>
      </c>
      <c r="F220" s="11">
        <v>1430</v>
      </c>
      <c r="G220" s="11">
        <v>1608</v>
      </c>
      <c r="H220" s="11">
        <v>3038</v>
      </c>
      <c r="I220" s="11">
        <v>1485</v>
      </c>
      <c r="J220" s="66">
        <f t="shared" si="12"/>
        <v>47.07044107965767</v>
      </c>
      <c r="K220" s="66">
        <f t="shared" si="13"/>
        <v>52.929558920342338</v>
      </c>
    </row>
    <row r="221" spans="1:11" x14ac:dyDescent="0.3">
      <c r="A221" s="10">
        <v>16</v>
      </c>
      <c r="B221" s="10" t="s">
        <v>538</v>
      </c>
      <c r="C221" s="10" t="str" cm="1">
        <f t="array" ref="C221">_xlfn.IFS(A221&lt;20, "ภาคกลาง", A221&lt;30, "ภาคตะวันออก", A221&lt;50, "ภาคตะวันออกเฉียงเหนือ", A221&lt;60, "ภาคเหนือ", A221&lt;80, "ภาคกลาง/ตะวันตก", A221&gt;=80, "ภาคใต้")</f>
        <v>ภาคกลาง</v>
      </c>
      <c r="D221" s="64">
        <v>1696</v>
      </c>
      <c r="E221" s="10" t="s">
        <v>564</v>
      </c>
      <c r="F221" s="11">
        <v>1382</v>
      </c>
      <c r="G221" s="11">
        <v>1424</v>
      </c>
      <c r="H221" s="11">
        <v>2806</v>
      </c>
      <c r="I221" s="11">
        <v>1151</v>
      </c>
      <c r="J221" s="66">
        <f t="shared" si="12"/>
        <v>49.251603706343552</v>
      </c>
      <c r="K221" s="66">
        <f t="shared" si="13"/>
        <v>50.748396293656448</v>
      </c>
    </row>
    <row r="222" spans="1:11" ht="27.6" x14ac:dyDescent="0.3">
      <c r="A222" s="10">
        <v>16</v>
      </c>
      <c r="B222" s="10" t="s">
        <v>538</v>
      </c>
      <c r="C222" s="10" t="str" cm="1">
        <f t="array" ref="C222">_xlfn.IFS(A222&lt;20, "ภาคกลาง", A222&lt;30, "ภาคตะวันออก", A222&lt;50, "ภาคตะวันออกเฉียงเหนือ", A222&lt;60, "ภาคเหนือ", A222&lt;80, "ภาคกลาง/ตะวันตก", A222&gt;=80, "ภาคใต้")</f>
        <v>ภาคกลาง</v>
      </c>
      <c r="D222" s="64">
        <v>1697</v>
      </c>
      <c r="E222" s="10" t="s">
        <v>565</v>
      </c>
      <c r="F222" s="11">
        <v>14913</v>
      </c>
      <c r="G222" s="11">
        <v>15304</v>
      </c>
      <c r="H222" s="11">
        <v>30217</v>
      </c>
      <c r="I222" s="11">
        <v>12398</v>
      </c>
      <c r="J222" s="66">
        <f t="shared" si="12"/>
        <v>49.353013204487539</v>
      </c>
      <c r="K222" s="66">
        <f t="shared" si="13"/>
        <v>50.646986795512461</v>
      </c>
    </row>
    <row r="223" spans="1:11" x14ac:dyDescent="0.3">
      <c r="A223" s="10">
        <v>16</v>
      </c>
      <c r="B223" s="10" t="s">
        <v>538</v>
      </c>
      <c r="C223" s="10" t="str" cm="1">
        <f t="array" ref="C223">_xlfn.IFS(A223&lt;20, "ภาคกลาง", A223&lt;30, "ภาคตะวันออก", A223&lt;50, "ภาคตะวันออกเฉียงเหนือ", A223&lt;60, "ภาคเหนือ", A223&lt;80, "ภาคกลาง/ตะวันตก", A223&gt;=80, "ภาคใต้")</f>
        <v>ภาคกลาง</v>
      </c>
      <c r="D223" s="64">
        <v>1698</v>
      </c>
      <c r="E223" s="10" t="s">
        <v>566</v>
      </c>
      <c r="F223" s="11">
        <v>2636</v>
      </c>
      <c r="G223" s="11">
        <v>2855</v>
      </c>
      <c r="H223" s="11">
        <v>5491</v>
      </c>
      <c r="I223" s="11">
        <v>2445</v>
      </c>
      <c r="J223" s="66">
        <f t="shared" si="12"/>
        <v>48.005827718084134</v>
      </c>
      <c r="K223" s="66">
        <f t="shared" si="13"/>
        <v>51.994172281915866</v>
      </c>
    </row>
    <row r="224" spans="1:11" x14ac:dyDescent="0.3">
      <c r="A224" s="10">
        <v>16</v>
      </c>
      <c r="B224" s="10" t="s">
        <v>538</v>
      </c>
      <c r="C224" s="10" t="str" cm="1">
        <f t="array" ref="C224">_xlfn.IFS(A224&lt;20, "ภาคกลาง", A224&lt;30, "ภาคตะวันออก", A224&lt;50, "ภาคตะวันออกเฉียงเหนือ", A224&lt;60, "ภาคเหนือ", A224&lt;80, "ภาคกลาง/ตะวันตก", A224&gt;=80, "ภาคใต้")</f>
        <v>ภาคกลาง</v>
      </c>
      <c r="D224" s="64">
        <v>1699</v>
      </c>
      <c r="E224" s="10" t="s">
        <v>567</v>
      </c>
      <c r="F224" s="11">
        <v>1410</v>
      </c>
      <c r="G224" s="11">
        <v>1572</v>
      </c>
      <c r="H224" s="11">
        <v>2982</v>
      </c>
      <c r="I224" s="11">
        <v>1345</v>
      </c>
      <c r="J224" s="66">
        <f t="shared" si="12"/>
        <v>47.283702213279675</v>
      </c>
      <c r="K224" s="66">
        <f t="shared" si="13"/>
        <v>52.716297786720325</v>
      </c>
    </row>
    <row r="225" spans="1:11" hidden="1" x14ac:dyDescent="0.3">
      <c r="A225" s="10">
        <v>16</v>
      </c>
      <c r="B225" s="10" t="s">
        <v>538</v>
      </c>
      <c r="C225" s="10" t="str" cm="1">
        <f t="array" ref="C225">_xlfn.IFS(A225&lt;20, "ภาคกลาง", A225&lt;30, "ภาคตะวันออก", A225&lt;50, "ภาคตะวันออกเฉียงเหนือ", A225&lt;60, "ภาคเหนือ", A225&lt;80, "ภาคกลาง/ตะวันตก", A225&gt;=80, "ภาคใต้")</f>
        <v>ภาคกลาง</v>
      </c>
      <c r="D225" s="10">
        <v>0</v>
      </c>
      <c r="E225" s="10" t="s">
        <v>343</v>
      </c>
      <c r="F225" s="11">
        <v>9493</v>
      </c>
      <c r="G225" s="11">
        <v>10166</v>
      </c>
      <c r="H225" s="11">
        <v>19659</v>
      </c>
      <c r="I225" s="11">
        <v>12808</v>
      </c>
      <c r="J225"/>
      <c r="K225"/>
    </row>
    <row r="226" spans="1:11" x14ac:dyDescent="0.3">
      <c r="A226" s="10">
        <v>17</v>
      </c>
      <c r="B226" s="10" t="s">
        <v>568</v>
      </c>
      <c r="C226" s="10" t="str" cm="1">
        <f t="array" ref="C226">_xlfn.IFS(A226&lt;20, "ภาคกลาง", A226&lt;30, "ภาคตะวันออก", A226&lt;50, "ภาคตะวันออกเฉียงเหนือ", A226&lt;60, "ภาคเหนือ", A226&lt;80, "ภาคกลาง/ตะวันตก", A226&gt;=80, "ภาคใต้")</f>
        <v>ภาคกลาง</v>
      </c>
      <c r="D226" s="64">
        <v>1701</v>
      </c>
      <c r="E226" s="10" t="s">
        <v>569</v>
      </c>
      <c r="F226" s="11">
        <v>94895</v>
      </c>
      <c r="G226" s="11">
        <v>104908</v>
      </c>
      <c r="H226" s="11">
        <v>199803</v>
      </c>
      <c r="I226" s="11">
        <v>81992</v>
      </c>
      <c r="J226" s="66">
        <f t="shared" ref="J226:J238" si="14">F226/H226*100</f>
        <v>47.494281867639629</v>
      </c>
      <c r="K226" s="66">
        <f t="shared" ref="K226:K238" si="15">G226/H226*100</f>
        <v>52.505718132360379</v>
      </c>
    </row>
    <row r="227" spans="1:11" x14ac:dyDescent="0.3">
      <c r="A227" s="10">
        <v>17</v>
      </c>
      <c r="B227" s="10" t="s">
        <v>568</v>
      </c>
      <c r="C227" s="10" t="str" cm="1">
        <f t="array" ref="C227">_xlfn.IFS(A227&lt;20, "ภาคกลาง", A227&lt;30, "ภาคตะวันออก", A227&lt;50, "ภาคตะวันออกเฉียงเหนือ", A227&lt;60, "ภาคเหนือ", A227&lt;80, "ภาคกลาง/ตะวันตก", A227&gt;=80, "ภาคใต้")</f>
        <v>ภาคกลาง</v>
      </c>
      <c r="D227" s="64">
        <v>1702</v>
      </c>
      <c r="E227" s="10" t="s">
        <v>570</v>
      </c>
      <c r="F227" s="11">
        <v>16819</v>
      </c>
      <c r="G227" s="11">
        <v>19331</v>
      </c>
      <c r="H227" s="11">
        <v>36150</v>
      </c>
      <c r="I227" s="11">
        <v>14194</v>
      </c>
      <c r="J227" s="66">
        <f t="shared" si="14"/>
        <v>46.525587828492391</v>
      </c>
      <c r="K227" s="66">
        <f t="shared" si="15"/>
        <v>53.474412171507609</v>
      </c>
    </row>
    <row r="228" spans="1:11" x14ac:dyDescent="0.3">
      <c r="A228" s="10">
        <v>17</v>
      </c>
      <c r="B228" s="10" t="s">
        <v>568</v>
      </c>
      <c r="C228" s="10" t="str" cm="1">
        <f t="array" ref="C228">_xlfn.IFS(A228&lt;20, "ภาคกลาง", A228&lt;30, "ภาคตะวันออก", A228&lt;50, "ภาคตะวันออกเฉียงเหนือ", A228&lt;60, "ภาคเหนือ", A228&lt;80, "ภาคกลาง/ตะวันตก", A228&gt;=80, "ภาคใต้")</f>
        <v>ภาคกลาง</v>
      </c>
      <c r="D228" s="64">
        <v>1703</v>
      </c>
      <c r="E228" s="10" t="s">
        <v>571</v>
      </c>
      <c r="F228" s="11">
        <v>9154</v>
      </c>
      <c r="G228" s="11">
        <v>9773</v>
      </c>
      <c r="H228" s="11">
        <v>18927</v>
      </c>
      <c r="I228" s="11">
        <v>7396</v>
      </c>
      <c r="J228" s="66">
        <f t="shared" si="14"/>
        <v>48.364769905426108</v>
      </c>
      <c r="K228" s="66">
        <f t="shared" si="15"/>
        <v>51.635230094573892</v>
      </c>
    </row>
    <row r="229" spans="1:11" x14ac:dyDescent="0.3">
      <c r="A229" s="10">
        <v>17</v>
      </c>
      <c r="B229" s="10" t="s">
        <v>568</v>
      </c>
      <c r="C229" s="10" t="str" cm="1">
        <f t="array" ref="C229">_xlfn.IFS(A229&lt;20, "ภาคกลาง", A229&lt;30, "ภาคตะวันออก", A229&lt;50, "ภาคตะวันออกเฉียงเหนือ", A229&lt;60, "ภาคเหนือ", A229&lt;80, "ภาคกลาง/ตะวันตก", A229&gt;=80, "ภาคใต้")</f>
        <v>ภาคกลาง</v>
      </c>
      <c r="D229" s="64">
        <v>1704</v>
      </c>
      <c r="E229" s="10" t="s">
        <v>572</v>
      </c>
      <c r="F229" s="11">
        <v>12264</v>
      </c>
      <c r="G229" s="11">
        <v>13165</v>
      </c>
      <c r="H229" s="11">
        <v>25429</v>
      </c>
      <c r="I229" s="11">
        <v>9318</v>
      </c>
      <c r="J229" s="66">
        <f t="shared" si="14"/>
        <v>48.228400644932954</v>
      </c>
      <c r="K229" s="66">
        <f t="shared" si="15"/>
        <v>51.771599355067046</v>
      </c>
    </row>
    <row r="230" spans="1:11" x14ac:dyDescent="0.3">
      <c r="A230" s="10">
        <v>17</v>
      </c>
      <c r="B230" s="10" t="s">
        <v>568</v>
      </c>
      <c r="C230" s="10" t="str" cm="1">
        <f t="array" ref="C230">_xlfn.IFS(A230&lt;20, "ภาคกลาง", A230&lt;30, "ภาคตะวันออก", A230&lt;50, "ภาคตะวันออกเฉียงเหนือ", A230&lt;60, "ภาคเหนือ", A230&lt;80, "ภาคกลาง/ตะวันตก", A230&gt;=80, "ภาคใต้")</f>
        <v>ภาคกลาง</v>
      </c>
      <c r="D230" s="64">
        <v>1705</v>
      </c>
      <c r="E230" s="10" t="s">
        <v>573</v>
      </c>
      <c r="F230" s="11">
        <v>7587</v>
      </c>
      <c r="G230" s="11">
        <v>8421</v>
      </c>
      <c r="H230" s="11">
        <v>16008</v>
      </c>
      <c r="I230" s="11">
        <v>6153</v>
      </c>
      <c r="J230" s="66">
        <f t="shared" si="14"/>
        <v>47.395052473763116</v>
      </c>
      <c r="K230" s="66">
        <f t="shared" si="15"/>
        <v>52.604947526236877</v>
      </c>
    </row>
    <row r="231" spans="1:11" x14ac:dyDescent="0.3">
      <c r="A231" s="10">
        <v>17</v>
      </c>
      <c r="B231" s="10" t="s">
        <v>568</v>
      </c>
      <c r="C231" s="10" t="str" cm="1">
        <f t="array" ref="C231">_xlfn.IFS(A231&lt;20, "ภาคกลาง", A231&lt;30, "ภาคตะวันออก", A231&lt;50, "ภาคตะวันออกเฉียงเหนือ", A231&lt;60, "ภาคเหนือ", A231&lt;80, "ภาคกลาง/ตะวันตก", A231&gt;=80, "ภาคใต้")</f>
        <v>ภาคกลาง</v>
      </c>
      <c r="D231" s="64">
        <v>1706</v>
      </c>
      <c r="E231" s="10" t="s">
        <v>574</v>
      </c>
      <c r="F231" s="11">
        <v>2482</v>
      </c>
      <c r="G231" s="11">
        <v>2803</v>
      </c>
      <c r="H231" s="11">
        <v>5285</v>
      </c>
      <c r="I231" s="11">
        <v>1928</v>
      </c>
      <c r="J231" s="66">
        <f t="shared" si="14"/>
        <v>46.96310312204352</v>
      </c>
      <c r="K231" s="66">
        <f t="shared" si="15"/>
        <v>53.036896877956487</v>
      </c>
    </row>
    <row r="232" spans="1:11" x14ac:dyDescent="0.3">
      <c r="A232" s="10">
        <v>17</v>
      </c>
      <c r="B232" s="10" t="s">
        <v>568</v>
      </c>
      <c r="C232" s="10" t="str" cm="1">
        <f t="array" ref="C232">_xlfn.IFS(A232&lt;20, "ภาคกลาง", A232&lt;30, "ภาคตะวันออก", A232&lt;50, "ภาคตะวันออกเฉียงเหนือ", A232&lt;60, "ภาคเหนือ", A232&lt;80, "ภาคกลาง/ตะวันตก", A232&gt;=80, "ภาคใต้")</f>
        <v>ภาคกลาง</v>
      </c>
      <c r="D232" s="64">
        <v>1793</v>
      </c>
      <c r="E232" s="10" t="s">
        <v>575</v>
      </c>
      <c r="F232" s="11">
        <v>22738</v>
      </c>
      <c r="G232" s="11">
        <v>24680</v>
      </c>
      <c r="H232" s="11">
        <v>47418</v>
      </c>
      <c r="I232" s="11">
        <v>18239</v>
      </c>
      <c r="J232" s="66">
        <f t="shared" si="14"/>
        <v>47.952254418153444</v>
      </c>
      <c r="K232" s="66">
        <f t="shared" si="15"/>
        <v>52.047745581846563</v>
      </c>
    </row>
    <row r="233" spans="1:11" ht="27.6" x14ac:dyDescent="0.3">
      <c r="A233" s="10">
        <v>17</v>
      </c>
      <c r="B233" s="10" t="s">
        <v>568</v>
      </c>
      <c r="C233" s="10" t="str" cm="1">
        <f t="array" ref="C233">_xlfn.IFS(A233&lt;20, "ภาคกลาง", A233&lt;30, "ภาคตะวันออก", A233&lt;50, "ภาคตะวันออกเฉียงเหนือ", A233&lt;60, "ภาคเหนือ", A233&lt;80, "ภาคกลาง/ตะวันตก", A233&gt;=80, "ภาคใต้")</f>
        <v>ภาคกลาง</v>
      </c>
      <c r="D233" s="64">
        <v>1794</v>
      </c>
      <c r="E233" s="10" t="s">
        <v>576</v>
      </c>
      <c r="F233" s="11">
        <v>1998</v>
      </c>
      <c r="G233" s="11">
        <v>2195</v>
      </c>
      <c r="H233" s="11">
        <v>4193</v>
      </c>
      <c r="I233" s="11">
        <v>2304</v>
      </c>
      <c r="J233" s="66">
        <f t="shared" si="14"/>
        <v>47.650846649177197</v>
      </c>
      <c r="K233" s="66">
        <f t="shared" si="15"/>
        <v>52.349153350822796</v>
      </c>
    </row>
    <row r="234" spans="1:11" x14ac:dyDescent="0.3">
      <c r="A234" s="10">
        <v>17</v>
      </c>
      <c r="B234" s="10" t="s">
        <v>568</v>
      </c>
      <c r="C234" s="10" t="str" cm="1">
        <f t="array" ref="C234">_xlfn.IFS(A234&lt;20, "ภาคกลาง", A234&lt;30, "ภาคตะวันออก", A234&lt;50, "ภาคตะวันออกเฉียงเหนือ", A234&lt;60, "ภาคเหนือ", A234&lt;80, "ภาคกลาง/ตะวันตก", A234&gt;=80, "ภาคใต้")</f>
        <v>ภาคกลาง</v>
      </c>
      <c r="D234" s="64">
        <v>1795</v>
      </c>
      <c r="E234" s="10" t="s">
        <v>577</v>
      </c>
      <c r="F234" s="11">
        <v>4017</v>
      </c>
      <c r="G234" s="11">
        <v>4374</v>
      </c>
      <c r="H234" s="11">
        <v>8391</v>
      </c>
      <c r="I234" s="11">
        <v>3544</v>
      </c>
      <c r="J234" s="66">
        <f t="shared" si="14"/>
        <v>47.872720772255988</v>
      </c>
      <c r="K234" s="66">
        <f t="shared" si="15"/>
        <v>52.127279227744019</v>
      </c>
    </row>
    <row r="235" spans="1:11" ht="27.6" x14ac:dyDescent="0.3">
      <c r="A235" s="10">
        <v>17</v>
      </c>
      <c r="B235" s="10" t="s">
        <v>568</v>
      </c>
      <c r="C235" s="10" t="str" cm="1">
        <f t="array" ref="C235">_xlfn.IFS(A235&lt;20, "ภาคกลาง", A235&lt;30, "ภาคตะวันออก", A235&lt;50, "ภาคตะวันออกเฉียงเหนือ", A235&lt;60, "ภาคเหนือ", A235&lt;80, "ภาคกลาง/ตะวันตก", A235&gt;=80, "ภาคใต้")</f>
        <v>ภาคกลาง</v>
      </c>
      <c r="D235" s="64">
        <v>1796</v>
      </c>
      <c r="E235" s="10" t="s">
        <v>578</v>
      </c>
      <c r="F235" s="11">
        <v>1479</v>
      </c>
      <c r="G235" s="11">
        <v>1582</v>
      </c>
      <c r="H235" s="11">
        <v>3061</v>
      </c>
      <c r="I235" s="11">
        <v>1335</v>
      </c>
      <c r="J235" s="66">
        <f t="shared" si="14"/>
        <v>48.317543286507671</v>
      </c>
      <c r="K235" s="66">
        <f t="shared" si="15"/>
        <v>51.682456713492321</v>
      </c>
    </row>
    <row r="236" spans="1:11" x14ac:dyDescent="0.3">
      <c r="A236" s="10">
        <v>17</v>
      </c>
      <c r="B236" s="10" t="s">
        <v>568</v>
      </c>
      <c r="C236" s="10" t="str" cm="1">
        <f t="array" ref="C236">_xlfn.IFS(A236&lt;20, "ภาคกลาง", A236&lt;30, "ภาคตะวันออก", A236&lt;50, "ภาคตะวันออกเฉียงเหนือ", A236&lt;60, "ภาคเหนือ", A236&lt;80, "ภาคกลาง/ตะวันตก", A236&gt;=80, "ภาคใต้")</f>
        <v>ภาคกลาง</v>
      </c>
      <c r="D236" s="64">
        <v>1797</v>
      </c>
      <c r="E236" s="10" t="s">
        <v>579</v>
      </c>
      <c r="F236" s="11">
        <v>1561</v>
      </c>
      <c r="G236" s="11">
        <v>1709</v>
      </c>
      <c r="H236" s="11">
        <v>3270</v>
      </c>
      <c r="I236" s="11">
        <v>1426</v>
      </c>
      <c r="J236" s="66">
        <f t="shared" si="14"/>
        <v>47.73700305810398</v>
      </c>
      <c r="K236" s="66">
        <f t="shared" si="15"/>
        <v>52.26299694189602</v>
      </c>
    </row>
    <row r="237" spans="1:11" x14ac:dyDescent="0.3">
      <c r="A237" s="10">
        <v>17</v>
      </c>
      <c r="B237" s="10" t="s">
        <v>568</v>
      </c>
      <c r="C237" s="10" t="str" cm="1">
        <f t="array" ref="C237">_xlfn.IFS(A237&lt;20, "ภาคกลาง", A237&lt;30, "ภาคตะวันออก", A237&lt;50, "ภาคตะวันออกเฉียงเหนือ", A237&lt;60, "ภาคเหนือ", A237&lt;80, "ภาคกลาง/ตะวันตก", A237&gt;=80, "ภาคใต้")</f>
        <v>ภาคกลาง</v>
      </c>
      <c r="D237" s="64">
        <v>1798</v>
      </c>
      <c r="E237" s="10" t="s">
        <v>580</v>
      </c>
      <c r="F237" s="10">
        <v>910</v>
      </c>
      <c r="G237" s="11">
        <v>1015</v>
      </c>
      <c r="H237" s="11">
        <v>1925</v>
      </c>
      <c r="I237" s="10">
        <v>868</v>
      </c>
      <c r="J237" s="66">
        <f t="shared" si="14"/>
        <v>47.272727272727273</v>
      </c>
      <c r="K237" s="66">
        <f t="shared" si="15"/>
        <v>52.72727272727272</v>
      </c>
    </row>
    <row r="238" spans="1:11" x14ac:dyDescent="0.3">
      <c r="A238" s="10">
        <v>17</v>
      </c>
      <c r="B238" s="10" t="s">
        <v>568</v>
      </c>
      <c r="C238" s="10" t="str" cm="1">
        <f t="array" ref="C238">_xlfn.IFS(A238&lt;20, "ภาคกลาง", A238&lt;30, "ภาคตะวันออก", A238&lt;50, "ภาคตะวันออกเฉียงเหนือ", A238&lt;60, "ภาคเหนือ", A238&lt;80, "ภาคกลาง/ตะวันตก", A238&gt;=80, "ภาคใต้")</f>
        <v>ภาคกลาง</v>
      </c>
      <c r="D238" s="64">
        <v>1799</v>
      </c>
      <c r="E238" s="10" t="s">
        <v>581</v>
      </c>
      <c r="F238" s="11">
        <v>6289</v>
      </c>
      <c r="G238" s="11">
        <v>7093</v>
      </c>
      <c r="H238" s="11">
        <v>13382</v>
      </c>
      <c r="I238" s="11">
        <v>5839</v>
      </c>
      <c r="J238" s="66">
        <f t="shared" si="14"/>
        <v>46.995964728740098</v>
      </c>
      <c r="K238" s="66">
        <f t="shared" si="15"/>
        <v>53.004035271259895</v>
      </c>
    </row>
    <row r="239" spans="1:11" hidden="1" x14ac:dyDescent="0.3">
      <c r="A239" s="10">
        <v>17</v>
      </c>
      <c r="B239" s="10" t="s">
        <v>568</v>
      </c>
      <c r="C239" s="10" t="str" cm="1">
        <f t="array" ref="C239">_xlfn.IFS(A239&lt;20, "ภาคกลาง", A239&lt;30, "ภาคตะวันออก", A239&lt;50, "ภาคตะวันออกเฉียงเหนือ", A239&lt;60, "ภาคเหนือ", A239&lt;80, "ภาคกลาง/ตะวันตก", A239&gt;=80, "ภาคใต้")</f>
        <v>ภาคกลาง</v>
      </c>
      <c r="D239" s="10">
        <v>0</v>
      </c>
      <c r="E239" s="10" t="s">
        <v>343</v>
      </c>
      <c r="F239" s="11">
        <v>7597</v>
      </c>
      <c r="G239" s="11">
        <v>8767</v>
      </c>
      <c r="H239" s="11">
        <v>16364</v>
      </c>
      <c r="I239" s="11">
        <v>9448</v>
      </c>
      <c r="J239"/>
      <c r="K239"/>
    </row>
    <row r="240" spans="1:11" x14ac:dyDescent="0.3">
      <c r="A240" s="10">
        <v>18</v>
      </c>
      <c r="B240" s="10" t="s">
        <v>582</v>
      </c>
      <c r="C240" s="10" t="str" cm="1">
        <f t="array" ref="C240">_xlfn.IFS(A240&lt;20, "ภาคกลาง", A240&lt;30, "ภาคตะวันออก", A240&lt;50, "ภาคตะวันออกเฉียงเหนือ", A240&lt;60, "ภาคเหนือ", A240&lt;80, "ภาคกลาง/ตะวันตก", A240&gt;=80, "ภาคใต้")</f>
        <v>ภาคกลาง</v>
      </c>
      <c r="D240" s="64">
        <v>1801</v>
      </c>
      <c r="E240" s="10" t="s">
        <v>583</v>
      </c>
      <c r="F240" s="11">
        <v>150495</v>
      </c>
      <c r="G240" s="11">
        <v>163264</v>
      </c>
      <c r="H240" s="11">
        <v>313759</v>
      </c>
      <c r="I240" s="11">
        <v>132908</v>
      </c>
      <c r="J240" s="66">
        <f t="shared" ref="J240:J265" si="16">F240/H240*100</f>
        <v>47.96515797156416</v>
      </c>
      <c r="K240" s="66">
        <f t="shared" ref="K240:K265" si="17">G240/H240*100</f>
        <v>52.034842028435833</v>
      </c>
    </row>
    <row r="241" spans="1:11" x14ac:dyDescent="0.3">
      <c r="A241" s="10">
        <v>18</v>
      </c>
      <c r="B241" s="10" t="s">
        <v>582</v>
      </c>
      <c r="C241" s="10" t="str" cm="1">
        <f t="array" ref="C241">_xlfn.IFS(A241&lt;20, "ภาคกลาง", A241&lt;30, "ภาคตะวันออก", A241&lt;50, "ภาคตะวันออกเฉียงเหนือ", A241&lt;60, "ภาคเหนือ", A241&lt;80, "ภาคกลาง/ตะวันตก", A241&gt;=80, "ภาคใต้")</f>
        <v>ภาคกลาง</v>
      </c>
      <c r="D241" s="64">
        <v>1802</v>
      </c>
      <c r="E241" s="10" t="s">
        <v>584</v>
      </c>
      <c r="F241" s="11">
        <v>10954</v>
      </c>
      <c r="G241" s="11">
        <v>11729</v>
      </c>
      <c r="H241" s="11">
        <v>22683</v>
      </c>
      <c r="I241" s="11">
        <v>9117</v>
      </c>
      <c r="J241" s="66">
        <f t="shared" si="16"/>
        <v>48.29167217740158</v>
      </c>
      <c r="K241" s="66">
        <f t="shared" si="17"/>
        <v>51.70832782259842</v>
      </c>
    </row>
    <row r="242" spans="1:11" x14ac:dyDescent="0.3">
      <c r="A242" s="10">
        <v>18</v>
      </c>
      <c r="B242" s="10" t="s">
        <v>582</v>
      </c>
      <c r="C242" s="10" t="str" cm="1">
        <f t="array" ref="C242">_xlfn.IFS(A242&lt;20, "ภาคกลาง", A242&lt;30, "ภาคตะวันออก", A242&lt;50, "ภาคตะวันออกเฉียงเหนือ", A242&lt;60, "ภาคเหนือ", A242&lt;80, "ภาคกลาง/ตะวันตก", A242&gt;=80, "ภาคใต้")</f>
        <v>ภาคกลาง</v>
      </c>
      <c r="D242" s="64">
        <v>1803</v>
      </c>
      <c r="E242" s="10" t="s">
        <v>585</v>
      </c>
      <c r="F242" s="11">
        <v>11065</v>
      </c>
      <c r="G242" s="11">
        <v>12139</v>
      </c>
      <c r="H242" s="11">
        <v>23204</v>
      </c>
      <c r="I242" s="11">
        <v>9341</v>
      </c>
      <c r="J242" s="66">
        <f t="shared" si="16"/>
        <v>47.685743837269435</v>
      </c>
      <c r="K242" s="66">
        <f t="shared" si="17"/>
        <v>52.314256162730565</v>
      </c>
    </row>
    <row r="243" spans="1:11" x14ac:dyDescent="0.3">
      <c r="A243" s="10">
        <v>18</v>
      </c>
      <c r="B243" s="10" t="s">
        <v>582</v>
      </c>
      <c r="C243" s="10" t="str" cm="1">
        <f t="array" ref="C243">_xlfn.IFS(A243&lt;20, "ภาคกลาง", A243&lt;30, "ภาคตะวันออก", A243&lt;50, "ภาคตะวันออกเฉียงเหนือ", A243&lt;60, "ภาคเหนือ", A243&lt;80, "ภาคกลาง/ตะวันตก", A243&gt;=80, "ภาคใต้")</f>
        <v>ภาคกลาง</v>
      </c>
      <c r="D243" s="64">
        <v>1804</v>
      </c>
      <c r="E243" s="10" t="s">
        <v>586</v>
      </c>
      <c r="F243" s="11">
        <v>10487</v>
      </c>
      <c r="G243" s="11">
        <v>11203</v>
      </c>
      <c r="H243" s="11">
        <v>21690</v>
      </c>
      <c r="I243" s="11">
        <v>9659</v>
      </c>
      <c r="J243" s="66">
        <f t="shared" si="16"/>
        <v>48.349469801751958</v>
      </c>
      <c r="K243" s="66">
        <f t="shared" si="17"/>
        <v>51.650530198248049</v>
      </c>
    </row>
    <row r="244" spans="1:11" x14ac:dyDescent="0.3">
      <c r="A244" s="10">
        <v>18</v>
      </c>
      <c r="B244" s="10" t="s">
        <v>582</v>
      </c>
      <c r="C244" s="10" t="str" cm="1">
        <f t="array" ref="C244">_xlfn.IFS(A244&lt;20, "ภาคกลาง", A244&lt;30, "ภาคตะวันออก", A244&lt;50, "ภาคตะวันออกเฉียงเหนือ", A244&lt;60, "ภาคเหนือ", A244&lt;80, "ภาคกลาง/ตะวันตก", A244&gt;=80, "ภาคใต้")</f>
        <v>ภาคกลาง</v>
      </c>
      <c r="D244" s="64">
        <v>1805</v>
      </c>
      <c r="E244" s="10" t="s">
        <v>587</v>
      </c>
      <c r="F244" s="11">
        <v>14409</v>
      </c>
      <c r="G244" s="11">
        <v>15479</v>
      </c>
      <c r="H244" s="11">
        <v>29888</v>
      </c>
      <c r="I244" s="11">
        <v>12121</v>
      </c>
      <c r="J244" s="66">
        <f t="shared" si="16"/>
        <v>48.209983940042825</v>
      </c>
      <c r="K244" s="66">
        <f t="shared" si="17"/>
        <v>51.790016059957175</v>
      </c>
    </row>
    <row r="245" spans="1:11" x14ac:dyDescent="0.3">
      <c r="A245" s="10">
        <v>18</v>
      </c>
      <c r="B245" s="10" t="s">
        <v>582</v>
      </c>
      <c r="C245" s="10" t="str" cm="1">
        <f t="array" ref="C245">_xlfn.IFS(A245&lt;20, "ภาคกลาง", A245&lt;30, "ภาคตะวันออก", A245&lt;50, "ภาคตะวันออกเฉียงเหนือ", A245&lt;60, "ภาคเหนือ", A245&lt;80, "ภาคกลาง/ตะวันตก", A245&gt;=80, "ภาคใต้")</f>
        <v>ภาคกลาง</v>
      </c>
      <c r="D245" s="64">
        <v>1806</v>
      </c>
      <c r="E245" s="10" t="s">
        <v>588</v>
      </c>
      <c r="F245" s="11">
        <v>28442</v>
      </c>
      <c r="G245" s="11">
        <v>30956</v>
      </c>
      <c r="H245" s="11">
        <v>59398</v>
      </c>
      <c r="I245" s="11">
        <v>22886</v>
      </c>
      <c r="J245" s="66">
        <f t="shared" si="16"/>
        <v>47.883767130206408</v>
      </c>
      <c r="K245" s="66">
        <f t="shared" si="17"/>
        <v>52.116232869793599</v>
      </c>
    </row>
    <row r="246" spans="1:11" x14ac:dyDescent="0.3">
      <c r="A246" s="10">
        <v>18</v>
      </c>
      <c r="B246" s="10" t="s">
        <v>582</v>
      </c>
      <c r="C246" s="10" t="str" cm="1">
        <f t="array" ref="C246">_xlfn.IFS(A246&lt;20, "ภาคกลาง", A246&lt;30, "ภาคตะวันออก", A246&lt;50, "ภาคตะวันออกเฉียงเหนือ", A246&lt;60, "ภาคเหนือ", A246&lt;80, "ภาคกลาง/ตะวันตก", A246&gt;=80, "ภาคใต้")</f>
        <v>ภาคกลาง</v>
      </c>
      <c r="D246" s="64">
        <v>1807</v>
      </c>
      <c r="E246" s="10" t="s">
        <v>589</v>
      </c>
      <c r="F246" s="11">
        <v>19462</v>
      </c>
      <c r="G246" s="11">
        <v>20748</v>
      </c>
      <c r="H246" s="11">
        <v>40210</v>
      </c>
      <c r="I246" s="11">
        <v>15267</v>
      </c>
      <c r="J246" s="66">
        <f t="shared" si="16"/>
        <v>48.400895299676698</v>
      </c>
      <c r="K246" s="66">
        <f t="shared" si="17"/>
        <v>51.599104700323309</v>
      </c>
    </row>
    <row r="247" spans="1:11" x14ac:dyDescent="0.3">
      <c r="A247" s="10">
        <v>18</v>
      </c>
      <c r="B247" s="10" t="s">
        <v>582</v>
      </c>
      <c r="C247" s="10" t="str" cm="1">
        <f t="array" ref="C247">_xlfn.IFS(A247&lt;20, "ภาคกลาง", A247&lt;30, "ภาคตะวันออก", A247&lt;50, "ภาคตะวันออกเฉียงเหนือ", A247&lt;60, "ภาคเหนือ", A247&lt;80, "ภาคกลาง/ตะวันตก", A247&gt;=80, "ภาคใต้")</f>
        <v>ภาคกลาง</v>
      </c>
      <c r="D247" s="64">
        <v>1808</v>
      </c>
      <c r="E247" s="10" t="s">
        <v>590</v>
      </c>
      <c r="F247" s="11">
        <v>6199</v>
      </c>
      <c r="G247" s="11">
        <v>6426</v>
      </c>
      <c r="H247" s="11">
        <v>12625</v>
      </c>
      <c r="I247" s="11">
        <v>5316</v>
      </c>
      <c r="J247" s="66">
        <f t="shared" si="16"/>
        <v>49.100990099009898</v>
      </c>
      <c r="K247" s="66">
        <f t="shared" si="17"/>
        <v>50.899009900990102</v>
      </c>
    </row>
    <row r="248" spans="1:11" ht="27.6" x14ac:dyDescent="0.3">
      <c r="A248" s="10">
        <v>18</v>
      </c>
      <c r="B248" s="10" t="s">
        <v>582</v>
      </c>
      <c r="C248" s="10" t="str" cm="1">
        <f t="array" ref="C248">_xlfn.IFS(A248&lt;20, "ภาคกลาง", A248&lt;30, "ภาคตะวันออก", A248&lt;50, "ภาคตะวันออกเฉียงเหนือ", A248&lt;60, "ภาคเหนือ", A248&lt;80, "ภาคกลาง/ตะวันตก", A248&gt;=80, "ภาคใต้")</f>
        <v>ภาคกลาง</v>
      </c>
      <c r="D248" s="64">
        <v>1880</v>
      </c>
      <c r="E248" s="10" t="s">
        <v>463</v>
      </c>
      <c r="F248" s="11">
        <v>5241</v>
      </c>
      <c r="G248" s="11">
        <v>5436</v>
      </c>
      <c r="H248" s="11">
        <v>10677</v>
      </c>
      <c r="I248" s="11">
        <v>4139</v>
      </c>
      <c r="J248" s="66">
        <f t="shared" si="16"/>
        <v>49.08682214105086</v>
      </c>
      <c r="K248" s="66">
        <f t="shared" si="17"/>
        <v>50.91317785894914</v>
      </c>
    </row>
    <row r="249" spans="1:11" x14ac:dyDescent="0.3">
      <c r="A249" s="10">
        <v>18</v>
      </c>
      <c r="B249" s="10" t="s">
        <v>582</v>
      </c>
      <c r="C249" s="10" t="str" cm="1">
        <f t="array" ref="C249">_xlfn.IFS(A249&lt;20, "ภาคกลาง", A249&lt;30, "ภาคตะวันออก", A249&lt;50, "ภาคตะวันออกเฉียงเหนือ", A249&lt;60, "ภาคเหนือ", A249&lt;80, "ภาคกลาง/ตะวันตก", A249&gt;=80, "ภาคใต้")</f>
        <v>ภาคกลาง</v>
      </c>
      <c r="D249" s="64">
        <v>1881</v>
      </c>
      <c r="E249" s="10" t="s">
        <v>591</v>
      </c>
      <c r="F249" s="11">
        <v>2396</v>
      </c>
      <c r="G249" s="11">
        <v>2684</v>
      </c>
      <c r="H249" s="11">
        <v>5080</v>
      </c>
      <c r="I249" s="11">
        <v>2670</v>
      </c>
      <c r="J249" s="66">
        <f t="shared" si="16"/>
        <v>47.165354330708659</v>
      </c>
      <c r="K249" s="66">
        <f t="shared" si="17"/>
        <v>52.834645669291334</v>
      </c>
    </row>
    <row r="250" spans="1:11" x14ac:dyDescent="0.3">
      <c r="A250" s="10">
        <v>18</v>
      </c>
      <c r="B250" s="10" t="s">
        <v>582</v>
      </c>
      <c r="C250" s="10" t="str" cm="1">
        <f t="array" ref="C250">_xlfn.IFS(A250&lt;20, "ภาคกลาง", A250&lt;30, "ภาคตะวันออก", A250&lt;50, "ภาคตะวันออกเฉียงเหนือ", A250&lt;60, "ภาคเหนือ", A250&lt;80, "ภาคกลาง/ตะวันตก", A250&gt;=80, "ภาคใต้")</f>
        <v>ภาคกลาง</v>
      </c>
      <c r="D250" s="64">
        <v>1882</v>
      </c>
      <c r="E250" s="10" t="s">
        <v>592</v>
      </c>
      <c r="F250" s="11">
        <v>3469</v>
      </c>
      <c r="G250" s="11">
        <v>3879</v>
      </c>
      <c r="H250" s="11">
        <v>7348</v>
      </c>
      <c r="I250" s="11">
        <v>2656</v>
      </c>
      <c r="J250" s="66">
        <f t="shared" si="16"/>
        <v>47.210125204137185</v>
      </c>
      <c r="K250" s="66">
        <f t="shared" si="17"/>
        <v>52.789874795862822</v>
      </c>
    </row>
    <row r="251" spans="1:11" ht="27.6" x14ac:dyDescent="0.3">
      <c r="A251" s="10">
        <v>18</v>
      </c>
      <c r="B251" s="10" t="s">
        <v>582</v>
      </c>
      <c r="C251" s="10" t="str" cm="1">
        <f t="array" ref="C251">_xlfn.IFS(A251&lt;20, "ภาคกลาง", A251&lt;30, "ภาคตะวันออก", A251&lt;50, "ภาคตะวันออกเฉียงเหนือ", A251&lt;60, "ภาคเหนือ", A251&lt;80, "ภาคกลาง/ตะวันตก", A251&gt;=80, "ภาคใต้")</f>
        <v>ภาคกลาง</v>
      </c>
      <c r="D251" s="64">
        <v>1883</v>
      </c>
      <c r="E251" s="10" t="s">
        <v>593</v>
      </c>
      <c r="F251" s="11">
        <v>3604</v>
      </c>
      <c r="G251" s="11">
        <v>3787</v>
      </c>
      <c r="H251" s="11">
        <v>7391</v>
      </c>
      <c r="I251" s="11">
        <v>2559</v>
      </c>
      <c r="J251" s="66">
        <f t="shared" si="16"/>
        <v>48.762007847381952</v>
      </c>
      <c r="K251" s="66">
        <f t="shared" si="17"/>
        <v>51.237992152618048</v>
      </c>
    </row>
    <row r="252" spans="1:11" x14ac:dyDescent="0.3">
      <c r="A252" s="10">
        <v>18</v>
      </c>
      <c r="B252" s="10" t="s">
        <v>582</v>
      </c>
      <c r="C252" s="10" t="str" cm="1">
        <f t="array" ref="C252">_xlfn.IFS(A252&lt;20, "ภาคกลาง", A252&lt;30, "ภาคตะวันออก", A252&lt;50, "ภาคตะวันออกเฉียงเหนือ", A252&lt;60, "ภาคเหนือ", A252&lt;80, "ภาคกลาง/ตะวันตก", A252&gt;=80, "ภาคใต้")</f>
        <v>ภาคกลาง</v>
      </c>
      <c r="D252" s="64">
        <v>1884</v>
      </c>
      <c r="E252" s="10" t="s">
        <v>594</v>
      </c>
      <c r="F252" s="11">
        <v>2391</v>
      </c>
      <c r="G252" s="11">
        <v>2539</v>
      </c>
      <c r="H252" s="11">
        <v>4930</v>
      </c>
      <c r="I252" s="11">
        <v>1886</v>
      </c>
      <c r="J252" s="66">
        <f t="shared" si="16"/>
        <v>48.498985801217039</v>
      </c>
      <c r="K252" s="66">
        <f t="shared" si="17"/>
        <v>51.501014198782954</v>
      </c>
    </row>
    <row r="253" spans="1:11" ht="27.6" x14ac:dyDescent="0.3">
      <c r="A253" s="10">
        <v>18</v>
      </c>
      <c r="B253" s="10" t="s">
        <v>582</v>
      </c>
      <c r="C253" s="10" t="str" cm="1">
        <f t="array" ref="C253">_xlfn.IFS(A253&lt;20, "ภาคกลาง", A253&lt;30, "ภาคตะวันออก", A253&lt;50, "ภาคตะวันออกเฉียงเหนือ", A253&lt;60, "ภาคเหนือ", A253&lt;80, "ภาคกลาง/ตะวันตก", A253&gt;=80, "ภาคใต้")</f>
        <v>ภาคกลาง</v>
      </c>
      <c r="D253" s="64">
        <v>1885</v>
      </c>
      <c r="E253" s="10" t="s">
        <v>595</v>
      </c>
      <c r="F253" s="11">
        <v>3511</v>
      </c>
      <c r="G253" s="11">
        <v>4250</v>
      </c>
      <c r="H253" s="11">
        <v>7761</v>
      </c>
      <c r="I253" s="11">
        <v>2794</v>
      </c>
      <c r="J253" s="66">
        <f t="shared" si="16"/>
        <v>45.239015590774386</v>
      </c>
      <c r="K253" s="66">
        <f t="shared" si="17"/>
        <v>54.760984409225614</v>
      </c>
    </row>
    <row r="254" spans="1:11" ht="27.6" x14ac:dyDescent="0.3">
      <c r="A254" s="10">
        <v>18</v>
      </c>
      <c r="B254" s="10" t="s">
        <v>582</v>
      </c>
      <c r="C254" s="10" t="str" cm="1">
        <f t="array" ref="C254">_xlfn.IFS(A254&lt;20, "ภาคกลาง", A254&lt;30, "ภาคตะวันออก", A254&lt;50, "ภาคตะวันออกเฉียงเหนือ", A254&lt;60, "ภาคเหนือ", A254&lt;80, "ภาคกลาง/ตะวันตก", A254&gt;=80, "ภาคใต้")</f>
        <v>ภาคกลาง</v>
      </c>
      <c r="D254" s="64">
        <v>1887</v>
      </c>
      <c r="E254" s="10" t="s">
        <v>596</v>
      </c>
      <c r="F254" s="11">
        <v>3322</v>
      </c>
      <c r="G254" s="11">
        <v>3775</v>
      </c>
      <c r="H254" s="11">
        <v>7097</v>
      </c>
      <c r="I254" s="11">
        <v>3800</v>
      </c>
      <c r="J254" s="66">
        <f t="shared" si="16"/>
        <v>46.808510638297875</v>
      </c>
      <c r="K254" s="66">
        <f t="shared" si="17"/>
        <v>53.191489361702125</v>
      </c>
    </row>
    <row r="255" spans="1:11" ht="27.6" x14ac:dyDescent="0.3">
      <c r="A255" s="10">
        <v>18</v>
      </c>
      <c r="B255" s="10" t="s">
        <v>582</v>
      </c>
      <c r="C255" s="10" t="str" cm="1">
        <f t="array" ref="C255">_xlfn.IFS(A255&lt;20, "ภาคกลาง", A255&lt;30, "ภาคตะวันออก", A255&lt;50, "ภาคตะวันออกเฉียงเหนือ", A255&lt;60, "ภาคเหนือ", A255&lt;80, "ภาคกลาง/ตะวันตก", A255&gt;=80, "ภาคใต้")</f>
        <v>ภาคกลาง</v>
      </c>
      <c r="D255" s="64">
        <v>1889</v>
      </c>
      <c r="E255" s="10" t="s">
        <v>597</v>
      </c>
      <c r="F255" s="11">
        <v>3682</v>
      </c>
      <c r="G255" s="11">
        <v>3844</v>
      </c>
      <c r="H255" s="11">
        <v>7526</v>
      </c>
      <c r="I255" s="11">
        <v>2908</v>
      </c>
      <c r="J255" s="66">
        <f t="shared" si="16"/>
        <v>48.923731065639117</v>
      </c>
      <c r="K255" s="66">
        <f t="shared" si="17"/>
        <v>51.076268934360883</v>
      </c>
    </row>
    <row r="256" spans="1:11" x14ac:dyDescent="0.3">
      <c r="A256" s="10">
        <v>18</v>
      </c>
      <c r="B256" s="10" t="s">
        <v>582</v>
      </c>
      <c r="C256" s="10" t="str" cm="1">
        <f t="array" ref="C256">_xlfn.IFS(A256&lt;20, "ภาคกลาง", A256&lt;30, "ภาคตะวันออก", A256&lt;50, "ภาคตะวันออกเฉียงเหนือ", A256&lt;60, "ภาคเหนือ", A256&lt;80, "ภาคกลาง/ตะวันตก", A256&gt;=80, "ภาคใต้")</f>
        <v>ภาคกลาง</v>
      </c>
      <c r="D256" s="64">
        <v>1890</v>
      </c>
      <c r="E256" s="10" t="s">
        <v>598</v>
      </c>
      <c r="F256" s="11">
        <v>3212</v>
      </c>
      <c r="G256" s="11">
        <v>3381</v>
      </c>
      <c r="H256" s="11">
        <v>6593</v>
      </c>
      <c r="I256" s="11">
        <v>2587</v>
      </c>
      <c r="J256" s="66">
        <f t="shared" si="16"/>
        <v>48.718337630820571</v>
      </c>
      <c r="K256" s="66">
        <f t="shared" si="17"/>
        <v>51.281662369179436</v>
      </c>
    </row>
    <row r="257" spans="1:11" x14ac:dyDescent="0.3">
      <c r="A257" s="10">
        <v>18</v>
      </c>
      <c r="B257" s="10" t="s">
        <v>582</v>
      </c>
      <c r="C257" s="10" t="str" cm="1">
        <f t="array" ref="C257">_xlfn.IFS(A257&lt;20, "ภาคกลาง", A257&lt;30, "ภาคตะวันออก", A257&lt;50, "ภาคตะวันออกเฉียงเหนือ", A257&lt;60, "ภาคเหนือ", A257&lt;80, "ภาคกลาง/ตะวันตก", A257&gt;=80, "ภาคใต้")</f>
        <v>ภาคกลาง</v>
      </c>
      <c r="D257" s="64">
        <v>1891</v>
      </c>
      <c r="E257" s="10" t="s">
        <v>599</v>
      </c>
      <c r="F257" s="11">
        <v>2799</v>
      </c>
      <c r="G257" s="11">
        <v>3095</v>
      </c>
      <c r="H257" s="11">
        <v>5894</v>
      </c>
      <c r="I257" s="11">
        <v>2800</v>
      </c>
      <c r="J257" s="66">
        <f t="shared" si="16"/>
        <v>47.488971835765184</v>
      </c>
      <c r="K257" s="66">
        <f t="shared" si="17"/>
        <v>52.511028164234816</v>
      </c>
    </row>
    <row r="258" spans="1:11" ht="27.6" x14ac:dyDescent="0.3">
      <c r="A258" s="10">
        <v>18</v>
      </c>
      <c r="B258" s="10" t="s">
        <v>582</v>
      </c>
      <c r="C258" s="10" t="str" cm="1">
        <f t="array" ref="C258">_xlfn.IFS(A258&lt;20, "ภาคกลาง", A258&lt;30, "ภาคตะวันออก", A258&lt;50, "ภาคตะวันออกเฉียงเหนือ", A258&lt;60, "ภาคเหนือ", A258&lt;80, "ภาคกลาง/ตะวันตก", A258&gt;=80, "ภาคใต้")</f>
        <v>ภาคกลาง</v>
      </c>
      <c r="D258" s="64">
        <v>1892</v>
      </c>
      <c r="E258" s="10" t="s">
        <v>600</v>
      </c>
      <c r="F258" s="11">
        <v>1845</v>
      </c>
      <c r="G258" s="11">
        <v>2070</v>
      </c>
      <c r="H258" s="11">
        <v>3915</v>
      </c>
      <c r="I258" s="11">
        <v>2504</v>
      </c>
      <c r="J258" s="66">
        <f t="shared" si="16"/>
        <v>47.126436781609193</v>
      </c>
      <c r="K258" s="66">
        <f t="shared" si="17"/>
        <v>52.873563218390807</v>
      </c>
    </row>
    <row r="259" spans="1:11" ht="27.6" x14ac:dyDescent="0.3">
      <c r="A259" s="10">
        <v>18</v>
      </c>
      <c r="B259" s="10" t="s">
        <v>582</v>
      </c>
      <c r="C259" s="10" t="str" cm="1">
        <f t="array" ref="C259">_xlfn.IFS(A259&lt;20, "ภาคกลาง", A259&lt;30, "ภาคตะวันออก", A259&lt;50, "ภาคตะวันออกเฉียงเหนือ", A259&lt;60, "ภาคเหนือ", A259&lt;80, "ภาคกลาง/ตะวันตก", A259&gt;=80, "ภาคใต้")</f>
        <v>ภาคกลาง</v>
      </c>
      <c r="D259" s="64">
        <v>1893</v>
      </c>
      <c r="E259" s="10" t="s">
        <v>601</v>
      </c>
      <c r="F259" s="10">
        <v>597</v>
      </c>
      <c r="G259" s="10">
        <v>644</v>
      </c>
      <c r="H259" s="11">
        <v>1241</v>
      </c>
      <c r="I259" s="10">
        <v>492</v>
      </c>
      <c r="J259" s="66">
        <f t="shared" si="16"/>
        <v>48.106365834004833</v>
      </c>
      <c r="K259" s="66">
        <f t="shared" si="17"/>
        <v>51.893634165995159</v>
      </c>
    </row>
    <row r="260" spans="1:11" x14ac:dyDescent="0.3">
      <c r="A260" s="10">
        <v>18</v>
      </c>
      <c r="B260" s="10" t="s">
        <v>582</v>
      </c>
      <c r="C260" s="10" t="str" cm="1">
        <f t="array" ref="C260">_xlfn.IFS(A260&lt;20, "ภาคกลาง", A260&lt;30, "ภาคตะวันออก", A260&lt;50, "ภาคตะวันออกเฉียงเหนือ", A260&lt;60, "ภาคเหนือ", A260&lt;80, "ภาคกลาง/ตะวันตก", A260&gt;=80, "ภาคใต้")</f>
        <v>ภาคกลาง</v>
      </c>
      <c r="D260" s="64">
        <v>1894</v>
      </c>
      <c r="E260" s="10" t="s">
        <v>602</v>
      </c>
      <c r="F260" s="11">
        <v>1110</v>
      </c>
      <c r="G260" s="11">
        <v>1264</v>
      </c>
      <c r="H260" s="11">
        <v>2374</v>
      </c>
      <c r="I260" s="11">
        <v>1401</v>
      </c>
      <c r="J260" s="66">
        <f t="shared" si="16"/>
        <v>46.756529064869419</v>
      </c>
      <c r="K260" s="66">
        <f t="shared" si="17"/>
        <v>53.243470935130574</v>
      </c>
    </row>
    <row r="261" spans="1:11" ht="27.6" x14ac:dyDescent="0.3">
      <c r="A261" s="10">
        <v>18</v>
      </c>
      <c r="B261" s="10" t="s">
        <v>582</v>
      </c>
      <c r="C261" s="10" t="str" cm="1">
        <f t="array" ref="C261">_xlfn.IFS(A261&lt;20, "ภาคกลาง", A261&lt;30, "ภาคตะวันออก", A261&lt;50, "ภาคตะวันออกเฉียงเหนือ", A261&lt;60, "ภาคเหนือ", A261&lt;80, "ภาคกลาง/ตะวันตก", A261&gt;=80, "ภาคใต้")</f>
        <v>ภาคกลาง</v>
      </c>
      <c r="D261" s="64">
        <v>1895</v>
      </c>
      <c r="E261" s="10" t="s">
        <v>603</v>
      </c>
      <c r="F261" s="11">
        <v>1421</v>
      </c>
      <c r="G261" s="11">
        <v>1509</v>
      </c>
      <c r="H261" s="11">
        <v>2930</v>
      </c>
      <c r="I261" s="11">
        <v>1399</v>
      </c>
      <c r="J261" s="66">
        <f t="shared" si="16"/>
        <v>48.498293515358363</v>
      </c>
      <c r="K261" s="66">
        <f t="shared" si="17"/>
        <v>51.501706484641637</v>
      </c>
    </row>
    <row r="262" spans="1:11" ht="27.6" x14ac:dyDescent="0.3">
      <c r="A262" s="10">
        <v>18</v>
      </c>
      <c r="B262" s="10" t="s">
        <v>582</v>
      </c>
      <c r="C262" s="10" t="str" cm="1">
        <f t="array" ref="C262">_xlfn.IFS(A262&lt;20, "ภาคกลาง", A262&lt;30, "ภาคตะวันออก", A262&lt;50, "ภาคตะวันออกเฉียงเหนือ", A262&lt;60, "ภาคเหนือ", A262&lt;80, "ภาคกลาง/ตะวันตก", A262&gt;=80, "ภาคใต้")</f>
        <v>ภาคกลาง</v>
      </c>
      <c r="D262" s="64">
        <v>1896</v>
      </c>
      <c r="E262" s="10" t="s">
        <v>604</v>
      </c>
      <c r="F262" s="10">
        <v>689</v>
      </c>
      <c r="G262" s="10">
        <v>781</v>
      </c>
      <c r="H262" s="11">
        <v>1470</v>
      </c>
      <c r="I262" s="10">
        <v>585</v>
      </c>
      <c r="J262" s="66">
        <f t="shared" si="16"/>
        <v>46.870748299319729</v>
      </c>
      <c r="K262" s="66">
        <f t="shared" si="17"/>
        <v>53.129251700680271</v>
      </c>
    </row>
    <row r="263" spans="1:11" ht="27.6" x14ac:dyDescent="0.3">
      <c r="A263" s="10">
        <v>18</v>
      </c>
      <c r="B263" s="10" t="s">
        <v>582</v>
      </c>
      <c r="C263" s="10" t="str" cm="1">
        <f t="array" ref="C263">_xlfn.IFS(A263&lt;20, "ภาคกลาง", A263&lt;30, "ภาคตะวันออก", A263&lt;50, "ภาคตะวันออกเฉียงเหนือ", A263&lt;60, "ภาคเหนือ", A263&lt;80, "ภาคกลาง/ตะวันตก", A263&gt;=80, "ภาคใต้")</f>
        <v>ภาคกลาง</v>
      </c>
      <c r="D263" s="64">
        <v>1897</v>
      </c>
      <c r="E263" s="10" t="s">
        <v>605</v>
      </c>
      <c r="F263" s="11">
        <v>2886</v>
      </c>
      <c r="G263" s="11">
        <v>3140</v>
      </c>
      <c r="H263" s="11">
        <v>6026</v>
      </c>
      <c r="I263" s="11">
        <v>3329</v>
      </c>
      <c r="J263" s="66">
        <f t="shared" si="16"/>
        <v>47.892465980750082</v>
      </c>
      <c r="K263" s="66">
        <f t="shared" si="17"/>
        <v>52.107534019249911</v>
      </c>
    </row>
    <row r="264" spans="1:11" x14ac:dyDescent="0.3">
      <c r="A264" s="10">
        <v>18</v>
      </c>
      <c r="B264" s="10" t="s">
        <v>582</v>
      </c>
      <c r="C264" s="10" t="str" cm="1">
        <f t="array" ref="C264">_xlfn.IFS(A264&lt;20, "ภาคกลาง", A264&lt;30, "ภาคตะวันออก", A264&lt;50, "ภาคตะวันออกเฉียงเหนือ", A264&lt;60, "ภาคเหนือ", A264&lt;80, "ภาคกลาง/ตะวันตก", A264&gt;=80, "ภาคใต้")</f>
        <v>ภาคกลาง</v>
      </c>
      <c r="D264" s="64">
        <v>1898</v>
      </c>
      <c r="E264" s="10" t="s">
        <v>606</v>
      </c>
      <c r="F264" s="10">
        <v>845</v>
      </c>
      <c r="G264" s="10">
        <v>929</v>
      </c>
      <c r="H264" s="11">
        <v>1774</v>
      </c>
      <c r="I264" s="11">
        <v>1015</v>
      </c>
      <c r="J264" s="66">
        <f t="shared" si="16"/>
        <v>47.63246899661781</v>
      </c>
      <c r="K264" s="66">
        <f t="shared" si="17"/>
        <v>52.367531003382183</v>
      </c>
    </row>
    <row r="265" spans="1:11" x14ac:dyDescent="0.3">
      <c r="A265" s="10">
        <v>18</v>
      </c>
      <c r="B265" s="10" t="s">
        <v>582</v>
      </c>
      <c r="C265" s="10" t="str" cm="1">
        <f t="array" ref="C265">_xlfn.IFS(A265&lt;20, "ภาคกลาง", A265&lt;30, "ภาคตะวันออก", A265&lt;50, "ภาคตะวันออกเฉียงเหนือ", A265&lt;60, "ภาคเหนือ", A265&lt;80, "ภาคกลาง/ตะวันตก", A265&gt;=80, "ภาคใต้")</f>
        <v>ภาคกลาง</v>
      </c>
      <c r="D265" s="64">
        <v>1899</v>
      </c>
      <c r="E265" s="10" t="s">
        <v>607</v>
      </c>
      <c r="F265" s="11">
        <v>1418</v>
      </c>
      <c r="G265" s="11">
        <v>1587</v>
      </c>
      <c r="H265" s="11">
        <v>3005</v>
      </c>
      <c r="I265" s="11">
        <v>1989</v>
      </c>
      <c r="J265" s="66">
        <f t="shared" si="16"/>
        <v>47.188019966722131</v>
      </c>
      <c r="K265" s="66">
        <f t="shared" si="17"/>
        <v>52.811980033277869</v>
      </c>
    </row>
    <row r="266" spans="1:11" hidden="1" x14ac:dyDescent="0.3">
      <c r="A266" s="10">
        <v>18</v>
      </c>
      <c r="B266" s="10" t="s">
        <v>582</v>
      </c>
      <c r="C266" s="10" t="str" cm="1">
        <f t="array" ref="C266">_xlfn.IFS(A266&lt;20, "ภาคกลาง", A266&lt;30, "ภาคตะวันออก", A266&lt;50, "ภาคตะวันออกเฉียงเหนือ", A266&lt;60, "ภาคเหนือ", A266&lt;80, "ภาคกลาง/ตะวันตก", A266&gt;=80, "ภาคใต้")</f>
        <v>ภาคกลาง</v>
      </c>
      <c r="D266" s="10">
        <v>0</v>
      </c>
      <c r="E266" s="10" t="s">
        <v>343</v>
      </c>
      <c r="F266" s="11">
        <v>5039</v>
      </c>
      <c r="G266" s="11">
        <v>5990</v>
      </c>
      <c r="H266" s="11">
        <v>11029</v>
      </c>
      <c r="I266" s="11">
        <v>7688</v>
      </c>
      <c r="J266"/>
      <c r="K266"/>
    </row>
    <row r="267" spans="1:11" x14ac:dyDescent="0.3">
      <c r="A267" s="10">
        <v>19</v>
      </c>
      <c r="B267" s="10" t="s">
        <v>608</v>
      </c>
      <c r="C267" s="10" t="str" cm="1">
        <f t="array" ref="C267">_xlfn.IFS(A267&lt;20, "ภาคกลาง", A267&lt;30, "ภาคตะวันออก", A267&lt;50, "ภาคตะวันออกเฉียงเหนือ", A267&lt;60, "ภาคเหนือ", A267&lt;80, "ภาคกลาง/ตะวันตก", A267&gt;=80, "ภาคใต้")</f>
        <v>ภาคกลาง</v>
      </c>
      <c r="D267" s="64">
        <v>1901</v>
      </c>
      <c r="E267" s="10" t="s">
        <v>609</v>
      </c>
      <c r="F267" s="11">
        <v>313262</v>
      </c>
      <c r="G267" s="11">
        <v>325903</v>
      </c>
      <c r="H267" s="11">
        <v>639165</v>
      </c>
      <c r="I267" s="11">
        <v>305526</v>
      </c>
      <c r="J267" s="66">
        <f t="shared" ref="J267:J305" si="18">F267/H267*100</f>
        <v>49.011131710904074</v>
      </c>
      <c r="K267" s="66">
        <f t="shared" ref="K267:K305" si="19">G267/H267*100</f>
        <v>50.988868289095933</v>
      </c>
    </row>
    <row r="268" spans="1:11" x14ac:dyDescent="0.3">
      <c r="A268" s="10">
        <v>19</v>
      </c>
      <c r="B268" s="10" t="s">
        <v>608</v>
      </c>
      <c r="C268" s="10" t="str" cm="1">
        <f t="array" ref="C268">_xlfn.IFS(A268&lt;20, "ภาคกลาง", A268&lt;30, "ภาคตะวันออก", A268&lt;50, "ภาคตะวันออกเฉียงเหนือ", A268&lt;60, "ภาคเหนือ", A268&lt;80, "ภาคกลาง/ตะวันตก", A268&gt;=80, "ภาคใต้")</f>
        <v>ภาคกลาง</v>
      </c>
      <c r="D268" s="64">
        <v>1902</v>
      </c>
      <c r="E268" s="10" t="s">
        <v>610</v>
      </c>
      <c r="F268" s="11">
        <v>26031</v>
      </c>
      <c r="G268" s="11">
        <v>22612</v>
      </c>
      <c r="H268" s="11">
        <v>48643</v>
      </c>
      <c r="I268" s="11">
        <v>21717</v>
      </c>
      <c r="J268" s="66">
        <f t="shared" si="18"/>
        <v>53.514380280821491</v>
      </c>
      <c r="K268" s="66">
        <f t="shared" si="19"/>
        <v>46.485619719178509</v>
      </c>
    </row>
    <row r="269" spans="1:11" x14ac:dyDescent="0.3">
      <c r="A269" s="10">
        <v>19</v>
      </c>
      <c r="B269" s="10" t="s">
        <v>608</v>
      </c>
      <c r="C269" s="10" t="str" cm="1">
        <f t="array" ref="C269">_xlfn.IFS(A269&lt;20, "ภาคกลาง", A269&lt;30, "ภาคตะวันออก", A269&lt;50, "ภาคตะวันออกเฉียงเหนือ", A269&lt;60, "ภาคเหนือ", A269&lt;80, "ภาคกลาง/ตะวันตก", A269&gt;=80, "ภาคใต้")</f>
        <v>ภาคกลาง</v>
      </c>
      <c r="D269" s="64">
        <v>1903</v>
      </c>
      <c r="E269" s="10" t="s">
        <v>611</v>
      </c>
      <c r="F269" s="11">
        <v>34838</v>
      </c>
      <c r="G269" s="11">
        <v>35823</v>
      </c>
      <c r="H269" s="11">
        <v>70661</v>
      </c>
      <c r="I269" s="11">
        <v>33528</v>
      </c>
      <c r="J269" s="66">
        <f t="shared" si="18"/>
        <v>49.303010147040091</v>
      </c>
      <c r="K269" s="66">
        <f t="shared" si="19"/>
        <v>50.696989852959909</v>
      </c>
    </row>
    <row r="270" spans="1:11" x14ac:dyDescent="0.3">
      <c r="A270" s="10">
        <v>19</v>
      </c>
      <c r="B270" s="10" t="s">
        <v>608</v>
      </c>
      <c r="C270" s="10" t="str" cm="1">
        <f t="array" ref="C270">_xlfn.IFS(A270&lt;20, "ภาคกลาง", A270&lt;30, "ภาคตะวันออก", A270&lt;50, "ภาคตะวันออกเฉียงเหนือ", A270&lt;60, "ภาคเหนือ", A270&lt;80, "ภาคกลาง/ตะวันตก", A270&gt;=80, "ภาคใต้")</f>
        <v>ภาคกลาง</v>
      </c>
      <c r="D270" s="64">
        <v>1904</v>
      </c>
      <c r="E270" s="10" t="s">
        <v>612</v>
      </c>
      <c r="F270" s="11">
        <v>33161</v>
      </c>
      <c r="G270" s="11">
        <v>35329</v>
      </c>
      <c r="H270" s="11">
        <v>68490</v>
      </c>
      <c r="I270" s="11">
        <v>36588</v>
      </c>
      <c r="J270" s="66">
        <f t="shared" si="18"/>
        <v>48.417287195210982</v>
      </c>
      <c r="K270" s="66">
        <f t="shared" si="19"/>
        <v>51.582712804789018</v>
      </c>
    </row>
    <row r="271" spans="1:11" x14ac:dyDescent="0.3">
      <c r="A271" s="10">
        <v>19</v>
      </c>
      <c r="B271" s="10" t="s">
        <v>608</v>
      </c>
      <c r="C271" s="10" t="str" cm="1">
        <f t="array" ref="C271">_xlfn.IFS(A271&lt;20, "ภาคกลาง", A271&lt;30, "ภาคตะวันออก", A271&lt;50, "ภาคตะวันออกเฉียงเหนือ", A271&lt;60, "ภาคเหนือ", A271&lt;80, "ภาคกลาง/ตะวันตก", A271&gt;=80, "ภาคใต้")</f>
        <v>ภาคกลาง</v>
      </c>
      <c r="D271" s="64">
        <v>1905</v>
      </c>
      <c r="E271" s="10" t="s">
        <v>613</v>
      </c>
      <c r="F271" s="11">
        <v>16252</v>
      </c>
      <c r="G271" s="11">
        <v>17001</v>
      </c>
      <c r="H271" s="11">
        <v>33253</v>
      </c>
      <c r="I271" s="11">
        <v>12991</v>
      </c>
      <c r="J271" s="66">
        <f t="shared" si="18"/>
        <v>48.873785823835441</v>
      </c>
      <c r="K271" s="66">
        <f t="shared" si="19"/>
        <v>51.126214176164552</v>
      </c>
    </row>
    <row r="272" spans="1:11" x14ac:dyDescent="0.3">
      <c r="A272" s="10">
        <v>19</v>
      </c>
      <c r="B272" s="10" t="s">
        <v>608</v>
      </c>
      <c r="C272" s="10" t="str" cm="1">
        <f t="array" ref="C272">_xlfn.IFS(A272&lt;20, "ภาคกลาง", A272&lt;30, "ภาคตะวันออก", A272&lt;50, "ภาคตะวันออกเฉียงเหนือ", A272&lt;60, "ภาคเหนือ", A272&lt;80, "ภาคกลาง/ตะวันตก", A272&gt;=80, "ภาคใต้")</f>
        <v>ภาคกลาง</v>
      </c>
      <c r="D272" s="64">
        <v>1906</v>
      </c>
      <c r="E272" s="10" t="s">
        <v>614</v>
      </c>
      <c r="F272" s="11">
        <v>6158</v>
      </c>
      <c r="G272" s="11">
        <v>6875</v>
      </c>
      <c r="H272" s="11">
        <v>13033</v>
      </c>
      <c r="I272" s="11">
        <v>4803</v>
      </c>
      <c r="J272" s="66">
        <f t="shared" si="18"/>
        <v>47.249290263178082</v>
      </c>
      <c r="K272" s="66">
        <f t="shared" si="19"/>
        <v>52.750709736821911</v>
      </c>
    </row>
    <row r="273" spans="1:11" x14ac:dyDescent="0.3">
      <c r="A273" s="10">
        <v>19</v>
      </c>
      <c r="B273" s="10" t="s">
        <v>608</v>
      </c>
      <c r="C273" s="10" t="str" cm="1">
        <f t="array" ref="C273">_xlfn.IFS(A273&lt;20, "ภาคกลาง", A273&lt;30, "ภาคตะวันออก", A273&lt;50, "ภาคตะวันออกเฉียงเหนือ", A273&lt;60, "ภาคเหนือ", A273&lt;80, "ภาคกลาง/ตะวันตก", A273&gt;=80, "ภาคใต้")</f>
        <v>ภาคกลาง</v>
      </c>
      <c r="D273" s="64">
        <v>1907</v>
      </c>
      <c r="E273" s="10" t="s">
        <v>615</v>
      </c>
      <c r="F273" s="11">
        <v>15150</v>
      </c>
      <c r="G273" s="11">
        <v>16198</v>
      </c>
      <c r="H273" s="11">
        <v>31348</v>
      </c>
      <c r="I273" s="11">
        <v>13085</v>
      </c>
      <c r="J273" s="66">
        <f t="shared" si="18"/>
        <v>48.32844200586959</v>
      </c>
      <c r="K273" s="66">
        <f t="shared" si="19"/>
        <v>51.671557994130403</v>
      </c>
    </row>
    <row r="274" spans="1:11" x14ac:dyDescent="0.3">
      <c r="A274" s="10">
        <v>19</v>
      </c>
      <c r="B274" s="10" t="s">
        <v>608</v>
      </c>
      <c r="C274" s="10" t="str" cm="1">
        <f t="array" ref="C274">_xlfn.IFS(A274&lt;20, "ภาคกลาง", A274&lt;30, "ภาคตะวันออก", A274&lt;50, "ภาคตะวันออกเฉียงเหนือ", A274&lt;60, "ภาคเหนือ", A274&lt;80, "ภาคกลาง/ตะวันตก", A274&gt;=80, "ภาคใต้")</f>
        <v>ภาคกลาง</v>
      </c>
      <c r="D274" s="64">
        <v>1908</v>
      </c>
      <c r="E274" s="10" t="s">
        <v>616</v>
      </c>
      <c r="F274" s="10">
        <v>977</v>
      </c>
      <c r="G274" s="11">
        <v>1072</v>
      </c>
      <c r="H274" s="11">
        <v>2049</v>
      </c>
      <c r="I274" s="10">
        <v>685</v>
      </c>
      <c r="J274" s="66">
        <f t="shared" si="18"/>
        <v>47.681795998047825</v>
      </c>
      <c r="K274" s="66">
        <f t="shared" si="19"/>
        <v>52.318204001952175</v>
      </c>
    </row>
    <row r="275" spans="1:11" x14ac:dyDescent="0.3">
      <c r="A275" s="10">
        <v>19</v>
      </c>
      <c r="B275" s="10" t="s">
        <v>608</v>
      </c>
      <c r="C275" s="10" t="str" cm="1">
        <f t="array" ref="C275">_xlfn.IFS(A275&lt;20, "ภาคกลาง", A275&lt;30, "ภาคตะวันออก", A275&lt;50, "ภาคตะวันออกเฉียงเหนือ", A275&lt;60, "ภาคเหนือ", A275&lt;80, "ภาคกลาง/ตะวันตก", A275&gt;=80, "ภาคใต้")</f>
        <v>ภาคกลาง</v>
      </c>
      <c r="D275" s="64">
        <v>1909</v>
      </c>
      <c r="E275" s="10" t="s">
        <v>617</v>
      </c>
      <c r="F275" s="11">
        <v>5497</v>
      </c>
      <c r="G275" s="11">
        <v>5825</v>
      </c>
      <c r="H275" s="11">
        <v>11322</v>
      </c>
      <c r="I275" s="11">
        <v>4811</v>
      </c>
      <c r="J275" s="66">
        <f t="shared" si="18"/>
        <v>48.551492669139726</v>
      </c>
      <c r="K275" s="66">
        <f t="shared" si="19"/>
        <v>51.448507330860274</v>
      </c>
    </row>
    <row r="276" spans="1:11" x14ac:dyDescent="0.3">
      <c r="A276" s="10">
        <v>19</v>
      </c>
      <c r="B276" s="10" t="s">
        <v>608</v>
      </c>
      <c r="C276" s="10" t="str" cm="1">
        <f t="array" ref="C276">_xlfn.IFS(A276&lt;20, "ภาคกลาง", A276&lt;30, "ภาคตะวันออก", A276&lt;50, "ภาคตะวันออกเฉียงเหนือ", A276&lt;60, "ภาคเหนือ", A276&lt;80, "ภาคกลาง/ตะวันตก", A276&gt;=80, "ภาคใต้")</f>
        <v>ภาคกลาง</v>
      </c>
      <c r="D276" s="64">
        <v>1910</v>
      </c>
      <c r="E276" s="10" t="s">
        <v>618</v>
      </c>
      <c r="F276" s="11">
        <v>12169</v>
      </c>
      <c r="G276" s="11">
        <v>12970</v>
      </c>
      <c r="H276" s="11">
        <v>25139</v>
      </c>
      <c r="I276" s="11">
        <v>10928</v>
      </c>
      <c r="J276" s="66">
        <f t="shared" si="18"/>
        <v>48.40685787024146</v>
      </c>
      <c r="K276" s="66">
        <f t="shared" si="19"/>
        <v>51.59314212975854</v>
      </c>
    </row>
    <row r="277" spans="1:11" x14ac:dyDescent="0.3">
      <c r="A277" s="10">
        <v>19</v>
      </c>
      <c r="B277" s="10" t="s">
        <v>608</v>
      </c>
      <c r="C277" s="10" t="str" cm="1">
        <f t="array" ref="C277">_xlfn.IFS(A277&lt;20, "ภาคกลาง", A277&lt;30, "ภาคตะวันออก", A277&lt;50, "ภาคตะวันออกเฉียงเหนือ", A277&lt;60, "ภาคเหนือ", A277&lt;80, "ภาคกลาง/ตะวันตก", A277&gt;=80, "ภาคใต้")</f>
        <v>ภาคกลาง</v>
      </c>
      <c r="D277" s="64">
        <v>1911</v>
      </c>
      <c r="E277" s="10" t="s">
        <v>619</v>
      </c>
      <c r="F277" s="11">
        <v>10617</v>
      </c>
      <c r="G277" s="11">
        <v>11643</v>
      </c>
      <c r="H277" s="11">
        <v>22260</v>
      </c>
      <c r="I277" s="11">
        <v>9050</v>
      </c>
      <c r="J277" s="66">
        <f t="shared" si="18"/>
        <v>47.695417789757414</v>
      </c>
      <c r="K277" s="66">
        <f t="shared" si="19"/>
        <v>52.304582210242586</v>
      </c>
    </row>
    <row r="278" spans="1:11" x14ac:dyDescent="0.3">
      <c r="A278" s="10">
        <v>19</v>
      </c>
      <c r="B278" s="10" t="s">
        <v>608</v>
      </c>
      <c r="C278" s="10" t="str" cm="1">
        <f t="array" ref="C278">_xlfn.IFS(A278&lt;20, "ภาคกลาง", A278&lt;30, "ภาคตะวันออก", A278&lt;50, "ภาคตะวันออกเฉียงเหนือ", A278&lt;60, "ภาคเหนือ", A278&lt;80, "ภาคกลาง/ตะวันตก", A278&gt;=80, "ภาคใต้")</f>
        <v>ภาคกลาง</v>
      </c>
      <c r="D278" s="64">
        <v>1912</v>
      </c>
      <c r="E278" s="10" t="s">
        <v>620</v>
      </c>
      <c r="F278" s="11">
        <v>24982</v>
      </c>
      <c r="G278" s="11">
        <v>24992</v>
      </c>
      <c r="H278" s="11">
        <v>49974</v>
      </c>
      <c r="I278" s="11">
        <v>23406</v>
      </c>
      <c r="J278" s="66">
        <f t="shared" si="18"/>
        <v>49.989994797294592</v>
      </c>
      <c r="K278" s="66">
        <f t="shared" si="19"/>
        <v>50.010005202705408</v>
      </c>
    </row>
    <row r="279" spans="1:11" x14ac:dyDescent="0.3">
      <c r="A279" s="10">
        <v>19</v>
      </c>
      <c r="B279" s="10" t="s">
        <v>608</v>
      </c>
      <c r="C279" s="10" t="str" cm="1">
        <f t="array" ref="C279">_xlfn.IFS(A279&lt;20, "ภาคกลาง", A279&lt;30, "ภาคตะวันออก", A279&lt;50, "ภาคตะวันออกเฉียงเหนือ", A279&lt;60, "ภาคเหนือ", A279&lt;80, "ภาคกลาง/ตะวันตก", A279&gt;=80, "ภาคใต้")</f>
        <v>ภาคกลาง</v>
      </c>
      <c r="D279" s="64">
        <v>1913</v>
      </c>
      <c r="E279" s="10" t="s">
        <v>621</v>
      </c>
      <c r="F279" s="11">
        <v>5638</v>
      </c>
      <c r="G279" s="11">
        <v>5929</v>
      </c>
      <c r="H279" s="11">
        <v>11567</v>
      </c>
      <c r="I279" s="11">
        <v>4845</v>
      </c>
      <c r="J279" s="66">
        <f t="shared" si="18"/>
        <v>48.742111178352211</v>
      </c>
      <c r="K279" s="66">
        <f t="shared" si="19"/>
        <v>51.257888821647789</v>
      </c>
    </row>
    <row r="280" spans="1:11" x14ac:dyDescent="0.3">
      <c r="A280" s="10">
        <v>19</v>
      </c>
      <c r="B280" s="10" t="s">
        <v>608</v>
      </c>
      <c r="C280" s="10" t="str" cm="1">
        <f t="array" ref="C280">_xlfn.IFS(A280&lt;20, "ภาคกลาง", A280&lt;30, "ภาคตะวันออก", A280&lt;50, "ภาคตะวันออกเฉียงเหนือ", A280&lt;60, "ภาคเหนือ", A280&lt;80, "ภาคกลาง/ตะวันตก", A280&gt;=80, "ภาคใต้")</f>
        <v>ภาคกลาง</v>
      </c>
      <c r="D280" s="64">
        <v>1974</v>
      </c>
      <c r="E280" s="10" t="s">
        <v>622</v>
      </c>
      <c r="F280" s="11">
        <v>14832</v>
      </c>
      <c r="G280" s="11">
        <v>15760</v>
      </c>
      <c r="H280" s="11">
        <v>30592</v>
      </c>
      <c r="I280" s="11">
        <v>13862</v>
      </c>
      <c r="J280" s="66">
        <f t="shared" si="18"/>
        <v>48.48326359832636</v>
      </c>
      <c r="K280" s="66">
        <f t="shared" si="19"/>
        <v>51.516736401673633</v>
      </c>
    </row>
    <row r="281" spans="1:11" x14ac:dyDescent="0.3">
      <c r="A281" s="10">
        <v>19</v>
      </c>
      <c r="B281" s="10" t="s">
        <v>608</v>
      </c>
      <c r="C281" s="10" t="str" cm="1">
        <f t="array" ref="C281">_xlfn.IFS(A281&lt;20, "ภาคกลาง", A281&lt;30, "ภาคตะวันออก", A281&lt;50, "ภาคตะวันออกเฉียงเหนือ", A281&lt;60, "ภาคเหนือ", A281&lt;80, "ภาคกลาง/ตะวันตก", A281&gt;=80, "ภาคใต้")</f>
        <v>ภาคกลาง</v>
      </c>
      <c r="D281" s="64">
        <v>1975</v>
      </c>
      <c r="E281" s="10" t="s">
        <v>623</v>
      </c>
      <c r="F281" s="11">
        <v>3295</v>
      </c>
      <c r="G281" s="11">
        <v>3502</v>
      </c>
      <c r="H281" s="11">
        <v>6797</v>
      </c>
      <c r="I281" s="11">
        <v>2581</v>
      </c>
      <c r="J281" s="66">
        <f t="shared" si="18"/>
        <v>48.477269383551572</v>
      </c>
      <c r="K281" s="66">
        <f t="shared" si="19"/>
        <v>51.522730616448428</v>
      </c>
    </row>
    <row r="282" spans="1:11" x14ac:dyDescent="0.3">
      <c r="A282" s="10">
        <v>19</v>
      </c>
      <c r="B282" s="10" t="s">
        <v>608</v>
      </c>
      <c r="C282" s="10" t="str" cm="1">
        <f t="array" ref="C282">_xlfn.IFS(A282&lt;20, "ภาคกลาง", A282&lt;30, "ภาคตะวันออก", A282&lt;50, "ภาคตะวันออกเฉียงเหนือ", A282&lt;60, "ภาคเหนือ", A282&lt;80, "ภาคกลาง/ตะวันตก", A282&gt;=80, "ภาคใต้")</f>
        <v>ภาคกลาง</v>
      </c>
      <c r="D282" s="64">
        <v>1976</v>
      </c>
      <c r="E282" s="10" t="s">
        <v>624</v>
      </c>
      <c r="F282" s="11">
        <v>2099</v>
      </c>
      <c r="G282" s="11">
        <v>2182</v>
      </c>
      <c r="H282" s="11">
        <v>4281</v>
      </c>
      <c r="I282" s="11">
        <v>2230</v>
      </c>
      <c r="J282" s="66">
        <f t="shared" si="18"/>
        <v>49.030600327026399</v>
      </c>
      <c r="K282" s="66">
        <f t="shared" si="19"/>
        <v>50.969399672973601</v>
      </c>
    </row>
    <row r="283" spans="1:11" x14ac:dyDescent="0.3">
      <c r="A283" s="10">
        <v>19</v>
      </c>
      <c r="B283" s="10" t="s">
        <v>608</v>
      </c>
      <c r="C283" s="10" t="str" cm="1">
        <f t="array" ref="C283">_xlfn.IFS(A283&lt;20, "ภาคกลาง", A283&lt;30, "ภาคตะวันออก", A283&lt;50, "ภาคตะวันออกเฉียงเหนือ", A283&lt;60, "ภาคเหนือ", A283&lt;80, "ภาคกลาง/ตะวันตก", A283&gt;=80, "ภาคใต้")</f>
        <v>ภาคกลาง</v>
      </c>
      <c r="D283" s="64">
        <v>1977</v>
      </c>
      <c r="E283" s="10" t="s">
        <v>625</v>
      </c>
      <c r="F283" s="11">
        <v>2084</v>
      </c>
      <c r="G283" s="11">
        <v>2129</v>
      </c>
      <c r="H283" s="11">
        <v>4213</v>
      </c>
      <c r="I283" s="11">
        <v>2425</v>
      </c>
      <c r="J283" s="66">
        <f t="shared" si="18"/>
        <v>49.46593876097792</v>
      </c>
      <c r="K283" s="66">
        <f t="shared" si="19"/>
        <v>50.53406123902208</v>
      </c>
    </row>
    <row r="284" spans="1:11" ht="27.6" x14ac:dyDescent="0.3">
      <c r="A284" s="10">
        <v>19</v>
      </c>
      <c r="B284" s="10" t="s">
        <v>608</v>
      </c>
      <c r="C284" s="10" t="str" cm="1">
        <f t="array" ref="C284">_xlfn.IFS(A284&lt;20, "ภาคกลาง", A284&lt;30, "ภาคตะวันออก", A284&lt;50, "ภาคตะวันออกเฉียงเหนือ", A284&lt;60, "ภาคเหนือ", A284&lt;80, "ภาคกลาง/ตะวันตก", A284&gt;=80, "ภาคใต้")</f>
        <v>ภาคกลาง</v>
      </c>
      <c r="D284" s="64">
        <v>1978</v>
      </c>
      <c r="E284" s="10" t="s">
        <v>626</v>
      </c>
      <c r="F284" s="11">
        <v>2375</v>
      </c>
      <c r="G284" s="11">
        <v>2527</v>
      </c>
      <c r="H284" s="11">
        <v>4902</v>
      </c>
      <c r="I284" s="11">
        <v>2445</v>
      </c>
      <c r="J284" s="66">
        <f t="shared" si="18"/>
        <v>48.449612403100772</v>
      </c>
      <c r="K284" s="66">
        <f t="shared" si="19"/>
        <v>51.550387596899228</v>
      </c>
    </row>
    <row r="285" spans="1:11" ht="27.6" x14ac:dyDescent="0.3">
      <c r="A285" s="10">
        <v>19</v>
      </c>
      <c r="B285" s="10" t="s">
        <v>608</v>
      </c>
      <c r="C285" s="10" t="str" cm="1">
        <f t="array" ref="C285">_xlfn.IFS(A285&lt;20, "ภาคกลาง", A285&lt;30, "ภาคตะวันออก", A285&lt;50, "ภาคตะวันออกเฉียงเหนือ", A285&lt;60, "ภาคเหนือ", A285&lt;80, "ภาคกลาง/ตะวันตก", A285&gt;=80, "ภาคใต้")</f>
        <v>ภาคกลาง</v>
      </c>
      <c r="D285" s="64">
        <v>1979</v>
      </c>
      <c r="E285" s="10" t="s">
        <v>627</v>
      </c>
      <c r="F285" s="11">
        <v>3053</v>
      </c>
      <c r="G285" s="11">
        <v>3251</v>
      </c>
      <c r="H285" s="11">
        <v>6304</v>
      </c>
      <c r="I285" s="11">
        <v>2863</v>
      </c>
      <c r="J285" s="66">
        <f t="shared" si="18"/>
        <v>48.429568527918782</v>
      </c>
      <c r="K285" s="66">
        <f t="shared" si="19"/>
        <v>51.570431472081211</v>
      </c>
    </row>
    <row r="286" spans="1:11" x14ac:dyDescent="0.3">
      <c r="A286" s="10">
        <v>19</v>
      </c>
      <c r="B286" s="10" t="s">
        <v>608</v>
      </c>
      <c r="C286" s="10" t="str" cm="1">
        <f t="array" ref="C286">_xlfn.IFS(A286&lt;20, "ภาคกลาง", A286&lt;30, "ภาคตะวันออก", A286&lt;50, "ภาคตะวันออกเฉียงเหนือ", A286&lt;60, "ภาคเหนือ", A286&lt;80, "ภาคกลาง/ตะวันตก", A286&gt;=80, "ภาคใต้")</f>
        <v>ภาคกลาง</v>
      </c>
      <c r="D286" s="64">
        <v>1980</v>
      </c>
      <c r="E286" s="10" t="s">
        <v>628</v>
      </c>
      <c r="F286" s="11">
        <v>3717</v>
      </c>
      <c r="G286" s="11">
        <v>3730</v>
      </c>
      <c r="H286" s="11">
        <v>7447</v>
      </c>
      <c r="I286" s="11">
        <v>3414</v>
      </c>
      <c r="J286" s="66">
        <f t="shared" si="18"/>
        <v>49.912716530146369</v>
      </c>
      <c r="K286" s="66">
        <f t="shared" si="19"/>
        <v>50.087283469853631</v>
      </c>
    </row>
    <row r="287" spans="1:11" ht="27.6" x14ac:dyDescent="0.3">
      <c r="A287" s="10">
        <v>19</v>
      </c>
      <c r="B287" s="10" t="s">
        <v>608</v>
      </c>
      <c r="C287" s="10" t="str" cm="1">
        <f t="array" ref="C287">_xlfn.IFS(A287&lt;20, "ภาคกลาง", A287&lt;30, "ภาคตะวันออก", A287&lt;50, "ภาคตะวันออกเฉียงเหนือ", A287&lt;60, "ภาคเหนือ", A287&lt;80, "ภาคกลาง/ตะวันตก", A287&gt;=80, "ภาคใต้")</f>
        <v>ภาคกลาง</v>
      </c>
      <c r="D287" s="64">
        <v>1981</v>
      </c>
      <c r="E287" s="10" t="s">
        <v>629</v>
      </c>
      <c r="F287" s="11">
        <v>2095</v>
      </c>
      <c r="G287" s="11">
        <v>2215</v>
      </c>
      <c r="H287" s="11">
        <v>4310</v>
      </c>
      <c r="I287" s="11">
        <v>2723</v>
      </c>
      <c r="J287" s="66">
        <f t="shared" si="18"/>
        <v>48.607888631090482</v>
      </c>
      <c r="K287" s="66">
        <f t="shared" si="19"/>
        <v>51.392111368909511</v>
      </c>
    </row>
    <row r="288" spans="1:11" x14ac:dyDescent="0.3">
      <c r="A288" s="10">
        <v>19</v>
      </c>
      <c r="B288" s="10" t="s">
        <v>608</v>
      </c>
      <c r="C288" s="10" t="str" cm="1">
        <f t="array" ref="C288">_xlfn.IFS(A288&lt;20, "ภาคกลาง", A288&lt;30, "ภาคตะวันออก", A288&lt;50, "ภาคตะวันออกเฉียงเหนือ", A288&lt;60, "ภาคเหนือ", A288&lt;80, "ภาคกลาง/ตะวันตก", A288&gt;=80, "ภาคใต้")</f>
        <v>ภาคกลาง</v>
      </c>
      <c r="D288" s="64">
        <v>1982</v>
      </c>
      <c r="E288" s="10" t="s">
        <v>630</v>
      </c>
      <c r="F288" s="11">
        <v>3179</v>
      </c>
      <c r="G288" s="11">
        <v>3410</v>
      </c>
      <c r="H288" s="11">
        <v>6589</v>
      </c>
      <c r="I288" s="11">
        <v>4531</v>
      </c>
      <c r="J288" s="66">
        <f t="shared" si="18"/>
        <v>48.247078464106849</v>
      </c>
      <c r="K288" s="66">
        <f t="shared" si="19"/>
        <v>51.752921535893158</v>
      </c>
    </row>
    <row r="289" spans="1:11" ht="27.6" x14ac:dyDescent="0.3">
      <c r="A289" s="10">
        <v>19</v>
      </c>
      <c r="B289" s="10" t="s">
        <v>608</v>
      </c>
      <c r="C289" s="10" t="str" cm="1">
        <f t="array" ref="C289">_xlfn.IFS(A289&lt;20, "ภาคกลาง", A289&lt;30, "ภาคตะวันออก", A289&lt;50, "ภาคตะวันออกเฉียงเหนือ", A289&lt;60, "ภาคเหนือ", A289&lt;80, "ภาคกลาง/ตะวันตก", A289&gt;=80, "ภาคใต้")</f>
        <v>ภาคกลาง</v>
      </c>
      <c r="D289" s="64">
        <v>1983</v>
      </c>
      <c r="E289" s="10" t="s">
        <v>631</v>
      </c>
      <c r="F289" s="11">
        <v>1441</v>
      </c>
      <c r="G289" s="11">
        <v>1583</v>
      </c>
      <c r="H289" s="11">
        <v>3024</v>
      </c>
      <c r="I289" s="11">
        <v>1581</v>
      </c>
      <c r="J289" s="66">
        <f t="shared" si="18"/>
        <v>47.652116402116398</v>
      </c>
      <c r="K289" s="66">
        <f t="shared" si="19"/>
        <v>52.347883597883595</v>
      </c>
    </row>
    <row r="290" spans="1:11" x14ac:dyDescent="0.3">
      <c r="A290" s="10">
        <v>19</v>
      </c>
      <c r="B290" s="10" t="s">
        <v>608</v>
      </c>
      <c r="C290" s="10" t="str" cm="1">
        <f t="array" ref="C290">_xlfn.IFS(A290&lt;20, "ภาคกลาง", A290&lt;30, "ภาคตะวันออก", A290&lt;50, "ภาคตะวันออกเฉียงเหนือ", A290&lt;60, "ภาคเหนือ", A290&lt;80, "ภาคกลาง/ตะวันตก", A290&gt;=80, "ภาคใต้")</f>
        <v>ภาคกลาง</v>
      </c>
      <c r="D290" s="64">
        <v>1984</v>
      </c>
      <c r="E290" s="10" t="s">
        <v>632</v>
      </c>
      <c r="F290" s="11">
        <v>3748</v>
      </c>
      <c r="G290" s="11">
        <v>4176</v>
      </c>
      <c r="H290" s="11">
        <v>7924</v>
      </c>
      <c r="I290" s="11">
        <v>4461</v>
      </c>
      <c r="J290" s="66">
        <f t="shared" si="18"/>
        <v>47.299343765774857</v>
      </c>
      <c r="K290" s="66">
        <f t="shared" si="19"/>
        <v>52.700656234225143</v>
      </c>
    </row>
    <row r="291" spans="1:11" ht="27.6" x14ac:dyDescent="0.3">
      <c r="A291" s="10">
        <v>19</v>
      </c>
      <c r="B291" s="10" t="s">
        <v>608</v>
      </c>
      <c r="C291" s="10" t="str" cm="1">
        <f t="array" ref="C291">_xlfn.IFS(A291&lt;20, "ภาคกลาง", A291&lt;30, "ภาคตะวันออก", A291&lt;50, "ภาคตะวันออกเฉียงเหนือ", A291&lt;60, "ภาคเหนือ", A291&lt;80, "ภาคกลาง/ตะวันตก", A291&gt;=80, "ภาคใต้")</f>
        <v>ภาคกลาง</v>
      </c>
      <c r="D291" s="64">
        <v>1985</v>
      </c>
      <c r="E291" s="10" t="s">
        <v>633</v>
      </c>
      <c r="F291" s="10">
        <v>721</v>
      </c>
      <c r="G291" s="10">
        <v>766</v>
      </c>
      <c r="H291" s="11">
        <v>1487</v>
      </c>
      <c r="I291" s="10">
        <v>419</v>
      </c>
      <c r="J291" s="66">
        <f t="shared" si="18"/>
        <v>48.486886348352385</v>
      </c>
      <c r="K291" s="66">
        <f t="shared" si="19"/>
        <v>51.513113651647615</v>
      </c>
    </row>
    <row r="292" spans="1:11" x14ac:dyDescent="0.3">
      <c r="A292" s="10">
        <v>19</v>
      </c>
      <c r="B292" s="10" t="s">
        <v>608</v>
      </c>
      <c r="C292" s="10" t="str" cm="1">
        <f t="array" ref="C292">_xlfn.IFS(A292&lt;20, "ภาคกลาง", A292&lt;30, "ภาคตะวันออก", A292&lt;50, "ภาคตะวันออกเฉียงเหนือ", A292&lt;60, "ภาคเหนือ", A292&lt;80, "ภาคกลาง/ตะวันตก", A292&gt;=80, "ภาคใต้")</f>
        <v>ภาคกลาง</v>
      </c>
      <c r="D292" s="64">
        <v>1986</v>
      </c>
      <c r="E292" s="10" t="s">
        <v>634</v>
      </c>
      <c r="F292" s="11">
        <v>1104</v>
      </c>
      <c r="G292" s="11">
        <v>1227</v>
      </c>
      <c r="H292" s="11">
        <v>2331</v>
      </c>
      <c r="I292" s="11">
        <v>1063</v>
      </c>
      <c r="J292" s="66">
        <f t="shared" si="18"/>
        <v>47.361647361647364</v>
      </c>
      <c r="K292" s="66">
        <f t="shared" si="19"/>
        <v>52.638352638352636</v>
      </c>
    </row>
    <row r="293" spans="1:11" ht="27.6" x14ac:dyDescent="0.3">
      <c r="A293" s="10">
        <v>19</v>
      </c>
      <c r="B293" s="10" t="s">
        <v>608</v>
      </c>
      <c r="C293" s="10" t="str" cm="1">
        <f t="array" ref="C293">_xlfn.IFS(A293&lt;20, "ภาคกลาง", A293&lt;30, "ภาคตะวันออก", A293&lt;50, "ภาคตะวันออกเฉียงเหนือ", A293&lt;60, "ภาคเหนือ", A293&lt;80, "ภาคกลาง/ตะวันตก", A293&gt;=80, "ภาคใต้")</f>
        <v>ภาคกลาง</v>
      </c>
      <c r="D293" s="64">
        <v>1987</v>
      </c>
      <c r="E293" s="10" t="s">
        <v>635</v>
      </c>
      <c r="F293" s="11">
        <v>2260</v>
      </c>
      <c r="G293" s="11">
        <v>2312</v>
      </c>
      <c r="H293" s="11">
        <v>4572</v>
      </c>
      <c r="I293" s="11">
        <v>1918</v>
      </c>
      <c r="J293" s="66">
        <f t="shared" si="18"/>
        <v>49.431321084864393</v>
      </c>
      <c r="K293" s="66">
        <f t="shared" si="19"/>
        <v>50.568678915135614</v>
      </c>
    </row>
    <row r="294" spans="1:11" x14ac:dyDescent="0.3">
      <c r="A294" s="10">
        <v>19</v>
      </c>
      <c r="B294" s="10" t="s">
        <v>608</v>
      </c>
      <c r="C294" s="10" t="str" cm="1">
        <f t="array" ref="C294">_xlfn.IFS(A294&lt;20, "ภาคกลาง", A294&lt;30, "ภาคตะวันออก", A294&lt;50, "ภาคตะวันออกเฉียงเหนือ", A294&lt;60, "ภาคเหนือ", A294&lt;80, "ภาคกลาง/ตะวันตก", A294&gt;=80, "ภาคใต้")</f>
        <v>ภาคกลาง</v>
      </c>
      <c r="D294" s="64">
        <v>1988</v>
      </c>
      <c r="E294" s="10" t="s">
        <v>636</v>
      </c>
      <c r="F294" s="11">
        <v>1177</v>
      </c>
      <c r="G294" s="11">
        <v>1282</v>
      </c>
      <c r="H294" s="11">
        <v>2459</v>
      </c>
      <c r="I294" s="11">
        <v>1352</v>
      </c>
      <c r="J294" s="66">
        <f t="shared" si="18"/>
        <v>47.864985766571778</v>
      </c>
      <c r="K294" s="66">
        <f t="shared" si="19"/>
        <v>52.135014233428222</v>
      </c>
    </row>
    <row r="295" spans="1:11" ht="27.6" x14ac:dyDescent="0.3">
      <c r="A295" s="10">
        <v>19</v>
      </c>
      <c r="B295" s="10" t="s">
        <v>608</v>
      </c>
      <c r="C295" s="10" t="str" cm="1">
        <f t="array" ref="C295">_xlfn.IFS(A295&lt;20, "ภาคกลาง", A295&lt;30, "ภาคตะวันออก", A295&lt;50, "ภาคตะวันออกเฉียงเหนือ", A295&lt;60, "ภาคเหนือ", A295&lt;80, "ภาคกลาง/ตะวันตก", A295&gt;=80, "ภาคใต้")</f>
        <v>ภาคกลาง</v>
      </c>
      <c r="D295" s="64">
        <v>1989</v>
      </c>
      <c r="E295" s="10" t="s">
        <v>596</v>
      </c>
      <c r="F295" s="11">
        <v>3573</v>
      </c>
      <c r="G295" s="11">
        <v>3832</v>
      </c>
      <c r="H295" s="11">
        <v>7405</v>
      </c>
      <c r="I295" s="11">
        <v>4072</v>
      </c>
      <c r="J295" s="66">
        <f t="shared" si="18"/>
        <v>48.251181634031056</v>
      </c>
      <c r="K295" s="66">
        <f t="shared" si="19"/>
        <v>51.748818365968944</v>
      </c>
    </row>
    <row r="296" spans="1:11" ht="27.6" x14ac:dyDescent="0.3">
      <c r="A296" s="10">
        <v>19</v>
      </c>
      <c r="B296" s="10" t="s">
        <v>608</v>
      </c>
      <c r="C296" s="10" t="str" cm="1">
        <f t="array" ref="C296">_xlfn.IFS(A296&lt;20, "ภาคกลาง", A296&lt;30, "ภาคตะวันออก", A296&lt;50, "ภาคตะวันออกเฉียงเหนือ", A296&lt;60, "ภาคเหนือ", A296&lt;80, "ภาคกลาง/ตะวันตก", A296&gt;=80, "ภาคใต้")</f>
        <v>ภาคกลาง</v>
      </c>
      <c r="D296" s="64">
        <v>1990</v>
      </c>
      <c r="E296" s="10" t="s">
        <v>637</v>
      </c>
      <c r="F296" s="11">
        <v>1342</v>
      </c>
      <c r="G296" s="11">
        <v>1464</v>
      </c>
      <c r="H296" s="11">
        <v>2806</v>
      </c>
      <c r="I296" s="11">
        <v>1067</v>
      </c>
      <c r="J296" s="66">
        <f t="shared" si="18"/>
        <v>47.826086956521742</v>
      </c>
      <c r="K296" s="66">
        <f t="shared" si="19"/>
        <v>52.173913043478258</v>
      </c>
    </row>
    <row r="297" spans="1:11" ht="27.6" x14ac:dyDescent="0.3">
      <c r="A297" s="10">
        <v>19</v>
      </c>
      <c r="B297" s="10" t="s">
        <v>608</v>
      </c>
      <c r="C297" s="10" t="str" cm="1">
        <f t="array" ref="C297">_xlfn.IFS(A297&lt;20, "ภาคกลาง", A297&lt;30, "ภาคตะวันออก", A297&lt;50, "ภาคตะวันออกเฉียงเหนือ", A297&lt;60, "ภาคเหนือ", A297&lt;80, "ภาคกลาง/ตะวันตก", A297&gt;=80, "ภาคใต้")</f>
        <v>ภาคกลาง</v>
      </c>
      <c r="D297" s="64">
        <v>1991</v>
      </c>
      <c r="E297" s="10" t="s">
        <v>638</v>
      </c>
      <c r="F297" s="10">
        <v>812</v>
      </c>
      <c r="G297" s="10">
        <v>858</v>
      </c>
      <c r="H297" s="11">
        <v>1670</v>
      </c>
      <c r="I297" s="10">
        <v>511</v>
      </c>
      <c r="J297" s="66">
        <f t="shared" si="18"/>
        <v>48.622754491017965</v>
      </c>
      <c r="K297" s="66">
        <f t="shared" si="19"/>
        <v>51.377245508982043</v>
      </c>
    </row>
    <row r="298" spans="1:11" x14ac:dyDescent="0.3">
      <c r="A298" s="10">
        <v>19</v>
      </c>
      <c r="B298" s="10" t="s">
        <v>608</v>
      </c>
      <c r="C298" s="10" t="str" cm="1">
        <f t="array" ref="C298">_xlfn.IFS(A298&lt;20, "ภาคกลาง", A298&lt;30, "ภาคตะวันออก", A298&lt;50, "ภาคตะวันออกเฉียงเหนือ", A298&lt;60, "ภาคเหนือ", A298&lt;80, "ภาคกลาง/ตะวันตก", A298&gt;=80, "ภาคใต้")</f>
        <v>ภาคกลาง</v>
      </c>
      <c r="D298" s="64">
        <v>1992</v>
      </c>
      <c r="E298" s="10" t="s">
        <v>639</v>
      </c>
      <c r="F298" s="11">
        <v>1814</v>
      </c>
      <c r="G298" s="11">
        <v>1999</v>
      </c>
      <c r="H298" s="11">
        <v>3813</v>
      </c>
      <c r="I298" s="11">
        <v>2016</v>
      </c>
      <c r="J298" s="66">
        <f t="shared" si="18"/>
        <v>47.574088644112251</v>
      </c>
      <c r="K298" s="66">
        <f t="shared" si="19"/>
        <v>52.425911355887756</v>
      </c>
    </row>
    <row r="299" spans="1:11" x14ac:dyDescent="0.3">
      <c r="A299" s="10">
        <v>19</v>
      </c>
      <c r="B299" s="10" t="s">
        <v>608</v>
      </c>
      <c r="C299" s="10" t="str" cm="1">
        <f t="array" ref="C299">_xlfn.IFS(A299&lt;20, "ภาคกลาง", A299&lt;30, "ภาคตะวันออก", A299&lt;50, "ภาคตะวันออกเฉียงเหนือ", A299&lt;60, "ภาคเหนือ", A299&lt;80, "ภาคกลาง/ตะวันตก", A299&gt;=80, "ภาคใต้")</f>
        <v>ภาคกลาง</v>
      </c>
      <c r="D299" s="64">
        <v>1993</v>
      </c>
      <c r="E299" s="10" t="s">
        <v>640</v>
      </c>
      <c r="F299" s="11">
        <v>4415</v>
      </c>
      <c r="G299" s="11">
        <v>4893</v>
      </c>
      <c r="H299" s="11">
        <v>9308</v>
      </c>
      <c r="I299" s="11">
        <v>5847</v>
      </c>
      <c r="J299" s="66">
        <f t="shared" si="18"/>
        <v>47.432316287064893</v>
      </c>
      <c r="K299" s="66">
        <f t="shared" si="19"/>
        <v>52.567683712935107</v>
      </c>
    </row>
    <row r="300" spans="1:11" x14ac:dyDescent="0.3">
      <c r="A300" s="10">
        <v>19</v>
      </c>
      <c r="B300" s="10" t="s">
        <v>608</v>
      </c>
      <c r="C300" s="10" t="str" cm="1">
        <f t="array" ref="C300">_xlfn.IFS(A300&lt;20, "ภาคกลาง", A300&lt;30, "ภาคตะวันออก", A300&lt;50, "ภาคตะวันออกเฉียงเหนือ", A300&lt;60, "ภาคเหนือ", A300&lt;80, "ภาคกลาง/ตะวันตก", A300&gt;=80, "ภาคใต้")</f>
        <v>ภาคกลาง</v>
      </c>
      <c r="D300" s="64">
        <v>1994</v>
      </c>
      <c r="E300" s="10" t="s">
        <v>641</v>
      </c>
      <c r="F300" s="10">
        <v>626</v>
      </c>
      <c r="G300" s="10">
        <v>697</v>
      </c>
      <c r="H300" s="11">
        <v>1323</v>
      </c>
      <c r="I300" s="10">
        <v>694</v>
      </c>
      <c r="J300" s="66">
        <f t="shared" si="18"/>
        <v>47.316704459561606</v>
      </c>
      <c r="K300" s="66">
        <f t="shared" si="19"/>
        <v>52.683295540438401</v>
      </c>
    </row>
    <row r="301" spans="1:11" ht="27.6" x14ac:dyDescent="0.3">
      <c r="A301" s="10">
        <v>19</v>
      </c>
      <c r="B301" s="10" t="s">
        <v>608</v>
      </c>
      <c r="C301" s="10" t="str" cm="1">
        <f t="array" ref="C301">_xlfn.IFS(A301&lt;20, "ภาคกลาง", A301&lt;30, "ภาคตะวันออก", A301&lt;50, "ภาคตะวันออกเฉียงเหนือ", A301&lt;60, "ภาคเหนือ", A301&lt;80, "ภาคกลาง/ตะวันตก", A301&gt;=80, "ภาคใต้")</f>
        <v>ภาคกลาง</v>
      </c>
      <c r="D301" s="64">
        <v>1995</v>
      </c>
      <c r="E301" s="10" t="s">
        <v>642</v>
      </c>
      <c r="F301" s="11">
        <v>10275</v>
      </c>
      <c r="G301" s="11">
        <v>10274</v>
      </c>
      <c r="H301" s="11">
        <v>20549</v>
      </c>
      <c r="I301" s="11">
        <v>10521</v>
      </c>
      <c r="J301" s="66">
        <f t="shared" si="18"/>
        <v>50.002433208428634</v>
      </c>
      <c r="K301" s="66">
        <f t="shared" si="19"/>
        <v>49.997566791571366</v>
      </c>
    </row>
    <row r="302" spans="1:11" ht="27.6" x14ac:dyDescent="0.3">
      <c r="A302" s="10">
        <v>19</v>
      </c>
      <c r="B302" s="10" t="s">
        <v>608</v>
      </c>
      <c r="C302" s="10" t="str" cm="1">
        <f t="array" ref="C302">_xlfn.IFS(A302&lt;20, "ภาคกลาง", A302&lt;30, "ภาคตะวันออก", A302&lt;50, "ภาคตะวันออกเฉียงเหนือ", A302&lt;60, "ภาคเหนือ", A302&lt;80, "ภาคกลาง/ตะวันตก", A302&gt;=80, "ภาคใต้")</f>
        <v>ภาคกลาง</v>
      </c>
      <c r="D302" s="64">
        <v>1996</v>
      </c>
      <c r="E302" s="10" t="s">
        <v>643</v>
      </c>
      <c r="F302" s="10">
        <v>356</v>
      </c>
      <c r="G302" s="10">
        <v>400</v>
      </c>
      <c r="H302" s="10">
        <v>756</v>
      </c>
      <c r="I302" s="10">
        <v>450</v>
      </c>
      <c r="J302" s="66">
        <f t="shared" si="18"/>
        <v>47.089947089947088</v>
      </c>
      <c r="K302" s="66">
        <f t="shared" si="19"/>
        <v>52.910052910052904</v>
      </c>
    </row>
    <row r="303" spans="1:11" x14ac:dyDescent="0.3">
      <c r="A303" s="10">
        <v>19</v>
      </c>
      <c r="B303" s="10" t="s">
        <v>608</v>
      </c>
      <c r="C303" s="10" t="str" cm="1">
        <f t="array" ref="C303">_xlfn.IFS(A303&lt;20, "ภาคกลาง", A303&lt;30, "ภาคตะวันออก", A303&lt;50, "ภาคตะวันออกเฉียงเหนือ", A303&lt;60, "ภาคเหนือ", A303&lt;80, "ภาคกลาง/ตะวันตก", A303&gt;=80, "ภาคใต้")</f>
        <v>ภาคกลาง</v>
      </c>
      <c r="D303" s="64">
        <v>1997</v>
      </c>
      <c r="E303" s="10" t="s">
        <v>644</v>
      </c>
      <c r="F303" s="11">
        <v>12826</v>
      </c>
      <c r="G303" s="11">
        <v>14861</v>
      </c>
      <c r="H303" s="11">
        <v>27687</v>
      </c>
      <c r="I303" s="11">
        <v>13868</v>
      </c>
      <c r="J303" s="66">
        <f t="shared" si="18"/>
        <v>46.324990067540725</v>
      </c>
      <c r="K303" s="66">
        <f t="shared" si="19"/>
        <v>53.675009932459275</v>
      </c>
    </row>
    <row r="304" spans="1:11" x14ac:dyDescent="0.3">
      <c r="A304" s="10">
        <v>19</v>
      </c>
      <c r="B304" s="10" t="s">
        <v>608</v>
      </c>
      <c r="C304" s="10" t="str" cm="1">
        <f t="array" ref="C304">_xlfn.IFS(A304&lt;20, "ภาคกลาง", A304&lt;30, "ภาคตะวันออก", A304&lt;50, "ภาคตะวันออกเฉียงเหนือ", A304&lt;60, "ภาคเหนือ", A304&lt;80, "ภาคกลาง/ตะวันตก", A304&gt;=80, "ภาคใต้")</f>
        <v>ภาคกลาง</v>
      </c>
      <c r="D304" s="64">
        <v>1998</v>
      </c>
      <c r="E304" s="10" t="s">
        <v>645</v>
      </c>
      <c r="F304" s="11">
        <v>5841</v>
      </c>
      <c r="G304" s="11">
        <v>6182</v>
      </c>
      <c r="H304" s="11">
        <v>12023</v>
      </c>
      <c r="I304" s="11">
        <v>6594</v>
      </c>
      <c r="J304" s="66">
        <f t="shared" si="18"/>
        <v>48.581884720951507</v>
      </c>
      <c r="K304" s="66">
        <f t="shared" si="19"/>
        <v>51.418115279048493</v>
      </c>
    </row>
    <row r="305" spans="1:11" x14ac:dyDescent="0.3">
      <c r="A305" s="10">
        <v>19</v>
      </c>
      <c r="B305" s="10" t="s">
        <v>608</v>
      </c>
      <c r="C305" s="10" t="str" cm="1">
        <f t="array" ref="C305">_xlfn.IFS(A305&lt;20, "ภาคกลาง", A305&lt;30, "ภาคตะวันออก", A305&lt;50, "ภาคตะวันออกเฉียงเหนือ", A305&lt;60, "ภาคเหนือ", A305&lt;80, "ภาคกลาง/ตะวันตก", A305&gt;=80, "ภาคใต้")</f>
        <v>ภาคกลาง</v>
      </c>
      <c r="D305" s="64">
        <v>1999</v>
      </c>
      <c r="E305" s="10" t="s">
        <v>646</v>
      </c>
      <c r="F305" s="11">
        <v>4972</v>
      </c>
      <c r="G305" s="11">
        <v>5406</v>
      </c>
      <c r="H305" s="11">
        <v>10378</v>
      </c>
      <c r="I305" s="11">
        <v>6305</v>
      </c>
      <c r="J305" s="66">
        <f t="shared" si="18"/>
        <v>47.909038350356525</v>
      </c>
      <c r="K305" s="66">
        <f t="shared" si="19"/>
        <v>52.090961649643475</v>
      </c>
    </row>
    <row r="306" spans="1:11" hidden="1" x14ac:dyDescent="0.3">
      <c r="A306" s="10">
        <v>19</v>
      </c>
      <c r="B306" s="10" t="s">
        <v>608</v>
      </c>
      <c r="C306" s="10" t="str" cm="1">
        <f t="array" ref="C306">_xlfn.IFS(A306&lt;20, "ภาคกลาง", A306&lt;30, "ภาคตะวันออก", A306&lt;50, "ภาคตะวันออกเฉียงเหนือ", A306&lt;60, "ภาคเหนือ", A306&lt;80, "ภาคกลาง/ตะวันตก", A306&gt;=80, "ภาคใต้")</f>
        <v>ภาคกลาง</v>
      </c>
      <c r="D306" s="10">
        <v>0</v>
      </c>
      <c r="E306" s="10" t="s">
        <v>343</v>
      </c>
      <c r="F306" s="11">
        <v>27760</v>
      </c>
      <c r="G306" s="11">
        <v>28716</v>
      </c>
      <c r="H306" s="11">
        <v>56476</v>
      </c>
      <c r="I306" s="11">
        <v>29276</v>
      </c>
      <c r="J306"/>
      <c r="K306"/>
    </row>
    <row r="307" spans="1:11" x14ac:dyDescent="0.3">
      <c r="A307" s="10">
        <v>20</v>
      </c>
      <c r="B307" s="10" t="s">
        <v>647</v>
      </c>
      <c r="C307" s="10" t="str" cm="1">
        <f t="array" ref="C307">_xlfn.IFS(A307&lt;20, "ภาคกลาง", A307&lt;30, "ภาคตะวันออก", A307&lt;50, "ภาคตะวันออกเฉียงเหนือ", A307&lt;60, "ภาคเหนือ", A307&lt;80, "ภาคกลาง/ตะวันตก", A307&gt;=80, "ภาคใต้")</f>
        <v>ภาคตะวันออก</v>
      </c>
      <c r="D307" s="64">
        <v>2001</v>
      </c>
      <c r="E307" s="10" t="s">
        <v>648</v>
      </c>
      <c r="F307" s="11">
        <v>794783</v>
      </c>
      <c r="G307" s="11">
        <v>840742</v>
      </c>
      <c r="H307" s="11">
        <v>1635525</v>
      </c>
      <c r="I307" s="11">
        <v>1172425</v>
      </c>
      <c r="J307" s="66">
        <f t="shared" ref="J307:J355" si="20">F307/H307*100</f>
        <v>48.594977148010578</v>
      </c>
      <c r="K307" s="66">
        <f t="shared" ref="K307:K355" si="21">G307/H307*100</f>
        <v>51.405022851989422</v>
      </c>
    </row>
    <row r="308" spans="1:11" x14ac:dyDescent="0.3">
      <c r="A308" s="10">
        <v>20</v>
      </c>
      <c r="B308" s="10" t="s">
        <v>647</v>
      </c>
      <c r="C308" s="10" t="str" cm="1">
        <f t="array" ref="C308">_xlfn.IFS(A308&lt;20, "ภาคกลาง", A308&lt;30, "ภาคตะวันออก", A308&lt;50, "ภาคตะวันออกเฉียงเหนือ", A308&lt;60, "ภาคเหนือ", A308&lt;80, "ภาคกลาง/ตะวันตก", A308&gt;=80, "ภาคใต้")</f>
        <v>ภาคตะวันออก</v>
      </c>
      <c r="D308" s="64">
        <v>2002</v>
      </c>
      <c r="E308" s="10" t="s">
        <v>649</v>
      </c>
      <c r="F308" s="11">
        <v>22493</v>
      </c>
      <c r="G308" s="11">
        <v>24077</v>
      </c>
      <c r="H308" s="11">
        <v>46570</v>
      </c>
      <c r="I308" s="11">
        <v>29911</v>
      </c>
      <c r="J308" s="66">
        <f t="shared" si="20"/>
        <v>48.299334335409064</v>
      </c>
      <c r="K308" s="66">
        <f t="shared" si="21"/>
        <v>51.700665664590936</v>
      </c>
    </row>
    <row r="309" spans="1:11" x14ac:dyDescent="0.3">
      <c r="A309" s="10">
        <v>20</v>
      </c>
      <c r="B309" s="10" t="s">
        <v>647</v>
      </c>
      <c r="C309" s="10" t="str" cm="1">
        <f t="array" ref="C309">_xlfn.IFS(A309&lt;20, "ภาคกลาง", A309&lt;30, "ภาคตะวันออก", A309&lt;50, "ภาคตะวันออกเฉียงเหนือ", A309&lt;60, "ภาคเหนือ", A309&lt;80, "ภาคกลาง/ตะวันตก", A309&gt;=80, "ภาคใต้")</f>
        <v>ภาคตะวันออก</v>
      </c>
      <c r="D309" s="64">
        <v>2003</v>
      </c>
      <c r="E309" s="10" t="s">
        <v>650</v>
      </c>
      <c r="F309" s="11">
        <v>42638</v>
      </c>
      <c r="G309" s="11">
        <v>44181</v>
      </c>
      <c r="H309" s="11">
        <v>86819</v>
      </c>
      <c r="I309" s="11">
        <v>51018</v>
      </c>
      <c r="J309" s="66">
        <f t="shared" si="20"/>
        <v>49.11136963107154</v>
      </c>
      <c r="K309" s="66">
        <f t="shared" si="21"/>
        <v>50.888630368928453</v>
      </c>
    </row>
    <row r="310" spans="1:11" x14ac:dyDescent="0.3">
      <c r="A310" s="10">
        <v>20</v>
      </c>
      <c r="B310" s="10" t="s">
        <v>647</v>
      </c>
      <c r="C310" s="10" t="str" cm="1">
        <f t="array" ref="C310">_xlfn.IFS(A310&lt;20, "ภาคกลาง", A310&lt;30, "ภาคตะวันออก", A310&lt;50, "ภาคตะวันออกเฉียงเหนือ", A310&lt;60, "ภาคเหนือ", A310&lt;80, "ภาคกลาง/ตะวันตก", A310&gt;=80, "ภาคใต้")</f>
        <v>ภาคตะวันออก</v>
      </c>
      <c r="D310" s="64">
        <v>2004</v>
      </c>
      <c r="E310" s="10" t="s">
        <v>651</v>
      </c>
      <c r="F310" s="11">
        <v>7656</v>
      </c>
      <c r="G310" s="11">
        <v>7659</v>
      </c>
      <c r="H310" s="11">
        <v>15315</v>
      </c>
      <c r="I310" s="11">
        <v>7378</v>
      </c>
      <c r="J310" s="66">
        <f t="shared" si="20"/>
        <v>49.990205680705188</v>
      </c>
      <c r="K310" s="66">
        <f t="shared" si="21"/>
        <v>50.009794319294812</v>
      </c>
    </row>
    <row r="311" spans="1:11" x14ac:dyDescent="0.3">
      <c r="A311" s="10">
        <v>20</v>
      </c>
      <c r="B311" s="10" t="s">
        <v>647</v>
      </c>
      <c r="C311" s="10" t="str" cm="1">
        <f t="array" ref="C311">_xlfn.IFS(A311&lt;20, "ภาคกลาง", A311&lt;30, "ภาคตะวันออก", A311&lt;50, "ภาคตะวันออกเฉียงเหนือ", A311&lt;60, "ภาคเหนือ", A311&lt;80, "ภาคกลาง/ตะวันตก", A311&gt;=80, "ภาคใต้")</f>
        <v>ภาคตะวันออก</v>
      </c>
      <c r="D311" s="64">
        <v>2005</v>
      </c>
      <c r="E311" s="10" t="s">
        <v>652</v>
      </c>
      <c r="F311" s="11">
        <v>15347</v>
      </c>
      <c r="G311" s="11">
        <v>17433</v>
      </c>
      <c r="H311" s="11">
        <v>32780</v>
      </c>
      <c r="I311" s="11">
        <v>20786</v>
      </c>
      <c r="J311" s="66">
        <f t="shared" si="20"/>
        <v>46.81818181818182</v>
      </c>
      <c r="K311" s="66">
        <f t="shared" si="21"/>
        <v>53.181818181818187</v>
      </c>
    </row>
    <row r="312" spans="1:11" x14ac:dyDescent="0.3">
      <c r="A312" s="10">
        <v>20</v>
      </c>
      <c r="B312" s="10" t="s">
        <v>647</v>
      </c>
      <c r="C312" s="10" t="str" cm="1">
        <f t="array" ref="C312">_xlfn.IFS(A312&lt;20, "ภาคกลาง", A312&lt;30, "ภาคตะวันออก", A312&lt;50, "ภาคตะวันออกเฉียงเหนือ", A312&lt;60, "ภาคเหนือ", A312&lt;80, "ภาคกลาง/ตะวันตก", A312&gt;=80, "ภาคใต้")</f>
        <v>ภาคตะวันออก</v>
      </c>
      <c r="D312" s="64">
        <v>2006</v>
      </c>
      <c r="E312" s="10" t="s">
        <v>653</v>
      </c>
      <c r="F312" s="11">
        <v>25755</v>
      </c>
      <c r="G312" s="11">
        <v>26832</v>
      </c>
      <c r="H312" s="11">
        <v>52587</v>
      </c>
      <c r="I312" s="11">
        <v>46495</v>
      </c>
      <c r="J312" s="66">
        <f t="shared" si="20"/>
        <v>48.975982657310738</v>
      </c>
      <c r="K312" s="66">
        <f t="shared" si="21"/>
        <v>51.024017342689255</v>
      </c>
    </row>
    <row r="313" spans="1:11" x14ac:dyDescent="0.3">
      <c r="A313" s="10">
        <v>20</v>
      </c>
      <c r="B313" s="10" t="s">
        <v>647</v>
      </c>
      <c r="C313" s="10" t="str" cm="1">
        <f t="array" ref="C313">_xlfn.IFS(A313&lt;20, "ภาคกลาง", A313&lt;30, "ภาคตะวันออก", A313&lt;50, "ภาคตะวันออกเฉียงเหนือ", A313&lt;60, "ภาคเหนือ", A313&lt;80, "ภาคกลาง/ตะวันตก", A313&gt;=80, "ภาคใต้")</f>
        <v>ภาคตะวันออก</v>
      </c>
      <c r="D313" s="64">
        <v>2007</v>
      </c>
      <c r="E313" s="10" t="s">
        <v>654</v>
      </c>
      <c r="F313" s="11">
        <v>49977</v>
      </c>
      <c r="G313" s="11">
        <v>53110</v>
      </c>
      <c r="H313" s="11">
        <v>103087</v>
      </c>
      <c r="I313" s="11">
        <v>41090</v>
      </c>
      <c r="J313" s="66">
        <f t="shared" si="20"/>
        <v>48.480409750987029</v>
      </c>
      <c r="K313" s="66">
        <f t="shared" si="21"/>
        <v>51.519590249012971</v>
      </c>
    </row>
    <row r="314" spans="1:11" x14ac:dyDescent="0.3">
      <c r="A314" s="10">
        <v>20</v>
      </c>
      <c r="B314" s="10" t="s">
        <v>647</v>
      </c>
      <c r="C314" s="10" t="str" cm="1">
        <f t="array" ref="C314">_xlfn.IFS(A314&lt;20, "ภาคกลาง", A314&lt;30, "ภาคตะวันออก", A314&lt;50, "ภาคตะวันออกเฉียงเหนือ", A314&lt;60, "ภาคเหนือ", A314&lt;80, "ภาคกลาง/ตะวันตก", A314&gt;=80, "ภาคใต้")</f>
        <v>ภาคตะวันออก</v>
      </c>
      <c r="D314" s="64">
        <v>2009</v>
      </c>
      <c r="E314" s="10" t="s">
        <v>655</v>
      </c>
      <c r="F314" s="11">
        <v>29401</v>
      </c>
      <c r="G314" s="11">
        <v>29925</v>
      </c>
      <c r="H314" s="11">
        <v>59326</v>
      </c>
      <c r="I314" s="11">
        <v>52114</v>
      </c>
      <c r="J314" s="66">
        <f t="shared" si="20"/>
        <v>49.558372383103524</v>
      </c>
      <c r="K314" s="66">
        <f t="shared" si="21"/>
        <v>50.441627616896469</v>
      </c>
    </row>
    <row r="315" spans="1:11" x14ac:dyDescent="0.3">
      <c r="A315" s="10">
        <v>20</v>
      </c>
      <c r="B315" s="10" t="s">
        <v>647</v>
      </c>
      <c r="C315" s="10" t="str" cm="1">
        <f t="array" ref="C315">_xlfn.IFS(A315&lt;20, "ภาคกลาง", A315&lt;30, "ภาคตะวันออก", A315&lt;50, "ภาคตะวันออกเฉียงเหนือ", A315&lt;60, "ภาคเหนือ", A315&lt;80, "ภาคกลาง/ตะวันตก", A315&gt;=80, "ภาคใต้")</f>
        <v>ภาคตะวันออก</v>
      </c>
      <c r="D315" s="64">
        <v>2010</v>
      </c>
      <c r="E315" s="10" t="s">
        <v>656</v>
      </c>
      <c r="F315" s="11">
        <v>27158</v>
      </c>
      <c r="G315" s="11">
        <v>26846</v>
      </c>
      <c r="H315" s="11">
        <v>54004</v>
      </c>
      <c r="I315" s="11">
        <v>31247</v>
      </c>
      <c r="J315" s="66">
        <f t="shared" si="20"/>
        <v>50.288867491296941</v>
      </c>
      <c r="K315" s="66">
        <f t="shared" si="21"/>
        <v>49.711132508703059</v>
      </c>
    </row>
    <row r="316" spans="1:11" x14ac:dyDescent="0.3">
      <c r="A316" s="10">
        <v>20</v>
      </c>
      <c r="B316" s="10" t="s">
        <v>647</v>
      </c>
      <c r="C316" s="10" t="str" cm="1">
        <f t="array" ref="C316">_xlfn.IFS(A316&lt;20, "ภาคกลาง", A316&lt;30, "ภาคตะวันออก", A316&lt;50, "ภาคตะวันออกเฉียงเหนือ", A316&lt;60, "ภาคเหนือ", A316&lt;80, "ภาคกลาง/ตะวันตก", A316&gt;=80, "ภาคใต้")</f>
        <v>ภาคตะวันออก</v>
      </c>
      <c r="D316" s="64">
        <v>2011</v>
      </c>
      <c r="E316" s="10" t="s">
        <v>657</v>
      </c>
      <c r="F316" s="11">
        <v>19056</v>
      </c>
      <c r="G316" s="11">
        <v>18862</v>
      </c>
      <c r="H316" s="11">
        <v>37918</v>
      </c>
      <c r="I316" s="11">
        <v>14367</v>
      </c>
      <c r="J316" s="66">
        <f t="shared" si="20"/>
        <v>50.255815180125531</v>
      </c>
      <c r="K316" s="66">
        <f t="shared" si="21"/>
        <v>49.744184819874462</v>
      </c>
    </row>
    <row r="317" spans="1:11" ht="27.6" x14ac:dyDescent="0.3">
      <c r="A317" s="10">
        <v>20</v>
      </c>
      <c r="B317" s="10" t="s">
        <v>647</v>
      </c>
      <c r="C317" s="10" t="str" cm="1">
        <f t="array" ref="C317">_xlfn.IFS(A317&lt;20, "ภาคกลาง", A317&lt;30, "ภาคตะวันออก", A317&lt;50, "ภาคตะวันออกเฉียงเหนือ", A317&lt;60, "ภาคเหนือ", A317&lt;80, "ภาคกลาง/ตะวันตก", A317&gt;=80, "ภาคใต้")</f>
        <v>ภาคตะวันออก</v>
      </c>
      <c r="D317" s="64">
        <v>2060</v>
      </c>
      <c r="E317" s="10" t="s">
        <v>658</v>
      </c>
      <c r="F317" s="11">
        <v>14153</v>
      </c>
      <c r="G317" s="11">
        <v>13166</v>
      </c>
      <c r="H317" s="11">
        <v>27319</v>
      </c>
      <c r="I317" s="11">
        <v>9435</v>
      </c>
      <c r="J317" s="66">
        <f t="shared" si="20"/>
        <v>51.806435081811195</v>
      </c>
      <c r="K317" s="66">
        <f t="shared" si="21"/>
        <v>48.193564918188805</v>
      </c>
    </row>
    <row r="318" spans="1:11" ht="27.6" x14ac:dyDescent="0.3">
      <c r="A318" s="10">
        <v>20</v>
      </c>
      <c r="B318" s="10" t="s">
        <v>647</v>
      </c>
      <c r="C318" s="10" t="str" cm="1">
        <f t="array" ref="C318">_xlfn.IFS(A318&lt;20, "ภาคกลาง", A318&lt;30, "ภาคตะวันออก", A318&lt;50, "ภาคตะวันออกเฉียงเหนือ", A318&lt;60, "ภาคเหนือ", A318&lt;80, "ภาคกลาง/ตะวันตก", A318&gt;=80, "ภาคใต้")</f>
        <v>ภาคตะวันออก</v>
      </c>
      <c r="D318" s="64">
        <v>2061</v>
      </c>
      <c r="E318" s="10" t="s">
        <v>659</v>
      </c>
      <c r="F318" s="11">
        <v>7165</v>
      </c>
      <c r="G318" s="11">
        <v>5894</v>
      </c>
      <c r="H318" s="11">
        <v>13059</v>
      </c>
      <c r="I318" s="11">
        <v>6917</v>
      </c>
      <c r="J318" s="66">
        <f t="shared" si="20"/>
        <v>54.866375679607934</v>
      </c>
      <c r="K318" s="66">
        <f t="shared" si="21"/>
        <v>45.133624320392066</v>
      </c>
    </row>
    <row r="319" spans="1:11" ht="27.6" x14ac:dyDescent="0.3">
      <c r="A319" s="10">
        <v>20</v>
      </c>
      <c r="B319" s="10" t="s">
        <v>647</v>
      </c>
      <c r="C319" s="10" t="str" cm="1">
        <f t="array" ref="C319">_xlfn.IFS(A319&lt;20, "ภาคกลาง", A319&lt;30, "ภาคตะวันออก", A319&lt;50, "ภาคตะวันออกเฉียงเหนือ", A319&lt;60, "ภาคเหนือ", A319&lt;80, "ภาคกลาง/ตะวันตก", A319&gt;=80, "ภาคใต้")</f>
        <v>ภาคตะวันออก</v>
      </c>
      <c r="D319" s="64">
        <v>2063</v>
      </c>
      <c r="E319" s="10" t="s">
        <v>660</v>
      </c>
      <c r="F319" s="11">
        <v>33905</v>
      </c>
      <c r="G319" s="11">
        <v>22232</v>
      </c>
      <c r="H319" s="11">
        <v>56137</v>
      </c>
      <c r="I319" s="11">
        <v>28758</v>
      </c>
      <c r="J319" s="66">
        <f t="shared" si="20"/>
        <v>60.396886189144418</v>
      </c>
      <c r="K319" s="66">
        <f t="shared" si="21"/>
        <v>39.603113810855582</v>
      </c>
    </row>
    <row r="320" spans="1:11" ht="27.6" x14ac:dyDescent="0.3">
      <c r="A320" s="10">
        <v>20</v>
      </c>
      <c r="B320" s="10" t="s">
        <v>647</v>
      </c>
      <c r="C320" s="10" t="str" cm="1">
        <f t="array" ref="C320">_xlfn.IFS(A320&lt;20, "ภาคกลาง", A320&lt;30, "ภาคตะวันออก", A320&lt;50, "ภาคตะวันออกเฉียงเหนือ", A320&lt;60, "ภาคเหนือ", A320&lt;80, "ภาคกลาง/ตะวันตก", A320&gt;=80, "ภาคใต้")</f>
        <v>ภาคตะวันออก</v>
      </c>
      <c r="D320" s="64">
        <v>2064</v>
      </c>
      <c r="E320" s="10" t="s">
        <v>661</v>
      </c>
      <c r="F320" s="11">
        <v>6514</v>
      </c>
      <c r="G320" s="11">
        <v>6976</v>
      </c>
      <c r="H320" s="11">
        <v>13490</v>
      </c>
      <c r="I320" s="11">
        <v>4920</v>
      </c>
      <c r="J320" s="66">
        <f t="shared" si="20"/>
        <v>48.287620459599708</v>
      </c>
      <c r="K320" s="66">
        <f t="shared" si="21"/>
        <v>51.712379540400299</v>
      </c>
    </row>
    <row r="321" spans="1:11" x14ac:dyDescent="0.3">
      <c r="A321" s="10">
        <v>20</v>
      </c>
      <c r="B321" s="10" t="s">
        <v>647</v>
      </c>
      <c r="C321" s="10" t="str" cm="1">
        <f t="array" ref="C321">_xlfn.IFS(A321&lt;20, "ภาคกลาง", A321&lt;30, "ภาคตะวันออก", A321&lt;50, "ภาคตะวันออกเฉียงเหนือ", A321&lt;60, "ภาคเหนือ", A321&lt;80, "ภาคกลาง/ตะวันตก", A321&gt;=80, "ภาคใต้")</f>
        <v>ภาคตะวันออก</v>
      </c>
      <c r="D321" s="64">
        <v>2065</v>
      </c>
      <c r="E321" s="10" t="s">
        <v>662</v>
      </c>
      <c r="F321" s="11">
        <v>13459</v>
      </c>
      <c r="G321" s="11">
        <v>14689</v>
      </c>
      <c r="H321" s="11">
        <v>28148</v>
      </c>
      <c r="I321" s="11">
        <v>14857</v>
      </c>
      <c r="J321" s="66">
        <f t="shared" si="20"/>
        <v>47.815120079579366</v>
      </c>
      <c r="K321" s="66">
        <f t="shared" si="21"/>
        <v>52.184879920420634</v>
      </c>
    </row>
    <row r="322" spans="1:11" ht="27.6" x14ac:dyDescent="0.3">
      <c r="A322" s="10">
        <v>20</v>
      </c>
      <c r="B322" s="10" t="s">
        <v>647</v>
      </c>
      <c r="C322" s="10" t="str" cm="1">
        <f t="array" ref="C322">_xlfn.IFS(A322&lt;20, "ภาคกลาง", A322&lt;30, "ภาคตะวันออก", A322&lt;50, "ภาคตะวันออกเฉียงเหนือ", A322&lt;60, "ภาคเหนือ", A322&lt;80, "ภาคกลาง/ตะวันตก", A322&gt;=80, "ภาคใต้")</f>
        <v>ภาคตะวันออก</v>
      </c>
      <c r="D322" s="64">
        <v>2066</v>
      </c>
      <c r="E322" s="10" t="s">
        <v>663</v>
      </c>
      <c r="F322" s="11">
        <v>10486</v>
      </c>
      <c r="G322" s="11">
        <v>12746</v>
      </c>
      <c r="H322" s="11">
        <v>23232</v>
      </c>
      <c r="I322" s="11">
        <v>17967</v>
      </c>
      <c r="J322" s="66">
        <f t="shared" si="20"/>
        <v>45.136019283746556</v>
      </c>
      <c r="K322" s="66">
        <f t="shared" si="21"/>
        <v>54.863980716253444</v>
      </c>
    </row>
    <row r="323" spans="1:11" x14ac:dyDescent="0.3">
      <c r="A323" s="10">
        <v>20</v>
      </c>
      <c r="B323" s="10" t="s">
        <v>647</v>
      </c>
      <c r="C323" s="10" t="str" cm="1">
        <f t="array" ref="C323">_xlfn.IFS(A323&lt;20, "ภาคกลาง", A323&lt;30, "ภาคตะวันออก", A323&lt;50, "ภาคตะวันออกเฉียงเหนือ", A323&lt;60, "ภาคเหนือ", A323&lt;80, "ภาคกลาง/ตะวันตก", A323&gt;=80, "ภาคใต้")</f>
        <v>ภาคตะวันออก</v>
      </c>
      <c r="D323" s="64">
        <v>2067</v>
      </c>
      <c r="E323" s="10" t="s">
        <v>664</v>
      </c>
      <c r="F323" s="11">
        <v>7086</v>
      </c>
      <c r="G323" s="11">
        <v>7331</v>
      </c>
      <c r="H323" s="11">
        <v>14417</v>
      </c>
      <c r="I323" s="11">
        <v>17176</v>
      </c>
      <c r="J323" s="66">
        <f t="shared" si="20"/>
        <v>49.150308663383505</v>
      </c>
      <c r="K323" s="66">
        <f t="shared" si="21"/>
        <v>50.849691336616502</v>
      </c>
    </row>
    <row r="324" spans="1:11" x14ac:dyDescent="0.3">
      <c r="A324" s="10">
        <v>20</v>
      </c>
      <c r="B324" s="10" t="s">
        <v>647</v>
      </c>
      <c r="C324" s="10" t="str" cm="1">
        <f t="array" ref="C324">_xlfn.IFS(A324&lt;20, "ภาคกลาง", A324&lt;30, "ภาคตะวันออก", A324&lt;50, "ภาคตะวันออกเฉียงเหนือ", A324&lt;60, "ภาคเหนือ", A324&lt;80, "ภาคกลาง/ตะวันตก", A324&gt;=80, "ภาคใต้")</f>
        <v>ภาคตะวันออก</v>
      </c>
      <c r="D324" s="64">
        <v>2068</v>
      </c>
      <c r="E324" s="10" t="s">
        <v>665</v>
      </c>
      <c r="F324" s="11">
        <v>8328</v>
      </c>
      <c r="G324" s="11">
        <v>9558</v>
      </c>
      <c r="H324" s="11">
        <v>17886</v>
      </c>
      <c r="I324" s="11">
        <v>12341</v>
      </c>
      <c r="J324" s="66">
        <f t="shared" si="20"/>
        <v>46.561556524656154</v>
      </c>
      <c r="K324" s="66">
        <f t="shared" si="21"/>
        <v>53.438443475343846</v>
      </c>
    </row>
    <row r="325" spans="1:11" ht="27.6" x14ac:dyDescent="0.3">
      <c r="A325" s="10">
        <v>20</v>
      </c>
      <c r="B325" s="10" t="s">
        <v>647</v>
      </c>
      <c r="C325" s="10" t="str" cm="1">
        <f t="array" ref="C325">_xlfn.IFS(A325&lt;20, "ภาคกลาง", A325&lt;30, "ภาคตะวันออก", A325&lt;50, "ภาคตะวันออกเฉียงเหนือ", A325&lt;60, "ภาคเหนือ", A325&lt;80, "ภาคกลาง/ตะวันตก", A325&gt;=80, "ภาคใต้")</f>
        <v>ภาคตะวันออก</v>
      </c>
      <c r="D325" s="64">
        <v>2069</v>
      </c>
      <c r="E325" s="10" t="s">
        <v>666</v>
      </c>
      <c r="F325" s="11">
        <v>21229</v>
      </c>
      <c r="G325" s="11">
        <v>22455</v>
      </c>
      <c r="H325" s="11">
        <v>43684</v>
      </c>
      <c r="I325" s="11">
        <v>28247</v>
      </c>
      <c r="J325" s="66">
        <f t="shared" si="20"/>
        <v>48.596740225254095</v>
      </c>
      <c r="K325" s="66">
        <f t="shared" si="21"/>
        <v>51.403259774745905</v>
      </c>
    </row>
    <row r="326" spans="1:11" x14ac:dyDescent="0.3">
      <c r="A326" s="10">
        <v>20</v>
      </c>
      <c r="B326" s="10" t="s">
        <v>647</v>
      </c>
      <c r="C326" s="10" t="str" cm="1">
        <f t="array" ref="C326">_xlfn.IFS(A326&lt;20, "ภาคกลาง", A326&lt;30, "ภาคตะวันออก", A326&lt;50, "ภาคตะวันออกเฉียงเหนือ", A326&lt;60, "ภาคเหนือ", A326&lt;80, "ภาคกลาง/ตะวันตก", A326&gt;=80, "ภาคใต้")</f>
        <v>ภาคตะวันออก</v>
      </c>
      <c r="D326" s="64">
        <v>2070</v>
      </c>
      <c r="E326" s="10" t="s">
        <v>667</v>
      </c>
      <c r="F326" s="11">
        <v>6943</v>
      </c>
      <c r="G326" s="11">
        <v>6581</v>
      </c>
      <c r="H326" s="11">
        <v>13524</v>
      </c>
      <c r="I326" s="11">
        <v>11613</v>
      </c>
      <c r="J326" s="66">
        <f t="shared" si="20"/>
        <v>51.338361431529137</v>
      </c>
      <c r="K326" s="66">
        <f t="shared" si="21"/>
        <v>48.661638568470863</v>
      </c>
    </row>
    <row r="327" spans="1:11" x14ac:dyDescent="0.3">
      <c r="A327" s="10">
        <v>20</v>
      </c>
      <c r="B327" s="10" t="s">
        <v>647</v>
      </c>
      <c r="C327" s="10" t="str" cm="1">
        <f t="array" ref="C327">_xlfn.IFS(A327&lt;20, "ภาคกลาง", A327&lt;30, "ภาคตะวันออก", A327&lt;50, "ภาคตะวันออกเฉียงเหนือ", A327&lt;60, "ภาคเหนือ", A327&lt;80, "ภาคกลาง/ตะวันตก", A327&gt;=80, "ภาคใต้")</f>
        <v>ภาคตะวันออก</v>
      </c>
      <c r="D327" s="64">
        <v>2071</v>
      </c>
      <c r="E327" s="10" t="s">
        <v>668</v>
      </c>
      <c r="F327" s="11">
        <v>3840</v>
      </c>
      <c r="G327" s="11">
        <v>3979</v>
      </c>
      <c r="H327" s="11">
        <v>7819</v>
      </c>
      <c r="I327" s="11">
        <v>2908</v>
      </c>
      <c r="J327" s="66">
        <f t="shared" si="20"/>
        <v>49.111139531909451</v>
      </c>
      <c r="K327" s="66">
        <f t="shared" si="21"/>
        <v>50.888860468090549</v>
      </c>
    </row>
    <row r="328" spans="1:11" ht="27.6" x14ac:dyDescent="0.3">
      <c r="A328" s="10">
        <v>20</v>
      </c>
      <c r="B328" s="10" t="s">
        <v>647</v>
      </c>
      <c r="C328" s="10" t="str" cm="1">
        <f t="array" ref="C328">_xlfn.IFS(A328&lt;20, "ภาคกลาง", A328&lt;30, "ภาคตะวันออก", A328&lt;50, "ภาคตะวันออกเฉียงเหนือ", A328&lt;60, "ภาคเหนือ", A328&lt;80, "ภาคกลาง/ตะวันตก", A328&gt;=80, "ภาคใต้")</f>
        <v>ภาคตะวันออก</v>
      </c>
      <c r="D328" s="64">
        <v>2072</v>
      </c>
      <c r="E328" s="10" t="s">
        <v>669</v>
      </c>
      <c r="F328" s="11">
        <v>5858</v>
      </c>
      <c r="G328" s="11">
        <v>6435</v>
      </c>
      <c r="H328" s="11">
        <v>12293</v>
      </c>
      <c r="I328" s="11">
        <v>7634</v>
      </c>
      <c r="J328" s="66">
        <f t="shared" si="20"/>
        <v>47.653135931017651</v>
      </c>
      <c r="K328" s="66">
        <f t="shared" si="21"/>
        <v>52.346864068982349</v>
      </c>
    </row>
    <row r="329" spans="1:11" x14ac:dyDescent="0.3">
      <c r="A329" s="10">
        <v>20</v>
      </c>
      <c r="B329" s="10" t="s">
        <v>647</v>
      </c>
      <c r="C329" s="10" t="str" cm="1">
        <f t="array" ref="C329">_xlfn.IFS(A329&lt;20, "ภาคกลาง", A329&lt;30, "ภาคตะวันออก", A329&lt;50, "ภาคตะวันออกเฉียงเหนือ", A329&lt;60, "ภาคเหนือ", A329&lt;80, "ภาคกลาง/ตะวันตก", A329&gt;=80, "ภาคใต้")</f>
        <v>ภาคตะวันออก</v>
      </c>
      <c r="D329" s="64">
        <v>2073</v>
      </c>
      <c r="E329" s="10" t="s">
        <v>670</v>
      </c>
      <c r="F329" s="11">
        <v>42168</v>
      </c>
      <c r="G329" s="11">
        <v>51957</v>
      </c>
      <c r="H329" s="11">
        <v>94125</v>
      </c>
      <c r="I329" s="11">
        <v>53868</v>
      </c>
      <c r="J329" s="66">
        <f t="shared" si="20"/>
        <v>44.800000000000004</v>
      </c>
      <c r="K329" s="66">
        <f t="shared" si="21"/>
        <v>55.2</v>
      </c>
    </row>
    <row r="330" spans="1:11" ht="27.6" x14ac:dyDescent="0.3">
      <c r="A330" s="10">
        <v>20</v>
      </c>
      <c r="B330" s="10" t="s">
        <v>647</v>
      </c>
      <c r="C330" s="10" t="str" cm="1">
        <f t="array" ref="C330">_xlfn.IFS(A330&lt;20, "ภาคกลาง", A330&lt;30, "ภาคตะวันออก", A330&lt;50, "ภาคตะวันออกเฉียงเหนือ", A330&lt;60, "ภาคเหนือ", A330&lt;80, "ภาคกลาง/ตะวันตก", A330&gt;=80, "ภาคใต้")</f>
        <v>ภาคตะวันออก</v>
      </c>
      <c r="D330" s="64">
        <v>2074</v>
      </c>
      <c r="E330" s="10" t="s">
        <v>671</v>
      </c>
      <c r="F330" s="11">
        <v>3203</v>
      </c>
      <c r="G330" s="11">
        <v>3417</v>
      </c>
      <c r="H330" s="11">
        <v>6620</v>
      </c>
      <c r="I330" s="11">
        <v>4290</v>
      </c>
      <c r="J330" s="66">
        <f t="shared" si="20"/>
        <v>48.383685800604233</v>
      </c>
      <c r="K330" s="66">
        <f t="shared" si="21"/>
        <v>51.616314199395774</v>
      </c>
    </row>
    <row r="331" spans="1:11" x14ac:dyDescent="0.3">
      <c r="A331" s="10">
        <v>20</v>
      </c>
      <c r="B331" s="10" t="s">
        <v>647</v>
      </c>
      <c r="C331" s="10" t="str" cm="1">
        <f t="array" ref="C331">_xlfn.IFS(A331&lt;20, "ภาคกลาง", A331&lt;30, "ภาคตะวันออก", A331&lt;50, "ภาคตะวันออกเฉียงเหนือ", A331&lt;60, "ภาคเหนือ", A331&lt;80, "ภาคกลาง/ตะวันตก", A331&gt;=80, "ภาคใต้")</f>
        <v>ภาคตะวันออก</v>
      </c>
      <c r="D331" s="64">
        <v>2075</v>
      </c>
      <c r="E331" s="10" t="s">
        <v>672</v>
      </c>
      <c r="F331" s="11">
        <v>4307</v>
      </c>
      <c r="G331" s="11">
        <v>1834</v>
      </c>
      <c r="H331" s="11">
        <v>6141</v>
      </c>
      <c r="I331" s="11">
        <v>2211</v>
      </c>
      <c r="J331" s="66">
        <f t="shared" si="20"/>
        <v>70.13515714053085</v>
      </c>
      <c r="K331" s="66">
        <f t="shared" si="21"/>
        <v>29.864842859469142</v>
      </c>
    </row>
    <row r="332" spans="1:11" x14ac:dyDescent="0.3">
      <c r="A332" s="10">
        <v>20</v>
      </c>
      <c r="B332" s="10" t="s">
        <v>647</v>
      </c>
      <c r="C332" s="10" t="str" cm="1">
        <f t="array" ref="C332">_xlfn.IFS(A332&lt;20, "ภาคกลาง", A332&lt;30, "ภาคตะวันออก", A332&lt;50, "ภาคตะวันออกเฉียงเหนือ", A332&lt;60, "ภาคเหนือ", A332&lt;80, "ภาคกลาง/ตะวันตก", A332&gt;=80, "ภาคใต้")</f>
        <v>ภาคตะวันออก</v>
      </c>
      <c r="D332" s="64">
        <v>2076</v>
      </c>
      <c r="E332" s="10" t="s">
        <v>673</v>
      </c>
      <c r="F332" s="11">
        <v>1956</v>
      </c>
      <c r="G332" s="11">
        <v>2046</v>
      </c>
      <c r="H332" s="11">
        <v>4002</v>
      </c>
      <c r="I332" s="11">
        <v>2230</v>
      </c>
      <c r="J332" s="66">
        <f t="shared" si="20"/>
        <v>48.875562218890558</v>
      </c>
      <c r="K332" s="66">
        <f t="shared" si="21"/>
        <v>51.124437781109442</v>
      </c>
    </row>
    <row r="333" spans="1:11" x14ac:dyDescent="0.3">
      <c r="A333" s="10">
        <v>20</v>
      </c>
      <c r="B333" s="10" t="s">
        <v>647</v>
      </c>
      <c r="C333" s="10" t="str" cm="1">
        <f t="array" ref="C333">_xlfn.IFS(A333&lt;20, "ภาคกลาง", A333&lt;30, "ภาคตะวันออก", A333&lt;50, "ภาคตะวันออกเฉียงเหนือ", A333&lt;60, "ภาคเหนือ", A333&lt;80, "ภาคกลาง/ตะวันตก", A333&gt;=80, "ภาคใต้")</f>
        <v>ภาคตะวันออก</v>
      </c>
      <c r="D333" s="64">
        <v>2077</v>
      </c>
      <c r="E333" s="10" t="s">
        <v>674</v>
      </c>
      <c r="F333" s="11">
        <v>9895</v>
      </c>
      <c r="G333" s="11">
        <v>11161</v>
      </c>
      <c r="H333" s="11">
        <v>21056</v>
      </c>
      <c r="I333" s="11">
        <v>12297</v>
      </c>
      <c r="J333" s="66">
        <f t="shared" si="20"/>
        <v>46.993731003039514</v>
      </c>
      <c r="K333" s="66">
        <f t="shared" si="21"/>
        <v>53.006268996960479</v>
      </c>
    </row>
    <row r="334" spans="1:11" ht="27.6" x14ac:dyDescent="0.3">
      <c r="A334" s="10">
        <v>20</v>
      </c>
      <c r="B334" s="10" t="s">
        <v>647</v>
      </c>
      <c r="C334" s="10" t="str" cm="1">
        <f t="array" ref="C334">_xlfn.IFS(A334&lt;20, "ภาคกลาง", A334&lt;30, "ภาคตะวันออก", A334&lt;50, "ภาคตะวันออกเฉียงเหนือ", A334&lt;60, "ภาคเหนือ", A334&lt;80, "ภาคกลาง/ตะวันตก", A334&gt;=80, "ภาคใต้")</f>
        <v>ภาคตะวันออก</v>
      </c>
      <c r="D334" s="64">
        <v>2078</v>
      </c>
      <c r="E334" s="10" t="s">
        <v>675</v>
      </c>
      <c r="F334" s="11">
        <v>5383</v>
      </c>
      <c r="G334" s="11">
        <v>6415</v>
      </c>
      <c r="H334" s="11">
        <v>11798</v>
      </c>
      <c r="I334" s="11">
        <v>9793</v>
      </c>
      <c r="J334" s="66">
        <f t="shared" si="20"/>
        <v>45.626377352093577</v>
      </c>
      <c r="K334" s="66">
        <f t="shared" si="21"/>
        <v>54.37362264790643</v>
      </c>
    </row>
    <row r="335" spans="1:11" ht="27.6" x14ac:dyDescent="0.3">
      <c r="A335" s="10">
        <v>20</v>
      </c>
      <c r="B335" s="10" t="s">
        <v>647</v>
      </c>
      <c r="C335" s="10" t="str" cm="1">
        <f t="array" ref="C335">_xlfn.IFS(A335&lt;20, "ภาคกลาง", A335&lt;30, "ภาคตะวันออก", A335&lt;50, "ภาคตะวันออกเฉียงเหนือ", A335&lt;60, "ภาคเหนือ", A335&lt;80, "ภาคกลาง/ตะวันตก", A335&gt;=80, "ภาคใต้")</f>
        <v>ภาคตะวันออก</v>
      </c>
      <c r="D335" s="64">
        <v>2079</v>
      </c>
      <c r="E335" s="10" t="s">
        <v>676</v>
      </c>
      <c r="F335" s="11">
        <v>3735</v>
      </c>
      <c r="G335" s="11">
        <v>4112</v>
      </c>
      <c r="H335" s="11">
        <v>7847</v>
      </c>
      <c r="I335" s="11">
        <v>17025</v>
      </c>
      <c r="J335" s="66">
        <f t="shared" si="20"/>
        <v>47.597808079520838</v>
      </c>
      <c r="K335" s="66">
        <f t="shared" si="21"/>
        <v>52.402191920479169</v>
      </c>
    </row>
    <row r="336" spans="1:11" ht="27.6" x14ac:dyDescent="0.3">
      <c r="A336" s="10">
        <v>20</v>
      </c>
      <c r="B336" s="10" t="s">
        <v>647</v>
      </c>
      <c r="C336" s="10" t="str" cm="1">
        <f t="array" ref="C336">_xlfn.IFS(A336&lt;20, "ภาคกลาง", A336&lt;30, "ภาคตะวันออก", A336&lt;50, "ภาคตะวันออกเฉียงเหนือ", A336&lt;60, "ภาคเหนือ", A336&lt;80, "ภาคกลาง/ตะวันตก", A336&gt;=80, "ภาคใต้")</f>
        <v>ภาคตะวันออก</v>
      </c>
      <c r="D336" s="64">
        <v>2080</v>
      </c>
      <c r="E336" s="10" t="s">
        <v>677</v>
      </c>
      <c r="F336" s="11">
        <v>2298</v>
      </c>
      <c r="G336" s="11">
        <v>2380</v>
      </c>
      <c r="H336" s="11">
        <v>4678</v>
      </c>
      <c r="I336" s="11">
        <v>2317</v>
      </c>
      <c r="J336" s="66">
        <f t="shared" si="20"/>
        <v>49.123557075673361</v>
      </c>
      <c r="K336" s="66">
        <f t="shared" si="21"/>
        <v>50.876442924326639</v>
      </c>
    </row>
    <row r="337" spans="1:11" x14ac:dyDescent="0.3">
      <c r="A337" s="10">
        <v>20</v>
      </c>
      <c r="B337" s="10" t="s">
        <v>647</v>
      </c>
      <c r="C337" s="10" t="str" cm="1">
        <f t="array" ref="C337">_xlfn.IFS(A337&lt;20, "ภาคกลาง", A337&lt;30, "ภาคตะวันออก", A337&lt;50, "ภาคตะวันออกเฉียงเหนือ", A337&lt;60, "ภาคเหนือ", A337&lt;80, "ภาคกลาง/ตะวันตก", A337&gt;=80, "ภาคใต้")</f>
        <v>ภาคตะวันออก</v>
      </c>
      <c r="D337" s="64">
        <v>2081</v>
      </c>
      <c r="E337" s="10" t="s">
        <v>678</v>
      </c>
      <c r="F337" s="11">
        <v>77981</v>
      </c>
      <c r="G337" s="11">
        <v>82601</v>
      </c>
      <c r="H337" s="11">
        <v>160582</v>
      </c>
      <c r="I337" s="11">
        <v>113075</v>
      </c>
      <c r="J337" s="66">
        <f t="shared" si="20"/>
        <v>48.561482607016977</v>
      </c>
      <c r="K337" s="66">
        <f t="shared" si="21"/>
        <v>51.43851739298303</v>
      </c>
    </row>
    <row r="338" spans="1:11" ht="27.6" x14ac:dyDescent="0.3">
      <c r="A338" s="10">
        <v>20</v>
      </c>
      <c r="B338" s="10" t="s">
        <v>647</v>
      </c>
      <c r="C338" s="10" t="str" cm="1">
        <f t="array" ref="C338">_xlfn.IFS(A338&lt;20, "ภาคกลาง", A338&lt;30, "ภาคตะวันออก", A338&lt;50, "ภาคตะวันออกเฉียงเหนือ", A338&lt;60, "ภาคเหนือ", A338&lt;80, "ภาคกลาง/ตะวันตก", A338&gt;=80, "ภาคใต้")</f>
        <v>ภาคตะวันออก</v>
      </c>
      <c r="D338" s="64">
        <v>2082</v>
      </c>
      <c r="E338" s="10" t="s">
        <v>679</v>
      </c>
      <c r="F338" s="11">
        <v>6432</v>
      </c>
      <c r="G338" s="11">
        <v>7125</v>
      </c>
      <c r="H338" s="11">
        <v>13557</v>
      </c>
      <c r="I338" s="11">
        <v>8355</v>
      </c>
      <c r="J338" s="66">
        <f t="shared" si="20"/>
        <v>47.44412480637309</v>
      </c>
      <c r="K338" s="66">
        <f t="shared" si="21"/>
        <v>52.55587519362691</v>
      </c>
    </row>
    <row r="339" spans="1:11" ht="27.6" x14ac:dyDescent="0.3">
      <c r="A339" s="10">
        <v>20</v>
      </c>
      <c r="B339" s="10" t="s">
        <v>647</v>
      </c>
      <c r="C339" s="10" t="str" cm="1">
        <f t="array" ref="C339">_xlfn.IFS(A339&lt;20, "ภาคกลาง", A339&lt;30, "ภาคตะวันออก", A339&lt;50, "ภาคตะวันออกเฉียงเหนือ", A339&lt;60, "ภาคเหนือ", A339&lt;80, "ภาคกลาง/ตะวันตก", A339&gt;=80, "ภาคใต้")</f>
        <v>ภาคตะวันออก</v>
      </c>
      <c r="D339" s="64">
        <v>2083</v>
      </c>
      <c r="E339" s="10" t="s">
        <v>680</v>
      </c>
      <c r="F339" s="11">
        <v>11668</v>
      </c>
      <c r="G339" s="11">
        <v>12072</v>
      </c>
      <c r="H339" s="11">
        <v>23740</v>
      </c>
      <c r="I339" s="11">
        <v>18588</v>
      </c>
      <c r="J339" s="66">
        <f t="shared" si="20"/>
        <v>49.14911541701769</v>
      </c>
      <c r="K339" s="66">
        <f t="shared" si="21"/>
        <v>50.850884582982303</v>
      </c>
    </row>
    <row r="340" spans="1:11" ht="27.6" x14ac:dyDescent="0.3">
      <c r="A340" s="10">
        <v>20</v>
      </c>
      <c r="B340" s="10" t="s">
        <v>647</v>
      </c>
      <c r="C340" s="10" t="str" cm="1">
        <f t="array" ref="C340">_xlfn.IFS(A340&lt;20, "ภาคกลาง", A340&lt;30, "ภาคตะวันออก", A340&lt;50, "ภาคตะวันออกเฉียงเหนือ", A340&lt;60, "ภาคเหนือ", A340&lt;80, "ภาคกลาง/ตะวันตก", A340&gt;=80, "ภาคใต้")</f>
        <v>ภาคตะวันออก</v>
      </c>
      <c r="D340" s="64">
        <v>2084</v>
      </c>
      <c r="E340" s="10" t="s">
        <v>681</v>
      </c>
      <c r="F340" s="11">
        <v>3170</v>
      </c>
      <c r="G340" s="11">
        <v>3387</v>
      </c>
      <c r="H340" s="11">
        <v>6557</v>
      </c>
      <c r="I340" s="11">
        <v>3906</v>
      </c>
      <c r="J340" s="66">
        <f t="shared" si="20"/>
        <v>48.345279853591585</v>
      </c>
      <c r="K340" s="66">
        <f t="shared" si="21"/>
        <v>51.654720146408415</v>
      </c>
    </row>
    <row r="341" spans="1:11" ht="27.6" x14ac:dyDescent="0.3">
      <c r="A341" s="10">
        <v>20</v>
      </c>
      <c r="B341" s="10" t="s">
        <v>647</v>
      </c>
      <c r="C341" s="10" t="str" cm="1">
        <f t="array" ref="C341">_xlfn.IFS(A341&lt;20, "ภาคกลาง", A341&lt;30, "ภาคตะวันออก", A341&lt;50, "ภาคตะวันออกเฉียงเหนือ", A341&lt;60, "ภาคเหนือ", A341&lt;80, "ภาคกลาง/ตะวันตก", A341&gt;=80, "ภาคใต้")</f>
        <v>ภาคตะวันออก</v>
      </c>
      <c r="D341" s="64">
        <v>2085</v>
      </c>
      <c r="E341" s="10" t="s">
        <v>682</v>
      </c>
      <c r="F341" s="11">
        <v>15127</v>
      </c>
      <c r="G341" s="11">
        <v>17155</v>
      </c>
      <c r="H341" s="11">
        <v>32282</v>
      </c>
      <c r="I341" s="11">
        <v>20033</v>
      </c>
      <c r="J341" s="66">
        <f t="shared" si="20"/>
        <v>46.858930673440305</v>
      </c>
      <c r="K341" s="66">
        <f t="shared" si="21"/>
        <v>53.141069326559695</v>
      </c>
    </row>
    <row r="342" spans="1:11" ht="27.6" x14ac:dyDescent="0.3">
      <c r="A342" s="10">
        <v>20</v>
      </c>
      <c r="B342" s="10" t="s">
        <v>647</v>
      </c>
      <c r="C342" s="10" t="str" cm="1">
        <f t="array" ref="C342">_xlfn.IFS(A342&lt;20, "ภาคกลาง", A342&lt;30, "ภาคตะวันออก", A342&lt;50, "ภาคตะวันออกเฉียงเหนือ", A342&lt;60, "ภาคเหนือ", A342&lt;80, "ภาคกลาง/ตะวันตก", A342&gt;=80, "ภาคใต้")</f>
        <v>ภาคตะวันออก</v>
      </c>
      <c r="D342" s="64">
        <v>2086</v>
      </c>
      <c r="E342" s="10" t="s">
        <v>683</v>
      </c>
      <c r="F342" s="11">
        <v>6429</v>
      </c>
      <c r="G342" s="11">
        <v>7139</v>
      </c>
      <c r="H342" s="11">
        <v>13568</v>
      </c>
      <c r="I342" s="11">
        <v>9373</v>
      </c>
      <c r="J342" s="66">
        <f t="shared" si="20"/>
        <v>47.383549528301891</v>
      </c>
      <c r="K342" s="66">
        <f t="shared" si="21"/>
        <v>52.616450471698116</v>
      </c>
    </row>
    <row r="343" spans="1:11" ht="27.6" x14ac:dyDescent="0.3">
      <c r="A343" s="10">
        <v>20</v>
      </c>
      <c r="B343" s="10" t="s">
        <v>647</v>
      </c>
      <c r="C343" s="10" t="str" cm="1">
        <f t="array" ref="C343">_xlfn.IFS(A343&lt;20, "ภาคกลาง", A343&lt;30, "ภาคตะวันออก", A343&lt;50, "ภาคตะวันออกเฉียงเหนือ", A343&lt;60, "ภาคเหนือ", A343&lt;80, "ภาคกลาง/ตะวันตก", A343&gt;=80, "ภาคใต้")</f>
        <v>ภาคตะวันออก</v>
      </c>
      <c r="D343" s="64">
        <v>2087</v>
      </c>
      <c r="E343" s="10" t="s">
        <v>684</v>
      </c>
      <c r="F343" s="11">
        <v>4426</v>
      </c>
      <c r="G343" s="11">
        <v>4245</v>
      </c>
      <c r="H343" s="11">
        <v>8671</v>
      </c>
      <c r="I343" s="11">
        <v>3999</v>
      </c>
      <c r="J343" s="66">
        <f t="shared" si="20"/>
        <v>51.043708914773376</v>
      </c>
      <c r="K343" s="66">
        <f t="shared" si="21"/>
        <v>48.956291085226617</v>
      </c>
    </row>
    <row r="344" spans="1:11" ht="27.6" x14ac:dyDescent="0.3">
      <c r="A344" s="10">
        <v>20</v>
      </c>
      <c r="B344" s="10" t="s">
        <v>647</v>
      </c>
      <c r="C344" s="10" t="str" cm="1">
        <f t="array" ref="C344">_xlfn.IFS(A344&lt;20, "ภาคกลาง", A344&lt;30, "ภาคตะวันออก", A344&lt;50, "ภาคตะวันออกเฉียงเหนือ", A344&lt;60, "ภาคเหนือ", A344&lt;80, "ภาคกลาง/ตะวันตก", A344&gt;=80, "ภาคใต้")</f>
        <v>ภาคตะวันออก</v>
      </c>
      <c r="D344" s="64">
        <v>2088</v>
      </c>
      <c r="E344" s="10" t="s">
        <v>685</v>
      </c>
      <c r="F344" s="11">
        <v>1612</v>
      </c>
      <c r="G344" s="11">
        <v>1820</v>
      </c>
      <c r="H344" s="11">
        <v>3432</v>
      </c>
      <c r="I344" s="11">
        <v>2221</v>
      </c>
      <c r="J344" s="66">
        <f t="shared" si="20"/>
        <v>46.969696969696969</v>
      </c>
      <c r="K344" s="66">
        <f t="shared" si="21"/>
        <v>53.030303030303031</v>
      </c>
    </row>
    <row r="345" spans="1:11" x14ac:dyDescent="0.3">
      <c r="A345" s="10">
        <v>20</v>
      </c>
      <c r="B345" s="10" t="s">
        <v>647</v>
      </c>
      <c r="C345" s="10" t="str" cm="1">
        <f t="array" ref="C345">_xlfn.IFS(A345&lt;20, "ภาคกลาง", A345&lt;30, "ภาคตะวันออก", A345&lt;50, "ภาคตะวันออกเฉียงเหนือ", A345&lt;60, "ภาคเหนือ", A345&lt;80, "ภาคกลาง/ตะวันตก", A345&gt;=80, "ภาคใต้")</f>
        <v>ภาคตะวันออก</v>
      </c>
      <c r="D345" s="64">
        <v>2089</v>
      </c>
      <c r="E345" s="10" t="s">
        <v>686</v>
      </c>
      <c r="F345" s="11">
        <v>1089</v>
      </c>
      <c r="G345" s="11">
        <v>1168</v>
      </c>
      <c r="H345" s="11">
        <v>2257</v>
      </c>
      <c r="I345" s="11">
        <v>1662</v>
      </c>
      <c r="J345" s="66">
        <f t="shared" si="20"/>
        <v>48.249889233495793</v>
      </c>
      <c r="K345" s="66">
        <f t="shared" si="21"/>
        <v>51.750110766504207</v>
      </c>
    </row>
    <row r="346" spans="1:11" x14ac:dyDescent="0.3">
      <c r="A346" s="10">
        <v>20</v>
      </c>
      <c r="B346" s="10" t="s">
        <v>647</v>
      </c>
      <c r="C346" s="10" t="str" cm="1">
        <f t="array" ref="C346">_xlfn.IFS(A346&lt;20, "ภาคกลาง", A346&lt;30, "ภาคตะวันออก", A346&lt;50, "ภาคตะวันออกเฉียงเหนือ", A346&lt;60, "ภาคเหนือ", A346&lt;80, "ภาคกลาง/ตะวันตก", A346&gt;=80, "ภาคใต้")</f>
        <v>ภาคตะวันออก</v>
      </c>
      <c r="D346" s="64">
        <v>2090</v>
      </c>
      <c r="E346" s="10" t="s">
        <v>687</v>
      </c>
      <c r="F346" s="11">
        <v>17287</v>
      </c>
      <c r="G346" s="11">
        <v>20307</v>
      </c>
      <c r="H346" s="11">
        <v>37594</v>
      </c>
      <c r="I346" s="11">
        <v>23259</v>
      </c>
      <c r="J346" s="66">
        <f t="shared" si="20"/>
        <v>45.983401606639354</v>
      </c>
      <c r="K346" s="66">
        <f t="shared" si="21"/>
        <v>54.016598393360638</v>
      </c>
    </row>
    <row r="347" spans="1:11" ht="27.6" x14ac:dyDescent="0.3">
      <c r="A347" s="10">
        <v>20</v>
      </c>
      <c r="B347" s="10" t="s">
        <v>647</v>
      </c>
      <c r="C347" s="10" t="str" cm="1">
        <f t="array" ref="C347">_xlfn.IFS(A347&lt;20, "ภาคกลาง", A347&lt;30, "ภาคตะวันออก", A347&lt;50, "ภาคตะวันออกเฉียงเหนือ", A347&lt;60, "ภาคเหนือ", A347&lt;80, "ภาคกลาง/ตะวันตก", A347&gt;=80, "ภาคใต้")</f>
        <v>ภาคตะวันออก</v>
      </c>
      <c r="D347" s="64">
        <v>2091</v>
      </c>
      <c r="E347" s="10" t="s">
        <v>688</v>
      </c>
      <c r="F347" s="11">
        <v>34340</v>
      </c>
      <c r="G347" s="11">
        <v>34817</v>
      </c>
      <c r="H347" s="11">
        <v>69157</v>
      </c>
      <c r="I347" s="11">
        <v>46736</v>
      </c>
      <c r="J347" s="66">
        <f t="shared" si="20"/>
        <v>49.6551325245456</v>
      </c>
      <c r="K347" s="66">
        <f t="shared" si="21"/>
        <v>50.3448674754544</v>
      </c>
    </row>
    <row r="348" spans="1:11" ht="27.6" x14ac:dyDescent="0.3">
      <c r="A348" s="10">
        <v>20</v>
      </c>
      <c r="B348" s="10" t="s">
        <v>647</v>
      </c>
      <c r="C348" s="10" t="str" cm="1">
        <f t="array" ref="C348">_xlfn.IFS(A348&lt;20, "ภาคกลาง", A348&lt;30, "ภาคตะวันออก", A348&lt;50, "ภาคตะวันออกเฉียงเหนือ", A348&lt;60, "ภาคเหนือ", A348&lt;80, "ภาคกลาง/ตะวันตก", A348&gt;=80, "ภาคใต้")</f>
        <v>ภาคตะวันออก</v>
      </c>
      <c r="D348" s="64">
        <v>2092</v>
      </c>
      <c r="E348" s="10" t="s">
        <v>689</v>
      </c>
      <c r="F348" s="11">
        <v>6043</v>
      </c>
      <c r="G348" s="11">
        <v>4893</v>
      </c>
      <c r="H348" s="11">
        <v>10936</v>
      </c>
      <c r="I348" s="11">
        <v>7492</v>
      </c>
      <c r="J348" s="66">
        <f t="shared" si="20"/>
        <v>55.257863935625466</v>
      </c>
      <c r="K348" s="66">
        <f t="shared" si="21"/>
        <v>44.742136064374542</v>
      </c>
    </row>
    <row r="349" spans="1:11" x14ac:dyDescent="0.3">
      <c r="A349" s="10">
        <v>20</v>
      </c>
      <c r="B349" s="10" t="s">
        <v>647</v>
      </c>
      <c r="C349" s="10" t="str" cm="1">
        <f t="array" ref="C349">_xlfn.IFS(A349&lt;20, "ภาคกลาง", A349&lt;30, "ภาคตะวันออก", A349&lt;50, "ภาคตะวันออกเฉียงเหนือ", A349&lt;60, "ภาคเหนือ", A349&lt;80, "ภาคกลาง/ตะวันตก", A349&gt;=80, "ภาคใต้")</f>
        <v>ภาคตะวันออก</v>
      </c>
      <c r="D349" s="64">
        <v>2093</v>
      </c>
      <c r="E349" s="10" t="s">
        <v>690</v>
      </c>
      <c r="F349" s="11">
        <v>2200</v>
      </c>
      <c r="G349" s="11">
        <v>2480</v>
      </c>
      <c r="H349" s="11">
        <v>4680</v>
      </c>
      <c r="I349" s="11">
        <v>7403</v>
      </c>
      <c r="J349" s="66">
        <f t="shared" si="20"/>
        <v>47.008547008547005</v>
      </c>
      <c r="K349" s="66">
        <f t="shared" si="21"/>
        <v>52.991452991452995</v>
      </c>
    </row>
    <row r="350" spans="1:11" x14ac:dyDescent="0.3">
      <c r="A350" s="10">
        <v>20</v>
      </c>
      <c r="B350" s="10" t="s">
        <v>647</v>
      </c>
      <c r="C350" s="10" t="str" cm="1">
        <f t="array" ref="C350">_xlfn.IFS(A350&lt;20, "ภาคกลาง", A350&lt;30, "ภาคตะวันออก", A350&lt;50, "ภาคตะวันออกเฉียงเหนือ", A350&lt;60, "ภาคเหนือ", A350&lt;80, "ภาคกลาง/ตะวันตก", A350&gt;=80, "ภาคใต้")</f>
        <v>ภาคตะวันออก</v>
      </c>
      <c r="D350" s="64">
        <v>2094</v>
      </c>
      <c r="E350" s="10" t="s">
        <v>691</v>
      </c>
      <c r="F350" s="11">
        <v>45951</v>
      </c>
      <c r="G350" s="11">
        <v>47715</v>
      </c>
      <c r="H350" s="11">
        <v>93666</v>
      </c>
      <c r="I350" s="11">
        <v>86790</v>
      </c>
      <c r="J350" s="66">
        <f t="shared" si="20"/>
        <v>49.058356287233366</v>
      </c>
      <c r="K350" s="66">
        <f t="shared" si="21"/>
        <v>50.941643712766634</v>
      </c>
    </row>
    <row r="351" spans="1:11" x14ac:dyDescent="0.3">
      <c r="A351" s="10">
        <v>20</v>
      </c>
      <c r="B351" s="10" t="s">
        <v>647</v>
      </c>
      <c r="C351" s="10" t="str" cm="1">
        <f t="array" ref="C351">_xlfn.IFS(A351&lt;20, "ภาคกลาง", A351&lt;30, "ภาคตะวันออก", A351&lt;50, "ภาคตะวันออกเฉียงเหนือ", A351&lt;60, "ภาคเหนือ", A351&lt;80, "ภาคกลาง/ตะวันตก", A351&gt;=80, "ภาคใต้")</f>
        <v>ภาคตะวันออก</v>
      </c>
      <c r="D351" s="64">
        <v>2095</v>
      </c>
      <c r="E351" s="10" t="s">
        <v>692</v>
      </c>
      <c r="F351" s="11">
        <v>21544</v>
      </c>
      <c r="G351" s="11">
        <v>24848</v>
      </c>
      <c r="H351" s="11">
        <v>46392</v>
      </c>
      <c r="I351" s="11">
        <v>41230</v>
      </c>
      <c r="J351" s="66">
        <f t="shared" si="20"/>
        <v>46.439041214002415</v>
      </c>
      <c r="K351" s="66">
        <f t="shared" si="21"/>
        <v>53.560958785997585</v>
      </c>
    </row>
    <row r="352" spans="1:11" x14ac:dyDescent="0.3">
      <c r="A352" s="10">
        <v>20</v>
      </c>
      <c r="B352" s="10" t="s">
        <v>647</v>
      </c>
      <c r="C352" s="10" t="str" cm="1">
        <f t="array" ref="C352">_xlfn.IFS(A352&lt;20, "ภาคกลาง", A352&lt;30, "ภาคตะวันออก", A352&lt;50, "ภาคตะวันออกเฉียงเหนือ", A352&lt;60, "ภาคเหนือ", A352&lt;80, "ภาคกลาง/ตะวันตก", A352&gt;=80, "ภาคใต้")</f>
        <v>ภาคตะวันออก</v>
      </c>
      <c r="D352" s="64">
        <v>2096</v>
      </c>
      <c r="E352" s="10" t="s">
        <v>693</v>
      </c>
      <c r="F352" s="11">
        <v>9017</v>
      </c>
      <c r="G352" s="11">
        <v>10324</v>
      </c>
      <c r="H352" s="11">
        <v>19341</v>
      </c>
      <c r="I352" s="11">
        <v>10935</v>
      </c>
      <c r="J352" s="66">
        <f t="shared" si="20"/>
        <v>46.621167468073004</v>
      </c>
      <c r="K352" s="66">
        <f t="shared" si="21"/>
        <v>53.378832531926989</v>
      </c>
    </row>
    <row r="353" spans="1:11" x14ac:dyDescent="0.3">
      <c r="A353" s="10">
        <v>20</v>
      </c>
      <c r="B353" s="10" t="s">
        <v>647</v>
      </c>
      <c r="C353" s="10" t="str" cm="1">
        <f t="array" ref="C353">_xlfn.IFS(A353&lt;20, "ภาคกลาง", A353&lt;30, "ภาคตะวันออก", A353&lt;50, "ภาคตะวันออกเฉียงเหนือ", A353&lt;60, "ภาคเหนือ", A353&lt;80, "ภาคกลาง/ตะวันตก", A353&gt;=80, "ภาคใต้")</f>
        <v>ภาคตะวันออก</v>
      </c>
      <c r="D353" s="64">
        <v>2097</v>
      </c>
      <c r="E353" s="10" t="s">
        <v>694</v>
      </c>
      <c r="F353" s="11">
        <v>53005</v>
      </c>
      <c r="G353" s="11">
        <v>63499</v>
      </c>
      <c r="H353" s="11">
        <v>116504</v>
      </c>
      <c r="I353" s="11">
        <v>179568</v>
      </c>
      <c r="J353" s="66">
        <f t="shared" si="20"/>
        <v>45.496291972807803</v>
      </c>
      <c r="K353" s="66">
        <f t="shared" si="21"/>
        <v>54.503708027192197</v>
      </c>
    </row>
    <row r="354" spans="1:11" x14ac:dyDescent="0.3">
      <c r="A354" s="10">
        <v>20</v>
      </c>
      <c r="B354" s="10" t="s">
        <v>647</v>
      </c>
      <c r="C354" s="10" t="str" cm="1">
        <f t="array" ref="C354">_xlfn.IFS(A354&lt;20, "ภาคกลาง", A354&lt;30, "ภาคตะวันออก", A354&lt;50, "ภาคตะวันออกเฉียงเหนือ", A354&lt;60, "ภาคเหนือ", A354&lt;80, "ภาคกลาง/ตะวันตก", A354&gt;=80, "ภาคใต้")</f>
        <v>ภาคตะวันออก</v>
      </c>
      <c r="D354" s="64">
        <v>2098</v>
      </c>
      <c r="E354" s="10" t="s">
        <v>695</v>
      </c>
      <c r="F354" s="11">
        <v>10949</v>
      </c>
      <c r="G354" s="11">
        <v>13692</v>
      </c>
      <c r="H354" s="11">
        <v>24641</v>
      </c>
      <c r="I354" s="11">
        <v>8991</v>
      </c>
      <c r="J354" s="66">
        <f t="shared" si="20"/>
        <v>44.434073292480015</v>
      </c>
      <c r="K354" s="66">
        <f t="shared" si="21"/>
        <v>55.565926707519985</v>
      </c>
    </row>
    <row r="355" spans="1:11" x14ac:dyDescent="0.3">
      <c r="A355" s="10">
        <v>20</v>
      </c>
      <c r="B355" s="10" t="s">
        <v>647</v>
      </c>
      <c r="C355" s="10" t="str" cm="1">
        <f t="array" ref="C355">_xlfn.IFS(A355&lt;20, "ภาคกลาง", A355&lt;30, "ภาคตะวันออก", A355&lt;50, "ภาคตะวันออกเฉียงเหนือ", A355&lt;60, "ภาคเหนือ", A355&lt;80, "ภาคกลาง/ตะวันตก", A355&gt;=80, "ภาคใต้")</f>
        <v>ภาคตะวันออก</v>
      </c>
      <c r="D355" s="64">
        <v>2099</v>
      </c>
      <c r="E355" s="10" t="s">
        <v>696</v>
      </c>
      <c r="F355" s="11">
        <v>4453</v>
      </c>
      <c r="G355" s="11">
        <v>5271</v>
      </c>
      <c r="H355" s="11">
        <v>9724</v>
      </c>
      <c r="I355" s="11">
        <v>5093</v>
      </c>
      <c r="J355" s="66">
        <f t="shared" si="20"/>
        <v>45.793911970382553</v>
      </c>
      <c r="K355" s="66">
        <f t="shared" si="21"/>
        <v>54.20608802961744</v>
      </c>
    </row>
    <row r="356" spans="1:11" hidden="1" x14ac:dyDescent="0.3">
      <c r="A356" s="10">
        <v>20</v>
      </c>
      <c r="B356" s="10" t="s">
        <v>647</v>
      </c>
      <c r="C356" s="10" t="str" cm="1">
        <f t="array" ref="C356">_xlfn.IFS(A356&lt;20, "ภาคกลาง", A356&lt;30, "ภาคตะวันออก", A356&lt;50, "ภาคตะวันออกเฉียงเหนือ", A356&lt;60, "ภาคเหนือ", A356&lt;80, "ภาคกลาง/ตะวันตก", A356&gt;=80, "ภาคใต้")</f>
        <v>ภาคตะวันออก</v>
      </c>
      <c r="D356" s="10">
        <v>0</v>
      </c>
      <c r="E356" s="10" t="s">
        <v>343</v>
      </c>
      <c r="F356" s="11">
        <v>10668</v>
      </c>
      <c r="G356" s="11">
        <v>11895</v>
      </c>
      <c r="H356" s="11">
        <v>22563</v>
      </c>
      <c r="I356" s="11">
        <v>12506</v>
      </c>
      <c r="J356"/>
      <c r="K356"/>
    </row>
    <row r="357" spans="1:11" x14ac:dyDescent="0.3">
      <c r="A357" s="10">
        <v>21</v>
      </c>
      <c r="B357" s="10" t="s">
        <v>697</v>
      </c>
      <c r="C357" s="10" t="str" cm="1">
        <f t="array" ref="C357">_xlfn.IFS(A357&lt;20, "ภาคกลาง", A357&lt;30, "ภาคตะวันออก", A357&lt;50, "ภาคตะวันออกเฉียงเหนือ", A357&lt;60, "ภาคเหนือ", A357&lt;80, "ภาคกลาง/ตะวันตก", A357&gt;=80, "ภาคใต้")</f>
        <v>ภาคตะวันออก</v>
      </c>
      <c r="D357" s="64">
        <v>2101</v>
      </c>
      <c r="E357" s="10" t="s">
        <v>698</v>
      </c>
      <c r="F357" s="11">
        <v>382979</v>
      </c>
      <c r="G357" s="11">
        <v>399192</v>
      </c>
      <c r="H357" s="11">
        <v>782171</v>
      </c>
      <c r="I357" s="11">
        <v>578414</v>
      </c>
      <c r="J357" s="66">
        <f t="shared" ref="J357:J387" si="22">F357/H357*100</f>
        <v>48.963589803252745</v>
      </c>
      <c r="K357" s="66">
        <f t="shared" ref="K357:K387" si="23">G357/H357*100</f>
        <v>51.036410196747262</v>
      </c>
    </row>
    <row r="358" spans="1:11" x14ac:dyDescent="0.3">
      <c r="A358" s="10">
        <v>21</v>
      </c>
      <c r="B358" s="10" t="s">
        <v>697</v>
      </c>
      <c r="C358" s="10" t="str" cm="1">
        <f t="array" ref="C358">_xlfn.IFS(A358&lt;20, "ภาคกลาง", A358&lt;30, "ภาคตะวันออก", A358&lt;50, "ภาคตะวันออกเฉียงเหนือ", A358&lt;60, "ภาคเหนือ", A358&lt;80, "ภาคกลาง/ตะวันตก", A358&gt;=80, "ภาคใต้")</f>
        <v>ภาคตะวันออก</v>
      </c>
      <c r="D358" s="64">
        <v>2102</v>
      </c>
      <c r="E358" s="10" t="s">
        <v>699</v>
      </c>
      <c r="F358" s="11">
        <v>51178</v>
      </c>
      <c r="G358" s="11">
        <v>53322</v>
      </c>
      <c r="H358" s="11">
        <v>104500</v>
      </c>
      <c r="I358" s="11">
        <v>70408</v>
      </c>
      <c r="J358" s="66">
        <f t="shared" si="22"/>
        <v>48.974162679425838</v>
      </c>
      <c r="K358" s="66">
        <f t="shared" si="23"/>
        <v>51.025837320574162</v>
      </c>
    </row>
    <row r="359" spans="1:11" x14ac:dyDescent="0.3">
      <c r="A359" s="10">
        <v>21</v>
      </c>
      <c r="B359" s="10" t="s">
        <v>697</v>
      </c>
      <c r="C359" s="10" t="str" cm="1">
        <f t="array" ref="C359">_xlfn.IFS(A359&lt;20, "ภาคกลาง", A359&lt;30, "ภาคตะวันออก", A359&lt;50, "ภาคตะวันออกเฉียงเหนือ", A359&lt;60, "ภาคเหนือ", A359&lt;80, "ภาคกลาง/ตะวันตก", A359&gt;=80, "ภาคใต้")</f>
        <v>ภาคตะวันออก</v>
      </c>
      <c r="D359" s="64">
        <v>2103</v>
      </c>
      <c r="E359" s="10" t="s">
        <v>700</v>
      </c>
      <c r="F359" s="11">
        <v>5662</v>
      </c>
      <c r="G359" s="11">
        <v>5371</v>
      </c>
      <c r="H359" s="11">
        <v>11033</v>
      </c>
      <c r="I359" s="11">
        <v>5459</v>
      </c>
      <c r="J359" s="66">
        <f t="shared" si="22"/>
        <v>51.318770959847726</v>
      </c>
      <c r="K359" s="66">
        <f t="shared" si="23"/>
        <v>48.681229040152267</v>
      </c>
    </row>
    <row r="360" spans="1:11" x14ac:dyDescent="0.3">
      <c r="A360" s="10">
        <v>21</v>
      </c>
      <c r="B360" s="10" t="s">
        <v>697</v>
      </c>
      <c r="C360" s="10" t="str" cm="1">
        <f t="array" ref="C360">_xlfn.IFS(A360&lt;20, "ภาคกลาง", A360&lt;30, "ภาคตะวันออก", A360&lt;50, "ภาคตะวันออกเฉียงเหนือ", A360&lt;60, "ภาคเหนือ", A360&lt;80, "ภาคกลาง/ตะวันตก", A360&gt;=80, "ภาคใต้")</f>
        <v>ภาคตะวันออก</v>
      </c>
      <c r="D360" s="64">
        <v>2104</v>
      </c>
      <c r="E360" s="10" t="s">
        <v>701</v>
      </c>
      <c r="F360" s="11">
        <v>32450</v>
      </c>
      <c r="G360" s="11">
        <v>35036</v>
      </c>
      <c r="H360" s="11">
        <v>67486</v>
      </c>
      <c r="I360" s="11">
        <v>33340</v>
      </c>
      <c r="J360" s="66">
        <f t="shared" si="22"/>
        <v>48.084047061612779</v>
      </c>
      <c r="K360" s="66">
        <f t="shared" si="23"/>
        <v>51.915952938387221</v>
      </c>
    </row>
    <row r="361" spans="1:11" x14ac:dyDescent="0.3">
      <c r="A361" s="10">
        <v>21</v>
      </c>
      <c r="B361" s="10" t="s">
        <v>697</v>
      </c>
      <c r="C361" s="10" t="str" cm="1">
        <f t="array" ref="C361">_xlfn.IFS(A361&lt;20, "ภาคกลาง", A361&lt;30, "ภาคตะวันออก", A361&lt;50, "ภาคตะวันออกเฉียงเหนือ", A361&lt;60, "ภาคเหนือ", A361&lt;80, "ภาคกลาง/ตะวันตก", A361&gt;=80, "ภาคใต้")</f>
        <v>ภาคตะวันออก</v>
      </c>
      <c r="D361" s="64">
        <v>2105</v>
      </c>
      <c r="E361" s="10" t="s">
        <v>702</v>
      </c>
      <c r="F361" s="11">
        <v>11121</v>
      </c>
      <c r="G361" s="11">
        <v>11172</v>
      </c>
      <c r="H361" s="11">
        <v>22293</v>
      </c>
      <c r="I361" s="11">
        <v>11834</v>
      </c>
      <c r="J361" s="66">
        <f t="shared" si="22"/>
        <v>49.885614318395909</v>
      </c>
      <c r="K361" s="66">
        <f t="shared" si="23"/>
        <v>50.114385681604091</v>
      </c>
    </row>
    <row r="362" spans="1:11" x14ac:dyDescent="0.3">
      <c r="A362" s="10">
        <v>21</v>
      </c>
      <c r="B362" s="10" t="s">
        <v>697</v>
      </c>
      <c r="C362" s="10" t="str" cm="1">
        <f t="array" ref="C362">_xlfn.IFS(A362&lt;20, "ภาคกลาง", A362&lt;30, "ภาคตะวันออก", A362&lt;50, "ภาคตะวันออกเฉียงเหนือ", A362&lt;60, "ภาคเหนือ", A362&lt;80, "ภาคกลาง/ตะวันตก", A362&gt;=80, "ภาคใต้")</f>
        <v>ภาคตะวันออก</v>
      </c>
      <c r="D362" s="64">
        <v>2106</v>
      </c>
      <c r="E362" s="10" t="s">
        <v>703</v>
      </c>
      <c r="F362" s="11">
        <v>34112</v>
      </c>
      <c r="G362" s="11">
        <v>35903</v>
      </c>
      <c r="H362" s="11">
        <v>70015</v>
      </c>
      <c r="I362" s="11">
        <v>39451</v>
      </c>
      <c r="J362" s="66">
        <f t="shared" si="22"/>
        <v>48.720988359637218</v>
      </c>
      <c r="K362" s="66">
        <f t="shared" si="23"/>
        <v>51.279011640362782</v>
      </c>
    </row>
    <row r="363" spans="1:11" x14ac:dyDescent="0.3">
      <c r="A363" s="10">
        <v>21</v>
      </c>
      <c r="B363" s="10" t="s">
        <v>697</v>
      </c>
      <c r="C363" s="10" t="str" cm="1">
        <f t="array" ref="C363">_xlfn.IFS(A363&lt;20, "ภาคกลาง", A363&lt;30, "ภาคตะวันออก", A363&lt;50, "ภาคตะวันออกเฉียงเหนือ", A363&lt;60, "ภาคเหนือ", A363&lt;80, "ภาคกลาง/ตะวันตก", A363&gt;=80, "ภาคใต้")</f>
        <v>ภาคตะวันออก</v>
      </c>
      <c r="D363" s="64">
        <v>2107</v>
      </c>
      <c r="E363" s="10" t="s">
        <v>704</v>
      </c>
      <c r="F363" s="11">
        <v>42285</v>
      </c>
      <c r="G363" s="11">
        <v>41383</v>
      </c>
      <c r="H363" s="11">
        <v>83668</v>
      </c>
      <c r="I363" s="11">
        <v>116865</v>
      </c>
      <c r="J363" s="66">
        <f t="shared" si="22"/>
        <v>50.53903523449825</v>
      </c>
      <c r="K363" s="66">
        <f t="shared" si="23"/>
        <v>49.46096476550175</v>
      </c>
    </row>
    <row r="364" spans="1:11" x14ac:dyDescent="0.3">
      <c r="A364" s="10">
        <v>21</v>
      </c>
      <c r="B364" s="10" t="s">
        <v>697</v>
      </c>
      <c r="C364" s="10" t="str" cm="1">
        <f t="array" ref="C364">_xlfn.IFS(A364&lt;20, "ภาคกลาง", A364&lt;30, "ภาคตะวันออก", A364&lt;50, "ภาคตะวันออกเฉียงเหนือ", A364&lt;60, "ภาคเหนือ", A364&lt;80, "ภาคกลาง/ตะวันตก", A364&gt;=80, "ภาคใต้")</f>
        <v>ภาคตะวันออก</v>
      </c>
      <c r="D364" s="64">
        <v>2108</v>
      </c>
      <c r="E364" s="10" t="s">
        <v>705</v>
      </c>
      <c r="F364" s="11">
        <v>11672</v>
      </c>
      <c r="G364" s="11">
        <v>11906</v>
      </c>
      <c r="H364" s="11">
        <v>23578</v>
      </c>
      <c r="I364" s="11">
        <v>11651</v>
      </c>
      <c r="J364" s="66">
        <f t="shared" si="22"/>
        <v>49.503774705233695</v>
      </c>
      <c r="K364" s="66">
        <f t="shared" si="23"/>
        <v>50.496225294766305</v>
      </c>
    </row>
    <row r="365" spans="1:11" x14ac:dyDescent="0.3">
      <c r="A365" s="10">
        <v>21</v>
      </c>
      <c r="B365" s="10" t="s">
        <v>697</v>
      </c>
      <c r="C365" s="10" t="str" cm="1">
        <f t="array" ref="C365">_xlfn.IFS(A365&lt;20, "ภาคกลาง", A365&lt;30, "ภาคตะวันออก", A365&lt;50, "ภาคตะวันออกเฉียงเหนือ", A365&lt;60, "ภาคเหนือ", A365&lt;80, "ภาคกลาง/ตะวันตก", A365&gt;=80, "ภาคใต้")</f>
        <v>ภาคตะวันออก</v>
      </c>
      <c r="D365" s="64">
        <v>2177</v>
      </c>
      <c r="E365" s="10" t="s">
        <v>706</v>
      </c>
      <c r="F365" s="11">
        <v>13056</v>
      </c>
      <c r="G365" s="11">
        <v>13119</v>
      </c>
      <c r="H365" s="11">
        <v>26175</v>
      </c>
      <c r="I365" s="11">
        <v>23199</v>
      </c>
      <c r="J365" s="66">
        <f t="shared" si="22"/>
        <v>49.879656160458453</v>
      </c>
      <c r="K365" s="66">
        <f t="shared" si="23"/>
        <v>50.120343839541547</v>
      </c>
    </row>
    <row r="366" spans="1:11" x14ac:dyDescent="0.3">
      <c r="A366" s="10">
        <v>21</v>
      </c>
      <c r="B366" s="10" t="s">
        <v>697</v>
      </c>
      <c r="C366" s="10" t="str" cm="1">
        <f t="array" ref="C366">_xlfn.IFS(A366&lt;20, "ภาคกลาง", A366&lt;30, "ภาคตะวันออก", A366&lt;50, "ภาคตะวันออกเฉียงเหนือ", A366&lt;60, "ภาคเหนือ", A366&lt;80, "ภาคกลาง/ตะวันตก", A366&gt;=80, "ภาคใต้")</f>
        <v>ภาคตะวันออก</v>
      </c>
      <c r="D366" s="64">
        <v>2178</v>
      </c>
      <c r="E366" s="10" t="s">
        <v>707</v>
      </c>
      <c r="F366" s="11">
        <v>4372</v>
      </c>
      <c r="G366" s="11">
        <v>4360</v>
      </c>
      <c r="H366" s="11">
        <v>8732</v>
      </c>
      <c r="I366" s="11">
        <v>5900</v>
      </c>
      <c r="J366" s="66">
        <f t="shared" si="22"/>
        <v>50.068712780577187</v>
      </c>
      <c r="K366" s="66">
        <f t="shared" si="23"/>
        <v>49.931287219422813</v>
      </c>
    </row>
    <row r="367" spans="1:11" x14ac:dyDescent="0.3">
      <c r="A367" s="10">
        <v>21</v>
      </c>
      <c r="B367" s="10" t="s">
        <v>697</v>
      </c>
      <c r="C367" s="10" t="str" cm="1">
        <f t="array" ref="C367">_xlfn.IFS(A367&lt;20, "ภาคกลาง", A367&lt;30, "ภาคตะวันออก", A367&lt;50, "ภาคตะวันออกเฉียงเหนือ", A367&lt;60, "ภาคเหนือ", A367&lt;80, "ภาคกลาง/ตะวันตก", A367&gt;=80, "ภาคใต้")</f>
        <v>ภาคตะวันออก</v>
      </c>
      <c r="D367" s="64">
        <v>2179</v>
      </c>
      <c r="E367" s="10" t="s">
        <v>708</v>
      </c>
      <c r="F367" s="11">
        <v>2216</v>
      </c>
      <c r="G367" s="11">
        <v>2345</v>
      </c>
      <c r="H367" s="11">
        <v>4561</v>
      </c>
      <c r="I367" s="11">
        <v>2084</v>
      </c>
      <c r="J367" s="66">
        <f t="shared" si="22"/>
        <v>48.585836439377331</v>
      </c>
      <c r="K367" s="66">
        <f t="shared" si="23"/>
        <v>51.414163560622669</v>
      </c>
    </row>
    <row r="368" spans="1:11" x14ac:dyDescent="0.3">
      <c r="A368" s="10">
        <v>21</v>
      </c>
      <c r="B368" s="10" t="s">
        <v>697</v>
      </c>
      <c r="C368" s="10" t="str" cm="1">
        <f t="array" ref="C368">_xlfn.IFS(A368&lt;20, "ภาคกลาง", A368&lt;30, "ภาคตะวันออก", A368&lt;50, "ภาคตะวันออกเฉียงเหนือ", A368&lt;60, "ภาคเหนือ", A368&lt;80, "ภาคกลาง/ตะวันตก", A368&gt;=80, "ภาคใต้")</f>
        <v>ภาคตะวันออก</v>
      </c>
      <c r="D368" s="64">
        <v>2180</v>
      </c>
      <c r="E368" s="10" t="s">
        <v>709</v>
      </c>
      <c r="F368" s="11">
        <v>12917</v>
      </c>
      <c r="G368" s="11">
        <v>13219</v>
      </c>
      <c r="H368" s="11">
        <v>26136</v>
      </c>
      <c r="I368" s="11">
        <v>18648</v>
      </c>
      <c r="J368" s="66">
        <f t="shared" si="22"/>
        <v>49.422252831343741</v>
      </c>
      <c r="K368" s="66">
        <f t="shared" si="23"/>
        <v>50.577747168656259</v>
      </c>
    </row>
    <row r="369" spans="1:11" ht="27.6" x14ac:dyDescent="0.3">
      <c r="A369" s="10">
        <v>21</v>
      </c>
      <c r="B369" s="10" t="s">
        <v>697</v>
      </c>
      <c r="C369" s="10" t="str" cm="1">
        <f t="array" ref="C369">_xlfn.IFS(A369&lt;20, "ภาคกลาง", A369&lt;30, "ภาคตะวันออก", A369&lt;50, "ภาคตะวันออกเฉียงเหนือ", A369&lt;60, "ภาคเหนือ", A369&lt;80, "ภาคกลาง/ตะวันตก", A369&gt;=80, "ภาคใต้")</f>
        <v>ภาคตะวันออก</v>
      </c>
      <c r="D369" s="64">
        <v>2181</v>
      </c>
      <c r="E369" s="10" t="s">
        <v>710</v>
      </c>
      <c r="F369" s="11">
        <v>4213</v>
      </c>
      <c r="G369" s="11">
        <v>4435</v>
      </c>
      <c r="H369" s="11">
        <v>8648</v>
      </c>
      <c r="I369" s="11">
        <v>3640</v>
      </c>
      <c r="J369" s="66">
        <f t="shared" si="22"/>
        <v>48.716466234967619</v>
      </c>
      <c r="K369" s="66">
        <f t="shared" si="23"/>
        <v>51.283533765032374</v>
      </c>
    </row>
    <row r="370" spans="1:11" x14ac:dyDescent="0.3">
      <c r="A370" s="10">
        <v>21</v>
      </c>
      <c r="B370" s="10" t="s">
        <v>697</v>
      </c>
      <c r="C370" s="10" t="str" cm="1">
        <f t="array" ref="C370">_xlfn.IFS(A370&lt;20, "ภาคกลาง", A370&lt;30, "ภาคตะวันออก", A370&lt;50, "ภาคตะวันออกเฉียงเหนือ", A370&lt;60, "ภาคเหนือ", A370&lt;80, "ภาคกลาง/ตะวันตก", A370&gt;=80, "ภาคใต้")</f>
        <v>ภาคตะวันออก</v>
      </c>
      <c r="D370" s="64">
        <v>2182</v>
      </c>
      <c r="E370" s="10" t="s">
        <v>711</v>
      </c>
      <c r="F370" s="11">
        <v>6037</v>
      </c>
      <c r="G370" s="11">
        <v>6055</v>
      </c>
      <c r="H370" s="11">
        <v>12092</v>
      </c>
      <c r="I370" s="11">
        <v>8827</v>
      </c>
      <c r="J370" s="66">
        <f t="shared" si="22"/>
        <v>49.925570625206753</v>
      </c>
      <c r="K370" s="66">
        <f t="shared" si="23"/>
        <v>50.074429374793247</v>
      </c>
    </row>
    <row r="371" spans="1:11" x14ac:dyDescent="0.3">
      <c r="A371" s="10">
        <v>21</v>
      </c>
      <c r="B371" s="10" t="s">
        <v>697</v>
      </c>
      <c r="C371" s="10" t="str" cm="1">
        <f t="array" ref="C371">_xlfn.IFS(A371&lt;20, "ภาคกลาง", A371&lt;30, "ภาคตะวันออก", A371&lt;50, "ภาคตะวันออกเฉียงเหนือ", A371&lt;60, "ภาคเหนือ", A371&lt;80, "ภาคกลาง/ตะวันตก", A371&gt;=80, "ภาคใต้")</f>
        <v>ภาคตะวันออก</v>
      </c>
      <c r="D371" s="64">
        <v>2183</v>
      </c>
      <c r="E371" s="10" t="s">
        <v>712</v>
      </c>
      <c r="F371" s="11">
        <v>8261</v>
      </c>
      <c r="G371" s="11">
        <v>8675</v>
      </c>
      <c r="H371" s="11">
        <v>16936</v>
      </c>
      <c r="I371" s="11">
        <v>10242</v>
      </c>
      <c r="J371" s="66">
        <f t="shared" si="22"/>
        <v>48.777751535191314</v>
      </c>
      <c r="K371" s="66">
        <f t="shared" si="23"/>
        <v>51.222248464808693</v>
      </c>
    </row>
    <row r="372" spans="1:11" ht="27.6" x14ac:dyDescent="0.3">
      <c r="A372" s="10">
        <v>21</v>
      </c>
      <c r="B372" s="10" t="s">
        <v>697</v>
      </c>
      <c r="C372" s="10" t="str" cm="1">
        <f t="array" ref="C372">_xlfn.IFS(A372&lt;20, "ภาคกลาง", A372&lt;30, "ภาคตะวันออก", A372&lt;50, "ภาคตะวันออกเฉียงเหนือ", A372&lt;60, "ภาคเหนือ", A372&lt;80, "ภาคกลาง/ตะวันตก", A372&gt;=80, "ภาคใต้")</f>
        <v>ภาคตะวันออก</v>
      </c>
      <c r="D372" s="64">
        <v>2184</v>
      </c>
      <c r="E372" s="10" t="s">
        <v>713</v>
      </c>
      <c r="F372" s="11">
        <v>7660</v>
      </c>
      <c r="G372" s="11">
        <v>7729</v>
      </c>
      <c r="H372" s="11">
        <v>15389</v>
      </c>
      <c r="I372" s="11">
        <v>14410</v>
      </c>
      <c r="J372" s="66">
        <f t="shared" si="22"/>
        <v>49.775813893040485</v>
      </c>
      <c r="K372" s="66">
        <f t="shared" si="23"/>
        <v>50.224186106959515</v>
      </c>
    </row>
    <row r="373" spans="1:11" ht="27.6" x14ac:dyDescent="0.3">
      <c r="A373" s="10">
        <v>21</v>
      </c>
      <c r="B373" s="10" t="s">
        <v>697</v>
      </c>
      <c r="C373" s="10" t="str" cm="1">
        <f t="array" ref="C373">_xlfn.IFS(A373&lt;20, "ภาคกลาง", A373&lt;30, "ภาคตะวันออก", A373&lt;50, "ภาคตะวันออกเฉียงเหนือ", A373&lt;60, "ภาคเหนือ", A373&lt;80, "ภาคกลาง/ตะวันตก", A373&gt;=80, "ภาคใต้")</f>
        <v>ภาคตะวันออก</v>
      </c>
      <c r="D373" s="64">
        <v>2185</v>
      </c>
      <c r="E373" s="10" t="s">
        <v>714</v>
      </c>
      <c r="F373" s="11">
        <v>5742</v>
      </c>
      <c r="G373" s="11">
        <v>5698</v>
      </c>
      <c r="H373" s="11">
        <v>11440</v>
      </c>
      <c r="I373" s="11">
        <v>9067</v>
      </c>
      <c r="J373" s="66">
        <f t="shared" si="22"/>
        <v>50.192307692307693</v>
      </c>
      <c r="K373" s="66">
        <f t="shared" si="23"/>
        <v>49.807692307692307</v>
      </c>
    </row>
    <row r="374" spans="1:11" ht="27.6" x14ac:dyDescent="0.3">
      <c r="A374" s="10">
        <v>21</v>
      </c>
      <c r="B374" s="10" t="s">
        <v>697</v>
      </c>
      <c r="C374" s="10" t="str" cm="1">
        <f t="array" ref="C374">_xlfn.IFS(A374&lt;20, "ภาคกลาง", A374&lt;30, "ภาคตะวันออก", A374&lt;50, "ภาคตะวันออกเฉียงเหนือ", A374&lt;60, "ภาคเหนือ", A374&lt;80, "ภาคกลาง/ตะวันตก", A374&gt;=80, "ภาคใต้")</f>
        <v>ภาคตะวันออก</v>
      </c>
      <c r="D374" s="64">
        <v>2186</v>
      </c>
      <c r="E374" s="10" t="s">
        <v>715</v>
      </c>
      <c r="F374" s="11">
        <v>2601</v>
      </c>
      <c r="G374" s="11">
        <v>2969</v>
      </c>
      <c r="H374" s="11">
        <v>5570</v>
      </c>
      <c r="I374" s="11">
        <v>4609</v>
      </c>
      <c r="J374" s="66">
        <f t="shared" si="22"/>
        <v>46.696588868940751</v>
      </c>
      <c r="K374" s="66">
        <f t="shared" si="23"/>
        <v>53.303411131059242</v>
      </c>
    </row>
    <row r="375" spans="1:11" x14ac:dyDescent="0.3">
      <c r="A375" s="10">
        <v>21</v>
      </c>
      <c r="B375" s="10" t="s">
        <v>697</v>
      </c>
      <c r="C375" s="10" t="str" cm="1">
        <f t="array" ref="C375">_xlfn.IFS(A375&lt;20, "ภาคกลาง", A375&lt;30, "ภาคตะวันออก", A375&lt;50, "ภาคตะวันออกเฉียงเหนือ", A375&lt;60, "ภาคเหนือ", A375&lt;80, "ภาคกลาง/ตะวันตก", A375&gt;=80, "ภาคใต้")</f>
        <v>ภาคตะวันออก</v>
      </c>
      <c r="D375" s="64">
        <v>2187</v>
      </c>
      <c r="E375" s="10" t="s">
        <v>716</v>
      </c>
      <c r="F375" s="10">
        <v>204</v>
      </c>
      <c r="G375" s="10">
        <v>189</v>
      </c>
      <c r="H375" s="10">
        <v>393</v>
      </c>
      <c r="I375" s="10">
        <v>620</v>
      </c>
      <c r="J375" s="66">
        <f t="shared" si="22"/>
        <v>51.908396946564885</v>
      </c>
      <c r="K375" s="66">
        <f t="shared" si="23"/>
        <v>48.091603053435115</v>
      </c>
    </row>
    <row r="376" spans="1:11" x14ac:dyDescent="0.3">
      <c r="A376" s="10">
        <v>21</v>
      </c>
      <c r="B376" s="10" t="s">
        <v>697</v>
      </c>
      <c r="C376" s="10" t="str" cm="1">
        <f t="array" ref="C376">_xlfn.IFS(A376&lt;20, "ภาคกลาง", A376&lt;30, "ภาคตะวันออก", A376&lt;50, "ภาคตะวันออกเฉียงเหนือ", A376&lt;60, "ภาคเหนือ", A376&lt;80, "ภาคกลาง/ตะวันตก", A376&gt;=80, "ภาคใต้")</f>
        <v>ภาคตะวันออก</v>
      </c>
      <c r="D376" s="64">
        <v>2188</v>
      </c>
      <c r="E376" s="10" t="s">
        <v>717</v>
      </c>
      <c r="F376" s="11">
        <v>1621</v>
      </c>
      <c r="G376" s="11">
        <v>1768</v>
      </c>
      <c r="H376" s="11">
        <v>3389</v>
      </c>
      <c r="I376" s="11">
        <v>2183</v>
      </c>
      <c r="J376" s="66">
        <f t="shared" si="22"/>
        <v>47.8312186485689</v>
      </c>
      <c r="K376" s="66">
        <f t="shared" si="23"/>
        <v>52.168781351431107</v>
      </c>
    </row>
    <row r="377" spans="1:11" x14ac:dyDescent="0.3">
      <c r="A377" s="10">
        <v>21</v>
      </c>
      <c r="B377" s="10" t="s">
        <v>697</v>
      </c>
      <c r="C377" s="10" t="str" cm="1">
        <f t="array" ref="C377">_xlfn.IFS(A377&lt;20, "ภาคกลาง", A377&lt;30, "ภาคตะวันออก", A377&lt;50, "ภาคตะวันออกเฉียงเหนือ", A377&lt;60, "ภาคเหนือ", A377&lt;80, "ภาคกลาง/ตะวันตก", A377&gt;=80, "ภาคใต้")</f>
        <v>ภาคตะวันออก</v>
      </c>
      <c r="D377" s="64">
        <v>2189</v>
      </c>
      <c r="E377" s="10" t="s">
        <v>718</v>
      </c>
      <c r="F377" s="11">
        <v>1820</v>
      </c>
      <c r="G377" s="11">
        <v>1896</v>
      </c>
      <c r="H377" s="11">
        <v>3716</v>
      </c>
      <c r="I377" s="11">
        <v>2499</v>
      </c>
      <c r="J377" s="66">
        <f t="shared" si="22"/>
        <v>48.977395048439185</v>
      </c>
      <c r="K377" s="66">
        <f t="shared" si="23"/>
        <v>51.022604951560815</v>
      </c>
    </row>
    <row r="378" spans="1:11" ht="27.6" x14ac:dyDescent="0.3">
      <c r="A378" s="10">
        <v>21</v>
      </c>
      <c r="B378" s="10" t="s">
        <v>697</v>
      </c>
      <c r="C378" s="10" t="str" cm="1">
        <f t="array" ref="C378">_xlfn.IFS(A378&lt;20, "ภาคกลาง", A378&lt;30, "ภาคตะวันออก", A378&lt;50, "ภาคตะวันออกเฉียงเหนือ", A378&lt;60, "ภาคเหนือ", A378&lt;80, "ภาคกลาง/ตะวันตก", A378&gt;=80, "ภาคใต้")</f>
        <v>ภาคตะวันออก</v>
      </c>
      <c r="D378" s="64">
        <v>2190</v>
      </c>
      <c r="E378" s="10" t="s">
        <v>719</v>
      </c>
      <c r="F378" s="11">
        <v>7189</v>
      </c>
      <c r="G378" s="11">
        <v>7983</v>
      </c>
      <c r="H378" s="11">
        <v>15172</v>
      </c>
      <c r="I378" s="11">
        <v>10601</v>
      </c>
      <c r="J378" s="66">
        <f t="shared" si="22"/>
        <v>47.383337727392565</v>
      </c>
      <c r="K378" s="66">
        <f t="shared" si="23"/>
        <v>52.616662272607442</v>
      </c>
    </row>
    <row r="379" spans="1:11" ht="27.6" x14ac:dyDescent="0.3">
      <c r="A379" s="10">
        <v>21</v>
      </c>
      <c r="B379" s="10" t="s">
        <v>697</v>
      </c>
      <c r="C379" s="10" t="str" cm="1">
        <f t="array" ref="C379">_xlfn.IFS(A379&lt;20, "ภาคกลาง", A379&lt;30, "ภาคตะวันออก", A379&lt;50, "ภาคตะวันออกเฉียงเหนือ", A379&lt;60, "ภาคเหนือ", A379&lt;80, "ภาคกลาง/ตะวันตก", A379&gt;=80, "ภาคใต้")</f>
        <v>ภาคตะวันออก</v>
      </c>
      <c r="D379" s="64">
        <v>2191</v>
      </c>
      <c r="E379" s="10" t="s">
        <v>720</v>
      </c>
      <c r="F379" s="11">
        <v>2242</v>
      </c>
      <c r="G379" s="11">
        <v>2378</v>
      </c>
      <c r="H379" s="11">
        <v>4620</v>
      </c>
      <c r="I379" s="11">
        <v>2113</v>
      </c>
      <c r="J379" s="66">
        <f t="shared" si="22"/>
        <v>48.528138528138527</v>
      </c>
      <c r="K379" s="66">
        <f t="shared" si="23"/>
        <v>51.471861471861466</v>
      </c>
    </row>
    <row r="380" spans="1:11" x14ac:dyDescent="0.3">
      <c r="A380" s="10">
        <v>21</v>
      </c>
      <c r="B380" s="10" t="s">
        <v>697</v>
      </c>
      <c r="C380" s="10" t="str" cm="1">
        <f t="array" ref="C380">_xlfn.IFS(A380&lt;20, "ภาคกลาง", A380&lt;30, "ภาคตะวันออก", A380&lt;50, "ภาคตะวันออกเฉียงเหนือ", A380&lt;60, "ภาคเหนือ", A380&lt;80, "ภาคกลาง/ตะวันตก", A380&gt;=80, "ภาคใต้")</f>
        <v>ภาคตะวันออก</v>
      </c>
      <c r="D380" s="64">
        <v>2192</v>
      </c>
      <c r="E380" s="10" t="s">
        <v>721</v>
      </c>
      <c r="F380" s="11">
        <v>3075</v>
      </c>
      <c r="G380" s="11">
        <v>3418</v>
      </c>
      <c r="H380" s="11">
        <v>6493</v>
      </c>
      <c r="I380" s="11">
        <v>4223</v>
      </c>
      <c r="J380" s="66">
        <f t="shared" si="22"/>
        <v>47.358693978130297</v>
      </c>
      <c r="K380" s="66">
        <f t="shared" si="23"/>
        <v>52.641306021869703</v>
      </c>
    </row>
    <row r="381" spans="1:11" ht="27.6" x14ac:dyDescent="0.3">
      <c r="A381" s="10">
        <v>21</v>
      </c>
      <c r="B381" s="10" t="s">
        <v>697</v>
      </c>
      <c r="C381" s="10" t="str" cm="1">
        <f t="array" ref="C381">_xlfn.IFS(A381&lt;20, "ภาคกลาง", A381&lt;30, "ภาคตะวันออก", A381&lt;50, "ภาคตะวันออกเฉียงเหนือ", A381&lt;60, "ภาคเหนือ", A381&lt;80, "ภาคกลาง/ตะวันตก", A381&gt;=80, "ภาคใต้")</f>
        <v>ภาคตะวันออก</v>
      </c>
      <c r="D381" s="64">
        <v>2193</v>
      </c>
      <c r="E381" s="10" t="s">
        <v>722</v>
      </c>
      <c r="F381" s="11">
        <v>2322</v>
      </c>
      <c r="G381" s="11">
        <v>2368</v>
      </c>
      <c r="H381" s="11">
        <v>4690</v>
      </c>
      <c r="I381" s="11">
        <v>1919</v>
      </c>
      <c r="J381" s="66">
        <f t="shared" si="22"/>
        <v>49.50959488272921</v>
      </c>
      <c r="K381" s="66">
        <f t="shared" si="23"/>
        <v>50.49040511727079</v>
      </c>
    </row>
    <row r="382" spans="1:11" x14ac:dyDescent="0.3">
      <c r="A382" s="10">
        <v>21</v>
      </c>
      <c r="B382" s="10" t="s">
        <v>697</v>
      </c>
      <c r="C382" s="10" t="str" cm="1">
        <f t="array" ref="C382">_xlfn.IFS(A382&lt;20, "ภาคกลาง", A382&lt;30, "ภาคตะวันออก", A382&lt;50, "ภาคตะวันออกเฉียงเหนือ", A382&lt;60, "ภาคเหนือ", A382&lt;80, "ภาคกลาง/ตะวันตก", A382&gt;=80, "ภาคใต้")</f>
        <v>ภาคตะวันออก</v>
      </c>
      <c r="D382" s="64">
        <v>2194</v>
      </c>
      <c r="E382" s="10" t="s">
        <v>723</v>
      </c>
      <c r="F382" s="11">
        <v>5589</v>
      </c>
      <c r="G382" s="11">
        <v>5791</v>
      </c>
      <c r="H382" s="11">
        <v>11380</v>
      </c>
      <c r="I382" s="11">
        <v>6402</v>
      </c>
      <c r="J382" s="66">
        <f t="shared" si="22"/>
        <v>49.112478031634446</v>
      </c>
      <c r="K382" s="66">
        <f t="shared" si="23"/>
        <v>50.887521968365554</v>
      </c>
    </row>
    <row r="383" spans="1:11" x14ac:dyDescent="0.3">
      <c r="A383" s="10">
        <v>21</v>
      </c>
      <c r="B383" s="10" t="s">
        <v>697</v>
      </c>
      <c r="C383" s="10" t="str" cm="1">
        <f t="array" ref="C383">_xlfn.IFS(A383&lt;20, "ภาคกลาง", A383&lt;30, "ภาคตะวันออก", A383&lt;50, "ภาคตะวันออกเฉียงเหนือ", A383&lt;60, "ภาคเหนือ", A383&lt;80, "ภาคกลาง/ตะวันตก", A383&gt;=80, "ภาคใต้")</f>
        <v>ภาคตะวันออก</v>
      </c>
      <c r="D383" s="64">
        <v>2195</v>
      </c>
      <c r="E383" s="10" t="s">
        <v>724</v>
      </c>
      <c r="F383" s="11">
        <v>15485</v>
      </c>
      <c r="G383" s="11">
        <v>16505</v>
      </c>
      <c r="H383" s="11">
        <v>31990</v>
      </c>
      <c r="I383" s="11">
        <v>22168</v>
      </c>
      <c r="J383" s="66">
        <f t="shared" si="22"/>
        <v>48.4057517974367</v>
      </c>
      <c r="K383" s="66">
        <f t="shared" si="23"/>
        <v>51.5942482025633</v>
      </c>
    </row>
    <row r="384" spans="1:11" ht="27.6" x14ac:dyDescent="0.3">
      <c r="A384" s="10">
        <v>21</v>
      </c>
      <c r="B384" s="10" t="s">
        <v>697</v>
      </c>
      <c r="C384" s="10" t="str" cm="1">
        <f t="array" ref="C384">_xlfn.IFS(A384&lt;20, "ภาคกลาง", A384&lt;30, "ภาคตะวันออก", A384&lt;50, "ภาคตะวันออกเฉียงเหนือ", A384&lt;60, "ภาคเหนือ", A384&lt;80, "ภาคกลาง/ตะวันตก", A384&gt;=80, "ภาคใต้")</f>
        <v>ภาคตะวันออก</v>
      </c>
      <c r="D384" s="64">
        <v>2196</v>
      </c>
      <c r="E384" s="10" t="s">
        <v>725</v>
      </c>
      <c r="F384" s="11">
        <v>8625</v>
      </c>
      <c r="G384" s="11">
        <v>9571</v>
      </c>
      <c r="H384" s="11">
        <v>18196</v>
      </c>
      <c r="I384" s="11">
        <v>12698</v>
      </c>
      <c r="J384" s="66">
        <f t="shared" si="22"/>
        <v>47.400527588480983</v>
      </c>
      <c r="K384" s="66">
        <f t="shared" si="23"/>
        <v>52.59947241151901</v>
      </c>
    </row>
    <row r="385" spans="1:11" ht="27.6" x14ac:dyDescent="0.3">
      <c r="A385" s="10">
        <v>21</v>
      </c>
      <c r="B385" s="10" t="s">
        <v>697</v>
      </c>
      <c r="C385" s="10" t="str" cm="1">
        <f t="array" ref="C385">_xlfn.IFS(A385&lt;20, "ภาคกลาง", A385&lt;30, "ภาคตะวันออก", A385&lt;50, "ภาคตะวันออกเฉียงเหนือ", A385&lt;60, "ภาคเหนือ", A385&lt;80, "ภาคกลาง/ตะวันตก", A385&gt;=80, "ภาคใต้")</f>
        <v>ภาคตะวันออก</v>
      </c>
      <c r="D385" s="64">
        <v>2197</v>
      </c>
      <c r="E385" s="10" t="s">
        <v>726</v>
      </c>
      <c r="F385" s="11">
        <v>3427</v>
      </c>
      <c r="G385" s="11">
        <v>3724</v>
      </c>
      <c r="H385" s="11">
        <v>7151</v>
      </c>
      <c r="I385" s="11">
        <v>3567</v>
      </c>
      <c r="J385" s="66">
        <f t="shared" si="22"/>
        <v>47.923367361208221</v>
      </c>
      <c r="K385" s="66">
        <f t="shared" si="23"/>
        <v>52.076632638791779</v>
      </c>
    </row>
    <row r="386" spans="1:11" ht="27.6" x14ac:dyDescent="0.3">
      <c r="A386" s="10">
        <v>21</v>
      </c>
      <c r="B386" s="10" t="s">
        <v>697</v>
      </c>
      <c r="C386" s="10" t="str" cm="1">
        <f t="array" ref="C386">_xlfn.IFS(A386&lt;20, "ภาคกลาง", A386&lt;30, "ภาคตะวันออก", A386&lt;50, "ภาคตะวันออกเฉียงเหนือ", A386&lt;60, "ภาคเหนือ", A386&lt;80, "ภาคกลาง/ตะวันตก", A386&gt;=80, "ภาคใต้")</f>
        <v>ภาคตะวันออก</v>
      </c>
      <c r="D386" s="64">
        <v>2198</v>
      </c>
      <c r="E386" s="10" t="s">
        <v>727</v>
      </c>
      <c r="F386" s="11">
        <v>39769</v>
      </c>
      <c r="G386" s="11">
        <v>40004</v>
      </c>
      <c r="H386" s="11">
        <v>79773</v>
      </c>
      <c r="I386" s="11">
        <v>69179</v>
      </c>
      <c r="J386" s="66">
        <f t="shared" si="22"/>
        <v>49.852707056272173</v>
      </c>
      <c r="K386" s="66">
        <f t="shared" si="23"/>
        <v>50.147292943727827</v>
      </c>
    </row>
    <row r="387" spans="1:11" x14ac:dyDescent="0.3">
      <c r="A387" s="10">
        <v>21</v>
      </c>
      <c r="B387" s="10" t="s">
        <v>697</v>
      </c>
      <c r="C387" s="10" t="str" cm="1">
        <f t="array" ref="C387">_xlfn.IFS(A387&lt;20, "ภาคกลาง", A387&lt;30, "ภาคตะวันออก", A387&lt;50, "ภาคตะวันออกเฉียงเหนือ", A387&lt;60, "ภาคเหนือ", A387&lt;80, "ภาคกลาง/ตะวันตก", A387&gt;=80, "ภาคใต้")</f>
        <v>ภาคตะวันออก</v>
      </c>
      <c r="D387" s="64">
        <v>2199</v>
      </c>
      <c r="E387" s="10" t="s">
        <v>728</v>
      </c>
      <c r="F387" s="11">
        <v>8647</v>
      </c>
      <c r="G387" s="11">
        <v>9695</v>
      </c>
      <c r="H387" s="11">
        <v>18342</v>
      </c>
      <c r="I387" s="11">
        <v>12071</v>
      </c>
      <c r="J387" s="66">
        <f t="shared" si="22"/>
        <v>47.143168683894885</v>
      </c>
      <c r="K387" s="66">
        <f t="shared" si="23"/>
        <v>52.856831316105115</v>
      </c>
    </row>
    <row r="388" spans="1:11" hidden="1" x14ac:dyDescent="0.3">
      <c r="A388" s="10">
        <v>21</v>
      </c>
      <c r="B388" s="10" t="s">
        <v>697</v>
      </c>
      <c r="C388" s="10" t="str" cm="1">
        <f t="array" ref="C388">_xlfn.IFS(A388&lt;20, "ภาคกลาง", A388&lt;30, "ภาคตะวันออก", A388&lt;50, "ภาคตะวันออกเฉียงเหนือ", A388&lt;60, "ภาคเหนือ", A388&lt;80, "ภาคกลาง/ตะวันตก", A388&gt;=80, "ภาคใต้")</f>
        <v>ภาคตะวันออก</v>
      </c>
      <c r="D388" s="10">
        <v>0</v>
      </c>
      <c r="E388" s="10" t="s">
        <v>343</v>
      </c>
      <c r="F388" s="11">
        <v>27409</v>
      </c>
      <c r="G388" s="11">
        <v>31205</v>
      </c>
      <c r="H388" s="11">
        <v>58614</v>
      </c>
      <c r="I388" s="11">
        <v>38537</v>
      </c>
      <c r="J388"/>
      <c r="K388"/>
    </row>
    <row r="389" spans="1:11" x14ac:dyDescent="0.3">
      <c r="A389" s="10">
        <v>22</v>
      </c>
      <c r="B389" s="10" t="s">
        <v>729</v>
      </c>
      <c r="C389" s="10" t="str" cm="1">
        <f t="array" ref="C389">_xlfn.IFS(A389&lt;20, "ภาคกลาง", A389&lt;30, "ภาคตะวันออก", A389&lt;50, "ภาคตะวันออกเฉียงเหนือ", A389&lt;60, "ภาคเหนือ", A389&lt;80, "ภาคกลาง/ตะวันตก", A389&gt;=80, "ภาคใต้")</f>
        <v>ภาคตะวันออก</v>
      </c>
      <c r="D389" s="64">
        <v>2201</v>
      </c>
      <c r="E389" s="10" t="s">
        <v>730</v>
      </c>
      <c r="F389" s="11">
        <v>261555</v>
      </c>
      <c r="G389" s="11">
        <v>274833</v>
      </c>
      <c r="H389" s="11">
        <v>536388</v>
      </c>
      <c r="I389" s="11">
        <v>261649</v>
      </c>
      <c r="J389" s="66">
        <f t="shared" ref="J389:J426" si="24">F389/H389*100</f>
        <v>48.762276560996895</v>
      </c>
      <c r="K389" s="66">
        <f t="shared" ref="K389:K426" si="25">G389/H389*100</f>
        <v>51.237723439003112</v>
      </c>
    </row>
    <row r="390" spans="1:11" x14ac:dyDescent="0.3">
      <c r="A390" s="10">
        <v>22</v>
      </c>
      <c r="B390" s="10" t="s">
        <v>729</v>
      </c>
      <c r="C390" s="10" t="str" cm="1">
        <f t="array" ref="C390">_xlfn.IFS(A390&lt;20, "ภาคกลาง", A390&lt;30, "ภาคตะวันออก", A390&lt;50, "ภาคตะวันออกเฉียงเหนือ", A390&lt;60, "ภาคเหนือ", A390&lt;80, "ภาคกลาง/ตะวันตก", A390&gt;=80, "ภาคใต้")</f>
        <v>ภาคตะวันออก</v>
      </c>
      <c r="D390" s="64">
        <v>2202</v>
      </c>
      <c r="E390" s="10" t="s">
        <v>731</v>
      </c>
      <c r="F390" s="11">
        <v>23026</v>
      </c>
      <c r="G390" s="11">
        <v>25609</v>
      </c>
      <c r="H390" s="11">
        <v>48635</v>
      </c>
      <c r="I390" s="11">
        <v>24450</v>
      </c>
      <c r="J390" s="66">
        <f t="shared" si="24"/>
        <v>47.344504986121109</v>
      </c>
      <c r="K390" s="66">
        <f t="shared" si="25"/>
        <v>52.655495013878891</v>
      </c>
    </row>
    <row r="391" spans="1:11" x14ac:dyDescent="0.3">
      <c r="A391" s="10">
        <v>22</v>
      </c>
      <c r="B391" s="10" t="s">
        <v>729</v>
      </c>
      <c r="C391" s="10" t="str" cm="1">
        <f t="array" ref="C391">_xlfn.IFS(A391&lt;20, "ภาคกลาง", A391&lt;30, "ภาคตะวันออก", A391&lt;50, "ภาคตะวันออกเฉียงเหนือ", A391&lt;60, "ภาคเหนือ", A391&lt;80, "ภาคกลาง/ตะวันตก", A391&gt;=80, "ภาคใต้")</f>
        <v>ภาคตะวันออก</v>
      </c>
      <c r="D391" s="64">
        <v>2203</v>
      </c>
      <c r="E391" s="10" t="s">
        <v>732</v>
      </c>
      <c r="F391" s="11">
        <v>12459</v>
      </c>
      <c r="G391" s="11">
        <v>13001</v>
      </c>
      <c r="H391" s="11">
        <v>25460</v>
      </c>
      <c r="I391" s="11">
        <v>10815</v>
      </c>
      <c r="J391" s="66">
        <f t="shared" si="24"/>
        <v>48.935585231736056</v>
      </c>
      <c r="K391" s="66">
        <f t="shared" si="25"/>
        <v>51.064414768263944</v>
      </c>
    </row>
    <row r="392" spans="1:11" x14ac:dyDescent="0.3">
      <c r="A392" s="10">
        <v>22</v>
      </c>
      <c r="B392" s="10" t="s">
        <v>729</v>
      </c>
      <c r="C392" s="10" t="str" cm="1">
        <f t="array" ref="C392">_xlfn.IFS(A392&lt;20, "ภาคกลาง", A392&lt;30, "ภาคตะวันออก", A392&lt;50, "ภาคตะวันออกเฉียงเหนือ", A392&lt;60, "ภาคเหนือ", A392&lt;80, "ภาคกลาง/ตะวันตก", A392&gt;=80, "ภาคใต้")</f>
        <v>ภาคตะวันออก</v>
      </c>
      <c r="D392" s="64">
        <v>2204</v>
      </c>
      <c r="E392" s="10" t="s">
        <v>733</v>
      </c>
      <c r="F392" s="11">
        <v>23241</v>
      </c>
      <c r="G392" s="11">
        <v>24302</v>
      </c>
      <c r="H392" s="11">
        <v>47543</v>
      </c>
      <c r="I392" s="11">
        <v>19239</v>
      </c>
      <c r="J392" s="66">
        <f t="shared" si="24"/>
        <v>48.884168016322064</v>
      </c>
      <c r="K392" s="66">
        <f t="shared" si="25"/>
        <v>51.115831983677928</v>
      </c>
    </row>
    <row r="393" spans="1:11" x14ac:dyDescent="0.3">
      <c r="A393" s="10">
        <v>22</v>
      </c>
      <c r="B393" s="10" t="s">
        <v>729</v>
      </c>
      <c r="C393" s="10" t="str" cm="1">
        <f t="array" ref="C393">_xlfn.IFS(A393&lt;20, "ภาคกลาง", A393&lt;30, "ภาคตะวันออก", A393&lt;50, "ภาคตะวันออกเฉียงเหนือ", A393&lt;60, "ภาคเหนือ", A393&lt;80, "ภาคกลาง/ตะวันตก", A393&gt;=80, "ภาคใต้")</f>
        <v>ภาคตะวันออก</v>
      </c>
      <c r="D393" s="64">
        <v>2205</v>
      </c>
      <c r="E393" s="10" t="s">
        <v>734</v>
      </c>
      <c r="F393" s="11">
        <v>11005</v>
      </c>
      <c r="G393" s="11">
        <v>10527</v>
      </c>
      <c r="H393" s="11">
        <v>21532</v>
      </c>
      <c r="I393" s="11">
        <v>9196</v>
      </c>
      <c r="J393" s="66">
        <f t="shared" si="24"/>
        <v>51.109975849897829</v>
      </c>
      <c r="K393" s="66">
        <f t="shared" si="25"/>
        <v>48.890024150102171</v>
      </c>
    </row>
    <row r="394" spans="1:11" x14ac:dyDescent="0.3">
      <c r="A394" s="10">
        <v>22</v>
      </c>
      <c r="B394" s="10" t="s">
        <v>729</v>
      </c>
      <c r="C394" s="10" t="str" cm="1">
        <f t="array" ref="C394">_xlfn.IFS(A394&lt;20, "ภาคกลาง", A394&lt;30, "ภาคตะวันออก", A394&lt;50, "ภาคตะวันออกเฉียงเหนือ", A394&lt;60, "ภาคเหนือ", A394&lt;80, "ภาคกลาง/ตะวันตก", A394&gt;=80, "ภาคใต้")</f>
        <v>ภาคตะวันออก</v>
      </c>
      <c r="D394" s="64">
        <v>2206</v>
      </c>
      <c r="E394" s="10" t="s">
        <v>735</v>
      </c>
      <c r="F394" s="11">
        <v>15269</v>
      </c>
      <c r="G394" s="11">
        <v>15915</v>
      </c>
      <c r="H394" s="11">
        <v>31184</v>
      </c>
      <c r="I394" s="11">
        <v>14383</v>
      </c>
      <c r="J394" s="66">
        <f t="shared" si="24"/>
        <v>48.964212416623909</v>
      </c>
      <c r="K394" s="66">
        <f t="shared" si="25"/>
        <v>51.035787583376091</v>
      </c>
    </row>
    <row r="395" spans="1:11" x14ac:dyDescent="0.3">
      <c r="A395" s="10">
        <v>22</v>
      </c>
      <c r="B395" s="10" t="s">
        <v>729</v>
      </c>
      <c r="C395" s="10" t="str" cm="1">
        <f t="array" ref="C395">_xlfn.IFS(A395&lt;20, "ภาคกลาง", A395&lt;30, "ภาคตะวันออก", A395&lt;50, "ภาคตะวันออกเฉียงเหนือ", A395&lt;60, "ภาคเหนือ", A395&lt;80, "ภาคกลาง/ตะวันตก", A395&gt;=80, "ภาคใต้")</f>
        <v>ภาคตะวันออก</v>
      </c>
      <c r="D395" s="64">
        <v>2207</v>
      </c>
      <c r="E395" s="10" t="s">
        <v>736</v>
      </c>
      <c r="F395" s="11">
        <v>6763</v>
      </c>
      <c r="G395" s="11">
        <v>7084</v>
      </c>
      <c r="H395" s="11">
        <v>13847</v>
      </c>
      <c r="I395" s="11">
        <v>5522</v>
      </c>
      <c r="J395" s="66">
        <f t="shared" si="24"/>
        <v>48.840904166967576</v>
      </c>
      <c r="K395" s="66">
        <f t="shared" si="25"/>
        <v>51.159095833032431</v>
      </c>
    </row>
    <row r="396" spans="1:11" x14ac:dyDescent="0.3">
      <c r="A396" s="10">
        <v>22</v>
      </c>
      <c r="B396" s="10" t="s">
        <v>729</v>
      </c>
      <c r="C396" s="10" t="str" cm="1">
        <f t="array" ref="C396">_xlfn.IFS(A396&lt;20, "ภาคกลาง", A396&lt;30, "ภาคตะวันออก", A396&lt;50, "ภาคตะวันออกเฉียงเหนือ", A396&lt;60, "ภาคเหนือ", A396&lt;80, "ภาคกลาง/ตะวันตก", A396&gt;=80, "ภาคใต้")</f>
        <v>ภาคตะวันออก</v>
      </c>
      <c r="D396" s="64">
        <v>2208</v>
      </c>
      <c r="E396" s="10" t="s">
        <v>737</v>
      </c>
      <c r="F396" s="11">
        <v>18607</v>
      </c>
      <c r="G396" s="11">
        <v>18346</v>
      </c>
      <c r="H396" s="11">
        <v>36953</v>
      </c>
      <c r="I396" s="11">
        <v>15547</v>
      </c>
      <c r="J396" s="66">
        <f t="shared" si="24"/>
        <v>50.353151300300382</v>
      </c>
      <c r="K396" s="66">
        <f t="shared" si="25"/>
        <v>49.646848699699618</v>
      </c>
    </row>
    <row r="397" spans="1:11" x14ac:dyDescent="0.3">
      <c r="A397" s="10">
        <v>22</v>
      </c>
      <c r="B397" s="10" t="s">
        <v>729</v>
      </c>
      <c r="C397" s="10" t="str" cm="1">
        <f t="array" ref="C397">_xlfn.IFS(A397&lt;20, "ภาคกลาง", A397&lt;30, "ภาคตะวันออก", A397&lt;50, "ภาคตะวันออกเฉียงเหนือ", A397&lt;60, "ภาคเหนือ", A397&lt;80, "ภาคกลาง/ตะวันตก", A397&gt;=80, "ภาคใต้")</f>
        <v>ภาคตะวันออก</v>
      </c>
      <c r="D397" s="64">
        <v>2209</v>
      </c>
      <c r="E397" s="10" t="s">
        <v>738</v>
      </c>
      <c r="F397" s="11">
        <v>21455</v>
      </c>
      <c r="G397" s="11">
        <v>21366</v>
      </c>
      <c r="H397" s="11">
        <v>42821</v>
      </c>
      <c r="I397" s="11">
        <v>22728</v>
      </c>
      <c r="J397" s="66">
        <f t="shared" si="24"/>
        <v>50.103920973354199</v>
      </c>
      <c r="K397" s="66">
        <f t="shared" si="25"/>
        <v>49.896079026645808</v>
      </c>
    </row>
    <row r="398" spans="1:11" x14ac:dyDescent="0.3">
      <c r="A398" s="10">
        <v>22</v>
      </c>
      <c r="B398" s="10" t="s">
        <v>729</v>
      </c>
      <c r="C398" s="10" t="str" cm="1">
        <f t="array" ref="C398">_xlfn.IFS(A398&lt;20, "ภาคกลาง", A398&lt;30, "ภาคตะวันออก", A398&lt;50, "ภาคตะวันออกเฉียงเหนือ", A398&lt;60, "ภาคเหนือ", A398&lt;80, "ภาคกลาง/ตะวันตก", A398&gt;=80, "ภาคใต้")</f>
        <v>ภาคตะวันออก</v>
      </c>
      <c r="D398" s="64">
        <v>2210</v>
      </c>
      <c r="E398" s="10" t="s">
        <v>739</v>
      </c>
      <c r="F398" s="11">
        <v>14890</v>
      </c>
      <c r="G398" s="11">
        <v>15938</v>
      </c>
      <c r="H398" s="11">
        <v>30828</v>
      </c>
      <c r="I398" s="11">
        <v>12712</v>
      </c>
      <c r="J398" s="66">
        <f t="shared" si="24"/>
        <v>48.300246529129367</v>
      </c>
      <c r="K398" s="66">
        <f t="shared" si="25"/>
        <v>51.699753470870633</v>
      </c>
    </row>
    <row r="399" spans="1:11" ht="27.6" x14ac:dyDescent="0.3">
      <c r="A399" s="10">
        <v>22</v>
      </c>
      <c r="B399" s="10" t="s">
        <v>729</v>
      </c>
      <c r="C399" s="10" t="str" cm="1">
        <f t="array" ref="C399">_xlfn.IFS(A399&lt;20, "ภาคกลาง", A399&lt;30, "ภาคตะวันออก", A399&lt;50, "ภาคตะวันออกเฉียงเหนือ", A399&lt;60, "ภาคเหนือ", A399&lt;80, "ภาคกลาง/ตะวันตก", A399&gt;=80, "ภาคใต้")</f>
        <v>ภาคตะวันออก</v>
      </c>
      <c r="D399" s="64">
        <v>2272</v>
      </c>
      <c r="E399" s="10" t="s">
        <v>740</v>
      </c>
      <c r="F399" s="11">
        <v>6325</v>
      </c>
      <c r="G399" s="11">
        <v>6530</v>
      </c>
      <c r="H399" s="11">
        <v>12855</v>
      </c>
      <c r="I399" s="11">
        <v>5863</v>
      </c>
      <c r="J399" s="66">
        <f t="shared" si="24"/>
        <v>49.202644885258657</v>
      </c>
      <c r="K399" s="66">
        <f t="shared" si="25"/>
        <v>50.79735511474135</v>
      </c>
    </row>
    <row r="400" spans="1:11" ht="27.6" x14ac:dyDescent="0.3">
      <c r="A400" s="10">
        <v>22</v>
      </c>
      <c r="B400" s="10" t="s">
        <v>729</v>
      </c>
      <c r="C400" s="10" t="str" cm="1">
        <f t="array" ref="C400">_xlfn.IFS(A400&lt;20, "ภาคกลาง", A400&lt;30, "ภาคตะวันออก", A400&lt;50, "ภาคตะวันออกเฉียงเหนือ", A400&lt;60, "ภาคเหนือ", A400&lt;80, "ภาคกลาง/ตะวันตก", A400&gt;=80, "ภาคใต้")</f>
        <v>ภาคตะวันออก</v>
      </c>
      <c r="D400" s="64">
        <v>2273</v>
      </c>
      <c r="E400" s="10" t="s">
        <v>741</v>
      </c>
      <c r="F400" s="11">
        <v>3061</v>
      </c>
      <c r="G400" s="11">
        <v>3218</v>
      </c>
      <c r="H400" s="11">
        <v>6279</v>
      </c>
      <c r="I400" s="11">
        <v>2658</v>
      </c>
      <c r="J400" s="66">
        <f t="shared" si="24"/>
        <v>48.749800923713963</v>
      </c>
      <c r="K400" s="66">
        <f t="shared" si="25"/>
        <v>51.25019907628603</v>
      </c>
    </row>
    <row r="401" spans="1:11" ht="27.6" x14ac:dyDescent="0.3">
      <c r="A401" s="10">
        <v>22</v>
      </c>
      <c r="B401" s="10" t="s">
        <v>729</v>
      </c>
      <c r="C401" s="10" t="str" cm="1">
        <f t="array" ref="C401">_xlfn.IFS(A401&lt;20, "ภาคกลาง", A401&lt;30, "ภาคตะวันออก", A401&lt;50, "ภาคตะวันออกเฉียงเหนือ", A401&lt;60, "ภาคเหนือ", A401&lt;80, "ภาคกลาง/ตะวันตก", A401&gt;=80, "ภาคใต้")</f>
        <v>ภาคตะวันออก</v>
      </c>
      <c r="D401" s="64">
        <v>2274</v>
      </c>
      <c r="E401" s="10" t="s">
        <v>742</v>
      </c>
      <c r="F401" s="11">
        <v>2698</v>
      </c>
      <c r="G401" s="11">
        <v>2710</v>
      </c>
      <c r="H401" s="11">
        <v>5408</v>
      </c>
      <c r="I401" s="11">
        <v>2192</v>
      </c>
      <c r="J401" s="66">
        <f t="shared" si="24"/>
        <v>49.889053254437869</v>
      </c>
      <c r="K401" s="66">
        <f t="shared" si="25"/>
        <v>50.110946745562131</v>
      </c>
    </row>
    <row r="402" spans="1:11" x14ac:dyDescent="0.3">
      <c r="A402" s="10">
        <v>22</v>
      </c>
      <c r="B402" s="10" t="s">
        <v>729</v>
      </c>
      <c r="C402" s="10" t="str" cm="1">
        <f t="array" ref="C402">_xlfn.IFS(A402&lt;20, "ภาคกลาง", A402&lt;30, "ภาคตะวันออก", A402&lt;50, "ภาคตะวันออกเฉียงเหนือ", A402&lt;60, "ภาคเหนือ", A402&lt;80, "ภาคกลาง/ตะวันตก", A402&gt;=80, "ภาคใต้")</f>
        <v>ภาคตะวันออก</v>
      </c>
      <c r="D402" s="64">
        <v>2275</v>
      </c>
      <c r="E402" s="10" t="s">
        <v>743</v>
      </c>
      <c r="F402" s="11">
        <v>5206</v>
      </c>
      <c r="G402" s="11">
        <v>4960</v>
      </c>
      <c r="H402" s="11">
        <v>10166</v>
      </c>
      <c r="I402" s="11">
        <v>4188</v>
      </c>
      <c r="J402" s="66">
        <f t="shared" si="24"/>
        <v>51.209915404288807</v>
      </c>
      <c r="K402" s="66">
        <f t="shared" si="25"/>
        <v>48.790084595711193</v>
      </c>
    </row>
    <row r="403" spans="1:11" ht="27.6" x14ac:dyDescent="0.3">
      <c r="A403" s="10">
        <v>22</v>
      </c>
      <c r="B403" s="10" t="s">
        <v>729</v>
      </c>
      <c r="C403" s="10" t="str" cm="1">
        <f t="array" ref="C403">_xlfn.IFS(A403&lt;20, "ภาคกลาง", A403&lt;30, "ภาคตะวันออก", A403&lt;50, "ภาคตะวันออกเฉียงเหนือ", A403&lt;60, "ภาคเหนือ", A403&lt;80, "ภาคกลาง/ตะวันตก", A403&gt;=80, "ภาคใต้")</f>
        <v>ภาคตะวันออก</v>
      </c>
      <c r="D403" s="64">
        <v>2276</v>
      </c>
      <c r="E403" s="10" t="s">
        <v>744</v>
      </c>
      <c r="F403" s="11">
        <v>1980</v>
      </c>
      <c r="G403" s="11">
        <v>2143</v>
      </c>
      <c r="H403" s="11">
        <v>4123</v>
      </c>
      <c r="I403" s="11">
        <v>1710</v>
      </c>
      <c r="J403" s="66">
        <f t="shared" si="24"/>
        <v>48.023284016492845</v>
      </c>
      <c r="K403" s="66">
        <f t="shared" si="25"/>
        <v>51.976715983507162</v>
      </c>
    </row>
    <row r="404" spans="1:11" x14ac:dyDescent="0.3">
      <c r="A404" s="10">
        <v>22</v>
      </c>
      <c r="B404" s="10" t="s">
        <v>729</v>
      </c>
      <c r="C404" s="10" t="str" cm="1">
        <f t="array" ref="C404">_xlfn.IFS(A404&lt;20, "ภาคกลาง", A404&lt;30, "ภาคตะวันออก", A404&lt;50, "ภาคตะวันออกเฉียงเหนือ", A404&lt;60, "ภาคเหนือ", A404&lt;80, "ภาคกลาง/ตะวันตก", A404&gt;=80, "ภาคใต้")</f>
        <v>ภาคตะวันออก</v>
      </c>
      <c r="D404" s="64">
        <v>2277</v>
      </c>
      <c r="E404" s="10" t="s">
        <v>745</v>
      </c>
      <c r="F404" s="11">
        <v>2152</v>
      </c>
      <c r="G404" s="11">
        <v>2503</v>
      </c>
      <c r="H404" s="11">
        <v>4655</v>
      </c>
      <c r="I404" s="11">
        <v>2384</v>
      </c>
      <c r="J404" s="66">
        <f t="shared" si="24"/>
        <v>46.229860365198711</v>
      </c>
      <c r="K404" s="66">
        <f t="shared" si="25"/>
        <v>53.770139634801282</v>
      </c>
    </row>
    <row r="405" spans="1:11" ht="27.6" x14ac:dyDescent="0.3">
      <c r="A405" s="10">
        <v>22</v>
      </c>
      <c r="B405" s="10" t="s">
        <v>729</v>
      </c>
      <c r="C405" s="10" t="str" cm="1">
        <f t="array" ref="C405">_xlfn.IFS(A405&lt;20, "ภาคกลาง", A405&lt;30, "ภาคตะวันออก", A405&lt;50, "ภาคตะวันออกเฉียงเหนือ", A405&lt;60, "ภาคเหนือ", A405&lt;80, "ภาคกลาง/ตะวันตก", A405&gt;=80, "ภาคใต้")</f>
        <v>ภาคตะวันออก</v>
      </c>
      <c r="D405" s="64">
        <v>2278</v>
      </c>
      <c r="E405" s="10" t="s">
        <v>746</v>
      </c>
      <c r="F405" s="11">
        <v>3443</v>
      </c>
      <c r="G405" s="11">
        <v>3621</v>
      </c>
      <c r="H405" s="11">
        <v>7064</v>
      </c>
      <c r="I405" s="11">
        <v>2912</v>
      </c>
      <c r="J405" s="66">
        <f t="shared" si="24"/>
        <v>48.740090600226502</v>
      </c>
      <c r="K405" s="66">
        <f t="shared" si="25"/>
        <v>51.259909399773498</v>
      </c>
    </row>
    <row r="406" spans="1:11" ht="27.6" x14ac:dyDescent="0.3">
      <c r="A406" s="10">
        <v>22</v>
      </c>
      <c r="B406" s="10" t="s">
        <v>729</v>
      </c>
      <c r="C406" s="10" t="str" cm="1">
        <f t="array" ref="C406">_xlfn.IFS(A406&lt;20, "ภาคกลาง", A406&lt;30, "ภาคตะวันออก", A406&lt;50, "ภาคตะวันออกเฉียงเหนือ", A406&lt;60, "ภาคเหนือ", A406&lt;80, "ภาคกลาง/ตะวันตก", A406&gt;=80, "ภาคใต้")</f>
        <v>ภาคตะวันออก</v>
      </c>
      <c r="D406" s="64">
        <v>2279</v>
      </c>
      <c r="E406" s="10" t="s">
        <v>747</v>
      </c>
      <c r="F406" s="11">
        <v>2133</v>
      </c>
      <c r="G406" s="11">
        <v>2259</v>
      </c>
      <c r="H406" s="11">
        <v>4392</v>
      </c>
      <c r="I406" s="11">
        <v>1974</v>
      </c>
      <c r="J406" s="66">
        <f t="shared" si="24"/>
        <v>48.565573770491802</v>
      </c>
      <c r="K406" s="66">
        <f t="shared" si="25"/>
        <v>51.434426229508205</v>
      </c>
    </row>
    <row r="407" spans="1:11" ht="27.6" x14ac:dyDescent="0.3">
      <c r="A407" s="10">
        <v>22</v>
      </c>
      <c r="B407" s="10" t="s">
        <v>729</v>
      </c>
      <c r="C407" s="10" t="str" cm="1">
        <f t="array" ref="C407">_xlfn.IFS(A407&lt;20, "ภาคกลาง", A407&lt;30, "ภาคตะวันออก", A407&lt;50, "ภาคตะวันออกเฉียงเหนือ", A407&lt;60, "ภาคเหนือ", A407&lt;80, "ภาคกลาง/ตะวันตก", A407&gt;=80, "ภาคใต้")</f>
        <v>ภาคตะวันออก</v>
      </c>
      <c r="D407" s="64">
        <v>2280</v>
      </c>
      <c r="E407" s="10" t="s">
        <v>748</v>
      </c>
      <c r="F407" s="11">
        <v>2388</v>
      </c>
      <c r="G407" s="11">
        <v>2354</v>
      </c>
      <c r="H407" s="11">
        <v>4742</v>
      </c>
      <c r="I407" s="11">
        <v>1931</v>
      </c>
      <c r="J407" s="66">
        <f t="shared" si="24"/>
        <v>50.35849852382961</v>
      </c>
      <c r="K407" s="66">
        <f t="shared" si="25"/>
        <v>49.64150147617039</v>
      </c>
    </row>
    <row r="408" spans="1:11" x14ac:dyDescent="0.3">
      <c r="A408" s="10">
        <v>22</v>
      </c>
      <c r="B408" s="10" t="s">
        <v>729</v>
      </c>
      <c r="C408" s="10" t="str" cm="1">
        <f t="array" ref="C408">_xlfn.IFS(A408&lt;20, "ภาคกลาง", A408&lt;30, "ภาคตะวันออก", A408&lt;50, "ภาคตะวันออกเฉียงเหนือ", A408&lt;60, "ภาคเหนือ", A408&lt;80, "ภาคกลาง/ตะวันตก", A408&gt;=80, "ภาคใต้")</f>
        <v>ภาคตะวันออก</v>
      </c>
      <c r="D408" s="64">
        <v>2281</v>
      </c>
      <c r="E408" s="10" t="s">
        <v>749</v>
      </c>
      <c r="F408" s="11">
        <v>8557</v>
      </c>
      <c r="G408" s="11">
        <v>9548</v>
      </c>
      <c r="H408" s="11">
        <v>18105</v>
      </c>
      <c r="I408" s="11">
        <v>9022</v>
      </c>
      <c r="J408" s="66">
        <f t="shared" si="24"/>
        <v>47.263186964926817</v>
      </c>
      <c r="K408" s="66">
        <f t="shared" si="25"/>
        <v>52.736813035073183</v>
      </c>
    </row>
    <row r="409" spans="1:11" x14ac:dyDescent="0.3">
      <c r="A409" s="10">
        <v>22</v>
      </c>
      <c r="B409" s="10" t="s">
        <v>729</v>
      </c>
      <c r="C409" s="10" t="str" cm="1">
        <f t="array" ref="C409">_xlfn.IFS(A409&lt;20, "ภาคกลาง", A409&lt;30, "ภาคตะวันออก", A409&lt;50, "ภาคตะวันออกเฉียงเหนือ", A409&lt;60, "ภาคเหนือ", A409&lt;80, "ภาคกลาง/ตะวันตก", A409&gt;=80, "ภาคใต้")</f>
        <v>ภาคตะวันออก</v>
      </c>
      <c r="D409" s="64">
        <v>2282</v>
      </c>
      <c r="E409" s="10" t="s">
        <v>750</v>
      </c>
      <c r="F409" s="11">
        <v>2269</v>
      </c>
      <c r="G409" s="11">
        <v>2118</v>
      </c>
      <c r="H409" s="11">
        <v>4387</v>
      </c>
      <c r="I409" s="11">
        <v>2720</v>
      </c>
      <c r="J409" s="66">
        <f t="shared" si="24"/>
        <v>51.720993845452476</v>
      </c>
      <c r="K409" s="66">
        <f t="shared" si="25"/>
        <v>48.279006154547524</v>
      </c>
    </row>
    <row r="410" spans="1:11" x14ac:dyDescent="0.3">
      <c r="A410" s="10">
        <v>22</v>
      </c>
      <c r="B410" s="10" t="s">
        <v>729</v>
      </c>
      <c r="C410" s="10" t="str" cm="1">
        <f t="array" ref="C410">_xlfn.IFS(A410&lt;20, "ภาคกลาง", A410&lt;30, "ภาคตะวันออก", A410&lt;50, "ภาคตะวันออกเฉียงเหนือ", A410&lt;60, "ภาคเหนือ", A410&lt;80, "ภาคกลาง/ตะวันตก", A410&gt;=80, "ภาคใต้")</f>
        <v>ภาคตะวันออก</v>
      </c>
      <c r="D410" s="64">
        <v>2283</v>
      </c>
      <c r="E410" s="10" t="s">
        <v>751</v>
      </c>
      <c r="F410" s="11">
        <v>3576</v>
      </c>
      <c r="G410" s="11">
        <v>3776</v>
      </c>
      <c r="H410" s="11">
        <v>7352</v>
      </c>
      <c r="I410" s="11">
        <v>4364</v>
      </c>
      <c r="J410" s="66">
        <f t="shared" si="24"/>
        <v>48.639825897714907</v>
      </c>
      <c r="K410" s="66">
        <f t="shared" si="25"/>
        <v>51.360174102285093</v>
      </c>
    </row>
    <row r="411" spans="1:11" ht="27.6" x14ac:dyDescent="0.3">
      <c r="A411" s="10">
        <v>22</v>
      </c>
      <c r="B411" s="10" t="s">
        <v>729</v>
      </c>
      <c r="C411" s="10" t="str" cm="1">
        <f t="array" ref="C411">_xlfn.IFS(A411&lt;20, "ภาคกลาง", A411&lt;30, "ภาคตะวันออก", A411&lt;50, "ภาคตะวันออกเฉียงเหนือ", A411&lt;60, "ภาคเหนือ", A411&lt;80, "ภาคกลาง/ตะวันตก", A411&gt;=80, "ภาคใต้")</f>
        <v>ภาคตะวันออก</v>
      </c>
      <c r="D411" s="64">
        <v>2284</v>
      </c>
      <c r="E411" s="10" t="s">
        <v>752</v>
      </c>
      <c r="F411" s="11">
        <v>8098</v>
      </c>
      <c r="G411" s="11">
        <v>8078</v>
      </c>
      <c r="H411" s="11">
        <v>16176</v>
      </c>
      <c r="I411" s="11">
        <v>6331</v>
      </c>
      <c r="J411" s="66">
        <f t="shared" si="24"/>
        <v>50.061819980217606</v>
      </c>
      <c r="K411" s="66">
        <f t="shared" si="25"/>
        <v>49.938180019782394</v>
      </c>
    </row>
    <row r="412" spans="1:11" x14ac:dyDescent="0.3">
      <c r="A412" s="10">
        <v>22</v>
      </c>
      <c r="B412" s="10" t="s">
        <v>729</v>
      </c>
      <c r="C412" s="10" t="str" cm="1">
        <f t="array" ref="C412">_xlfn.IFS(A412&lt;20, "ภาคกลาง", A412&lt;30, "ภาคตะวันออก", A412&lt;50, "ภาคตะวันออกเฉียงเหนือ", A412&lt;60, "ภาคเหนือ", A412&lt;80, "ภาคกลาง/ตะวันตก", A412&gt;=80, "ภาคใต้")</f>
        <v>ภาคตะวันออก</v>
      </c>
      <c r="D412" s="64">
        <v>2285</v>
      </c>
      <c r="E412" s="10" t="s">
        <v>753</v>
      </c>
      <c r="F412" s="11">
        <v>1605</v>
      </c>
      <c r="G412" s="11">
        <v>1796</v>
      </c>
      <c r="H412" s="11">
        <v>3401</v>
      </c>
      <c r="I412" s="11">
        <v>2034</v>
      </c>
      <c r="J412" s="66">
        <f t="shared" si="24"/>
        <v>47.192002352249339</v>
      </c>
      <c r="K412" s="66">
        <f t="shared" si="25"/>
        <v>52.807997647750661</v>
      </c>
    </row>
    <row r="413" spans="1:11" x14ac:dyDescent="0.3">
      <c r="A413" s="10">
        <v>22</v>
      </c>
      <c r="B413" s="10" t="s">
        <v>729</v>
      </c>
      <c r="C413" s="10" t="str" cm="1">
        <f t="array" ref="C413">_xlfn.IFS(A413&lt;20, "ภาคกลาง", A413&lt;30, "ภาคตะวันออก", A413&lt;50, "ภาคตะวันออกเฉียงเหนือ", A413&lt;60, "ภาคเหนือ", A413&lt;80, "ภาคกลาง/ตะวันตก", A413&gt;=80, "ภาคใต้")</f>
        <v>ภาคตะวันออก</v>
      </c>
      <c r="D413" s="64">
        <v>2286</v>
      </c>
      <c r="E413" s="10" t="s">
        <v>754</v>
      </c>
      <c r="F413" s="11">
        <v>5505</v>
      </c>
      <c r="G413" s="11">
        <v>5703</v>
      </c>
      <c r="H413" s="11">
        <v>11208</v>
      </c>
      <c r="I413" s="11">
        <v>6611</v>
      </c>
      <c r="J413" s="66">
        <f t="shared" si="24"/>
        <v>49.116702355460383</v>
      </c>
      <c r="K413" s="66">
        <f t="shared" si="25"/>
        <v>50.883297644539617</v>
      </c>
    </row>
    <row r="414" spans="1:11" ht="27.6" x14ac:dyDescent="0.3">
      <c r="A414" s="10">
        <v>22</v>
      </c>
      <c r="B414" s="10" t="s">
        <v>729</v>
      </c>
      <c r="C414" s="10" t="str" cm="1">
        <f t="array" ref="C414">_xlfn.IFS(A414&lt;20, "ภาคกลาง", A414&lt;30, "ภาคตะวันออก", A414&lt;50, "ภาคตะวันออกเฉียงเหนือ", A414&lt;60, "ภาคเหนือ", A414&lt;80, "ภาคกลาง/ตะวันตก", A414&gt;=80, "ภาคใต้")</f>
        <v>ภาคตะวันออก</v>
      </c>
      <c r="D414" s="64">
        <v>2287</v>
      </c>
      <c r="E414" s="10" t="s">
        <v>755</v>
      </c>
      <c r="F414" s="11">
        <v>3198</v>
      </c>
      <c r="G414" s="11">
        <v>3687</v>
      </c>
      <c r="H414" s="11">
        <v>6885</v>
      </c>
      <c r="I414" s="11">
        <v>3243</v>
      </c>
      <c r="J414" s="66">
        <f t="shared" si="24"/>
        <v>46.448801742919386</v>
      </c>
      <c r="K414" s="66">
        <f t="shared" si="25"/>
        <v>53.551198257080614</v>
      </c>
    </row>
    <row r="415" spans="1:11" x14ac:dyDescent="0.3">
      <c r="A415" s="10">
        <v>22</v>
      </c>
      <c r="B415" s="10" t="s">
        <v>729</v>
      </c>
      <c r="C415" s="10" t="str" cm="1">
        <f t="array" ref="C415">_xlfn.IFS(A415&lt;20, "ภาคกลาง", A415&lt;30, "ภาคตะวันออก", A415&lt;50, "ภาคตะวันออกเฉียงเหนือ", A415&lt;60, "ภาคเหนือ", A415&lt;80, "ภาคกลาง/ตะวันตก", A415&gt;=80, "ภาคใต้")</f>
        <v>ภาคตะวันออก</v>
      </c>
      <c r="D415" s="64">
        <v>2288</v>
      </c>
      <c r="E415" s="10" t="s">
        <v>756</v>
      </c>
      <c r="F415" s="11">
        <v>4108</v>
      </c>
      <c r="G415" s="11">
        <v>4368</v>
      </c>
      <c r="H415" s="11">
        <v>8476</v>
      </c>
      <c r="I415" s="11">
        <v>3543</v>
      </c>
      <c r="J415" s="66">
        <f t="shared" si="24"/>
        <v>48.466257668711656</v>
      </c>
      <c r="K415" s="66">
        <f t="shared" si="25"/>
        <v>51.533742331288344</v>
      </c>
    </row>
    <row r="416" spans="1:11" ht="27.6" x14ac:dyDescent="0.3">
      <c r="A416" s="10">
        <v>22</v>
      </c>
      <c r="B416" s="10" t="s">
        <v>729</v>
      </c>
      <c r="C416" s="10" t="str" cm="1">
        <f t="array" ref="C416">_xlfn.IFS(A416&lt;20, "ภาคกลาง", A416&lt;30, "ภาคตะวันออก", A416&lt;50, "ภาคตะวันออกเฉียงเหนือ", A416&lt;60, "ภาคเหนือ", A416&lt;80, "ภาคกลาง/ตะวันตก", A416&gt;=80, "ภาคใต้")</f>
        <v>ภาคตะวันออก</v>
      </c>
      <c r="D416" s="64">
        <v>2289</v>
      </c>
      <c r="E416" s="10" t="s">
        <v>757</v>
      </c>
      <c r="F416" s="10">
        <v>784</v>
      </c>
      <c r="G416" s="10">
        <v>897</v>
      </c>
      <c r="H416" s="11">
        <v>1681</v>
      </c>
      <c r="I416" s="11">
        <v>1041</v>
      </c>
      <c r="J416" s="66">
        <f t="shared" si="24"/>
        <v>46.638905413444377</v>
      </c>
      <c r="K416" s="66">
        <f t="shared" si="25"/>
        <v>53.361094586555623</v>
      </c>
    </row>
    <row r="417" spans="1:11" ht="27.6" x14ac:dyDescent="0.3">
      <c r="A417" s="10">
        <v>22</v>
      </c>
      <c r="B417" s="10" t="s">
        <v>729</v>
      </c>
      <c r="C417" s="10" t="str" cm="1">
        <f t="array" ref="C417">_xlfn.IFS(A417&lt;20, "ภาคกลาง", A417&lt;30, "ภาคตะวันออก", A417&lt;50, "ภาคตะวันออกเฉียงเหนือ", A417&lt;60, "ภาคเหนือ", A417&lt;80, "ภาคกลาง/ตะวันตก", A417&gt;=80, "ภาคใต้")</f>
        <v>ภาคตะวันออก</v>
      </c>
      <c r="D417" s="64">
        <v>2290</v>
      </c>
      <c r="E417" s="10" t="s">
        <v>758</v>
      </c>
      <c r="F417" s="11">
        <v>5129</v>
      </c>
      <c r="G417" s="11">
        <v>4292</v>
      </c>
      <c r="H417" s="11">
        <v>9421</v>
      </c>
      <c r="I417" s="11">
        <v>4492</v>
      </c>
      <c r="J417" s="66">
        <f t="shared" si="24"/>
        <v>54.442203587729544</v>
      </c>
      <c r="K417" s="66">
        <f t="shared" si="25"/>
        <v>45.557796412270456</v>
      </c>
    </row>
    <row r="418" spans="1:11" x14ac:dyDescent="0.3">
      <c r="A418" s="10">
        <v>22</v>
      </c>
      <c r="B418" s="10" t="s">
        <v>729</v>
      </c>
      <c r="C418" s="10" t="str" cm="1">
        <f t="array" ref="C418">_xlfn.IFS(A418&lt;20, "ภาคกลาง", A418&lt;30, "ภาคตะวันออก", A418&lt;50, "ภาคตะวันออกเฉียงเหนือ", A418&lt;60, "ภาคเหนือ", A418&lt;80, "ภาคกลาง/ตะวันตก", A418&gt;=80, "ภาคใต้")</f>
        <v>ภาคตะวันออก</v>
      </c>
      <c r="D418" s="64">
        <v>2291</v>
      </c>
      <c r="E418" s="10" t="s">
        <v>759</v>
      </c>
      <c r="F418" s="11">
        <v>1752</v>
      </c>
      <c r="G418" s="11">
        <v>1963</v>
      </c>
      <c r="H418" s="11">
        <v>3715</v>
      </c>
      <c r="I418" s="11">
        <v>2249</v>
      </c>
      <c r="J418" s="66">
        <f t="shared" si="24"/>
        <v>47.160161507402421</v>
      </c>
      <c r="K418" s="66">
        <f t="shared" si="25"/>
        <v>52.839838492597579</v>
      </c>
    </row>
    <row r="419" spans="1:11" x14ac:dyDescent="0.3">
      <c r="A419" s="10">
        <v>22</v>
      </c>
      <c r="B419" s="10" t="s">
        <v>729</v>
      </c>
      <c r="C419" s="10" t="str" cm="1">
        <f t="array" ref="C419">_xlfn.IFS(A419&lt;20, "ภาคกลาง", A419&lt;30, "ภาคตะวันออก", A419&lt;50, "ภาคตะวันออกเฉียงเหนือ", A419&lt;60, "ภาคเหนือ", A419&lt;80, "ภาคกลาง/ตะวันตก", A419&gt;=80, "ภาคใต้")</f>
        <v>ภาคตะวันออก</v>
      </c>
      <c r="D419" s="64">
        <v>2292</v>
      </c>
      <c r="E419" s="10" t="s">
        <v>760</v>
      </c>
      <c r="F419" s="11">
        <v>1481</v>
      </c>
      <c r="G419" s="11">
        <v>1567</v>
      </c>
      <c r="H419" s="11">
        <v>3048</v>
      </c>
      <c r="I419" s="11">
        <v>1789</v>
      </c>
      <c r="J419" s="66">
        <f t="shared" si="24"/>
        <v>48.589238845144358</v>
      </c>
      <c r="K419" s="66">
        <f t="shared" si="25"/>
        <v>51.410761154855642</v>
      </c>
    </row>
    <row r="420" spans="1:11" ht="27.6" x14ac:dyDescent="0.3">
      <c r="A420" s="10">
        <v>22</v>
      </c>
      <c r="B420" s="10" t="s">
        <v>729</v>
      </c>
      <c r="C420" s="10" t="str" cm="1">
        <f t="array" ref="C420">_xlfn.IFS(A420&lt;20, "ภาคกลาง", A420&lt;30, "ภาคตะวันออก", A420&lt;50, "ภาคตะวันออกเฉียงเหนือ", A420&lt;60, "ภาคเหนือ", A420&lt;80, "ภาคกลาง/ตะวันตก", A420&gt;=80, "ภาคใต้")</f>
        <v>ภาคตะวันออก</v>
      </c>
      <c r="D420" s="64">
        <v>2293</v>
      </c>
      <c r="E420" s="10" t="s">
        <v>761</v>
      </c>
      <c r="F420" s="10">
        <v>998</v>
      </c>
      <c r="G420" s="11">
        <v>1152</v>
      </c>
      <c r="H420" s="11">
        <v>2150</v>
      </c>
      <c r="I420" s="10">
        <v>992</v>
      </c>
      <c r="J420" s="66">
        <f t="shared" si="24"/>
        <v>46.418604651162795</v>
      </c>
      <c r="K420" s="66">
        <f t="shared" si="25"/>
        <v>53.581395348837212</v>
      </c>
    </row>
    <row r="421" spans="1:11" ht="27.6" x14ac:dyDescent="0.3">
      <c r="A421" s="10">
        <v>22</v>
      </c>
      <c r="B421" s="10" t="s">
        <v>729</v>
      </c>
      <c r="C421" s="10" t="str" cm="1">
        <f t="array" ref="C421">_xlfn.IFS(A421&lt;20, "ภาคกลาง", A421&lt;30, "ภาคตะวันออก", A421&lt;50, "ภาคตะวันออกเฉียงเหนือ", A421&lt;60, "ภาคเหนือ", A421&lt;80, "ภาคกลาง/ตะวันตก", A421&gt;=80, "ภาคใต้")</f>
        <v>ภาคตะวันออก</v>
      </c>
      <c r="D421" s="64">
        <v>2294</v>
      </c>
      <c r="E421" s="10" t="s">
        <v>762</v>
      </c>
      <c r="F421" s="11">
        <v>4859</v>
      </c>
      <c r="G421" s="11">
        <v>5430</v>
      </c>
      <c r="H421" s="11">
        <v>10289</v>
      </c>
      <c r="I421" s="11">
        <v>6832</v>
      </c>
      <c r="J421" s="66">
        <f t="shared" si="24"/>
        <v>47.225191952570704</v>
      </c>
      <c r="K421" s="66">
        <f t="shared" si="25"/>
        <v>52.774808047429289</v>
      </c>
    </row>
    <row r="422" spans="1:11" x14ac:dyDescent="0.3">
      <c r="A422" s="10">
        <v>22</v>
      </c>
      <c r="B422" s="10" t="s">
        <v>729</v>
      </c>
      <c r="C422" s="10" t="str" cm="1">
        <f t="array" ref="C422">_xlfn.IFS(A422&lt;20, "ภาคกลาง", A422&lt;30, "ภาคตะวันออก", A422&lt;50, "ภาคตะวันออกเฉียงเหนือ", A422&lt;60, "ภาคเหนือ", A422&lt;80, "ภาคกลาง/ตะวันตก", A422&gt;=80, "ภาคใต้")</f>
        <v>ภาคตะวันออก</v>
      </c>
      <c r="D422" s="64">
        <v>2295</v>
      </c>
      <c r="E422" s="10" t="s">
        <v>763</v>
      </c>
      <c r="F422" s="11">
        <v>2474</v>
      </c>
      <c r="G422" s="11">
        <v>2669</v>
      </c>
      <c r="H422" s="11">
        <v>5143</v>
      </c>
      <c r="I422" s="11">
        <v>2333</v>
      </c>
      <c r="J422" s="66">
        <f t="shared" si="24"/>
        <v>48.104219327240912</v>
      </c>
      <c r="K422" s="66">
        <f t="shared" si="25"/>
        <v>51.895780672759095</v>
      </c>
    </row>
    <row r="423" spans="1:11" x14ac:dyDescent="0.3">
      <c r="A423" s="10">
        <v>22</v>
      </c>
      <c r="B423" s="10" t="s">
        <v>729</v>
      </c>
      <c r="C423" s="10" t="str" cm="1">
        <f t="array" ref="C423">_xlfn.IFS(A423&lt;20, "ภาคกลาง", A423&lt;30, "ภาคตะวันออก", A423&lt;50, "ภาคตะวันออกเฉียงเหนือ", A423&lt;60, "ภาคเหนือ", A423&lt;80, "ภาคกลาง/ตะวันตก", A423&gt;=80, "ภาคใต้")</f>
        <v>ภาคตะวันออก</v>
      </c>
      <c r="D423" s="64">
        <v>2296</v>
      </c>
      <c r="E423" s="10" t="s">
        <v>764</v>
      </c>
      <c r="F423" s="11">
        <v>6468</v>
      </c>
      <c r="G423" s="11">
        <v>7637</v>
      </c>
      <c r="H423" s="11">
        <v>14105</v>
      </c>
      <c r="I423" s="11">
        <v>11403</v>
      </c>
      <c r="J423" s="66">
        <f t="shared" si="24"/>
        <v>45.856079404466499</v>
      </c>
      <c r="K423" s="66">
        <f t="shared" si="25"/>
        <v>54.143920595533501</v>
      </c>
    </row>
    <row r="424" spans="1:11" x14ac:dyDescent="0.3">
      <c r="A424" s="10">
        <v>22</v>
      </c>
      <c r="B424" s="10" t="s">
        <v>729</v>
      </c>
      <c r="C424" s="10" t="str" cm="1">
        <f t="array" ref="C424">_xlfn.IFS(A424&lt;20, "ภาคกลาง", A424&lt;30, "ภาคตะวันออก", A424&lt;50, "ภาคตะวันออกเฉียงเหนือ", A424&lt;60, "ภาคเหนือ", A424&lt;80, "ภาคกลาง/ตะวันตก", A424&gt;=80, "ภาคใต้")</f>
        <v>ภาคตะวันออก</v>
      </c>
      <c r="D424" s="64">
        <v>2297</v>
      </c>
      <c r="E424" s="10" t="s">
        <v>765</v>
      </c>
      <c r="F424" s="11">
        <v>5342</v>
      </c>
      <c r="G424" s="11">
        <v>6103</v>
      </c>
      <c r="H424" s="11">
        <v>11445</v>
      </c>
      <c r="I424" s="11">
        <v>8015</v>
      </c>
      <c r="J424" s="66">
        <f t="shared" si="24"/>
        <v>46.675404106596766</v>
      </c>
      <c r="K424" s="66">
        <f t="shared" si="25"/>
        <v>53.324595893403234</v>
      </c>
    </row>
    <row r="425" spans="1:11" x14ac:dyDescent="0.3">
      <c r="A425" s="10">
        <v>22</v>
      </c>
      <c r="B425" s="10" t="s">
        <v>729</v>
      </c>
      <c r="C425" s="10" t="str" cm="1">
        <f t="array" ref="C425">_xlfn.IFS(A425&lt;20, "ภาคกลาง", A425&lt;30, "ภาคตะวันออก", A425&lt;50, "ภาคตะวันออกเฉียงเหนือ", A425&lt;60, "ภาคเหนือ", A425&lt;80, "ภาคกลาง/ตะวันตก", A425&gt;=80, "ภาคใต้")</f>
        <v>ภาคตะวันออก</v>
      </c>
      <c r="D425" s="64">
        <v>2298</v>
      </c>
      <c r="E425" s="10" t="s">
        <v>766</v>
      </c>
      <c r="F425" s="11">
        <v>4701</v>
      </c>
      <c r="G425" s="11">
        <v>5359</v>
      </c>
      <c r="H425" s="11">
        <v>10060</v>
      </c>
      <c r="I425" s="11">
        <v>4339</v>
      </c>
      <c r="J425" s="66">
        <f t="shared" si="24"/>
        <v>46.729622266401591</v>
      </c>
      <c r="K425" s="66">
        <f t="shared" si="25"/>
        <v>53.270377733598409</v>
      </c>
    </row>
    <row r="426" spans="1:11" x14ac:dyDescent="0.3">
      <c r="A426" s="10">
        <v>22</v>
      </c>
      <c r="B426" s="10" t="s">
        <v>729</v>
      </c>
      <c r="C426" s="10" t="str" cm="1">
        <f t="array" ref="C426">_xlfn.IFS(A426&lt;20, "ภาคกลาง", A426&lt;30, "ภาคตะวันออก", A426&lt;50, "ภาคตะวันออกเฉียงเหนือ", A426&lt;60, "ภาคเหนือ", A426&lt;80, "ภาคกลาง/ตะวันตก", A426&gt;=80, "ภาคใต้")</f>
        <v>ภาคตะวันออก</v>
      </c>
      <c r="D426" s="64">
        <v>2299</v>
      </c>
      <c r="E426" s="10" t="s">
        <v>767</v>
      </c>
      <c r="F426" s="11">
        <v>4611</v>
      </c>
      <c r="G426" s="11">
        <v>5299</v>
      </c>
      <c r="H426" s="11">
        <v>9910</v>
      </c>
      <c r="I426" s="11">
        <v>4826</v>
      </c>
      <c r="J426" s="66">
        <f t="shared" si="24"/>
        <v>46.52875882946519</v>
      </c>
      <c r="K426" s="66">
        <f t="shared" si="25"/>
        <v>53.47124117053481</v>
      </c>
    </row>
    <row r="427" spans="1:11" hidden="1" x14ac:dyDescent="0.3">
      <c r="A427" s="10">
        <v>22</v>
      </c>
      <c r="B427" s="10" t="s">
        <v>729</v>
      </c>
      <c r="C427" s="10" t="str" cm="1">
        <f t="array" ref="C427">_xlfn.IFS(A427&lt;20, "ภาคกลาง", A427&lt;30, "ภาคตะวันออก", A427&lt;50, "ภาคตะวันออกเฉียงเหนือ", A427&lt;60, "ภาคเหนือ", A427&lt;80, "ภาคกลาง/ตะวันตก", A427&gt;=80, "ภาคใต้")</f>
        <v>ภาคตะวันออก</v>
      </c>
      <c r="D427" s="10">
        <v>0</v>
      </c>
      <c r="E427" s="10" t="s">
        <v>343</v>
      </c>
      <c r="F427" s="11">
        <v>9939</v>
      </c>
      <c r="G427" s="11">
        <v>11005</v>
      </c>
      <c r="H427" s="11">
        <v>20944</v>
      </c>
      <c r="I427" s="11">
        <v>15066</v>
      </c>
      <c r="J427"/>
      <c r="K427"/>
    </row>
    <row r="428" spans="1:11" x14ac:dyDescent="0.3">
      <c r="A428" s="10">
        <v>23</v>
      </c>
      <c r="B428" s="10" t="s">
        <v>768</v>
      </c>
      <c r="C428" s="10" t="str" cm="1">
        <f t="array" ref="C428">_xlfn.IFS(A428&lt;20, "ภาคกลาง", A428&lt;30, "ภาคตะวันออก", A428&lt;50, "ภาคตะวันออกเฉียงเหนือ", A428&lt;60, "ภาคเหนือ", A428&lt;80, "ภาคกลาง/ตะวันตก", A428&gt;=80, "ภาคใต้")</f>
        <v>ภาคตะวันออก</v>
      </c>
      <c r="D428" s="64">
        <v>2301</v>
      </c>
      <c r="E428" s="10" t="s">
        <v>769</v>
      </c>
      <c r="F428" s="11">
        <v>111893</v>
      </c>
      <c r="G428" s="11">
        <v>114624</v>
      </c>
      <c r="H428" s="11">
        <v>226517</v>
      </c>
      <c r="I428" s="11">
        <v>114393</v>
      </c>
      <c r="J428" s="66">
        <f t="shared" ref="J428:J445" si="26">F428/H428*100</f>
        <v>49.397175487932472</v>
      </c>
      <c r="K428" s="66">
        <f t="shared" ref="K428:K445" si="27">G428/H428*100</f>
        <v>50.602824512067521</v>
      </c>
    </row>
    <row r="429" spans="1:11" x14ac:dyDescent="0.3">
      <c r="A429" s="10">
        <v>23</v>
      </c>
      <c r="B429" s="10" t="s">
        <v>768</v>
      </c>
      <c r="C429" s="10" t="str" cm="1">
        <f t="array" ref="C429">_xlfn.IFS(A429&lt;20, "ภาคกลาง", A429&lt;30, "ภาคตะวันออก", A429&lt;50, "ภาคตะวันออกเฉียงเหนือ", A429&lt;60, "ภาคเหนือ", A429&lt;80, "ภาคกลาง/ตะวันตก", A429&gt;=80, "ภาคใต้")</f>
        <v>ภาคตะวันออก</v>
      </c>
      <c r="D429" s="64">
        <v>2302</v>
      </c>
      <c r="E429" s="10" t="s">
        <v>770</v>
      </c>
      <c r="F429" s="11">
        <v>36036</v>
      </c>
      <c r="G429" s="11">
        <v>38610</v>
      </c>
      <c r="H429" s="11">
        <v>74646</v>
      </c>
      <c r="I429" s="11">
        <v>37597</v>
      </c>
      <c r="J429" s="66">
        <f t="shared" si="26"/>
        <v>48.275862068965516</v>
      </c>
      <c r="K429" s="66">
        <f t="shared" si="27"/>
        <v>51.724137931034484</v>
      </c>
    </row>
    <row r="430" spans="1:11" x14ac:dyDescent="0.3">
      <c r="A430" s="10">
        <v>23</v>
      </c>
      <c r="B430" s="10" t="s">
        <v>768</v>
      </c>
      <c r="C430" s="10" t="str" cm="1">
        <f t="array" ref="C430">_xlfn.IFS(A430&lt;20, "ภาคกลาง", A430&lt;30, "ภาคตะวันออก", A430&lt;50, "ภาคตะวันออกเฉียงเหนือ", A430&lt;60, "ภาคเหนือ", A430&lt;80, "ภาคกลาง/ตะวันตก", A430&gt;=80, "ภาคใต้")</f>
        <v>ภาคตะวันออก</v>
      </c>
      <c r="D430" s="64">
        <v>2303</v>
      </c>
      <c r="E430" s="10" t="s">
        <v>771</v>
      </c>
      <c r="F430" s="11">
        <v>7294</v>
      </c>
      <c r="G430" s="11">
        <v>7120</v>
      </c>
      <c r="H430" s="11">
        <v>14414</v>
      </c>
      <c r="I430" s="11">
        <v>5664</v>
      </c>
      <c r="J430" s="66">
        <f t="shared" si="26"/>
        <v>50.603579852920774</v>
      </c>
      <c r="K430" s="66">
        <f t="shared" si="27"/>
        <v>49.396420147079226</v>
      </c>
    </row>
    <row r="431" spans="1:11" x14ac:dyDescent="0.3">
      <c r="A431" s="10">
        <v>23</v>
      </c>
      <c r="B431" s="10" t="s">
        <v>768</v>
      </c>
      <c r="C431" s="10" t="str" cm="1">
        <f t="array" ref="C431">_xlfn.IFS(A431&lt;20, "ภาคกลาง", A431&lt;30, "ภาคตะวันออก", A431&lt;50, "ภาคตะวันออกเฉียงเหนือ", A431&lt;60, "ภาคเหนือ", A431&lt;80, "ภาคกลาง/ตะวันตก", A431&gt;=80, "ภาคใต้")</f>
        <v>ภาคตะวันออก</v>
      </c>
      <c r="D431" s="64">
        <v>2304</v>
      </c>
      <c r="E431" s="10" t="s">
        <v>772</v>
      </c>
      <c r="F431" s="11">
        <v>19764</v>
      </c>
      <c r="G431" s="11">
        <v>20058</v>
      </c>
      <c r="H431" s="11">
        <v>39822</v>
      </c>
      <c r="I431" s="11">
        <v>18700</v>
      </c>
      <c r="J431" s="66">
        <f t="shared" si="26"/>
        <v>49.630857315051976</v>
      </c>
      <c r="K431" s="66">
        <f t="shared" si="27"/>
        <v>50.369142684948024</v>
      </c>
    </row>
    <row r="432" spans="1:11" x14ac:dyDescent="0.3">
      <c r="A432" s="10">
        <v>23</v>
      </c>
      <c r="B432" s="10" t="s">
        <v>768</v>
      </c>
      <c r="C432" s="10" t="str" cm="1">
        <f t="array" ref="C432">_xlfn.IFS(A432&lt;20, "ภาคกลาง", A432&lt;30, "ภาคตะวันออก", A432&lt;50, "ภาคตะวันออกเฉียงเหนือ", A432&lt;60, "ภาคเหนือ", A432&lt;80, "ภาคกลาง/ตะวันตก", A432&gt;=80, "ภาคใต้")</f>
        <v>ภาคตะวันออก</v>
      </c>
      <c r="D432" s="64">
        <v>2305</v>
      </c>
      <c r="E432" s="10" t="s">
        <v>773</v>
      </c>
      <c r="F432" s="11">
        <v>9508</v>
      </c>
      <c r="G432" s="11">
        <v>9034</v>
      </c>
      <c r="H432" s="11">
        <v>18542</v>
      </c>
      <c r="I432" s="11">
        <v>7901</v>
      </c>
      <c r="J432" s="66">
        <f t="shared" si="26"/>
        <v>51.27817926868731</v>
      </c>
      <c r="K432" s="66">
        <f t="shared" si="27"/>
        <v>48.72182073131269</v>
      </c>
    </row>
    <row r="433" spans="1:11" x14ac:dyDescent="0.3">
      <c r="A433" s="10">
        <v>23</v>
      </c>
      <c r="B433" s="10" t="s">
        <v>768</v>
      </c>
      <c r="C433" s="10" t="str" cm="1">
        <f t="array" ref="C433">_xlfn.IFS(A433&lt;20, "ภาคกลาง", A433&lt;30, "ภาคตะวันออก", A433&lt;50, "ภาคตะวันออกเฉียงเหนือ", A433&lt;60, "ภาคเหนือ", A433&lt;80, "ภาคกลาง/ตะวันตก", A433&gt;=80, "ภาคใต้")</f>
        <v>ภาคตะวันออก</v>
      </c>
      <c r="D433" s="64">
        <v>2306</v>
      </c>
      <c r="E433" s="10" t="s">
        <v>774</v>
      </c>
      <c r="F433" s="11">
        <v>7335</v>
      </c>
      <c r="G433" s="11">
        <v>7031</v>
      </c>
      <c r="H433" s="11">
        <v>14366</v>
      </c>
      <c r="I433" s="11">
        <v>6172</v>
      </c>
      <c r="J433" s="66">
        <f t="shared" si="26"/>
        <v>51.058053737992481</v>
      </c>
      <c r="K433" s="66">
        <f t="shared" si="27"/>
        <v>48.941946262007519</v>
      </c>
    </row>
    <row r="434" spans="1:11" x14ac:dyDescent="0.3">
      <c r="A434" s="10">
        <v>23</v>
      </c>
      <c r="B434" s="10" t="s">
        <v>768</v>
      </c>
      <c r="C434" s="10" t="str" cm="1">
        <f t="array" ref="C434">_xlfn.IFS(A434&lt;20, "ภาคกลาง", A434&lt;30, "ภาคตะวันออก", A434&lt;50, "ภาคตะวันออกเฉียงเหนือ", A434&lt;60, "ภาคเหนือ", A434&lt;80, "ภาคกลาง/ตะวันตก", A434&gt;=80, "ภาคใต้")</f>
        <v>ภาคตะวันออก</v>
      </c>
      <c r="D434" s="64">
        <v>2307</v>
      </c>
      <c r="E434" s="10" t="s">
        <v>775</v>
      </c>
      <c r="F434" s="11">
        <v>1547</v>
      </c>
      <c r="G434" s="11">
        <v>1415</v>
      </c>
      <c r="H434" s="11">
        <v>2962</v>
      </c>
      <c r="I434" s="11">
        <v>2214</v>
      </c>
      <c r="J434" s="66">
        <f t="shared" si="26"/>
        <v>52.228224172856173</v>
      </c>
      <c r="K434" s="66">
        <f t="shared" si="27"/>
        <v>47.77177582714382</v>
      </c>
    </row>
    <row r="435" spans="1:11" x14ac:dyDescent="0.3">
      <c r="A435" s="10">
        <v>23</v>
      </c>
      <c r="B435" s="10" t="s">
        <v>768</v>
      </c>
      <c r="C435" s="10" t="str" cm="1">
        <f t="array" ref="C435">_xlfn.IFS(A435&lt;20, "ภาคกลาง", A435&lt;30, "ภาคตะวันออก", A435&lt;50, "ภาคตะวันออกเฉียงเหนือ", A435&lt;60, "ภาคเหนือ", A435&lt;80, "ภาคกลาง/ตะวันตก", A435&gt;=80, "ภาคใต้")</f>
        <v>ภาคตะวันออก</v>
      </c>
      <c r="D435" s="64">
        <v>2389</v>
      </c>
      <c r="E435" s="10" t="s">
        <v>776</v>
      </c>
      <c r="F435" s="11">
        <v>4344</v>
      </c>
      <c r="G435" s="11">
        <v>4384</v>
      </c>
      <c r="H435" s="11">
        <v>8728</v>
      </c>
      <c r="I435" s="11">
        <v>6392</v>
      </c>
      <c r="J435" s="66">
        <f t="shared" si="26"/>
        <v>49.770852428964254</v>
      </c>
      <c r="K435" s="66">
        <f t="shared" si="27"/>
        <v>50.229147571035746</v>
      </c>
    </row>
    <row r="436" spans="1:11" ht="27.6" x14ac:dyDescent="0.3">
      <c r="A436" s="10">
        <v>23</v>
      </c>
      <c r="B436" s="10" t="s">
        <v>768</v>
      </c>
      <c r="C436" s="10" t="str" cm="1">
        <f t="array" ref="C436">_xlfn.IFS(A436&lt;20, "ภาคกลาง", A436&lt;30, "ภาคตะวันออก", A436&lt;50, "ภาคตะวันออกเฉียงเหนือ", A436&lt;60, "ภาคเหนือ", A436&lt;80, "ภาคกลาง/ตะวันตก", A436&gt;=80, "ภาคใต้")</f>
        <v>ภาคตะวันออก</v>
      </c>
      <c r="D436" s="64">
        <v>2390</v>
      </c>
      <c r="E436" s="10" t="s">
        <v>777</v>
      </c>
      <c r="F436" s="11">
        <v>1252</v>
      </c>
      <c r="G436" s="11">
        <v>1350</v>
      </c>
      <c r="H436" s="11">
        <v>2602</v>
      </c>
      <c r="I436" s="11">
        <v>1416</v>
      </c>
      <c r="J436" s="66">
        <f t="shared" si="26"/>
        <v>48.116833205226747</v>
      </c>
      <c r="K436" s="66">
        <f t="shared" si="27"/>
        <v>51.883166794773253</v>
      </c>
    </row>
    <row r="437" spans="1:11" ht="27.6" x14ac:dyDescent="0.3">
      <c r="A437" s="10">
        <v>23</v>
      </c>
      <c r="B437" s="10" t="s">
        <v>768</v>
      </c>
      <c r="C437" s="10" t="str" cm="1">
        <f t="array" ref="C437">_xlfn.IFS(A437&lt;20, "ภาคกลาง", A437&lt;30, "ภาคตะวันออก", A437&lt;50, "ภาคตะวันออกเฉียงเหนือ", A437&lt;60, "ภาคเหนือ", A437&lt;80, "ภาคกลาง/ตะวันตก", A437&gt;=80, "ภาคใต้")</f>
        <v>ภาคตะวันออก</v>
      </c>
      <c r="D437" s="64">
        <v>2391</v>
      </c>
      <c r="E437" s="10" t="s">
        <v>778</v>
      </c>
      <c r="F437" s="11">
        <v>3655</v>
      </c>
      <c r="G437" s="11">
        <v>3568</v>
      </c>
      <c r="H437" s="11">
        <v>7223</v>
      </c>
      <c r="I437" s="11">
        <v>4009</v>
      </c>
      <c r="J437" s="66">
        <f t="shared" si="26"/>
        <v>50.60224283538696</v>
      </c>
      <c r="K437" s="66">
        <f t="shared" si="27"/>
        <v>49.39775716461304</v>
      </c>
    </row>
    <row r="438" spans="1:11" x14ac:dyDescent="0.3">
      <c r="A438" s="10">
        <v>23</v>
      </c>
      <c r="B438" s="10" t="s">
        <v>768</v>
      </c>
      <c r="C438" s="10" t="str" cm="1">
        <f t="array" ref="C438">_xlfn.IFS(A438&lt;20, "ภาคกลาง", A438&lt;30, "ภาคตะวันออก", A438&lt;50, "ภาคตะวันออกเฉียงเหนือ", A438&lt;60, "ภาคเหนือ", A438&lt;80, "ภาคกลาง/ตะวันตก", A438&gt;=80, "ภาคใต้")</f>
        <v>ภาคตะวันออก</v>
      </c>
      <c r="D438" s="64">
        <v>2392</v>
      </c>
      <c r="E438" s="10" t="s">
        <v>779</v>
      </c>
      <c r="F438" s="10">
        <v>833</v>
      </c>
      <c r="G438" s="10">
        <v>850</v>
      </c>
      <c r="H438" s="11">
        <v>1683</v>
      </c>
      <c r="I438" s="10">
        <v>764</v>
      </c>
      <c r="J438" s="66">
        <f t="shared" si="26"/>
        <v>49.494949494949495</v>
      </c>
      <c r="K438" s="66">
        <f t="shared" si="27"/>
        <v>50.505050505050505</v>
      </c>
    </row>
    <row r="439" spans="1:11" ht="27.6" x14ac:dyDescent="0.3">
      <c r="A439" s="10">
        <v>23</v>
      </c>
      <c r="B439" s="10" t="s">
        <v>768</v>
      </c>
      <c r="C439" s="10" t="str" cm="1">
        <f t="array" ref="C439">_xlfn.IFS(A439&lt;20, "ภาคกลาง", A439&lt;30, "ภาคตะวันออก", A439&lt;50, "ภาคตะวันออกเฉียงเหนือ", A439&lt;60, "ภาคเหนือ", A439&lt;80, "ภาคกลาง/ตะวันตก", A439&gt;=80, "ภาคใต้")</f>
        <v>ภาคตะวันออก</v>
      </c>
      <c r="D439" s="64">
        <v>2393</v>
      </c>
      <c r="E439" s="10" t="s">
        <v>780</v>
      </c>
      <c r="F439" s="11">
        <v>1494</v>
      </c>
      <c r="G439" s="11">
        <v>1603</v>
      </c>
      <c r="H439" s="11">
        <v>3097</v>
      </c>
      <c r="I439" s="11">
        <v>1350</v>
      </c>
      <c r="J439" s="66">
        <f t="shared" si="26"/>
        <v>48.240232483048111</v>
      </c>
      <c r="K439" s="66">
        <f t="shared" si="27"/>
        <v>51.759767516951896</v>
      </c>
    </row>
    <row r="440" spans="1:11" x14ac:dyDescent="0.3">
      <c r="A440" s="10">
        <v>23</v>
      </c>
      <c r="B440" s="10" t="s">
        <v>768</v>
      </c>
      <c r="C440" s="10" t="str" cm="1">
        <f t="array" ref="C440">_xlfn.IFS(A440&lt;20, "ภาคกลาง", A440&lt;30, "ภาคตะวันออก", A440&lt;50, "ภาคตะวันออกเฉียงเหนือ", A440&lt;60, "ภาคเหนือ", A440&lt;80, "ภาคกลาง/ตะวันตก", A440&gt;=80, "ภาคใต้")</f>
        <v>ภาคตะวันออก</v>
      </c>
      <c r="D440" s="64">
        <v>2394</v>
      </c>
      <c r="E440" s="10" t="s">
        <v>781</v>
      </c>
      <c r="F440" s="11">
        <v>4224</v>
      </c>
      <c r="G440" s="11">
        <v>4298</v>
      </c>
      <c r="H440" s="11">
        <v>8522</v>
      </c>
      <c r="I440" s="11">
        <v>5867</v>
      </c>
      <c r="J440" s="66">
        <f t="shared" si="26"/>
        <v>49.565829617460686</v>
      </c>
      <c r="K440" s="66">
        <f t="shared" si="27"/>
        <v>50.434170382539314</v>
      </c>
    </row>
    <row r="441" spans="1:11" x14ac:dyDescent="0.3">
      <c r="A441" s="10">
        <v>23</v>
      </c>
      <c r="B441" s="10" t="s">
        <v>768</v>
      </c>
      <c r="C441" s="10" t="str" cm="1">
        <f t="array" ref="C441">_xlfn.IFS(A441&lt;20, "ภาคกลาง", A441&lt;30, "ภาคตะวันออก", A441&lt;50, "ภาคตะวันออกเฉียงเหนือ", A441&lt;60, "ภาคเหนือ", A441&lt;80, "ภาคกลาง/ตะวันตก", A441&gt;=80, "ภาคใต้")</f>
        <v>ภาคตะวันออก</v>
      </c>
      <c r="D441" s="64">
        <v>2395</v>
      </c>
      <c r="E441" s="10" t="s">
        <v>782</v>
      </c>
      <c r="F441" s="11">
        <v>1525</v>
      </c>
      <c r="G441" s="11">
        <v>1580</v>
      </c>
      <c r="H441" s="11">
        <v>3105</v>
      </c>
      <c r="I441" s="11">
        <v>2441</v>
      </c>
      <c r="J441" s="66">
        <f t="shared" si="26"/>
        <v>49.114331723027377</v>
      </c>
      <c r="K441" s="66">
        <f t="shared" si="27"/>
        <v>50.885668276972631</v>
      </c>
    </row>
    <row r="442" spans="1:11" x14ac:dyDescent="0.3">
      <c r="A442" s="10">
        <v>23</v>
      </c>
      <c r="B442" s="10" t="s">
        <v>768</v>
      </c>
      <c r="C442" s="10" t="str" cm="1">
        <f t="array" ref="C442">_xlfn.IFS(A442&lt;20, "ภาคกลาง", A442&lt;30, "ภาคตะวันออก", A442&lt;50, "ภาคตะวันออกเฉียงเหนือ", A442&lt;60, "ภาคเหนือ", A442&lt;80, "ภาคกลาง/ตะวันตก", A442&gt;=80, "ภาคใต้")</f>
        <v>ภาคตะวันออก</v>
      </c>
      <c r="D442" s="64">
        <v>2396</v>
      </c>
      <c r="E442" s="10" t="s">
        <v>783</v>
      </c>
      <c r="F442" s="10">
        <v>769</v>
      </c>
      <c r="G442" s="10">
        <v>748</v>
      </c>
      <c r="H442" s="11">
        <v>1517</v>
      </c>
      <c r="I442" s="10">
        <v>617</v>
      </c>
      <c r="J442" s="66">
        <f t="shared" si="26"/>
        <v>50.692155570204356</v>
      </c>
      <c r="K442" s="66">
        <f t="shared" si="27"/>
        <v>49.307844429795651</v>
      </c>
    </row>
    <row r="443" spans="1:11" ht="27.6" x14ac:dyDescent="0.3">
      <c r="A443" s="10">
        <v>23</v>
      </c>
      <c r="B443" s="10" t="s">
        <v>768</v>
      </c>
      <c r="C443" s="10" t="str" cm="1">
        <f t="array" ref="C443">_xlfn.IFS(A443&lt;20, "ภาคกลาง", A443&lt;30, "ภาคตะวันออก", A443&lt;50, "ภาคตะวันออกเฉียงเหนือ", A443&lt;60, "ภาคเหนือ", A443&lt;80, "ภาคกลาง/ตะวันตก", A443&gt;=80, "ภาคใต้")</f>
        <v>ภาคตะวันออก</v>
      </c>
      <c r="D443" s="64">
        <v>2397</v>
      </c>
      <c r="E443" s="10" t="s">
        <v>741</v>
      </c>
      <c r="F443" s="11">
        <v>2681</v>
      </c>
      <c r="G443" s="11">
        <v>2552</v>
      </c>
      <c r="H443" s="11">
        <v>5233</v>
      </c>
      <c r="I443" s="11">
        <v>2032</v>
      </c>
      <c r="J443" s="66">
        <f t="shared" si="26"/>
        <v>51.23256258360405</v>
      </c>
      <c r="K443" s="66">
        <f t="shared" si="27"/>
        <v>48.76743741639595</v>
      </c>
    </row>
    <row r="444" spans="1:11" ht="27.6" x14ac:dyDescent="0.3">
      <c r="A444" s="10">
        <v>23</v>
      </c>
      <c r="B444" s="10" t="s">
        <v>768</v>
      </c>
      <c r="C444" s="10" t="str" cm="1">
        <f t="array" ref="C444">_xlfn.IFS(A444&lt;20, "ภาคกลาง", A444&lt;30, "ภาคตะวันออก", A444&lt;50, "ภาคตะวันออกเฉียงเหนือ", A444&lt;60, "ภาคเหนือ", A444&lt;80, "ภาคกลาง/ตะวันตก", A444&gt;=80, "ภาคใต้")</f>
        <v>ภาคตะวันออก</v>
      </c>
      <c r="D444" s="64">
        <v>2398</v>
      </c>
      <c r="E444" s="10" t="s">
        <v>784</v>
      </c>
      <c r="F444" s="11">
        <v>2525</v>
      </c>
      <c r="G444" s="11">
        <v>2567</v>
      </c>
      <c r="H444" s="11">
        <v>5092</v>
      </c>
      <c r="I444" s="11">
        <v>2457</v>
      </c>
      <c r="J444" s="66">
        <f t="shared" si="26"/>
        <v>49.587588373919871</v>
      </c>
      <c r="K444" s="66">
        <f t="shared" si="27"/>
        <v>50.412411626080122</v>
      </c>
    </row>
    <row r="445" spans="1:11" x14ac:dyDescent="0.3">
      <c r="A445" s="10">
        <v>23</v>
      </c>
      <c r="B445" s="10" t="s">
        <v>768</v>
      </c>
      <c r="C445" s="10" t="str" cm="1">
        <f t="array" ref="C445">_xlfn.IFS(A445&lt;20, "ภาคกลาง", A445&lt;30, "ภาคตะวันออก", A445&lt;50, "ภาคตะวันออกเฉียงเหนือ", A445&lt;60, "ภาคเหนือ", A445&lt;80, "ภาคกลาง/ตะวันตก", A445&gt;=80, "ภาคใต้")</f>
        <v>ภาคตะวันออก</v>
      </c>
      <c r="D445" s="64">
        <v>2399</v>
      </c>
      <c r="E445" s="10" t="s">
        <v>785</v>
      </c>
      <c r="F445" s="11">
        <v>3122</v>
      </c>
      <c r="G445" s="11">
        <v>3430</v>
      </c>
      <c r="H445" s="11">
        <v>6552</v>
      </c>
      <c r="I445" s="11">
        <v>3220</v>
      </c>
      <c r="J445" s="66">
        <f t="shared" si="26"/>
        <v>47.649572649572647</v>
      </c>
      <c r="K445" s="66">
        <f t="shared" si="27"/>
        <v>52.350427350427353</v>
      </c>
    </row>
    <row r="446" spans="1:11" hidden="1" x14ac:dyDescent="0.3">
      <c r="A446" s="10">
        <v>23</v>
      </c>
      <c r="B446" s="10" t="s">
        <v>768</v>
      </c>
      <c r="C446" s="10" t="str" cm="1">
        <f t="array" ref="C446">_xlfn.IFS(A446&lt;20, "ภาคกลาง", A446&lt;30, "ภาคตะวันออก", A446&lt;50, "ภาคตะวันออกเฉียงเหนือ", A446&lt;60, "ภาคเหนือ", A446&lt;80, "ภาคกลาง/ตะวันตก", A446&gt;=80, "ภาคใต้")</f>
        <v>ภาคตะวันออก</v>
      </c>
      <c r="D446" s="10">
        <v>0</v>
      </c>
      <c r="E446" s="10" t="s">
        <v>343</v>
      </c>
      <c r="F446" s="11">
        <v>3985</v>
      </c>
      <c r="G446" s="11">
        <v>4426</v>
      </c>
      <c r="H446" s="11">
        <v>8411</v>
      </c>
      <c r="I446" s="11">
        <v>5580</v>
      </c>
      <c r="J446"/>
      <c r="K446"/>
    </row>
    <row r="447" spans="1:11" x14ac:dyDescent="0.3">
      <c r="A447" s="10">
        <v>24</v>
      </c>
      <c r="B447" s="10" t="s">
        <v>786</v>
      </c>
      <c r="C447" s="10" t="str" cm="1">
        <f t="array" ref="C447">_xlfn.IFS(A447&lt;20, "ภาคกลาง", A447&lt;30, "ภาคตะวันออก", A447&lt;50, "ภาคตะวันออกเฉียงเหนือ", A447&lt;60, "ภาคเหนือ", A447&lt;80, "ภาคกลาง/ตะวันตก", A447&gt;=80, "ภาคใต้")</f>
        <v>ภาคตะวันออก</v>
      </c>
      <c r="D447" s="64">
        <v>2401</v>
      </c>
      <c r="E447" s="10" t="s">
        <v>787</v>
      </c>
      <c r="F447" s="11">
        <v>358556</v>
      </c>
      <c r="G447" s="11">
        <v>374575</v>
      </c>
      <c r="H447" s="11">
        <v>733131</v>
      </c>
      <c r="I447" s="11">
        <v>345381</v>
      </c>
      <c r="J447" s="66">
        <f t="shared" ref="J447:J483" si="28">F447/H447*100</f>
        <v>48.907494022214308</v>
      </c>
      <c r="K447" s="66">
        <f t="shared" ref="K447:K483" si="29">G447/H447*100</f>
        <v>51.092505977785684</v>
      </c>
    </row>
    <row r="448" spans="1:11" x14ac:dyDescent="0.3">
      <c r="A448" s="10">
        <v>24</v>
      </c>
      <c r="B448" s="10" t="s">
        <v>786</v>
      </c>
      <c r="C448" s="10" t="str" cm="1">
        <f t="array" ref="C448">_xlfn.IFS(A448&lt;20, "ภาคกลาง", A448&lt;30, "ภาคตะวันออก", A448&lt;50, "ภาคตะวันออกเฉียงเหนือ", A448&lt;60, "ภาคเหนือ", A448&lt;80, "ภาคกลาง/ตะวันตก", A448&gt;=80, "ภาคใต้")</f>
        <v>ภาคตะวันออก</v>
      </c>
      <c r="D448" s="64">
        <v>2402</v>
      </c>
      <c r="E448" s="10" t="s">
        <v>788</v>
      </c>
      <c r="F448" s="11">
        <v>61490</v>
      </c>
      <c r="G448" s="11">
        <v>65257</v>
      </c>
      <c r="H448" s="11">
        <v>126747</v>
      </c>
      <c r="I448" s="11">
        <v>56559</v>
      </c>
      <c r="J448" s="66">
        <f t="shared" si="28"/>
        <v>48.513968772436428</v>
      </c>
      <c r="K448" s="66">
        <f t="shared" si="29"/>
        <v>51.486031227563565</v>
      </c>
    </row>
    <row r="449" spans="1:11" x14ac:dyDescent="0.3">
      <c r="A449" s="10">
        <v>24</v>
      </c>
      <c r="B449" s="10" t="s">
        <v>786</v>
      </c>
      <c r="C449" s="10" t="str" cm="1">
        <f t="array" ref="C449">_xlfn.IFS(A449&lt;20, "ภาคกลาง", A449&lt;30, "ภาคตะวันออก", A449&lt;50, "ภาคตะวันออกเฉียงเหนือ", A449&lt;60, "ภาคเหนือ", A449&lt;80, "ภาคกลาง/ตะวันตก", A449&gt;=80, "ภาคใต้")</f>
        <v>ภาคตะวันออก</v>
      </c>
      <c r="D449" s="64">
        <v>2403</v>
      </c>
      <c r="E449" s="10" t="s">
        <v>789</v>
      </c>
      <c r="F449" s="11">
        <v>14658</v>
      </c>
      <c r="G449" s="11">
        <v>15685</v>
      </c>
      <c r="H449" s="11">
        <v>30343</v>
      </c>
      <c r="I449" s="11">
        <v>13395</v>
      </c>
      <c r="J449" s="66">
        <f t="shared" si="28"/>
        <v>48.307682167221429</v>
      </c>
      <c r="K449" s="66">
        <f t="shared" si="29"/>
        <v>51.692317832778571</v>
      </c>
    </row>
    <row r="450" spans="1:11" x14ac:dyDescent="0.3">
      <c r="A450" s="10">
        <v>24</v>
      </c>
      <c r="B450" s="10" t="s">
        <v>786</v>
      </c>
      <c r="C450" s="10" t="str" cm="1">
        <f t="array" ref="C450">_xlfn.IFS(A450&lt;20, "ภาคกลาง", A450&lt;30, "ภาคตะวันออก", A450&lt;50, "ภาคตะวันออกเฉียงเหนือ", A450&lt;60, "ภาคเหนือ", A450&lt;80, "ภาคกลาง/ตะวันตก", A450&gt;=80, "ภาคใต้")</f>
        <v>ภาคตะวันออก</v>
      </c>
      <c r="D450" s="64">
        <v>2404</v>
      </c>
      <c r="E450" s="10" t="s">
        <v>790</v>
      </c>
      <c r="F450" s="11">
        <v>36580</v>
      </c>
      <c r="G450" s="11">
        <v>37215</v>
      </c>
      <c r="H450" s="11">
        <v>73795</v>
      </c>
      <c r="I450" s="11">
        <v>24009</v>
      </c>
      <c r="J450" s="66">
        <f t="shared" si="28"/>
        <v>49.569754048377263</v>
      </c>
      <c r="K450" s="66">
        <f t="shared" si="29"/>
        <v>50.430245951622744</v>
      </c>
    </row>
    <row r="451" spans="1:11" x14ac:dyDescent="0.3">
      <c r="A451" s="10">
        <v>24</v>
      </c>
      <c r="B451" s="10" t="s">
        <v>786</v>
      </c>
      <c r="C451" s="10" t="str" cm="1">
        <f t="array" ref="C451">_xlfn.IFS(A451&lt;20, "ภาคกลาง", A451&lt;30, "ภาคตะวันออก", A451&lt;50, "ภาคตะวันออกเฉียงเหนือ", A451&lt;60, "ภาคเหนือ", A451&lt;80, "ภาคกลาง/ตะวันตก", A451&gt;=80, "ภาคใต้")</f>
        <v>ภาคตะวันออก</v>
      </c>
      <c r="D451" s="64">
        <v>2405</v>
      </c>
      <c r="E451" s="10" t="s">
        <v>791</v>
      </c>
      <c r="F451" s="11">
        <v>29250</v>
      </c>
      <c r="G451" s="11">
        <v>30344</v>
      </c>
      <c r="H451" s="11">
        <v>59594</v>
      </c>
      <c r="I451" s="11">
        <v>29826</v>
      </c>
      <c r="J451" s="66">
        <f t="shared" si="28"/>
        <v>49.082122361311541</v>
      </c>
      <c r="K451" s="66">
        <f t="shared" si="29"/>
        <v>50.917877638688459</v>
      </c>
    </row>
    <row r="452" spans="1:11" x14ac:dyDescent="0.3">
      <c r="A452" s="10">
        <v>24</v>
      </c>
      <c r="B452" s="10" t="s">
        <v>786</v>
      </c>
      <c r="C452" s="10" t="str" cm="1">
        <f t="array" ref="C452">_xlfn.IFS(A452&lt;20, "ภาคกลาง", A452&lt;30, "ภาคตะวันออก", A452&lt;50, "ภาคตะวันออกเฉียงเหนือ", A452&lt;60, "ภาคเหนือ", A452&lt;80, "ภาคกลาง/ตะวันตก", A452&gt;=80, "ภาคใต้")</f>
        <v>ภาคตะวันออก</v>
      </c>
      <c r="D452" s="64">
        <v>2406</v>
      </c>
      <c r="E452" s="10" t="s">
        <v>792</v>
      </c>
      <c r="F452" s="11">
        <v>22616</v>
      </c>
      <c r="G452" s="11">
        <v>24533</v>
      </c>
      <c r="H452" s="11">
        <v>47149</v>
      </c>
      <c r="I452" s="11">
        <v>22943</v>
      </c>
      <c r="J452" s="66">
        <f t="shared" si="28"/>
        <v>47.967083077053594</v>
      </c>
      <c r="K452" s="66">
        <f t="shared" si="29"/>
        <v>52.032916922946406</v>
      </c>
    </row>
    <row r="453" spans="1:11" x14ac:dyDescent="0.3">
      <c r="A453" s="10">
        <v>24</v>
      </c>
      <c r="B453" s="10" t="s">
        <v>786</v>
      </c>
      <c r="C453" s="10" t="str" cm="1">
        <f t="array" ref="C453">_xlfn.IFS(A453&lt;20, "ภาคกลาง", A453&lt;30, "ภาคตะวันออก", A453&lt;50, "ภาคตะวันออกเฉียงเหนือ", A453&lt;60, "ภาคเหนือ", A453&lt;80, "ภาคกลาง/ตะวันตก", A453&gt;=80, "ภาคใต้")</f>
        <v>ภาคตะวันออก</v>
      </c>
      <c r="D453" s="64">
        <v>2407</v>
      </c>
      <c r="E453" s="10" t="s">
        <v>793</v>
      </c>
      <c r="F453" s="11">
        <v>34991</v>
      </c>
      <c r="G453" s="11">
        <v>37071</v>
      </c>
      <c r="H453" s="11">
        <v>72062</v>
      </c>
      <c r="I453" s="11">
        <v>32344</v>
      </c>
      <c r="J453" s="66">
        <f t="shared" si="28"/>
        <v>48.556798312564183</v>
      </c>
      <c r="K453" s="66">
        <f t="shared" si="29"/>
        <v>51.443201687435824</v>
      </c>
    </row>
    <row r="454" spans="1:11" x14ac:dyDescent="0.3">
      <c r="A454" s="10">
        <v>24</v>
      </c>
      <c r="B454" s="10" t="s">
        <v>786</v>
      </c>
      <c r="C454" s="10" t="str" cm="1">
        <f t="array" ref="C454">_xlfn.IFS(A454&lt;20, "ภาคกลาง", A454&lt;30, "ภาคตะวันออก", A454&lt;50, "ภาคตะวันออกเฉียงเหนือ", A454&lt;60, "ภาคเหนือ", A454&lt;80, "ภาคกลาง/ตะวันตก", A454&gt;=80, "ภาคใต้")</f>
        <v>ภาคตะวันออก</v>
      </c>
      <c r="D454" s="64">
        <v>2408</v>
      </c>
      <c r="E454" s="10" t="s">
        <v>794</v>
      </c>
      <c r="F454" s="11">
        <v>6130</v>
      </c>
      <c r="G454" s="11">
        <v>6380</v>
      </c>
      <c r="H454" s="11">
        <v>12510</v>
      </c>
      <c r="I454" s="11">
        <v>5117</v>
      </c>
      <c r="J454" s="66">
        <f t="shared" si="28"/>
        <v>49.000799360511593</v>
      </c>
      <c r="K454" s="66">
        <f t="shared" si="29"/>
        <v>50.999200639488407</v>
      </c>
    </row>
    <row r="455" spans="1:11" x14ac:dyDescent="0.3">
      <c r="A455" s="10">
        <v>24</v>
      </c>
      <c r="B455" s="10" t="s">
        <v>786</v>
      </c>
      <c r="C455" s="10" t="str" cm="1">
        <f t="array" ref="C455">_xlfn.IFS(A455&lt;20, "ภาคกลาง", A455&lt;30, "ภาคตะวันออก", A455&lt;50, "ภาคตะวันออกเฉียงเหนือ", A455&lt;60, "ภาคเหนือ", A455&lt;80, "ภาคกลาง/ตะวันตก", A455&gt;=80, "ภาคใต้")</f>
        <v>ภาคตะวันออก</v>
      </c>
      <c r="D455" s="64">
        <v>2409</v>
      </c>
      <c r="E455" s="10" t="s">
        <v>795</v>
      </c>
      <c r="F455" s="11">
        <v>35587</v>
      </c>
      <c r="G455" s="11">
        <v>35574</v>
      </c>
      <c r="H455" s="11">
        <v>71161</v>
      </c>
      <c r="I455" s="11">
        <v>24441</v>
      </c>
      <c r="J455" s="66">
        <f t="shared" si="28"/>
        <v>50.00913421677604</v>
      </c>
      <c r="K455" s="66">
        <f t="shared" si="29"/>
        <v>49.99086578322396</v>
      </c>
    </row>
    <row r="456" spans="1:11" x14ac:dyDescent="0.3">
      <c r="A456" s="10">
        <v>24</v>
      </c>
      <c r="B456" s="10" t="s">
        <v>786</v>
      </c>
      <c r="C456" s="10" t="str" cm="1">
        <f t="array" ref="C456">_xlfn.IFS(A456&lt;20, "ภาคกลาง", A456&lt;30, "ภาคตะวันออก", A456&lt;50, "ภาคตะวันออกเฉียงเหนือ", A456&lt;60, "ภาคเหนือ", A456&lt;80, "ภาคกลาง/ตะวันตก", A456&gt;=80, "ภาคใต้")</f>
        <v>ภาคตะวันออก</v>
      </c>
      <c r="D456" s="64">
        <v>2410</v>
      </c>
      <c r="E456" s="10" t="s">
        <v>796</v>
      </c>
      <c r="F456" s="11">
        <v>12020</v>
      </c>
      <c r="G456" s="11">
        <v>11789</v>
      </c>
      <c r="H456" s="11">
        <v>23809</v>
      </c>
      <c r="I456" s="11">
        <v>14024</v>
      </c>
      <c r="J456" s="66">
        <f t="shared" si="28"/>
        <v>50.4851106724348</v>
      </c>
      <c r="K456" s="66">
        <f t="shared" si="29"/>
        <v>49.514889327565207</v>
      </c>
    </row>
    <row r="457" spans="1:11" x14ac:dyDescent="0.3">
      <c r="A457" s="10">
        <v>24</v>
      </c>
      <c r="B457" s="10" t="s">
        <v>786</v>
      </c>
      <c r="C457" s="10" t="str" cm="1">
        <f t="array" ref="C457">_xlfn.IFS(A457&lt;20, "ภาคกลาง", A457&lt;30, "ภาคตะวันออก", A457&lt;50, "ภาคตะวันออกเฉียงเหนือ", A457&lt;60, "ภาคเหนือ", A457&lt;80, "ภาคกลาง/ตะวันตก", A457&gt;=80, "ภาคใต้")</f>
        <v>ภาคตะวันออก</v>
      </c>
      <c r="D457" s="64">
        <v>2411</v>
      </c>
      <c r="E457" s="10" t="s">
        <v>797</v>
      </c>
      <c r="F457" s="11">
        <v>23547</v>
      </c>
      <c r="G457" s="11">
        <v>23212</v>
      </c>
      <c r="H457" s="11">
        <v>46759</v>
      </c>
      <c r="I457" s="11">
        <v>18165</v>
      </c>
      <c r="J457" s="66">
        <f t="shared" si="28"/>
        <v>50.358219807951407</v>
      </c>
      <c r="K457" s="66">
        <f t="shared" si="29"/>
        <v>49.641780192048593</v>
      </c>
    </row>
    <row r="458" spans="1:11" ht="27.6" x14ac:dyDescent="0.3">
      <c r="A458" s="10">
        <v>24</v>
      </c>
      <c r="B458" s="10" t="s">
        <v>786</v>
      </c>
      <c r="C458" s="10" t="str" cm="1">
        <f t="array" ref="C458">_xlfn.IFS(A458&lt;20, "ภาคกลาง", A458&lt;30, "ภาคตะวันออก", A458&lt;50, "ภาคตะวันออกเฉียงเหนือ", A458&lt;60, "ภาคเหนือ", A458&lt;80, "ภาคกลาง/ตะวันตก", A458&gt;=80, "ภาคใต้")</f>
        <v>ภาคตะวันออก</v>
      </c>
      <c r="D458" s="64">
        <v>2474</v>
      </c>
      <c r="E458" s="10" t="s">
        <v>798</v>
      </c>
      <c r="F458" s="11">
        <v>6064</v>
      </c>
      <c r="G458" s="11">
        <v>6328</v>
      </c>
      <c r="H458" s="11">
        <v>12392</v>
      </c>
      <c r="I458" s="11">
        <v>4788</v>
      </c>
      <c r="J458" s="66">
        <f t="shared" si="28"/>
        <v>48.934796642995479</v>
      </c>
      <c r="K458" s="66">
        <f t="shared" si="29"/>
        <v>51.065203357004521</v>
      </c>
    </row>
    <row r="459" spans="1:11" x14ac:dyDescent="0.3">
      <c r="A459" s="10">
        <v>24</v>
      </c>
      <c r="B459" s="10" t="s">
        <v>786</v>
      </c>
      <c r="C459" s="10" t="str" cm="1">
        <f t="array" ref="C459">_xlfn.IFS(A459&lt;20, "ภาคกลาง", A459&lt;30, "ภาคตะวันออก", A459&lt;50, "ภาคตะวันออกเฉียงเหนือ", A459&lt;60, "ภาคเหนือ", A459&lt;80, "ภาคกลาง/ตะวันตก", A459&gt;=80, "ภาคใต้")</f>
        <v>ภาคตะวันออก</v>
      </c>
      <c r="D459" s="64">
        <v>2475</v>
      </c>
      <c r="E459" s="10" t="s">
        <v>799</v>
      </c>
      <c r="F459" s="11">
        <v>5515</v>
      </c>
      <c r="G459" s="11">
        <v>6006</v>
      </c>
      <c r="H459" s="11">
        <v>11521</v>
      </c>
      <c r="I459" s="11">
        <v>9761</v>
      </c>
      <c r="J459" s="66">
        <f t="shared" si="28"/>
        <v>47.86910858432428</v>
      </c>
      <c r="K459" s="66">
        <f t="shared" si="29"/>
        <v>52.13089141567572</v>
      </c>
    </row>
    <row r="460" spans="1:11" x14ac:dyDescent="0.3">
      <c r="A460" s="10">
        <v>24</v>
      </c>
      <c r="B460" s="10" t="s">
        <v>786</v>
      </c>
      <c r="C460" s="10" t="str" cm="1">
        <f t="array" ref="C460">_xlfn.IFS(A460&lt;20, "ภาคกลาง", A460&lt;30, "ภาคตะวันออก", A460&lt;50, "ภาคตะวันออกเฉียงเหนือ", A460&lt;60, "ภาคเหนือ", A460&lt;80, "ภาคกลาง/ตะวันตก", A460&gt;=80, "ภาคใต้")</f>
        <v>ภาคตะวันออก</v>
      </c>
      <c r="D460" s="64">
        <v>2476</v>
      </c>
      <c r="E460" s="10" t="s">
        <v>800</v>
      </c>
      <c r="F460" s="11">
        <v>1823</v>
      </c>
      <c r="G460" s="11">
        <v>1957</v>
      </c>
      <c r="H460" s="11">
        <v>3780</v>
      </c>
      <c r="I460" s="11">
        <v>4397</v>
      </c>
      <c r="J460" s="66">
        <f t="shared" si="28"/>
        <v>48.227513227513228</v>
      </c>
      <c r="K460" s="66">
        <f t="shared" si="29"/>
        <v>51.772486772486772</v>
      </c>
    </row>
    <row r="461" spans="1:11" ht="27.6" x14ac:dyDescent="0.3">
      <c r="A461" s="10">
        <v>24</v>
      </c>
      <c r="B461" s="10" t="s">
        <v>786</v>
      </c>
      <c r="C461" s="10" t="str" cm="1">
        <f t="array" ref="C461">_xlfn.IFS(A461&lt;20, "ภาคกลาง", A461&lt;30, "ภาคตะวันออก", A461&lt;50, "ภาคตะวันออกเฉียงเหนือ", A461&lt;60, "ภาคเหนือ", A461&lt;80, "ภาคกลาง/ตะวันตก", A461&gt;=80, "ภาคใต้")</f>
        <v>ภาคตะวันออก</v>
      </c>
      <c r="D461" s="64">
        <v>2477</v>
      </c>
      <c r="E461" s="10" t="s">
        <v>801</v>
      </c>
      <c r="F461" s="11">
        <v>4902</v>
      </c>
      <c r="G461" s="11">
        <v>4984</v>
      </c>
      <c r="H461" s="11">
        <v>9886</v>
      </c>
      <c r="I461" s="11">
        <v>3837</v>
      </c>
      <c r="J461" s="66">
        <f t="shared" si="28"/>
        <v>49.585272101962367</v>
      </c>
      <c r="K461" s="66">
        <f t="shared" si="29"/>
        <v>50.414727898037626</v>
      </c>
    </row>
    <row r="462" spans="1:11" ht="27.6" x14ac:dyDescent="0.3">
      <c r="A462" s="10">
        <v>24</v>
      </c>
      <c r="B462" s="10" t="s">
        <v>786</v>
      </c>
      <c r="C462" s="10" t="str" cm="1">
        <f t="array" ref="C462">_xlfn.IFS(A462&lt;20, "ภาคกลาง", A462&lt;30, "ภาคตะวันออก", A462&lt;50, "ภาคตะวันออกเฉียงเหนือ", A462&lt;60, "ภาคเหนือ", A462&lt;80, "ภาคกลาง/ตะวันตก", A462&gt;=80, "ภาคใต้")</f>
        <v>ภาคตะวันออก</v>
      </c>
      <c r="D462" s="64">
        <v>2478</v>
      </c>
      <c r="E462" s="10" t="s">
        <v>802</v>
      </c>
      <c r="F462" s="11">
        <v>4368</v>
      </c>
      <c r="G462" s="11">
        <v>4252</v>
      </c>
      <c r="H462" s="11">
        <v>8620</v>
      </c>
      <c r="I462" s="11">
        <v>2524</v>
      </c>
      <c r="J462" s="66">
        <f t="shared" si="28"/>
        <v>50.672853828306266</v>
      </c>
      <c r="K462" s="66">
        <f t="shared" si="29"/>
        <v>49.327146171693734</v>
      </c>
    </row>
    <row r="463" spans="1:11" ht="27.6" x14ac:dyDescent="0.3">
      <c r="A463" s="10">
        <v>24</v>
      </c>
      <c r="B463" s="10" t="s">
        <v>786</v>
      </c>
      <c r="C463" s="10" t="str" cm="1">
        <f t="array" ref="C463">_xlfn.IFS(A463&lt;20, "ภาคกลาง", A463&lt;30, "ภาคตะวันออก", A463&lt;50, "ภาคตะวันออกเฉียงเหนือ", A463&lt;60, "ภาคเหนือ", A463&lt;80, "ภาคกลาง/ตะวันตก", A463&gt;=80, "ภาคใต้")</f>
        <v>ภาคตะวันออก</v>
      </c>
      <c r="D463" s="64">
        <v>2479</v>
      </c>
      <c r="E463" s="10" t="s">
        <v>803</v>
      </c>
      <c r="F463" s="11">
        <v>3377</v>
      </c>
      <c r="G463" s="11">
        <v>3538</v>
      </c>
      <c r="H463" s="11">
        <v>6915</v>
      </c>
      <c r="I463" s="11">
        <v>4250</v>
      </c>
      <c r="J463" s="66">
        <f t="shared" si="28"/>
        <v>48.835864063629792</v>
      </c>
      <c r="K463" s="66">
        <f t="shared" si="29"/>
        <v>51.164135936370215</v>
      </c>
    </row>
    <row r="464" spans="1:11" ht="27.6" x14ac:dyDescent="0.3">
      <c r="A464" s="10">
        <v>24</v>
      </c>
      <c r="B464" s="10" t="s">
        <v>786</v>
      </c>
      <c r="C464" s="10" t="str" cm="1">
        <f t="array" ref="C464">_xlfn.IFS(A464&lt;20, "ภาคกลาง", A464&lt;30, "ภาคตะวันออก", A464&lt;50, "ภาคตะวันออกเฉียงเหนือ", A464&lt;60, "ภาคเหนือ", A464&lt;80, "ภาคกลาง/ตะวันตก", A464&gt;=80, "ภาคใต้")</f>
        <v>ภาคตะวันออก</v>
      </c>
      <c r="D464" s="64">
        <v>2480</v>
      </c>
      <c r="E464" s="10" t="s">
        <v>804</v>
      </c>
      <c r="F464" s="11">
        <v>3062</v>
      </c>
      <c r="G464" s="11">
        <v>3198</v>
      </c>
      <c r="H464" s="11">
        <v>6260</v>
      </c>
      <c r="I464" s="11">
        <v>3832</v>
      </c>
      <c r="J464" s="66">
        <f t="shared" si="28"/>
        <v>48.91373801916933</v>
      </c>
      <c r="K464" s="66">
        <f t="shared" si="29"/>
        <v>51.08626198083067</v>
      </c>
    </row>
    <row r="465" spans="1:11" ht="27.6" x14ac:dyDescent="0.3">
      <c r="A465" s="10">
        <v>24</v>
      </c>
      <c r="B465" s="10" t="s">
        <v>786</v>
      </c>
      <c r="C465" s="10" t="str" cm="1">
        <f t="array" ref="C465">_xlfn.IFS(A465&lt;20, "ภาคกลาง", A465&lt;30, "ภาคตะวันออก", A465&lt;50, "ภาคตะวันออกเฉียงเหนือ", A465&lt;60, "ภาคเหนือ", A465&lt;80, "ภาคกลาง/ตะวันตก", A465&gt;=80, "ภาคใต้")</f>
        <v>ภาคตะวันออก</v>
      </c>
      <c r="D465" s="64">
        <v>2481</v>
      </c>
      <c r="E465" s="10" t="s">
        <v>805</v>
      </c>
      <c r="F465" s="11">
        <v>3064</v>
      </c>
      <c r="G465" s="11">
        <v>2718</v>
      </c>
      <c r="H465" s="11">
        <v>5782</v>
      </c>
      <c r="I465" s="11">
        <v>4773</v>
      </c>
      <c r="J465" s="66">
        <f t="shared" si="28"/>
        <v>52.992044275337257</v>
      </c>
      <c r="K465" s="66">
        <f t="shared" si="29"/>
        <v>47.00795572466275</v>
      </c>
    </row>
    <row r="466" spans="1:11" ht="27.6" x14ac:dyDescent="0.3">
      <c r="A466" s="10">
        <v>24</v>
      </c>
      <c r="B466" s="10" t="s">
        <v>786</v>
      </c>
      <c r="C466" s="10" t="str" cm="1">
        <f t="array" ref="C466">_xlfn.IFS(A466&lt;20, "ภาคกลาง", A466&lt;30, "ภาคตะวันออก", A466&lt;50, "ภาคตะวันออกเฉียงเหนือ", A466&lt;60, "ภาคเหนือ", A466&lt;80, "ภาคกลาง/ตะวันตก", A466&gt;=80, "ภาคใต้")</f>
        <v>ภาคตะวันออก</v>
      </c>
      <c r="D466" s="64">
        <v>2482</v>
      </c>
      <c r="E466" s="10" t="s">
        <v>806</v>
      </c>
      <c r="F466" s="11">
        <v>1998</v>
      </c>
      <c r="G466" s="11">
        <v>2233</v>
      </c>
      <c r="H466" s="11">
        <v>4231</v>
      </c>
      <c r="I466" s="11">
        <v>3064</v>
      </c>
      <c r="J466" s="66">
        <f t="shared" si="28"/>
        <v>47.22287875206807</v>
      </c>
      <c r="K466" s="66">
        <f t="shared" si="29"/>
        <v>52.777121247931937</v>
      </c>
    </row>
    <row r="467" spans="1:11" ht="27.6" x14ac:dyDescent="0.3">
      <c r="A467" s="10">
        <v>24</v>
      </c>
      <c r="B467" s="10" t="s">
        <v>786</v>
      </c>
      <c r="C467" s="10" t="str" cm="1">
        <f t="array" ref="C467">_xlfn.IFS(A467&lt;20, "ภาคกลาง", A467&lt;30, "ภาคตะวันออก", A467&lt;50, "ภาคตะวันออกเฉียงเหนือ", A467&lt;60, "ภาคเหนือ", A467&lt;80, "ภาคกลาง/ตะวันตก", A467&gt;=80, "ภาคใต้")</f>
        <v>ภาคตะวันออก</v>
      </c>
      <c r="D467" s="64">
        <v>2483</v>
      </c>
      <c r="E467" s="10" t="s">
        <v>807</v>
      </c>
      <c r="F467" s="11">
        <v>2806</v>
      </c>
      <c r="G467" s="11">
        <v>3295</v>
      </c>
      <c r="H467" s="11">
        <v>6101</v>
      </c>
      <c r="I467" s="11">
        <v>4310</v>
      </c>
      <c r="J467" s="66">
        <f t="shared" si="28"/>
        <v>45.992460252417636</v>
      </c>
      <c r="K467" s="66">
        <f t="shared" si="29"/>
        <v>54.007539747582371</v>
      </c>
    </row>
    <row r="468" spans="1:11" ht="27.6" x14ac:dyDescent="0.3">
      <c r="A468" s="10">
        <v>24</v>
      </c>
      <c r="B468" s="10" t="s">
        <v>786</v>
      </c>
      <c r="C468" s="10" t="str" cm="1">
        <f t="array" ref="C468">_xlfn.IFS(A468&lt;20, "ภาคกลาง", A468&lt;30, "ภาคตะวันออก", A468&lt;50, "ภาคตะวันออกเฉียงเหนือ", A468&lt;60, "ภาคเหนือ", A468&lt;80, "ภาคกลาง/ตะวันตก", A468&gt;=80, "ภาคใต้")</f>
        <v>ภาคตะวันออก</v>
      </c>
      <c r="D468" s="64">
        <v>2484</v>
      </c>
      <c r="E468" s="10" t="s">
        <v>808</v>
      </c>
      <c r="F468" s="11">
        <v>1683</v>
      </c>
      <c r="G468" s="11">
        <v>1764</v>
      </c>
      <c r="H468" s="11">
        <v>3447</v>
      </c>
      <c r="I468" s="11">
        <v>2743</v>
      </c>
      <c r="J468" s="66">
        <f t="shared" si="28"/>
        <v>48.825065274151434</v>
      </c>
      <c r="K468" s="66">
        <f t="shared" si="29"/>
        <v>51.174934725848566</v>
      </c>
    </row>
    <row r="469" spans="1:11" x14ac:dyDescent="0.3">
      <c r="A469" s="10">
        <v>24</v>
      </c>
      <c r="B469" s="10" t="s">
        <v>786</v>
      </c>
      <c r="C469" s="10" t="str" cm="1">
        <f t="array" ref="C469">_xlfn.IFS(A469&lt;20, "ภาคกลาง", A469&lt;30, "ภาคตะวันออก", A469&lt;50, "ภาคตะวันออกเฉียงเหนือ", A469&lt;60, "ภาคเหนือ", A469&lt;80, "ภาคกลาง/ตะวันตก", A469&gt;=80, "ภาคใต้")</f>
        <v>ภาคตะวันออก</v>
      </c>
      <c r="D469" s="64">
        <v>2485</v>
      </c>
      <c r="E469" s="10" t="s">
        <v>809</v>
      </c>
      <c r="F469" s="10">
        <v>967</v>
      </c>
      <c r="G469" s="11">
        <v>1101</v>
      </c>
      <c r="H469" s="11">
        <v>2068</v>
      </c>
      <c r="I469" s="11">
        <v>1129</v>
      </c>
      <c r="J469" s="66">
        <f t="shared" si="28"/>
        <v>46.760154738878143</v>
      </c>
      <c r="K469" s="66">
        <f t="shared" si="29"/>
        <v>53.239845261121857</v>
      </c>
    </row>
    <row r="470" spans="1:11" x14ac:dyDescent="0.3">
      <c r="A470" s="10">
        <v>24</v>
      </c>
      <c r="B470" s="10" t="s">
        <v>786</v>
      </c>
      <c r="C470" s="10" t="str" cm="1">
        <f t="array" ref="C470">_xlfn.IFS(A470&lt;20, "ภาคกลาง", A470&lt;30, "ภาคตะวันออก", A470&lt;50, "ภาคตะวันออกเฉียงเหนือ", A470&lt;60, "ภาคเหนือ", A470&lt;80, "ภาคกลาง/ตะวันตก", A470&gt;=80, "ภาคใต้")</f>
        <v>ภาคตะวันออก</v>
      </c>
      <c r="D470" s="64">
        <v>2486</v>
      </c>
      <c r="E470" s="10" t="s">
        <v>810</v>
      </c>
      <c r="F470" s="11">
        <v>1402</v>
      </c>
      <c r="G470" s="11">
        <v>1479</v>
      </c>
      <c r="H470" s="11">
        <v>2881</v>
      </c>
      <c r="I470" s="11">
        <v>1458</v>
      </c>
      <c r="J470" s="66">
        <f t="shared" si="28"/>
        <v>48.663658451926416</v>
      </c>
      <c r="K470" s="66">
        <f t="shared" si="29"/>
        <v>51.336341548073584</v>
      </c>
    </row>
    <row r="471" spans="1:11" x14ac:dyDescent="0.3">
      <c r="A471" s="10">
        <v>24</v>
      </c>
      <c r="B471" s="10" t="s">
        <v>786</v>
      </c>
      <c r="C471" s="10" t="str" cm="1">
        <f t="array" ref="C471">_xlfn.IFS(A471&lt;20, "ภาคกลาง", A471&lt;30, "ภาคตะวันออก", A471&lt;50, "ภาคตะวันออกเฉียงเหนือ", A471&lt;60, "ภาคเหนือ", A471&lt;80, "ภาคกลาง/ตะวันตก", A471&gt;=80, "ภาคใต้")</f>
        <v>ภาคตะวันออก</v>
      </c>
      <c r="D471" s="64">
        <v>2487</v>
      </c>
      <c r="E471" s="10" t="s">
        <v>811</v>
      </c>
      <c r="F471" s="11">
        <v>1988</v>
      </c>
      <c r="G471" s="11">
        <v>2117</v>
      </c>
      <c r="H471" s="11">
        <v>4105</v>
      </c>
      <c r="I471" s="11">
        <v>1313</v>
      </c>
      <c r="J471" s="66">
        <f t="shared" si="28"/>
        <v>48.428745432399509</v>
      </c>
      <c r="K471" s="66">
        <f t="shared" si="29"/>
        <v>51.571254567600491</v>
      </c>
    </row>
    <row r="472" spans="1:11" ht="27.6" x14ac:dyDescent="0.3">
      <c r="A472" s="10">
        <v>24</v>
      </c>
      <c r="B472" s="10" t="s">
        <v>786</v>
      </c>
      <c r="C472" s="10" t="str" cm="1">
        <f t="array" ref="C472">_xlfn.IFS(A472&lt;20, "ภาคกลาง", A472&lt;30, "ภาคตะวันออก", A472&lt;50, "ภาคตะวันออกเฉียงเหนือ", A472&lt;60, "ภาคเหนือ", A472&lt;80, "ภาคกลาง/ตะวันตก", A472&gt;=80, "ภาคใต้")</f>
        <v>ภาคตะวันออก</v>
      </c>
      <c r="D472" s="64">
        <v>2488</v>
      </c>
      <c r="E472" s="10" t="s">
        <v>812</v>
      </c>
      <c r="F472" s="11">
        <v>1198</v>
      </c>
      <c r="G472" s="11">
        <v>1347</v>
      </c>
      <c r="H472" s="11">
        <v>2545</v>
      </c>
      <c r="I472" s="11">
        <v>2031</v>
      </c>
      <c r="J472" s="66">
        <f t="shared" si="28"/>
        <v>47.072691552062871</v>
      </c>
      <c r="K472" s="66">
        <f t="shared" si="29"/>
        <v>52.927308447937129</v>
      </c>
    </row>
    <row r="473" spans="1:11" x14ac:dyDescent="0.3">
      <c r="A473" s="10">
        <v>24</v>
      </c>
      <c r="B473" s="10" t="s">
        <v>786</v>
      </c>
      <c r="C473" s="10" t="str" cm="1">
        <f t="array" ref="C473">_xlfn.IFS(A473&lt;20, "ภาคกลาง", A473&lt;30, "ภาคตะวันออก", A473&lt;50, "ภาคตะวันออกเฉียงเหนือ", A473&lt;60, "ภาคเหนือ", A473&lt;80, "ภาคกลาง/ตะวันตก", A473&gt;=80, "ภาคใต้")</f>
        <v>ภาคตะวันออก</v>
      </c>
      <c r="D473" s="64">
        <v>2489</v>
      </c>
      <c r="E473" s="10" t="s">
        <v>813</v>
      </c>
      <c r="F473" s="11">
        <v>2822</v>
      </c>
      <c r="G473" s="11">
        <v>3071</v>
      </c>
      <c r="H473" s="11">
        <v>5893</v>
      </c>
      <c r="I473" s="11">
        <v>2959</v>
      </c>
      <c r="J473" s="66">
        <f t="shared" si="28"/>
        <v>47.887323943661968</v>
      </c>
      <c r="K473" s="66">
        <f t="shared" si="29"/>
        <v>52.112676056338024</v>
      </c>
    </row>
    <row r="474" spans="1:11" ht="27.6" x14ac:dyDescent="0.3">
      <c r="A474" s="10">
        <v>24</v>
      </c>
      <c r="B474" s="10" t="s">
        <v>786</v>
      </c>
      <c r="C474" s="10" t="str" cm="1">
        <f t="array" ref="C474">_xlfn.IFS(A474&lt;20, "ภาคกลาง", A474&lt;30, "ภาคตะวันออก", A474&lt;50, "ภาคตะวันออกเฉียงเหนือ", A474&lt;60, "ภาคเหนือ", A474&lt;80, "ภาคกลาง/ตะวันตก", A474&gt;=80, "ภาคใต้")</f>
        <v>ภาคตะวันออก</v>
      </c>
      <c r="D474" s="64">
        <v>2490</v>
      </c>
      <c r="E474" s="10" t="s">
        <v>814</v>
      </c>
      <c r="F474" s="10">
        <v>622</v>
      </c>
      <c r="G474" s="10">
        <v>639</v>
      </c>
      <c r="H474" s="11">
        <v>1261</v>
      </c>
      <c r="I474" s="10">
        <v>327</v>
      </c>
      <c r="J474" s="66">
        <f t="shared" si="28"/>
        <v>49.325931800158607</v>
      </c>
      <c r="K474" s="66">
        <f t="shared" si="29"/>
        <v>50.674068199841393</v>
      </c>
    </row>
    <row r="475" spans="1:11" x14ac:dyDescent="0.3">
      <c r="A475" s="10">
        <v>24</v>
      </c>
      <c r="B475" s="10" t="s">
        <v>786</v>
      </c>
      <c r="C475" s="10" t="str" cm="1">
        <f t="array" ref="C475">_xlfn.IFS(A475&lt;20, "ภาคกลาง", A475&lt;30, "ภาคตะวันออก", A475&lt;50, "ภาคตะวันออกเฉียงเหนือ", A475&lt;60, "ภาคเหนือ", A475&lt;80, "ภาคกลาง/ตะวันตก", A475&gt;=80, "ภาคใต้")</f>
        <v>ภาคตะวันออก</v>
      </c>
      <c r="D475" s="64">
        <v>2491</v>
      </c>
      <c r="E475" s="10" t="s">
        <v>815</v>
      </c>
      <c r="F475" s="11">
        <v>1868</v>
      </c>
      <c r="G475" s="11">
        <v>1988</v>
      </c>
      <c r="H475" s="11">
        <v>3856</v>
      </c>
      <c r="I475" s="11">
        <v>2837</v>
      </c>
      <c r="J475" s="66">
        <f t="shared" si="28"/>
        <v>48.443983402489629</v>
      </c>
      <c r="K475" s="66">
        <f t="shared" si="29"/>
        <v>51.556016597510364</v>
      </c>
    </row>
    <row r="476" spans="1:11" ht="27.6" x14ac:dyDescent="0.3">
      <c r="A476" s="10">
        <v>24</v>
      </c>
      <c r="B476" s="10" t="s">
        <v>786</v>
      </c>
      <c r="C476" s="10" t="str" cm="1">
        <f t="array" ref="C476">_xlfn.IFS(A476&lt;20, "ภาคกลาง", A476&lt;30, "ภาคตะวันออก", A476&lt;50, "ภาคตะวันออกเฉียงเหนือ", A476&lt;60, "ภาคเหนือ", A476&lt;80, "ภาคกลาง/ตะวันตก", A476&gt;=80, "ภาคใต้")</f>
        <v>ภาคตะวันออก</v>
      </c>
      <c r="D476" s="64">
        <v>2492</v>
      </c>
      <c r="E476" s="10" t="s">
        <v>816</v>
      </c>
      <c r="F476" s="11">
        <v>3555</v>
      </c>
      <c r="G476" s="11">
        <v>3815</v>
      </c>
      <c r="H476" s="11">
        <v>7370</v>
      </c>
      <c r="I476" s="11">
        <v>9606</v>
      </c>
      <c r="J476" s="66">
        <f t="shared" si="28"/>
        <v>48.236092265943014</v>
      </c>
      <c r="K476" s="66">
        <f t="shared" si="29"/>
        <v>51.763907734056993</v>
      </c>
    </row>
    <row r="477" spans="1:11" ht="27.6" x14ac:dyDescent="0.3">
      <c r="A477" s="10">
        <v>24</v>
      </c>
      <c r="B477" s="10" t="s">
        <v>786</v>
      </c>
      <c r="C477" s="10" t="str" cm="1">
        <f t="array" ref="C477">_xlfn.IFS(A477&lt;20, "ภาคกลาง", A477&lt;30, "ภาคตะวันออก", A477&lt;50, "ภาคตะวันออกเฉียงเหนือ", A477&lt;60, "ภาคเหนือ", A477&lt;80, "ภาคกลาง/ตะวันตก", A477&gt;=80, "ภาคใต้")</f>
        <v>ภาคตะวันออก</v>
      </c>
      <c r="D477" s="64">
        <v>2493</v>
      </c>
      <c r="E477" s="10" t="s">
        <v>817</v>
      </c>
      <c r="F477" s="10">
        <v>713</v>
      </c>
      <c r="G477" s="10">
        <v>761</v>
      </c>
      <c r="H477" s="11">
        <v>1474</v>
      </c>
      <c r="I477" s="10">
        <v>566</v>
      </c>
      <c r="J477" s="66">
        <f t="shared" si="28"/>
        <v>48.37177747625509</v>
      </c>
      <c r="K477" s="66">
        <f t="shared" si="29"/>
        <v>51.628222523744917</v>
      </c>
    </row>
    <row r="478" spans="1:11" ht="27.6" x14ac:dyDescent="0.3">
      <c r="A478" s="10">
        <v>24</v>
      </c>
      <c r="B478" s="10" t="s">
        <v>786</v>
      </c>
      <c r="C478" s="10" t="str" cm="1">
        <f t="array" ref="C478">_xlfn.IFS(A478&lt;20, "ภาคกลาง", A478&lt;30, "ภาคตะวันออก", A478&lt;50, "ภาคตะวันออกเฉียงเหนือ", A478&lt;60, "ภาคเหนือ", A478&lt;80, "ภาคกลาง/ตะวันตก", A478&gt;=80, "ภาคใต้")</f>
        <v>ภาคตะวันออก</v>
      </c>
      <c r="D478" s="64">
        <v>2494</v>
      </c>
      <c r="E478" s="10" t="s">
        <v>818</v>
      </c>
      <c r="F478" s="11">
        <v>1097</v>
      </c>
      <c r="G478" s="11">
        <v>1161</v>
      </c>
      <c r="H478" s="11">
        <v>2258</v>
      </c>
      <c r="I478" s="11">
        <v>1238</v>
      </c>
      <c r="J478" s="66">
        <f t="shared" si="28"/>
        <v>48.582816651904345</v>
      </c>
      <c r="K478" s="66">
        <f t="shared" si="29"/>
        <v>51.417183348095662</v>
      </c>
    </row>
    <row r="479" spans="1:11" ht="27.6" x14ac:dyDescent="0.3">
      <c r="A479" s="10">
        <v>24</v>
      </c>
      <c r="B479" s="10" t="s">
        <v>786</v>
      </c>
      <c r="C479" s="10" t="str" cm="1">
        <f t="array" ref="C479">_xlfn.IFS(A479&lt;20, "ภาคกลาง", A479&lt;30, "ภาคตะวันออก", A479&lt;50, "ภาคตะวันออกเฉียงเหนือ", A479&lt;60, "ภาคเหนือ", A479&lt;80, "ภาคกลาง/ตะวันตก", A479&gt;=80, "ภาคใต้")</f>
        <v>ภาคตะวันออก</v>
      </c>
      <c r="D479" s="64">
        <v>2495</v>
      </c>
      <c r="E479" s="10" t="s">
        <v>819</v>
      </c>
      <c r="F479" s="11">
        <v>1067</v>
      </c>
      <c r="G479" s="11">
        <v>1027</v>
      </c>
      <c r="H479" s="11">
        <v>2094</v>
      </c>
      <c r="I479" s="10">
        <v>818</v>
      </c>
      <c r="J479" s="66">
        <f t="shared" si="28"/>
        <v>50.955109837631326</v>
      </c>
      <c r="K479" s="66">
        <f t="shared" si="29"/>
        <v>49.044890162368674</v>
      </c>
    </row>
    <row r="480" spans="1:11" x14ac:dyDescent="0.3">
      <c r="A480" s="10">
        <v>24</v>
      </c>
      <c r="B480" s="10" t="s">
        <v>786</v>
      </c>
      <c r="C480" s="10" t="str" cm="1">
        <f t="array" ref="C480">_xlfn.IFS(A480&lt;20, "ภาคกลาง", A480&lt;30, "ภาคตะวันออก", A480&lt;50, "ภาคตะวันออกเฉียงเหนือ", A480&lt;60, "ภาคเหนือ", A480&lt;80, "ภาคกลาง/ตะวันตก", A480&gt;=80, "ภาคใต้")</f>
        <v>ภาคตะวันออก</v>
      </c>
      <c r="D480" s="64">
        <v>2496</v>
      </c>
      <c r="E480" s="10" t="s">
        <v>820</v>
      </c>
      <c r="F480" s="10">
        <v>756</v>
      </c>
      <c r="G480" s="10">
        <v>764</v>
      </c>
      <c r="H480" s="11">
        <v>1520</v>
      </c>
      <c r="I480" s="10">
        <v>742</v>
      </c>
      <c r="J480" s="66">
        <f t="shared" si="28"/>
        <v>49.736842105263158</v>
      </c>
      <c r="K480" s="66">
        <f t="shared" si="29"/>
        <v>50.263157894736842</v>
      </c>
    </row>
    <row r="481" spans="1:11" ht="27.6" x14ac:dyDescent="0.3">
      <c r="A481" s="10">
        <v>24</v>
      </c>
      <c r="B481" s="10" t="s">
        <v>786</v>
      </c>
      <c r="C481" s="10" t="str" cm="1">
        <f t="array" ref="C481">_xlfn.IFS(A481&lt;20, "ภาคกลาง", A481&lt;30, "ภาคตะวันออก", A481&lt;50, "ภาคตะวันออกเฉียงเหนือ", A481&lt;60, "ภาคเหนือ", A481&lt;80, "ภาคกลาง/ตะวันตก", A481&gt;=80, "ภาคใต้")</f>
        <v>ภาคตะวันออก</v>
      </c>
      <c r="D481" s="64">
        <v>2497</v>
      </c>
      <c r="E481" s="10" t="s">
        <v>821</v>
      </c>
      <c r="F481" s="11">
        <v>2564</v>
      </c>
      <c r="G481" s="11">
        <v>2800</v>
      </c>
      <c r="H481" s="11">
        <v>5364</v>
      </c>
      <c r="I481" s="11">
        <v>2789</v>
      </c>
      <c r="J481" s="66">
        <f t="shared" si="28"/>
        <v>47.800149142431017</v>
      </c>
      <c r="K481" s="66">
        <f t="shared" si="29"/>
        <v>52.199850857568975</v>
      </c>
    </row>
    <row r="482" spans="1:11" x14ac:dyDescent="0.3">
      <c r="A482" s="10">
        <v>24</v>
      </c>
      <c r="B482" s="10" t="s">
        <v>786</v>
      </c>
      <c r="C482" s="10" t="str" cm="1">
        <f t="array" ref="C482">_xlfn.IFS(A482&lt;20, "ภาคกลาง", A482&lt;30, "ภาคตะวันออก", A482&lt;50, "ภาคตะวันออกเฉียงเหนือ", A482&lt;60, "ภาคเหนือ", A482&lt;80, "ภาคกลาง/ตะวันตก", A482&gt;=80, "ภาคใต้")</f>
        <v>ภาคตะวันออก</v>
      </c>
      <c r="D482" s="64">
        <v>2498</v>
      </c>
      <c r="E482" s="10" t="s">
        <v>822</v>
      </c>
      <c r="F482" s="10">
        <v>621</v>
      </c>
      <c r="G482" s="10">
        <v>726</v>
      </c>
      <c r="H482" s="11">
        <v>1347</v>
      </c>
      <c r="I482" s="10">
        <v>505</v>
      </c>
      <c r="J482" s="66">
        <f t="shared" si="28"/>
        <v>46.102449888641431</v>
      </c>
      <c r="K482" s="66">
        <f t="shared" si="29"/>
        <v>53.897550111358569</v>
      </c>
    </row>
    <row r="483" spans="1:11" ht="27.6" x14ac:dyDescent="0.3">
      <c r="A483" s="10">
        <v>24</v>
      </c>
      <c r="B483" s="10" t="s">
        <v>786</v>
      </c>
      <c r="C483" s="10" t="str" cm="1">
        <f t="array" ref="C483">_xlfn.IFS(A483&lt;20, "ภาคกลาง", A483&lt;30, "ภาคตะวันออก", A483&lt;50, "ภาคตะวันออกเฉียงเหนือ", A483&lt;60, "ภาคเหนือ", A483&lt;80, "ภาคกลาง/ตะวันตก", A483&gt;=80, "ภาคใต้")</f>
        <v>ภาคตะวันออก</v>
      </c>
      <c r="D483" s="64">
        <v>2499</v>
      </c>
      <c r="E483" s="10" t="s">
        <v>823</v>
      </c>
      <c r="F483" s="11">
        <v>4579</v>
      </c>
      <c r="G483" s="11">
        <v>5334</v>
      </c>
      <c r="H483" s="11">
        <v>9913</v>
      </c>
      <c r="I483" s="11">
        <v>5047</v>
      </c>
      <c r="J483" s="66">
        <f t="shared" si="28"/>
        <v>46.191869262584483</v>
      </c>
      <c r="K483" s="66">
        <f t="shared" si="29"/>
        <v>53.808130737415517</v>
      </c>
    </row>
    <row r="484" spans="1:11" hidden="1" x14ac:dyDescent="0.3">
      <c r="A484" s="10">
        <v>24</v>
      </c>
      <c r="B484" s="10" t="s">
        <v>786</v>
      </c>
      <c r="C484" s="10" t="str" cm="1">
        <f t="array" ref="C484">_xlfn.IFS(A484&lt;20, "ภาคกลาง", A484&lt;30, "ภาคตะวันออก", A484&lt;50, "ภาคตะวันออกเฉียงเหนือ", A484&lt;60, "ภาคเหนือ", A484&lt;80, "ภาคกลาง/ตะวันตก", A484&gt;=80, "ภาคใต้")</f>
        <v>ภาคตะวันออก</v>
      </c>
      <c r="D484" s="10">
        <v>0</v>
      </c>
      <c r="E484" s="10" t="s">
        <v>343</v>
      </c>
      <c r="F484" s="11">
        <v>17206</v>
      </c>
      <c r="G484" s="11">
        <v>19112</v>
      </c>
      <c r="H484" s="11">
        <v>36318</v>
      </c>
      <c r="I484" s="11">
        <v>22914</v>
      </c>
      <c r="J484"/>
      <c r="K484"/>
    </row>
    <row r="485" spans="1:11" x14ac:dyDescent="0.3">
      <c r="A485" s="10">
        <v>25</v>
      </c>
      <c r="B485" s="10" t="s">
        <v>824</v>
      </c>
      <c r="C485" s="10" t="str" cm="1">
        <f t="array" ref="C485">_xlfn.IFS(A485&lt;20, "ภาคกลาง", A485&lt;30, "ภาคตะวันออก", A485&lt;50, "ภาคตะวันออกเฉียงเหนือ", A485&lt;60, "ภาคเหนือ", A485&lt;80, "ภาคกลาง/ตะวันตก", A485&gt;=80, "ภาคใต้")</f>
        <v>ภาคตะวันออก</v>
      </c>
      <c r="D485" s="64">
        <v>2501</v>
      </c>
      <c r="E485" s="10" t="s">
        <v>825</v>
      </c>
      <c r="F485" s="11">
        <v>246835</v>
      </c>
      <c r="G485" s="11">
        <v>253772</v>
      </c>
      <c r="H485" s="11">
        <v>500607</v>
      </c>
      <c r="I485" s="11">
        <v>242594</v>
      </c>
      <c r="J485" s="66">
        <f t="shared" ref="J485:J503" si="30">F485/H485*100</f>
        <v>49.307141130667368</v>
      </c>
      <c r="K485" s="66">
        <f t="shared" ref="K485:K503" si="31">G485/H485*100</f>
        <v>50.692858869332639</v>
      </c>
    </row>
    <row r="486" spans="1:11" x14ac:dyDescent="0.3">
      <c r="A486" s="10">
        <v>25</v>
      </c>
      <c r="B486" s="10" t="s">
        <v>824</v>
      </c>
      <c r="C486" s="10" t="str" cm="1">
        <f t="array" ref="C486">_xlfn.IFS(A486&lt;20, "ภาคกลาง", A486&lt;30, "ภาคตะวันออก", A486&lt;50, "ภาคตะวันออกเฉียงเหนือ", A486&lt;60, "ภาคเหนือ", A486&lt;80, "ภาคกลาง/ตะวันตก", A486&gt;=80, "ภาคใต้")</f>
        <v>ภาคตะวันออก</v>
      </c>
      <c r="D486" s="64">
        <v>2502</v>
      </c>
      <c r="E486" s="10" t="s">
        <v>826</v>
      </c>
      <c r="F486" s="11">
        <v>45275</v>
      </c>
      <c r="G486" s="11">
        <v>42736</v>
      </c>
      <c r="H486" s="11">
        <v>88011</v>
      </c>
      <c r="I486" s="11">
        <v>37954</v>
      </c>
      <c r="J486" s="66">
        <f t="shared" si="30"/>
        <v>51.442433332197112</v>
      </c>
      <c r="K486" s="66">
        <f t="shared" si="31"/>
        <v>48.557566667802888</v>
      </c>
    </row>
    <row r="487" spans="1:11" x14ac:dyDescent="0.3">
      <c r="A487" s="10">
        <v>25</v>
      </c>
      <c r="B487" s="10" t="s">
        <v>824</v>
      </c>
      <c r="C487" s="10" t="str" cm="1">
        <f t="array" ref="C487">_xlfn.IFS(A487&lt;20, "ภาคกลาง", A487&lt;30, "ภาคตะวันออก", A487&lt;50, "ภาคตะวันออกเฉียงเหนือ", A487&lt;60, "ภาคเหนือ", A487&lt;80, "ภาคกลาง/ตะวันตก", A487&gt;=80, "ภาคใต้")</f>
        <v>ภาคตะวันออก</v>
      </c>
      <c r="D487" s="64">
        <v>2503</v>
      </c>
      <c r="E487" s="10" t="s">
        <v>827</v>
      </c>
      <c r="F487" s="11">
        <v>67379</v>
      </c>
      <c r="G487" s="11">
        <v>69718</v>
      </c>
      <c r="H487" s="11">
        <v>137097</v>
      </c>
      <c r="I487" s="11">
        <v>57049</v>
      </c>
      <c r="J487" s="66">
        <f t="shared" si="30"/>
        <v>49.146954346192842</v>
      </c>
      <c r="K487" s="66">
        <f t="shared" si="31"/>
        <v>50.853045653807158</v>
      </c>
    </row>
    <row r="488" spans="1:11" x14ac:dyDescent="0.3">
      <c r="A488" s="10">
        <v>25</v>
      </c>
      <c r="B488" s="10" t="s">
        <v>824</v>
      </c>
      <c r="C488" s="10" t="str" cm="1">
        <f t="array" ref="C488">_xlfn.IFS(A488&lt;20, "ภาคกลาง", A488&lt;30, "ภาคตะวันออก", A488&lt;50, "ภาคตะวันออกเฉียงเหนือ", A488&lt;60, "ภาคเหนือ", A488&lt;80, "ภาคกลาง/ตะวันตก", A488&gt;=80, "ภาคใต้")</f>
        <v>ภาคตะวันออก</v>
      </c>
      <c r="D488" s="64">
        <v>2506</v>
      </c>
      <c r="E488" s="10" t="s">
        <v>828</v>
      </c>
      <c r="F488" s="11">
        <v>21992</v>
      </c>
      <c r="G488" s="11">
        <v>22299</v>
      </c>
      <c r="H488" s="11">
        <v>44291</v>
      </c>
      <c r="I488" s="11">
        <v>19209</v>
      </c>
      <c r="J488" s="66">
        <f t="shared" si="30"/>
        <v>49.653428461764243</v>
      </c>
      <c r="K488" s="66">
        <f t="shared" si="31"/>
        <v>50.346571538235764</v>
      </c>
    </row>
    <row r="489" spans="1:11" x14ac:dyDescent="0.3">
      <c r="A489" s="10">
        <v>25</v>
      </c>
      <c r="B489" s="10" t="s">
        <v>824</v>
      </c>
      <c r="C489" s="10" t="str" cm="1">
        <f t="array" ref="C489">_xlfn.IFS(A489&lt;20, "ภาคกลาง", A489&lt;30, "ภาคตะวันออก", A489&lt;50, "ภาคตะวันออกเฉียงเหนือ", A489&lt;60, "ภาคเหนือ", A489&lt;80, "ภาคกลาง/ตะวันตก", A489&gt;=80, "ภาคใต้")</f>
        <v>ภาคตะวันออก</v>
      </c>
      <c r="D489" s="64">
        <v>2507</v>
      </c>
      <c r="E489" s="10" t="s">
        <v>829</v>
      </c>
      <c r="F489" s="11">
        <v>13291</v>
      </c>
      <c r="G489" s="11">
        <v>13871</v>
      </c>
      <c r="H489" s="11">
        <v>27162</v>
      </c>
      <c r="I489" s="11">
        <v>9865</v>
      </c>
      <c r="J489" s="66">
        <f t="shared" si="30"/>
        <v>48.932331934320004</v>
      </c>
      <c r="K489" s="66">
        <f t="shared" si="31"/>
        <v>51.067668065679996</v>
      </c>
    </row>
    <row r="490" spans="1:11" x14ac:dyDescent="0.3">
      <c r="A490" s="10">
        <v>25</v>
      </c>
      <c r="B490" s="10" t="s">
        <v>824</v>
      </c>
      <c r="C490" s="10" t="str" cm="1">
        <f t="array" ref="C490">_xlfn.IFS(A490&lt;20, "ภาคกลาง", A490&lt;30, "ภาคตะวันออก", A490&lt;50, "ภาคตะวันออกเฉียงเหนือ", A490&lt;60, "ภาคเหนือ", A490&lt;80, "ภาคกลาง/ตะวันตก", A490&gt;=80, "ภาคใต้")</f>
        <v>ภาคตะวันออก</v>
      </c>
      <c r="D490" s="64">
        <v>2508</v>
      </c>
      <c r="E490" s="10" t="s">
        <v>830</v>
      </c>
      <c r="F490" s="11">
        <v>24206</v>
      </c>
      <c r="G490" s="11">
        <v>25474</v>
      </c>
      <c r="H490" s="11">
        <v>49680</v>
      </c>
      <c r="I490" s="11">
        <v>18499</v>
      </c>
      <c r="J490" s="66">
        <f t="shared" si="30"/>
        <v>48.723832528180353</v>
      </c>
      <c r="K490" s="66">
        <f t="shared" si="31"/>
        <v>51.276167471819647</v>
      </c>
    </row>
    <row r="491" spans="1:11" x14ac:dyDescent="0.3">
      <c r="A491" s="10">
        <v>25</v>
      </c>
      <c r="B491" s="10" t="s">
        <v>824</v>
      </c>
      <c r="C491" s="10" t="str" cm="1">
        <f t="array" ref="C491">_xlfn.IFS(A491&lt;20, "ภาคกลาง", A491&lt;30, "ภาคตะวันออก", A491&lt;50, "ภาคตะวันออกเฉียงเหนือ", A491&lt;60, "ภาคเหนือ", A491&lt;80, "ภาคกลาง/ตะวันตก", A491&gt;=80, "ภาคใต้")</f>
        <v>ภาคตะวันออก</v>
      </c>
      <c r="D491" s="64">
        <v>2509</v>
      </c>
      <c r="E491" s="10" t="s">
        <v>831</v>
      </c>
      <c r="F491" s="11">
        <v>39177</v>
      </c>
      <c r="G491" s="11">
        <v>41327</v>
      </c>
      <c r="H491" s="11">
        <v>80504</v>
      </c>
      <c r="I491" s="11">
        <v>60592</v>
      </c>
      <c r="J491" s="66">
        <f t="shared" si="30"/>
        <v>48.664662625459606</v>
      </c>
      <c r="K491" s="66">
        <f t="shared" si="31"/>
        <v>51.335337374540387</v>
      </c>
    </row>
    <row r="492" spans="1:11" ht="27.6" x14ac:dyDescent="0.3">
      <c r="A492" s="10">
        <v>25</v>
      </c>
      <c r="B492" s="10" t="s">
        <v>824</v>
      </c>
      <c r="C492" s="10" t="str" cm="1">
        <f t="array" ref="C492">_xlfn.IFS(A492&lt;20, "ภาคกลาง", A492&lt;30, "ภาคตะวันออก", A492&lt;50, "ภาคตะวันออกเฉียงเหนือ", A492&lt;60, "ภาคเหนือ", A492&lt;80, "ภาคกลาง/ตะวันตก", A492&gt;=80, "ภาคใต้")</f>
        <v>ภาคตะวันออก</v>
      </c>
      <c r="D492" s="64">
        <v>2587</v>
      </c>
      <c r="E492" s="10" t="s">
        <v>832</v>
      </c>
      <c r="F492" s="11">
        <v>6643</v>
      </c>
      <c r="G492" s="11">
        <v>6869</v>
      </c>
      <c r="H492" s="11">
        <v>13512</v>
      </c>
      <c r="I492" s="11">
        <v>7003</v>
      </c>
      <c r="J492" s="66">
        <f t="shared" si="30"/>
        <v>49.163706335109531</v>
      </c>
      <c r="K492" s="66">
        <f t="shared" si="31"/>
        <v>50.836293664890462</v>
      </c>
    </row>
    <row r="493" spans="1:11" x14ac:dyDescent="0.3">
      <c r="A493" s="10">
        <v>25</v>
      </c>
      <c r="B493" s="10" t="s">
        <v>824</v>
      </c>
      <c r="C493" s="10" t="str" cm="1">
        <f t="array" ref="C493">_xlfn.IFS(A493&lt;20, "ภาคกลาง", A493&lt;30, "ภาคตะวันออก", A493&lt;50, "ภาคตะวันออกเฉียงเหนือ", A493&lt;60, "ภาคเหนือ", A493&lt;80, "ภาคกลาง/ตะวันตก", A493&gt;=80, "ภาคใต้")</f>
        <v>ภาคตะวันออก</v>
      </c>
      <c r="D493" s="64">
        <v>2588</v>
      </c>
      <c r="E493" s="10" t="s">
        <v>833</v>
      </c>
      <c r="F493" s="11">
        <v>1057</v>
      </c>
      <c r="G493" s="11">
        <v>1174</v>
      </c>
      <c r="H493" s="11">
        <v>2231</v>
      </c>
      <c r="I493" s="10">
        <v>880</v>
      </c>
      <c r="J493" s="66">
        <f t="shared" si="30"/>
        <v>47.377857463021066</v>
      </c>
      <c r="K493" s="66">
        <f t="shared" si="31"/>
        <v>52.622142536978934</v>
      </c>
    </row>
    <row r="494" spans="1:11" ht="27.6" x14ac:dyDescent="0.3">
      <c r="A494" s="10">
        <v>25</v>
      </c>
      <c r="B494" s="10" t="s">
        <v>824</v>
      </c>
      <c r="C494" s="10" t="str" cm="1">
        <f t="array" ref="C494">_xlfn.IFS(A494&lt;20, "ภาคกลาง", A494&lt;30, "ภาคตะวันออก", A494&lt;50, "ภาคตะวันออกเฉียงเหนือ", A494&lt;60, "ภาคเหนือ", A494&lt;80, "ภาคกลาง/ตะวันตก", A494&gt;=80, "ภาคใต้")</f>
        <v>ภาคตะวันออก</v>
      </c>
      <c r="D494" s="64">
        <v>2589</v>
      </c>
      <c r="E494" s="10" t="s">
        <v>834</v>
      </c>
      <c r="F494" s="11">
        <v>2698</v>
      </c>
      <c r="G494" s="11">
        <v>2937</v>
      </c>
      <c r="H494" s="11">
        <v>5635</v>
      </c>
      <c r="I494" s="11">
        <v>2414</v>
      </c>
      <c r="J494" s="66">
        <f t="shared" si="30"/>
        <v>47.879325643300795</v>
      </c>
      <c r="K494" s="66">
        <f t="shared" si="31"/>
        <v>52.120674356699205</v>
      </c>
    </row>
    <row r="495" spans="1:11" ht="27.6" x14ac:dyDescent="0.3">
      <c r="A495" s="10">
        <v>25</v>
      </c>
      <c r="B495" s="10" t="s">
        <v>824</v>
      </c>
      <c r="C495" s="10" t="str" cm="1">
        <f t="array" ref="C495">_xlfn.IFS(A495&lt;20, "ภาคกลาง", A495&lt;30, "ภาคตะวันออก", A495&lt;50, "ภาคตะวันออกเฉียงเหนือ", A495&lt;60, "ภาคเหนือ", A495&lt;80, "ภาคกลาง/ตะวันตก", A495&gt;=80, "ภาคใต้")</f>
        <v>ภาคตะวันออก</v>
      </c>
      <c r="D495" s="64">
        <v>2590</v>
      </c>
      <c r="E495" s="10" t="s">
        <v>835</v>
      </c>
      <c r="F495" s="11">
        <v>1724</v>
      </c>
      <c r="G495" s="11">
        <v>1845</v>
      </c>
      <c r="H495" s="11">
        <v>3569</v>
      </c>
      <c r="I495" s="11">
        <v>2595</v>
      </c>
      <c r="J495" s="66">
        <f t="shared" si="30"/>
        <v>48.304847296161391</v>
      </c>
      <c r="K495" s="66">
        <f t="shared" si="31"/>
        <v>51.695152703838609</v>
      </c>
    </row>
    <row r="496" spans="1:11" ht="27.6" x14ac:dyDescent="0.3">
      <c r="A496" s="10">
        <v>25</v>
      </c>
      <c r="B496" s="10" t="s">
        <v>824</v>
      </c>
      <c r="C496" s="10" t="str" cm="1">
        <f t="array" ref="C496">_xlfn.IFS(A496&lt;20, "ภาคกลาง", A496&lt;30, "ภาคตะวันออก", A496&lt;50, "ภาคตะวันออกเฉียงเหนือ", A496&lt;60, "ภาคเหนือ", A496&lt;80, "ภาคกลาง/ตะวันตก", A496&gt;=80, "ภาคใต้")</f>
        <v>ภาคตะวันออก</v>
      </c>
      <c r="D496" s="64">
        <v>2591</v>
      </c>
      <c r="E496" s="10" t="s">
        <v>836</v>
      </c>
      <c r="F496" s="11">
        <v>1764</v>
      </c>
      <c r="G496" s="11">
        <v>1828</v>
      </c>
      <c r="H496" s="11">
        <v>3592</v>
      </c>
      <c r="I496" s="11">
        <v>1344</v>
      </c>
      <c r="J496" s="66">
        <f t="shared" si="30"/>
        <v>49.109131403118042</v>
      </c>
      <c r="K496" s="66">
        <f t="shared" si="31"/>
        <v>50.890868596881958</v>
      </c>
    </row>
    <row r="497" spans="1:11" ht="27.6" x14ac:dyDescent="0.3">
      <c r="A497" s="10">
        <v>25</v>
      </c>
      <c r="B497" s="10" t="s">
        <v>824</v>
      </c>
      <c r="C497" s="10" t="str" cm="1">
        <f t="array" ref="C497">_xlfn.IFS(A497&lt;20, "ภาคกลาง", A497&lt;30, "ภาคตะวันออก", A497&lt;50, "ภาคตะวันออกเฉียงเหนือ", A497&lt;60, "ภาคเหนือ", A497&lt;80, "ภาคกลาง/ตะวันตก", A497&gt;=80, "ภาคใต้")</f>
        <v>ภาคตะวันออก</v>
      </c>
      <c r="D497" s="64">
        <v>2592</v>
      </c>
      <c r="E497" s="10" t="s">
        <v>505</v>
      </c>
      <c r="F497" s="11">
        <v>2029</v>
      </c>
      <c r="G497" s="11">
        <v>2243</v>
      </c>
      <c r="H497" s="11">
        <v>4272</v>
      </c>
      <c r="I497" s="11">
        <v>2433</v>
      </c>
      <c r="J497" s="66">
        <f t="shared" si="30"/>
        <v>47.495318352059925</v>
      </c>
      <c r="K497" s="66">
        <f t="shared" si="31"/>
        <v>52.504681647940075</v>
      </c>
    </row>
    <row r="498" spans="1:11" x14ac:dyDescent="0.3">
      <c r="A498" s="10">
        <v>25</v>
      </c>
      <c r="B498" s="10" t="s">
        <v>824</v>
      </c>
      <c r="C498" s="10" t="str" cm="1">
        <f t="array" ref="C498">_xlfn.IFS(A498&lt;20, "ภาคกลาง", A498&lt;30, "ภาคตะวันออก", A498&lt;50, "ภาคตะวันออกเฉียงเหนือ", A498&lt;60, "ภาคเหนือ", A498&lt;80, "ภาคกลาง/ตะวันตก", A498&gt;=80, "ภาคใต้")</f>
        <v>ภาคตะวันออก</v>
      </c>
      <c r="D498" s="64">
        <v>2593</v>
      </c>
      <c r="E498" s="10" t="s">
        <v>837</v>
      </c>
      <c r="F498" s="11">
        <v>1581</v>
      </c>
      <c r="G498" s="11">
        <v>1651</v>
      </c>
      <c r="H498" s="11">
        <v>3232</v>
      </c>
      <c r="I498" s="11">
        <v>1729</v>
      </c>
      <c r="J498" s="66">
        <f t="shared" si="30"/>
        <v>48.917079207920793</v>
      </c>
      <c r="K498" s="66">
        <f t="shared" si="31"/>
        <v>51.082920792079214</v>
      </c>
    </row>
    <row r="499" spans="1:11" x14ac:dyDescent="0.3">
      <c r="A499" s="10">
        <v>25</v>
      </c>
      <c r="B499" s="10" t="s">
        <v>824</v>
      </c>
      <c r="C499" s="10" t="str" cm="1">
        <f t="array" ref="C499">_xlfn.IFS(A499&lt;20, "ภาคกลาง", A499&lt;30, "ภาคตะวันออก", A499&lt;50, "ภาคตะวันออกเฉียงเหนือ", A499&lt;60, "ภาคเหนือ", A499&lt;80, "ภาคกลาง/ตะวันตก", A499&gt;=80, "ภาคใต้")</f>
        <v>ภาคตะวันออก</v>
      </c>
      <c r="D499" s="64">
        <v>2594</v>
      </c>
      <c r="E499" s="10" t="s">
        <v>838</v>
      </c>
      <c r="F499" s="11">
        <v>3879</v>
      </c>
      <c r="G499" s="11">
        <v>4037</v>
      </c>
      <c r="H499" s="11">
        <v>7916</v>
      </c>
      <c r="I499" s="11">
        <v>3491</v>
      </c>
      <c r="J499" s="66">
        <f t="shared" si="30"/>
        <v>49.002021222839822</v>
      </c>
      <c r="K499" s="66">
        <f t="shared" si="31"/>
        <v>50.997978777160178</v>
      </c>
    </row>
    <row r="500" spans="1:11" x14ac:dyDescent="0.3">
      <c r="A500" s="10">
        <v>25</v>
      </c>
      <c r="B500" s="10" t="s">
        <v>824</v>
      </c>
      <c r="C500" s="10" t="str" cm="1">
        <f t="array" ref="C500">_xlfn.IFS(A500&lt;20, "ภาคกลาง", A500&lt;30, "ภาคตะวันออก", A500&lt;50, "ภาคตะวันออกเฉียงเหนือ", A500&lt;60, "ภาคเหนือ", A500&lt;80, "ภาคกลาง/ตะวันตก", A500&gt;=80, "ภาคใต้")</f>
        <v>ภาคตะวันออก</v>
      </c>
      <c r="D500" s="64">
        <v>2595</v>
      </c>
      <c r="E500" s="10" t="s">
        <v>839</v>
      </c>
      <c r="F500" s="10">
        <v>865</v>
      </c>
      <c r="G500" s="10">
        <v>908</v>
      </c>
      <c r="H500" s="11">
        <v>1773</v>
      </c>
      <c r="I500" s="10">
        <v>664</v>
      </c>
      <c r="J500" s="66">
        <f t="shared" si="30"/>
        <v>48.787366046249296</v>
      </c>
      <c r="K500" s="66">
        <f t="shared" si="31"/>
        <v>51.212633953750711</v>
      </c>
    </row>
    <row r="501" spans="1:11" ht="27.6" x14ac:dyDescent="0.3">
      <c r="A501" s="10">
        <v>25</v>
      </c>
      <c r="B501" s="10" t="s">
        <v>824</v>
      </c>
      <c r="C501" s="10" t="str" cm="1">
        <f t="array" ref="C501">_xlfn.IFS(A501&lt;20, "ภาคกลาง", A501&lt;30, "ภาคตะวันออก", A501&lt;50, "ภาคตะวันออกเฉียงเหนือ", A501&lt;60, "ภาคเหนือ", A501&lt;80, "ภาคกลาง/ตะวันตก", A501&gt;=80, "ภาคใต้")</f>
        <v>ภาคตะวันออก</v>
      </c>
      <c r="D501" s="64">
        <v>2596</v>
      </c>
      <c r="E501" s="10" t="s">
        <v>840</v>
      </c>
      <c r="F501" s="11">
        <v>3241</v>
      </c>
      <c r="G501" s="11">
        <v>3376</v>
      </c>
      <c r="H501" s="11">
        <v>6617</v>
      </c>
      <c r="I501" s="11">
        <v>4650</v>
      </c>
      <c r="J501" s="66">
        <f t="shared" si="30"/>
        <v>48.979900256914007</v>
      </c>
      <c r="K501" s="66">
        <f t="shared" si="31"/>
        <v>51.020099743085993</v>
      </c>
    </row>
    <row r="502" spans="1:11" x14ac:dyDescent="0.3">
      <c r="A502" s="10">
        <v>25</v>
      </c>
      <c r="B502" s="10" t="s">
        <v>824</v>
      </c>
      <c r="C502" s="10" t="str" cm="1">
        <f t="array" ref="C502">_xlfn.IFS(A502&lt;20, "ภาคกลาง", A502&lt;30, "ภาคตะวันออก", A502&lt;50, "ภาคตะวันออกเฉียงเหนือ", A502&lt;60, "ภาคเหนือ", A502&lt;80, "ภาคกลาง/ตะวันตก", A502&gt;=80, "ภาคใต้")</f>
        <v>ภาคตะวันออก</v>
      </c>
      <c r="D502" s="64">
        <v>2598</v>
      </c>
      <c r="E502" s="10" t="s">
        <v>841</v>
      </c>
      <c r="F502" s="11">
        <v>1102</v>
      </c>
      <c r="G502" s="11">
        <v>1130</v>
      </c>
      <c r="H502" s="11">
        <v>2232</v>
      </c>
      <c r="I502" s="10">
        <v>837</v>
      </c>
      <c r="J502" s="66">
        <f t="shared" si="30"/>
        <v>49.372759856630829</v>
      </c>
      <c r="K502" s="66">
        <f t="shared" si="31"/>
        <v>50.627240143369178</v>
      </c>
    </row>
    <row r="503" spans="1:11" x14ac:dyDescent="0.3">
      <c r="A503" s="10">
        <v>25</v>
      </c>
      <c r="B503" s="10" t="s">
        <v>824</v>
      </c>
      <c r="C503" s="10" t="str" cm="1">
        <f t="array" ref="C503">_xlfn.IFS(A503&lt;20, "ภาคกลาง", A503&lt;30, "ภาคตะวันออก", A503&lt;50, "ภาคตะวันออกเฉียงเหนือ", A503&lt;60, "ภาคเหนือ", A503&lt;80, "ภาคกลาง/ตะวันตก", A503&gt;=80, "ภาคใต้")</f>
        <v>ภาคตะวันออก</v>
      </c>
      <c r="D503" s="64">
        <v>2599</v>
      </c>
      <c r="E503" s="10" t="s">
        <v>842</v>
      </c>
      <c r="F503" s="11">
        <v>1643</v>
      </c>
      <c r="G503" s="11">
        <v>1868</v>
      </c>
      <c r="H503" s="11">
        <v>3511</v>
      </c>
      <c r="I503" s="11">
        <v>2216</v>
      </c>
      <c r="J503" s="66">
        <f t="shared" si="30"/>
        <v>46.795784676730278</v>
      </c>
      <c r="K503" s="66">
        <f t="shared" si="31"/>
        <v>53.204215323269722</v>
      </c>
    </row>
    <row r="504" spans="1:11" hidden="1" x14ac:dyDescent="0.3">
      <c r="A504" s="10">
        <v>25</v>
      </c>
      <c r="B504" s="10" t="s">
        <v>824</v>
      </c>
      <c r="C504" s="10" t="str" cm="1">
        <f t="array" ref="C504">_xlfn.IFS(A504&lt;20, "ภาคกลาง", A504&lt;30, "ภาคตะวันออก", A504&lt;50, "ภาคตะวันออกเฉียงเหนือ", A504&lt;60, "ภาคเหนือ", A504&lt;80, "ภาคกลาง/ตะวันตก", A504&gt;=80, "ภาคใต้")</f>
        <v>ภาคตะวันออก</v>
      </c>
      <c r="D504" s="10">
        <v>0</v>
      </c>
      <c r="E504" s="10" t="s">
        <v>343</v>
      </c>
      <c r="F504" s="11">
        <v>7289</v>
      </c>
      <c r="G504" s="11">
        <v>8481</v>
      </c>
      <c r="H504" s="11">
        <v>15770</v>
      </c>
      <c r="I504" s="11">
        <v>9170</v>
      </c>
      <c r="J504"/>
      <c r="K504"/>
    </row>
    <row r="505" spans="1:11" x14ac:dyDescent="0.3">
      <c r="A505" s="10">
        <v>26</v>
      </c>
      <c r="B505" s="10" t="s">
        <v>843</v>
      </c>
      <c r="C505" s="10" t="str" cm="1">
        <f t="array" ref="C505">_xlfn.IFS(A505&lt;20, "ภาคกลาง", A505&lt;30, "ภาคตะวันออก", A505&lt;50, "ภาคตะวันออกเฉียงเหนือ", A505&lt;60, "ภาคเหนือ", A505&lt;80, "ภาคกลาง/ตะวันตก", A505&gt;=80, "ภาคใต้")</f>
        <v>ภาคตะวันออก</v>
      </c>
      <c r="D505" s="64">
        <v>2601</v>
      </c>
      <c r="E505" s="10" t="s">
        <v>844</v>
      </c>
      <c r="F505" s="11">
        <v>128349</v>
      </c>
      <c r="G505" s="11">
        <v>131421</v>
      </c>
      <c r="H505" s="11">
        <v>259770</v>
      </c>
      <c r="I505" s="11">
        <v>111246</v>
      </c>
      <c r="J505" s="66">
        <f t="shared" ref="J505:J513" si="32">F505/H505*100</f>
        <v>49.408707702968009</v>
      </c>
      <c r="K505" s="66">
        <f t="shared" ref="K505:K513" si="33">G505/H505*100</f>
        <v>50.591292297031984</v>
      </c>
    </row>
    <row r="506" spans="1:11" x14ac:dyDescent="0.3">
      <c r="A506" s="10">
        <v>26</v>
      </c>
      <c r="B506" s="10" t="s">
        <v>843</v>
      </c>
      <c r="C506" s="10" t="str" cm="1">
        <f t="array" ref="C506">_xlfn.IFS(A506&lt;20, "ภาคกลาง", A506&lt;30, "ภาคตะวันออก", A506&lt;50, "ภาคตะวันออกเฉียงเหนือ", A506&lt;60, "ภาคเหนือ", A506&lt;80, "ภาคกลาง/ตะวันตก", A506&gt;=80, "ภาคใต้")</f>
        <v>ภาคตะวันออก</v>
      </c>
      <c r="D506" s="64">
        <v>2602</v>
      </c>
      <c r="E506" s="10" t="s">
        <v>845</v>
      </c>
      <c r="F506" s="11">
        <v>42555</v>
      </c>
      <c r="G506" s="11">
        <v>42629</v>
      </c>
      <c r="H506" s="11">
        <v>85184</v>
      </c>
      <c r="I506" s="11">
        <v>38011</v>
      </c>
      <c r="J506" s="66">
        <f t="shared" si="32"/>
        <v>49.956564613072878</v>
      </c>
      <c r="K506" s="66">
        <f t="shared" si="33"/>
        <v>50.043435386927129</v>
      </c>
    </row>
    <row r="507" spans="1:11" x14ac:dyDescent="0.3">
      <c r="A507" s="10">
        <v>26</v>
      </c>
      <c r="B507" s="10" t="s">
        <v>843</v>
      </c>
      <c r="C507" s="10" t="str" cm="1">
        <f t="array" ref="C507">_xlfn.IFS(A507&lt;20, "ภาคกลาง", A507&lt;30, "ภาคตะวันออก", A507&lt;50, "ภาคตะวันออกเฉียงเหนือ", A507&lt;60, "ภาคเหนือ", A507&lt;80, "ภาคกลาง/ตะวันตก", A507&gt;=80, "ภาคใต้")</f>
        <v>ภาคตะวันออก</v>
      </c>
      <c r="D507" s="64">
        <v>2603</v>
      </c>
      <c r="E507" s="10" t="s">
        <v>846</v>
      </c>
      <c r="F507" s="11">
        <v>10779</v>
      </c>
      <c r="G507" s="11">
        <v>11382</v>
      </c>
      <c r="H507" s="11">
        <v>22161</v>
      </c>
      <c r="I507" s="11">
        <v>9215</v>
      </c>
      <c r="J507" s="66">
        <f t="shared" si="32"/>
        <v>48.639501827534858</v>
      </c>
      <c r="K507" s="66">
        <f t="shared" si="33"/>
        <v>51.360498172465142</v>
      </c>
    </row>
    <row r="508" spans="1:11" x14ac:dyDescent="0.3">
      <c r="A508" s="10">
        <v>26</v>
      </c>
      <c r="B508" s="10" t="s">
        <v>843</v>
      </c>
      <c r="C508" s="10" t="str" cm="1">
        <f t="array" ref="C508">_xlfn.IFS(A508&lt;20, "ภาคกลาง", A508&lt;30, "ภาคตะวันออก", A508&lt;50, "ภาคตะวันออกเฉียงเหนือ", A508&lt;60, "ภาคเหนือ", A508&lt;80, "ภาคกลาง/ตะวันตก", A508&gt;=80, "ภาคใต้")</f>
        <v>ภาคตะวันออก</v>
      </c>
      <c r="D508" s="64">
        <v>2604</v>
      </c>
      <c r="E508" s="10" t="s">
        <v>847</v>
      </c>
      <c r="F508" s="11">
        <v>32047</v>
      </c>
      <c r="G508" s="11">
        <v>32160</v>
      </c>
      <c r="H508" s="11">
        <v>64207</v>
      </c>
      <c r="I508" s="11">
        <v>25935</v>
      </c>
      <c r="J508" s="66">
        <f t="shared" si="32"/>
        <v>49.91200336411918</v>
      </c>
      <c r="K508" s="66">
        <f t="shared" si="33"/>
        <v>50.087996635880828</v>
      </c>
    </row>
    <row r="509" spans="1:11" x14ac:dyDescent="0.3">
      <c r="A509" s="10">
        <v>26</v>
      </c>
      <c r="B509" s="10" t="s">
        <v>843</v>
      </c>
      <c r="C509" s="10" t="str" cm="1">
        <f t="array" ref="C509">_xlfn.IFS(A509&lt;20, "ภาคกลาง", A509&lt;30, "ภาคตะวันออก", A509&lt;50, "ภาคตะวันออกเฉียงเหนือ", A509&lt;60, "ภาคเหนือ", A509&lt;80, "ภาคกลาง/ตะวันตก", A509&gt;=80, "ภาคใต้")</f>
        <v>ภาคตะวันออก</v>
      </c>
      <c r="D509" s="64">
        <v>2695</v>
      </c>
      <c r="E509" s="10" t="s">
        <v>848</v>
      </c>
      <c r="F509" s="11">
        <v>30999</v>
      </c>
      <c r="G509" s="11">
        <v>31982</v>
      </c>
      <c r="H509" s="11">
        <v>62981</v>
      </c>
      <c r="I509" s="11">
        <v>24023</v>
      </c>
      <c r="J509" s="66">
        <f t="shared" si="32"/>
        <v>49.219605912894366</v>
      </c>
      <c r="K509" s="66">
        <f t="shared" si="33"/>
        <v>50.780394087105641</v>
      </c>
    </row>
    <row r="510" spans="1:11" x14ac:dyDescent="0.3">
      <c r="A510" s="10">
        <v>26</v>
      </c>
      <c r="B510" s="10" t="s">
        <v>843</v>
      </c>
      <c r="C510" s="10" t="str" cm="1">
        <f t="array" ref="C510">_xlfn.IFS(A510&lt;20, "ภาคกลาง", A510&lt;30, "ภาคตะวันออก", A510&lt;50, "ภาคตะวันออกเฉียงเหนือ", A510&lt;60, "ภาคเหนือ", A510&lt;80, "ภาคกลาง/ตะวันตก", A510&gt;=80, "ภาคใต้")</f>
        <v>ภาคตะวันออก</v>
      </c>
      <c r="D510" s="64">
        <v>2696</v>
      </c>
      <c r="E510" s="10" t="s">
        <v>709</v>
      </c>
      <c r="F510" s="11">
        <v>1227</v>
      </c>
      <c r="G510" s="11">
        <v>1347</v>
      </c>
      <c r="H510" s="11">
        <v>2574</v>
      </c>
      <c r="I510" s="11">
        <v>1394</v>
      </c>
      <c r="J510" s="66">
        <f t="shared" si="32"/>
        <v>47.668997668997669</v>
      </c>
      <c r="K510" s="66">
        <f t="shared" si="33"/>
        <v>52.331002331002331</v>
      </c>
    </row>
    <row r="511" spans="1:11" ht="27.6" x14ac:dyDescent="0.3">
      <c r="A511" s="10">
        <v>26</v>
      </c>
      <c r="B511" s="10" t="s">
        <v>843</v>
      </c>
      <c r="C511" s="10" t="str" cm="1">
        <f t="array" ref="C511">_xlfn.IFS(A511&lt;20, "ภาคกลาง", A511&lt;30, "ภาคตะวันออก", A511&lt;50, "ภาคตะวันออกเฉียงเหนือ", A511&lt;60, "ภาคเหนือ", A511&lt;80, "ภาคกลาง/ตะวันตก", A511&gt;=80, "ภาคใต้")</f>
        <v>ภาคตะวันออก</v>
      </c>
      <c r="D511" s="64">
        <v>2697</v>
      </c>
      <c r="E511" s="10" t="s">
        <v>849</v>
      </c>
      <c r="F511" s="11">
        <v>2144</v>
      </c>
      <c r="G511" s="11">
        <v>2415</v>
      </c>
      <c r="H511" s="11">
        <v>4559</v>
      </c>
      <c r="I511" s="11">
        <v>2605</v>
      </c>
      <c r="J511" s="66">
        <f t="shared" si="32"/>
        <v>47.027856986181185</v>
      </c>
      <c r="K511" s="66">
        <f t="shared" si="33"/>
        <v>52.972143013818815</v>
      </c>
    </row>
    <row r="512" spans="1:11" x14ac:dyDescent="0.3">
      <c r="A512" s="10">
        <v>26</v>
      </c>
      <c r="B512" s="10" t="s">
        <v>843</v>
      </c>
      <c r="C512" s="10" t="str" cm="1">
        <f t="array" ref="C512">_xlfn.IFS(A512&lt;20, "ภาคกลาง", A512&lt;30, "ภาคตะวันออก", A512&lt;50, "ภาคตะวันออกเฉียงเหนือ", A512&lt;60, "ภาคเหนือ", A512&lt;80, "ภาคกลาง/ตะวันตก", A512&gt;=80, "ภาคใต้")</f>
        <v>ภาคตะวันออก</v>
      </c>
      <c r="D512" s="64">
        <v>2698</v>
      </c>
      <c r="E512" s="10" t="s">
        <v>850</v>
      </c>
      <c r="F512" s="10">
        <v>795</v>
      </c>
      <c r="G512" s="10">
        <v>905</v>
      </c>
      <c r="H512" s="11">
        <v>1700</v>
      </c>
      <c r="I512" s="10">
        <v>767</v>
      </c>
      <c r="J512" s="66">
        <f t="shared" si="32"/>
        <v>46.764705882352942</v>
      </c>
      <c r="K512" s="66">
        <f t="shared" si="33"/>
        <v>53.235294117647058</v>
      </c>
    </row>
    <row r="513" spans="1:11" ht="27.6" x14ac:dyDescent="0.3">
      <c r="A513" s="10">
        <v>26</v>
      </c>
      <c r="B513" s="10" t="s">
        <v>843</v>
      </c>
      <c r="C513" s="10" t="str" cm="1">
        <f t="array" ref="C513">_xlfn.IFS(A513&lt;20, "ภาคกลาง", A513&lt;30, "ภาคตะวันออก", A513&lt;50, "ภาคตะวันออกเฉียงเหนือ", A513&lt;60, "ภาคเหนือ", A513&lt;80, "ภาคกลาง/ตะวันตก", A513&gt;=80, "ภาคใต้")</f>
        <v>ภาคตะวันออก</v>
      </c>
      <c r="D513" s="64">
        <v>2699</v>
      </c>
      <c r="E513" s="10" t="s">
        <v>851</v>
      </c>
      <c r="F513" s="10">
        <v>498</v>
      </c>
      <c r="G513" s="10">
        <v>529</v>
      </c>
      <c r="H513" s="11">
        <v>1027</v>
      </c>
      <c r="I513" s="10">
        <v>317</v>
      </c>
      <c r="J513" s="66">
        <f t="shared" si="32"/>
        <v>48.490749756572541</v>
      </c>
      <c r="K513" s="66">
        <f t="shared" si="33"/>
        <v>51.509250243427459</v>
      </c>
    </row>
    <row r="514" spans="1:11" hidden="1" x14ac:dyDescent="0.3">
      <c r="A514" s="10">
        <v>26</v>
      </c>
      <c r="B514" s="10" t="s">
        <v>843</v>
      </c>
      <c r="C514" s="10" t="str" cm="1">
        <f t="array" ref="C514">_xlfn.IFS(A514&lt;20, "ภาคกลาง", A514&lt;30, "ภาคตะวันออก", A514&lt;50, "ภาคตะวันออกเฉียงเหนือ", A514&lt;60, "ภาคเหนือ", A514&lt;80, "ภาคกลาง/ตะวันตก", A514&gt;=80, "ภาคใต้")</f>
        <v>ภาคตะวันออก</v>
      </c>
      <c r="D514" s="10">
        <v>0</v>
      </c>
      <c r="E514" s="10" t="s">
        <v>343</v>
      </c>
      <c r="F514" s="11">
        <v>7305</v>
      </c>
      <c r="G514" s="11">
        <v>8072</v>
      </c>
      <c r="H514" s="11">
        <v>15377</v>
      </c>
      <c r="I514" s="11">
        <v>8979</v>
      </c>
      <c r="J514"/>
      <c r="K514"/>
    </row>
    <row r="515" spans="1:11" x14ac:dyDescent="0.3">
      <c r="A515" s="10">
        <v>27</v>
      </c>
      <c r="B515" s="10" t="s">
        <v>852</v>
      </c>
      <c r="C515" s="10" t="str" cm="1">
        <f t="array" ref="C515">_xlfn.IFS(A515&lt;20, "ภาคกลาง", A515&lt;30, "ภาคตะวันออก", A515&lt;50, "ภาคตะวันออกเฉียงเหนือ", A515&lt;60, "ภาคเหนือ", A515&lt;80, "ภาคกลาง/ตะวันตก", A515&gt;=80, "ภาคใต้")</f>
        <v>ภาคตะวันออก</v>
      </c>
      <c r="D515" s="64">
        <v>2701</v>
      </c>
      <c r="E515" s="10" t="s">
        <v>853</v>
      </c>
      <c r="F515" s="11">
        <v>280641</v>
      </c>
      <c r="G515" s="11">
        <v>281601</v>
      </c>
      <c r="H515" s="11">
        <v>562242</v>
      </c>
      <c r="I515" s="11">
        <v>233852</v>
      </c>
      <c r="J515" s="66">
        <f t="shared" ref="J515:J532" si="34">F515/H515*100</f>
        <v>49.914627509150868</v>
      </c>
      <c r="K515" s="66">
        <f t="shared" ref="K515:K532" si="35">G515/H515*100</f>
        <v>50.085372490849132</v>
      </c>
    </row>
    <row r="516" spans="1:11" x14ac:dyDescent="0.3">
      <c r="A516" s="10">
        <v>27</v>
      </c>
      <c r="B516" s="10" t="s">
        <v>852</v>
      </c>
      <c r="C516" s="10" t="str" cm="1">
        <f t="array" ref="C516">_xlfn.IFS(A516&lt;20, "ภาคกลาง", A516&lt;30, "ภาคตะวันออก", A516&lt;50, "ภาคตะวันออกเฉียงเหนือ", A516&lt;60, "ภาคเหนือ", A516&lt;80, "ภาคกลาง/ตะวันตก", A516&gt;=80, "ภาคใต้")</f>
        <v>ภาคตะวันออก</v>
      </c>
      <c r="D516" s="64">
        <v>2702</v>
      </c>
      <c r="E516" s="10" t="s">
        <v>854</v>
      </c>
      <c r="F516" s="11">
        <v>43855</v>
      </c>
      <c r="G516" s="11">
        <v>43035</v>
      </c>
      <c r="H516" s="11">
        <v>86890</v>
      </c>
      <c r="I516" s="11">
        <v>31565</v>
      </c>
      <c r="J516" s="66">
        <f t="shared" si="34"/>
        <v>50.47186097364483</v>
      </c>
      <c r="K516" s="66">
        <f t="shared" si="35"/>
        <v>49.528139026355163</v>
      </c>
    </row>
    <row r="517" spans="1:11" x14ac:dyDescent="0.3">
      <c r="A517" s="10">
        <v>27</v>
      </c>
      <c r="B517" s="10" t="s">
        <v>852</v>
      </c>
      <c r="C517" s="10" t="str" cm="1">
        <f t="array" ref="C517">_xlfn.IFS(A517&lt;20, "ภาคกลาง", A517&lt;30, "ภาคตะวันออก", A517&lt;50, "ภาคตะวันออกเฉียงเหนือ", A517&lt;60, "ภาคเหนือ", A517&lt;80, "ภาคกลาง/ตะวันตก", A517&gt;=80, "ภาคใต้")</f>
        <v>ภาคตะวันออก</v>
      </c>
      <c r="D517" s="64">
        <v>2703</v>
      </c>
      <c r="E517" s="10" t="s">
        <v>855</v>
      </c>
      <c r="F517" s="11">
        <v>19513</v>
      </c>
      <c r="G517" s="11">
        <v>19512</v>
      </c>
      <c r="H517" s="11">
        <v>39025</v>
      </c>
      <c r="I517" s="11">
        <v>14443</v>
      </c>
      <c r="J517" s="66">
        <f t="shared" si="34"/>
        <v>50.001281229980776</v>
      </c>
      <c r="K517" s="66">
        <f t="shared" si="35"/>
        <v>49.998718770019217</v>
      </c>
    </row>
    <row r="518" spans="1:11" x14ac:dyDescent="0.3">
      <c r="A518" s="10">
        <v>27</v>
      </c>
      <c r="B518" s="10" t="s">
        <v>852</v>
      </c>
      <c r="C518" s="10" t="str" cm="1">
        <f t="array" ref="C518">_xlfn.IFS(A518&lt;20, "ภาคกลาง", A518&lt;30, "ภาคตะวันออก", A518&lt;50, "ภาคตะวันออกเฉียงเหนือ", A518&lt;60, "ภาคเหนือ", A518&lt;80, "ภาคกลาง/ตะวันตก", A518&gt;=80, "ภาคใต้")</f>
        <v>ภาคตะวันออก</v>
      </c>
      <c r="D518" s="64">
        <v>2704</v>
      </c>
      <c r="E518" s="10" t="s">
        <v>856</v>
      </c>
      <c r="F518" s="11">
        <v>27531</v>
      </c>
      <c r="G518" s="11">
        <v>27366</v>
      </c>
      <c r="H518" s="11">
        <v>54897</v>
      </c>
      <c r="I518" s="11">
        <v>17397</v>
      </c>
      <c r="J518" s="66">
        <f t="shared" si="34"/>
        <v>50.150281436144049</v>
      </c>
      <c r="K518" s="66">
        <f t="shared" si="35"/>
        <v>49.849718563855951</v>
      </c>
    </row>
    <row r="519" spans="1:11" x14ac:dyDescent="0.3">
      <c r="A519" s="10">
        <v>27</v>
      </c>
      <c r="B519" s="10" t="s">
        <v>852</v>
      </c>
      <c r="C519" s="10" t="str" cm="1">
        <f t="array" ref="C519">_xlfn.IFS(A519&lt;20, "ภาคกลาง", A519&lt;30, "ภาคตะวันออก", A519&lt;50, "ภาคตะวันออกเฉียงเหนือ", A519&lt;60, "ภาคเหนือ", A519&lt;80, "ภาคกลาง/ตะวันตก", A519&gt;=80, "ภาคใต้")</f>
        <v>ภาคตะวันออก</v>
      </c>
      <c r="D519" s="64">
        <v>2705</v>
      </c>
      <c r="E519" s="10" t="s">
        <v>857</v>
      </c>
      <c r="F519" s="11">
        <v>20169</v>
      </c>
      <c r="G519" s="11">
        <v>20167</v>
      </c>
      <c r="H519" s="11">
        <v>40336</v>
      </c>
      <c r="I519" s="11">
        <v>15723</v>
      </c>
      <c r="J519" s="66">
        <f t="shared" si="34"/>
        <v>50.002479174930578</v>
      </c>
      <c r="K519" s="66">
        <f t="shared" si="35"/>
        <v>49.997520825069422</v>
      </c>
    </row>
    <row r="520" spans="1:11" x14ac:dyDescent="0.3">
      <c r="A520" s="10">
        <v>27</v>
      </c>
      <c r="B520" s="10" t="s">
        <v>852</v>
      </c>
      <c r="C520" s="10" t="str" cm="1">
        <f t="array" ref="C520">_xlfn.IFS(A520&lt;20, "ภาคกลาง", A520&lt;30, "ภาคตะวันออก", A520&lt;50, "ภาคตะวันออกเฉียงเหนือ", A520&lt;60, "ภาคเหนือ", A520&lt;80, "ภาคกลาง/ตะวันตก", A520&gt;=80, "ภาคใต้")</f>
        <v>ภาคตะวันออก</v>
      </c>
      <c r="D520" s="64">
        <v>2706</v>
      </c>
      <c r="E520" s="10" t="s">
        <v>858</v>
      </c>
      <c r="F520" s="11">
        <v>38371</v>
      </c>
      <c r="G520" s="11">
        <v>38083</v>
      </c>
      <c r="H520" s="11">
        <v>76454</v>
      </c>
      <c r="I520" s="11">
        <v>28513</v>
      </c>
      <c r="J520" s="66">
        <f t="shared" si="34"/>
        <v>50.188348549454574</v>
      </c>
      <c r="K520" s="66">
        <f t="shared" si="35"/>
        <v>49.811651450545426</v>
      </c>
    </row>
    <row r="521" spans="1:11" x14ac:dyDescent="0.3">
      <c r="A521" s="10">
        <v>27</v>
      </c>
      <c r="B521" s="10" t="s">
        <v>852</v>
      </c>
      <c r="C521" s="10" t="str" cm="1">
        <f t="array" ref="C521">_xlfn.IFS(A521&lt;20, "ภาคกลาง", A521&lt;30, "ภาคตะวันออก", A521&lt;50, "ภาคตะวันออกเฉียงเหนือ", A521&lt;60, "ภาคเหนือ", A521&lt;80, "ภาคกลาง/ตะวันตก", A521&gt;=80, "ภาคใต้")</f>
        <v>ภาคตะวันออก</v>
      </c>
      <c r="D521" s="64">
        <v>2707</v>
      </c>
      <c r="E521" s="10" t="s">
        <v>859</v>
      </c>
      <c r="F521" s="11">
        <v>37252</v>
      </c>
      <c r="G521" s="11">
        <v>38574</v>
      </c>
      <c r="H521" s="11">
        <v>75826</v>
      </c>
      <c r="I521" s="11">
        <v>39533</v>
      </c>
      <c r="J521" s="66">
        <f t="shared" si="34"/>
        <v>49.128267348930443</v>
      </c>
      <c r="K521" s="66">
        <f t="shared" si="35"/>
        <v>50.871732651069557</v>
      </c>
    </row>
    <row r="522" spans="1:11" x14ac:dyDescent="0.3">
      <c r="A522" s="10">
        <v>27</v>
      </c>
      <c r="B522" s="10" t="s">
        <v>852</v>
      </c>
      <c r="C522" s="10" t="str" cm="1">
        <f t="array" ref="C522">_xlfn.IFS(A522&lt;20, "ภาคกลาง", A522&lt;30, "ภาคตะวันออก", A522&lt;50, "ภาคตะวันออกเฉียงเหนือ", A522&lt;60, "ภาคเหนือ", A522&lt;80, "ภาคกลาง/ตะวันตก", A522&gt;=80, "ภาคใต้")</f>
        <v>ภาคตะวันออก</v>
      </c>
      <c r="D522" s="64">
        <v>2708</v>
      </c>
      <c r="E522" s="10" t="s">
        <v>860</v>
      </c>
      <c r="F522" s="11">
        <v>25387</v>
      </c>
      <c r="G522" s="11">
        <v>25478</v>
      </c>
      <c r="H522" s="11">
        <v>50865</v>
      </c>
      <c r="I522" s="11">
        <v>17217</v>
      </c>
      <c r="J522" s="66">
        <f t="shared" si="34"/>
        <v>49.910547527769587</v>
      </c>
      <c r="K522" s="66">
        <f t="shared" si="35"/>
        <v>50.089452472230413</v>
      </c>
    </row>
    <row r="523" spans="1:11" x14ac:dyDescent="0.3">
      <c r="A523" s="10">
        <v>27</v>
      </c>
      <c r="B523" s="10" t="s">
        <v>852</v>
      </c>
      <c r="C523" s="10" t="str" cm="1">
        <f t="array" ref="C523">_xlfn.IFS(A523&lt;20, "ภาคกลาง", A523&lt;30, "ภาคตะวันออก", A523&lt;50, "ภาคตะวันออกเฉียงเหนือ", A523&lt;60, "ภาคเหนือ", A523&lt;80, "ภาคกลาง/ตะวันตก", A523&gt;=80, "ภาคใต้")</f>
        <v>ภาคตะวันออก</v>
      </c>
      <c r="D523" s="64">
        <v>2709</v>
      </c>
      <c r="E523" s="10" t="s">
        <v>861</v>
      </c>
      <c r="F523" s="11">
        <v>13463</v>
      </c>
      <c r="G523" s="11">
        <v>13784</v>
      </c>
      <c r="H523" s="11">
        <v>27247</v>
      </c>
      <c r="I523" s="11">
        <v>8919</v>
      </c>
      <c r="J523" s="66">
        <f t="shared" si="34"/>
        <v>49.410944324145781</v>
      </c>
      <c r="K523" s="66">
        <f t="shared" si="35"/>
        <v>50.589055675854219</v>
      </c>
    </row>
    <row r="524" spans="1:11" ht="27.6" x14ac:dyDescent="0.3">
      <c r="A524" s="10">
        <v>27</v>
      </c>
      <c r="B524" s="10" t="s">
        <v>852</v>
      </c>
      <c r="C524" s="10" t="str" cm="1">
        <f t="array" ref="C524">_xlfn.IFS(A524&lt;20, "ภาคกลาง", A524&lt;30, "ภาคตะวันออก", A524&lt;50, "ภาคตะวันออกเฉียงเหนือ", A524&lt;60, "ภาคเหนือ", A524&lt;80, "ภาคกลาง/ตะวันตก", A524&gt;=80, "ภาคใต้")</f>
        <v>ภาคตะวันออก</v>
      </c>
      <c r="D524" s="64">
        <v>2791</v>
      </c>
      <c r="E524" s="10" t="s">
        <v>862</v>
      </c>
      <c r="F524" s="11">
        <v>12642</v>
      </c>
      <c r="G524" s="11">
        <v>12503</v>
      </c>
      <c r="H524" s="11">
        <v>25145</v>
      </c>
      <c r="I524" s="11">
        <v>10915</v>
      </c>
      <c r="J524" s="66">
        <f t="shared" si="34"/>
        <v>50.276396897991646</v>
      </c>
      <c r="K524" s="66">
        <f t="shared" si="35"/>
        <v>49.723603102008354</v>
      </c>
    </row>
    <row r="525" spans="1:11" ht="27.6" x14ac:dyDescent="0.3">
      <c r="A525" s="10">
        <v>27</v>
      </c>
      <c r="B525" s="10" t="s">
        <v>852</v>
      </c>
      <c r="C525" s="10" t="str" cm="1">
        <f t="array" ref="C525">_xlfn.IFS(A525&lt;20, "ภาคกลาง", A525&lt;30, "ภาคตะวันออก", A525&lt;50, "ภาคตะวันออกเฉียงเหนือ", A525&lt;60, "ภาคเหนือ", A525&lt;80, "ภาคกลาง/ตะวันตก", A525&gt;=80, "ภาคใต้")</f>
        <v>ภาคตะวันออก</v>
      </c>
      <c r="D525" s="64">
        <v>2792</v>
      </c>
      <c r="E525" s="10" t="s">
        <v>863</v>
      </c>
      <c r="F525" s="11">
        <v>5159</v>
      </c>
      <c r="G525" s="11">
        <v>5316</v>
      </c>
      <c r="H525" s="11">
        <v>10475</v>
      </c>
      <c r="I525" s="11">
        <v>5329</v>
      </c>
      <c r="J525" s="66">
        <f t="shared" si="34"/>
        <v>49.250596658711217</v>
      </c>
      <c r="K525" s="66">
        <f t="shared" si="35"/>
        <v>50.749403341288776</v>
      </c>
    </row>
    <row r="526" spans="1:11" ht="27.6" x14ac:dyDescent="0.3">
      <c r="A526" s="10">
        <v>27</v>
      </c>
      <c r="B526" s="10" t="s">
        <v>852</v>
      </c>
      <c r="C526" s="10" t="str" cm="1">
        <f t="array" ref="C526">_xlfn.IFS(A526&lt;20, "ภาคกลาง", A526&lt;30, "ภาคตะวันออก", A526&lt;50, "ภาคตะวันออกเฉียงเหนือ", A526&lt;60, "ภาคเหนือ", A526&lt;80, "ภาคกลาง/ตะวันตก", A526&gt;=80, "ภาคใต้")</f>
        <v>ภาคตะวันออก</v>
      </c>
      <c r="D526" s="64">
        <v>2793</v>
      </c>
      <c r="E526" s="10" t="s">
        <v>864</v>
      </c>
      <c r="F526" s="11">
        <v>2344</v>
      </c>
      <c r="G526" s="11">
        <v>2412</v>
      </c>
      <c r="H526" s="11">
        <v>4756</v>
      </c>
      <c r="I526" s="11">
        <v>2484</v>
      </c>
      <c r="J526" s="66">
        <f t="shared" si="34"/>
        <v>49.285113540790583</v>
      </c>
      <c r="K526" s="66">
        <f t="shared" si="35"/>
        <v>50.714886459209417</v>
      </c>
    </row>
    <row r="527" spans="1:11" x14ac:dyDescent="0.3">
      <c r="A527" s="10">
        <v>27</v>
      </c>
      <c r="B527" s="10" t="s">
        <v>852</v>
      </c>
      <c r="C527" s="10" t="str" cm="1">
        <f t="array" ref="C527">_xlfn.IFS(A527&lt;20, "ภาคกลาง", A527&lt;30, "ภาคตะวันออก", A527&lt;50, "ภาคตะวันออกเฉียงเหนือ", A527&lt;60, "ภาคเหนือ", A527&lt;80, "ภาคกลาง/ตะวันตก", A527&gt;=80, "ภาคใต้")</f>
        <v>ภาคตะวันออก</v>
      </c>
      <c r="D527" s="64">
        <v>2794</v>
      </c>
      <c r="E527" s="10" t="s">
        <v>865</v>
      </c>
      <c r="F527" s="11">
        <v>2506</v>
      </c>
      <c r="G527" s="11">
        <v>2973</v>
      </c>
      <c r="H527" s="11">
        <v>5479</v>
      </c>
      <c r="I527" s="11">
        <v>3154</v>
      </c>
      <c r="J527" s="66">
        <f t="shared" si="34"/>
        <v>45.738273407556122</v>
      </c>
      <c r="K527" s="66">
        <f t="shared" si="35"/>
        <v>54.261726592443878</v>
      </c>
    </row>
    <row r="528" spans="1:11" ht="27.6" x14ac:dyDescent="0.3">
      <c r="A528" s="10">
        <v>27</v>
      </c>
      <c r="B528" s="10" t="s">
        <v>852</v>
      </c>
      <c r="C528" s="10" t="str" cm="1">
        <f t="array" ref="C528">_xlfn.IFS(A528&lt;20, "ภาคกลาง", A528&lt;30, "ภาคตะวันออก", A528&lt;50, "ภาคตะวันออกเฉียงเหนือ", A528&lt;60, "ภาคเหนือ", A528&lt;80, "ภาคกลาง/ตะวันตก", A528&gt;=80, "ภาคใต้")</f>
        <v>ภาคตะวันออก</v>
      </c>
      <c r="D528" s="64">
        <v>2795</v>
      </c>
      <c r="E528" s="10" t="s">
        <v>866</v>
      </c>
      <c r="F528" s="11">
        <v>9884</v>
      </c>
      <c r="G528" s="11">
        <v>10404</v>
      </c>
      <c r="H528" s="11">
        <v>20288</v>
      </c>
      <c r="I528" s="11">
        <v>10328</v>
      </c>
      <c r="J528" s="66">
        <f t="shared" si="34"/>
        <v>48.718454258675081</v>
      </c>
      <c r="K528" s="66">
        <f t="shared" si="35"/>
        <v>51.281545741324919</v>
      </c>
    </row>
    <row r="529" spans="1:11" ht="27.6" x14ac:dyDescent="0.3">
      <c r="A529" s="10">
        <v>27</v>
      </c>
      <c r="B529" s="10" t="s">
        <v>852</v>
      </c>
      <c r="C529" s="10" t="str" cm="1">
        <f t="array" ref="C529">_xlfn.IFS(A529&lt;20, "ภาคกลาง", A529&lt;30, "ภาคตะวันออก", A529&lt;50, "ภาคตะวันออกเฉียงเหนือ", A529&lt;60, "ภาคเหนือ", A529&lt;80, "ภาคกลาง/ตะวันตก", A529&gt;=80, "ภาคใต้")</f>
        <v>ภาคตะวันออก</v>
      </c>
      <c r="D529" s="64">
        <v>2796</v>
      </c>
      <c r="E529" s="10" t="s">
        <v>867</v>
      </c>
      <c r="F529" s="11">
        <v>1220</v>
      </c>
      <c r="G529" s="11">
        <v>1252</v>
      </c>
      <c r="H529" s="11">
        <v>2472</v>
      </c>
      <c r="I529" s="11">
        <v>1209</v>
      </c>
      <c r="J529" s="66">
        <f t="shared" si="34"/>
        <v>49.35275080906149</v>
      </c>
      <c r="K529" s="66">
        <f t="shared" si="35"/>
        <v>50.647249190938517</v>
      </c>
    </row>
    <row r="530" spans="1:11" x14ac:dyDescent="0.3">
      <c r="A530" s="10">
        <v>27</v>
      </c>
      <c r="B530" s="10" t="s">
        <v>852</v>
      </c>
      <c r="C530" s="10" t="str" cm="1">
        <f t="array" ref="C530">_xlfn.IFS(A530&lt;20, "ภาคกลาง", A530&lt;30, "ภาคตะวันออก", A530&lt;50, "ภาคตะวันออกเฉียงเหนือ", A530&lt;60, "ภาคเหนือ", A530&lt;80, "ภาคกลาง/ตะวันตก", A530&gt;=80, "ภาคใต้")</f>
        <v>ภาคตะวันออก</v>
      </c>
      <c r="D530" s="64">
        <v>2797</v>
      </c>
      <c r="E530" s="10" t="s">
        <v>868</v>
      </c>
      <c r="F530" s="11">
        <v>1311</v>
      </c>
      <c r="G530" s="11">
        <v>1376</v>
      </c>
      <c r="H530" s="11">
        <v>2687</v>
      </c>
      <c r="I530" s="11">
        <v>1253</v>
      </c>
      <c r="J530" s="66">
        <f t="shared" si="34"/>
        <v>48.790472646073688</v>
      </c>
      <c r="K530" s="66">
        <f t="shared" si="35"/>
        <v>51.209527353926312</v>
      </c>
    </row>
    <row r="531" spans="1:11" ht="27.6" x14ac:dyDescent="0.3">
      <c r="A531" s="10">
        <v>27</v>
      </c>
      <c r="B531" s="10" t="s">
        <v>852</v>
      </c>
      <c r="C531" s="10" t="str" cm="1">
        <f t="array" ref="C531">_xlfn.IFS(A531&lt;20, "ภาคกลาง", A531&lt;30, "ภาคตะวันออก", A531&lt;50, "ภาคตะวันออกเฉียงเหนือ", A531&lt;60, "ภาคเหนือ", A531&lt;80, "ภาคกลาง/ตะวันตก", A531&gt;=80, "ภาคใต้")</f>
        <v>ภาคตะวันออก</v>
      </c>
      <c r="D531" s="64">
        <v>2798</v>
      </c>
      <c r="E531" s="10" t="s">
        <v>869</v>
      </c>
      <c r="F531" s="11">
        <v>2191</v>
      </c>
      <c r="G531" s="11">
        <v>1871</v>
      </c>
      <c r="H531" s="11">
        <v>4062</v>
      </c>
      <c r="I531" s="11">
        <v>1723</v>
      </c>
      <c r="J531" s="66">
        <f t="shared" si="34"/>
        <v>53.938946331856229</v>
      </c>
      <c r="K531" s="66">
        <f t="shared" si="35"/>
        <v>46.061053668143771</v>
      </c>
    </row>
    <row r="532" spans="1:11" x14ac:dyDescent="0.3">
      <c r="A532" s="10">
        <v>27</v>
      </c>
      <c r="B532" s="10" t="s">
        <v>852</v>
      </c>
      <c r="C532" s="10" t="str" cm="1">
        <f t="array" ref="C532">_xlfn.IFS(A532&lt;20, "ภาคกลาง", A532&lt;30, "ภาคตะวันออก", A532&lt;50, "ภาคตะวันออกเฉียงเหนือ", A532&lt;60, "ภาคเหนือ", A532&lt;80, "ภาคกลาง/ตะวันตก", A532&gt;=80, "ภาคใต้")</f>
        <v>ภาคตะวันออก</v>
      </c>
      <c r="D532" s="64">
        <v>2799</v>
      </c>
      <c r="E532" s="10" t="s">
        <v>870</v>
      </c>
      <c r="F532" s="11">
        <v>9129</v>
      </c>
      <c r="G532" s="11">
        <v>7941</v>
      </c>
      <c r="H532" s="11">
        <v>17070</v>
      </c>
      <c r="I532" s="11">
        <v>11857</v>
      </c>
      <c r="J532" s="66">
        <f t="shared" si="34"/>
        <v>53.479789103690692</v>
      </c>
      <c r="K532" s="66">
        <f t="shared" si="35"/>
        <v>46.520210896309315</v>
      </c>
    </row>
    <row r="533" spans="1:11" hidden="1" x14ac:dyDescent="0.3">
      <c r="A533" s="10">
        <v>27</v>
      </c>
      <c r="B533" s="10" t="s">
        <v>852</v>
      </c>
      <c r="C533" s="10" t="str" cm="1">
        <f t="array" ref="C533">_xlfn.IFS(A533&lt;20, "ภาคกลาง", A533&lt;30, "ภาคตะวันออก", A533&lt;50, "ภาคตะวันออกเฉียงเหนือ", A533&lt;60, "ภาคเหนือ", A533&lt;80, "ภาคกลาง/ตะวันตก", A533&gt;=80, "ภาคใต้")</f>
        <v>ภาคตะวันออก</v>
      </c>
      <c r="D533" s="10">
        <v>0</v>
      </c>
      <c r="E533" s="10" t="s">
        <v>343</v>
      </c>
      <c r="F533" s="11">
        <v>8714</v>
      </c>
      <c r="G533" s="11">
        <v>9554</v>
      </c>
      <c r="H533" s="11">
        <v>18268</v>
      </c>
      <c r="I533" s="11">
        <v>12290</v>
      </c>
      <c r="J533"/>
      <c r="K533"/>
    </row>
    <row r="534" spans="1:11" ht="41.4" x14ac:dyDescent="0.3">
      <c r="A534" s="10">
        <v>30</v>
      </c>
      <c r="B534" s="10" t="s">
        <v>871</v>
      </c>
      <c r="C534" s="10" t="str" cm="1">
        <f t="array" ref="C534">_xlfn.IFS(A534&lt;20, "ภาคกลาง", A534&lt;30, "ภาคตะวันออก", A534&lt;50, "ภาคตะวันออกเฉียงเหนือ", A534&lt;60, "ภาคเหนือ", A534&lt;80, "ภาคกลาง/ตะวันตก", A534&gt;=80, "ภาคใต้")</f>
        <v>ภาคตะวันออกเฉียงเหนือ</v>
      </c>
      <c r="D534" s="64">
        <v>3001</v>
      </c>
      <c r="E534" s="10" t="s">
        <v>872</v>
      </c>
      <c r="F534" s="11">
        <v>1282763</v>
      </c>
      <c r="G534" s="11">
        <v>1337409</v>
      </c>
      <c r="H534" s="11">
        <v>2620172</v>
      </c>
      <c r="I534" s="11">
        <v>1079582</v>
      </c>
      <c r="J534" s="66">
        <f t="shared" ref="J534:J597" si="36">F534/H534*100</f>
        <v>48.957205862821219</v>
      </c>
      <c r="K534" s="66">
        <f t="shared" ref="K534:K597" si="37">G534/H534*100</f>
        <v>51.042794137178781</v>
      </c>
    </row>
    <row r="535" spans="1:11" ht="41.4" x14ac:dyDescent="0.3">
      <c r="A535" s="10">
        <v>30</v>
      </c>
      <c r="B535" s="10" t="s">
        <v>871</v>
      </c>
      <c r="C535" s="10" t="str" cm="1">
        <f t="array" ref="C535">_xlfn.IFS(A535&lt;20, "ภาคกลาง", A535&lt;30, "ภาคตะวันออก", A535&lt;50, "ภาคตะวันออกเฉียงเหนือ", A535&lt;60, "ภาคเหนือ", A535&lt;80, "ภาคกลาง/ตะวันตก", A535&gt;=80, "ภาคใต้")</f>
        <v>ภาคตะวันออกเฉียงเหนือ</v>
      </c>
      <c r="D535" s="64">
        <v>3002</v>
      </c>
      <c r="E535" s="10" t="s">
        <v>873</v>
      </c>
      <c r="F535" s="11">
        <v>108399</v>
      </c>
      <c r="G535" s="11">
        <v>120739</v>
      </c>
      <c r="H535" s="11">
        <v>229138</v>
      </c>
      <c r="I535" s="11">
        <v>116113</v>
      </c>
      <c r="J535" s="66">
        <f t="shared" si="36"/>
        <v>47.307299531286823</v>
      </c>
      <c r="K535" s="66">
        <f t="shared" si="37"/>
        <v>52.69270046871317</v>
      </c>
    </row>
    <row r="536" spans="1:11" ht="41.4" x14ac:dyDescent="0.3">
      <c r="A536" s="10">
        <v>30</v>
      </c>
      <c r="B536" s="10" t="s">
        <v>871</v>
      </c>
      <c r="C536" s="10" t="str" cm="1">
        <f t="array" ref="C536">_xlfn.IFS(A536&lt;20, "ภาคกลาง", A536&lt;30, "ภาคตะวันออก", A536&lt;50, "ภาคตะวันออกเฉียงเหนือ", A536&lt;60, "ภาคเหนือ", A536&lt;80, "ภาคกลาง/ตะวันตก", A536&gt;=80, "ภาคใต้")</f>
        <v>ภาคตะวันออกเฉียงเหนือ</v>
      </c>
      <c r="D536" s="64">
        <v>3003</v>
      </c>
      <c r="E536" s="10" t="s">
        <v>874</v>
      </c>
      <c r="F536" s="11">
        <v>39574</v>
      </c>
      <c r="G536" s="11">
        <v>40656</v>
      </c>
      <c r="H536" s="11">
        <v>80230</v>
      </c>
      <c r="I536" s="11">
        <v>32003</v>
      </c>
      <c r="J536" s="66">
        <f t="shared" si="36"/>
        <v>49.325688645145206</v>
      </c>
      <c r="K536" s="66">
        <f t="shared" si="37"/>
        <v>50.674311354854794</v>
      </c>
    </row>
    <row r="537" spans="1:11" ht="41.4" x14ac:dyDescent="0.3">
      <c r="A537" s="10">
        <v>30</v>
      </c>
      <c r="B537" s="10" t="s">
        <v>871</v>
      </c>
      <c r="C537" s="10" t="str" cm="1">
        <f t="array" ref="C537">_xlfn.IFS(A537&lt;20, "ภาคกลาง", A537&lt;30, "ภาคตะวันออก", A537&lt;50, "ภาคตะวันออกเฉียงเหนือ", A537&lt;60, "ภาคเหนือ", A537&lt;80, "ภาคกลาง/ตะวันตก", A537&gt;=80, "ภาคใต้")</f>
        <v>ภาคตะวันออกเฉียงเหนือ</v>
      </c>
      <c r="D537" s="64">
        <v>3004</v>
      </c>
      <c r="E537" s="10" t="s">
        <v>875</v>
      </c>
      <c r="F537" s="11">
        <v>28111</v>
      </c>
      <c r="G537" s="11">
        <v>28556</v>
      </c>
      <c r="H537" s="11">
        <v>56667</v>
      </c>
      <c r="I537" s="11">
        <v>18150</v>
      </c>
      <c r="J537" s="66">
        <f t="shared" si="36"/>
        <v>49.607355250851462</v>
      </c>
      <c r="K537" s="66">
        <f t="shared" si="37"/>
        <v>50.392644749148531</v>
      </c>
    </row>
    <row r="538" spans="1:11" ht="41.4" x14ac:dyDescent="0.3">
      <c r="A538" s="10">
        <v>30</v>
      </c>
      <c r="B538" s="10" t="s">
        <v>871</v>
      </c>
      <c r="C538" s="10" t="str" cm="1">
        <f t="array" ref="C538">_xlfn.IFS(A538&lt;20, "ภาคกลาง", A538&lt;30, "ภาคตะวันออก", A538&lt;50, "ภาคตะวันออกเฉียงเหนือ", A538&lt;60, "ภาคเหนือ", A538&lt;80, "ภาคกลาง/ตะวันตก", A538&gt;=80, "ภาคใต้")</f>
        <v>ภาคตะวันออกเฉียงเหนือ</v>
      </c>
      <c r="D538" s="64">
        <v>3005</v>
      </c>
      <c r="E538" s="10" t="s">
        <v>876</v>
      </c>
      <c r="F538" s="11">
        <v>36135</v>
      </c>
      <c r="G538" s="11">
        <v>37162</v>
      </c>
      <c r="H538" s="11">
        <v>73297</v>
      </c>
      <c r="I538" s="11">
        <v>22682</v>
      </c>
      <c r="J538" s="66">
        <f t="shared" si="36"/>
        <v>49.299425624513965</v>
      </c>
      <c r="K538" s="66">
        <f t="shared" si="37"/>
        <v>50.700574375486042</v>
      </c>
    </row>
    <row r="539" spans="1:11" ht="41.4" x14ac:dyDescent="0.3">
      <c r="A539" s="10">
        <v>30</v>
      </c>
      <c r="B539" s="10" t="s">
        <v>871</v>
      </c>
      <c r="C539" s="10" t="str" cm="1">
        <f t="array" ref="C539">_xlfn.IFS(A539&lt;20, "ภาคกลาง", A539&lt;30, "ภาคตะวันออก", A539&lt;50, "ภาคตะวันออกเฉียงเหนือ", A539&lt;60, "ภาคเหนือ", A539&lt;80, "ภาคกลาง/ตะวันตก", A539&gt;=80, "ภาคใต้")</f>
        <v>ภาคตะวันออกเฉียงเหนือ</v>
      </c>
      <c r="D539" s="64">
        <v>3006</v>
      </c>
      <c r="E539" s="10" t="s">
        <v>877</v>
      </c>
      <c r="F539" s="11">
        <v>8406</v>
      </c>
      <c r="G539" s="11">
        <v>8616</v>
      </c>
      <c r="H539" s="11">
        <v>17022</v>
      </c>
      <c r="I539" s="11">
        <v>5393</v>
      </c>
      <c r="J539" s="66">
        <f t="shared" si="36"/>
        <v>49.383151216073315</v>
      </c>
      <c r="K539" s="66">
        <f t="shared" si="37"/>
        <v>50.616848783926685</v>
      </c>
    </row>
    <row r="540" spans="1:11" ht="41.4" x14ac:dyDescent="0.3">
      <c r="A540" s="10">
        <v>30</v>
      </c>
      <c r="B540" s="10" t="s">
        <v>871</v>
      </c>
      <c r="C540" s="10" t="str" cm="1">
        <f t="array" ref="C540">_xlfn.IFS(A540&lt;20, "ภาคกลาง", A540&lt;30, "ภาคตะวันออก", A540&lt;50, "ภาคตะวันออกเฉียงเหนือ", A540&lt;60, "ภาคเหนือ", A540&lt;80, "ภาคกลาง/ตะวันตก", A540&gt;=80, "ภาคใต้")</f>
        <v>ภาคตะวันออกเฉียงเหนือ</v>
      </c>
      <c r="D540" s="64">
        <v>3007</v>
      </c>
      <c r="E540" s="10" t="s">
        <v>878</v>
      </c>
      <c r="F540" s="11">
        <v>33437</v>
      </c>
      <c r="G540" s="11">
        <v>33952</v>
      </c>
      <c r="H540" s="11">
        <v>67389</v>
      </c>
      <c r="I540" s="11">
        <v>20221</v>
      </c>
      <c r="J540" s="66">
        <f t="shared" si="36"/>
        <v>49.617890160115152</v>
      </c>
      <c r="K540" s="66">
        <f t="shared" si="37"/>
        <v>50.382109839884848</v>
      </c>
    </row>
    <row r="541" spans="1:11" ht="41.4" x14ac:dyDescent="0.3">
      <c r="A541" s="10">
        <v>30</v>
      </c>
      <c r="B541" s="10" t="s">
        <v>871</v>
      </c>
      <c r="C541" s="10" t="str" cm="1">
        <f t="array" ref="C541">_xlfn.IFS(A541&lt;20, "ภาคกลาง", A541&lt;30, "ภาคตะวันออก", A541&lt;50, "ภาคตะวันออกเฉียงเหนือ", A541&lt;60, "ภาคเหนือ", A541&lt;80, "ภาคกลาง/ตะวันตก", A541&gt;=80, "ภาคใต้")</f>
        <v>ภาคตะวันออกเฉียงเหนือ</v>
      </c>
      <c r="D541" s="64">
        <v>3008</v>
      </c>
      <c r="E541" s="10" t="s">
        <v>879</v>
      </c>
      <c r="F541" s="11">
        <v>24460</v>
      </c>
      <c r="G541" s="11">
        <v>26217</v>
      </c>
      <c r="H541" s="11">
        <v>50677</v>
      </c>
      <c r="I541" s="11">
        <v>20530</v>
      </c>
      <c r="J541" s="66">
        <f t="shared" si="36"/>
        <v>48.266471969532532</v>
      </c>
      <c r="K541" s="66">
        <f t="shared" si="37"/>
        <v>51.733528030467468</v>
      </c>
    </row>
    <row r="542" spans="1:11" ht="41.4" x14ac:dyDescent="0.3">
      <c r="A542" s="10">
        <v>30</v>
      </c>
      <c r="B542" s="10" t="s">
        <v>871</v>
      </c>
      <c r="C542" s="10" t="str" cm="1">
        <f t="array" ref="C542">_xlfn.IFS(A542&lt;20, "ภาคกลาง", A542&lt;30, "ภาคตะวันออก", A542&lt;50, "ภาคตะวันออกเฉียงเหนือ", A542&lt;60, "ภาคเหนือ", A542&lt;80, "ภาคกลาง/ตะวันตก", A542&gt;=80, "ภาคใต้")</f>
        <v>ภาคตะวันออกเฉียงเหนือ</v>
      </c>
      <c r="D542" s="64">
        <v>3009</v>
      </c>
      <c r="E542" s="10" t="s">
        <v>880</v>
      </c>
      <c r="F542" s="11">
        <v>53845</v>
      </c>
      <c r="G542" s="11">
        <v>55407</v>
      </c>
      <c r="H542" s="11">
        <v>109252</v>
      </c>
      <c r="I542" s="11">
        <v>36691</v>
      </c>
      <c r="J542" s="66">
        <f t="shared" si="36"/>
        <v>49.285138944824809</v>
      </c>
      <c r="K542" s="66">
        <f t="shared" si="37"/>
        <v>50.714861055175184</v>
      </c>
    </row>
    <row r="543" spans="1:11" ht="41.4" x14ac:dyDescent="0.3">
      <c r="A543" s="10">
        <v>30</v>
      </c>
      <c r="B543" s="10" t="s">
        <v>871</v>
      </c>
      <c r="C543" s="10" t="str" cm="1">
        <f t="array" ref="C543">_xlfn.IFS(A543&lt;20, "ภาคกลาง", A543&lt;30, "ภาคตะวันออก", A543&lt;50, "ภาคตะวันออกเฉียงเหนือ", A543&lt;60, "ภาคเหนือ", A543&lt;80, "ภาคกลาง/ตะวันตก", A543&gt;=80, "ภาคใต้")</f>
        <v>ภาคตะวันออกเฉียงเหนือ</v>
      </c>
      <c r="D543" s="64">
        <v>3010</v>
      </c>
      <c r="E543" s="10" t="s">
        <v>881</v>
      </c>
      <c r="F543" s="11">
        <v>26399</v>
      </c>
      <c r="G543" s="11">
        <v>27681</v>
      </c>
      <c r="H543" s="11">
        <v>54080</v>
      </c>
      <c r="I543" s="11">
        <v>17931</v>
      </c>
      <c r="J543" s="66">
        <f t="shared" si="36"/>
        <v>48.814718934911241</v>
      </c>
      <c r="K543" s="66">
        <f t="shared" si="37"/>
        <v>51.185281065088759</v>
      </c>
    </row>
    <row r="544" spans="1:11" ht="41.4" x14ac:dyDescent="0.3">
      <c r="A544" s="10">
        <v>30</v>
      </c>
      <c r="B544" s="10" t="s">
        <v>871</v>
      </c>
      <c r="C544" s="10" t="str" cm="1">
        <f t="array" ref="C544">_xlfn.IFS(A544&lt;20, "ภาคกลาง", A544&lt;30, "ภาคตะวันออก", A544&lt;50, "ภาคตะวันออกเฉียงเหนือ", A544&lt;60, "ภาคเหนือ", A544&lt;80, "ภาคกลาง/ตะวันตก", A544&gt;=80, "ภาคใต้")</f>
        <v>ภาคตะวันออกเฉียงเหนือ</v>
      </c>
      <c r="D544" s="64">
        <v>3011</v>
      </c>
      <c r="E544" s="10" t="s">
        <v>882</v>
      </c>
      <c r="F544" s="11">
        <v>41140</v>
      </c>
      <c r="G544" s="11">
        <v>42793</v>
      </c>
      <c r="H544" s="11">
        <v>83933</v>
      </c>
      <c r="I544" s="11">
        <v>26637</v>
      </c>
      <c r="J544" s="66">
        <f t="shared" si="36"/>
        <v>49.015286001930107</v>
      </c>
      <c r="K544" s="66">
        <f t="shared" si="37"/>
        <v>50.984713998069886</v>
      </c>
    </row>
    <row r="545" spans="1:11" ht="41.4" x14ac:dyDescent="0.3">
      <c r="A545" s="10">
        <v>30</v>
      </c>
      <c r="B545" s="10" t="s">
        <v>871</v>
      </c>
      <c r="C545" s="10" t="str" cm="1">
        <f t="array" ref="C545">_xlfn.IFS(A545&lt;20, "ภาคกลาง", A545&lt;30, "ภาคตะวันออก", A545&lt;50, "ภาคตะวันออกเฉียงเหนือ", A545&lt;60, "ภาคเหนือ", A545&lt;80, "ภาคกลาง/ตะวันตก", A545&gt;=80, "ภาคใต้")</f>
        <v>ภาคตะวันออกเฉียงเหนือ</v>
      </c>
      <c r="D545" s="64">
        <v>3012</v>
      </c>
      <c r="E545" s="10" t="s">
        <v>883</v>
      </c>
      <c r="F545" s="11">
        <v>16446</v>
      </c>
      <c r="G545" s="11">
        <v>16614</v>
      </c>
      <c r="H545" s="11">
        <v>33060</v>
      </c>
      <c r="I545" s="11">
        <v>10502</v>
      </c>
      <c r="J545" s="66">
        <f t="shared" si="36"/>
        <v>49.745916515426494</v>
      </c>
      <c r="K545" s="66">
        <f t="shared" si="37"/>
        <v>50.254083484573499</v>
      </c>
    </row>
    <row r="546" spans="1:11" ht="41.4" x14ac:dyDescent="0.3">
      <c r="A546" s="10">
        <v>30</v>
      </c>
      <c r="B546" s="10" t="s">
        <v>871</v>
      </c>
      <c r="C546" s="10" t="str" cm="1">
        <f t="array" ref="C546">_xlfn.IFS(A546&lt;20, "ภาคกลาง", A546&lt;30, "ภาคตะวันออก", A546&lt;50, "ภาคตะวันออกเฉียงเหนือ", A546&lt;60, "ภาคเหนือ", A546&lt;80, "ภาคกลาง/ตะวันตก", A546&gt;=80, "ภาคใต้")</f>
        <v>ภาคตะวันออกเฉียงเหนือ</v>
      </c>
      <c r="D546" s="64">
        <v>3013</v>
      </c>
      <c r="E546" s="10" t="s">
        <v>884</v>
      </c>
      <c r="F546" s="11">
        <v>33287</v>
      </c>
      <c r="G546" s="11">
        <v>33337</v>
      </c>
      <c r="H546" s="11">
        <v>66624</v>
      </c>
      <c r="I546" s="11">
        <v>20304</v>
      </c>
      <c r="J546" s="66">
        <f t="shared" si="36"/>
        <v>49.96247598463016</v>
      </c>
      <c r="K546" s="66">
        <f t="shared" si="37"/>
        <v>50.03752401536984</v>
      </c>
    </row>
    <row r="547" spans="1:11" ht="41.4" x14ac:dyDescent="0.3">
      <c r="A547" s="10">
        <v>30</v>
      </c>
      <c r="B547" s="10" t="s">
        <v>871</v>
      </c>
      <c r="C547" s="10" t="str" cm="1">
        <f t="array" ref="C547">_xlfn.IFS(A547&lt;20, "ภาคกลาง", A547&lt;30, "ภาคตะวันออก", A547&lt;50, "ภาคตะวันออกเฉียงเหนือ", A547&lt;60, "ภาคเหนือ", A547&lt;80, "ภาคกลาง/ตะวันตก", A547&gt;=80, "ภาคใต้")</f>
        <v>ภาคตะวันออกเฉียงเหนือ</v>
      </c>
      <c r="D547" s="64">
        <v>3014</v>
      </c>
      <c r="E547" s="10" t="s">
        <v>885</v>
      </c>
      <c r="F547" s="11">
        <v>34669</v>
      </c>
      <c r="G547" s="11">
        <v>35404</v>
      </c>
      <c r="H547" s="11">
        <v>70073</v>
      </c>
      <c r="I547" s="11">
        <v>20701</v>
      </c>
      <c r="J547" s="66">
        <f t="shared" si="36"/>
        <v>49.475546929630525</v>
      </c>
      <c r="K547" s="66">
        <f t="shared" si="37"/>
        <v>50.524453070369468</v>
      </c>
    </row>
    <row r="548" spans="1:11" ht="41.4" x14ac:dyDescent="0.3">
      <c r="A548" s="10">
        <v>30</v>
      </c>
      <c r="B548" s="10" t="s">
        <v>871</v>
      </c>
      <c r="C548" s="10" t="str" cm="1">
        <f t="array" ref="C548">_xlfn.IFS(A548&lt;20, "ภาคกลาง", A548&lt;30, "ภาคตะวันออก", A548&lt;50, "ภาคตะวันออกเฉียงเหนือ", A548&lt;60, "ภาคเหนือ", A548&lt;80, "ภาคกลาง/ตะวันตก", A548&gt;=80, "ภาคใต้")</f>
        <v>ภาคตะวันออกเฉียงเหนือ</v>
      </c>
      <c r="D548" s="64">
        <v>3015</v>
      </c>
      <c r="E548" s="10" t="s">
        <v>886</v>
      </c>
      <c r="F548" s="11">
        <v>44724</v>
      </c>
      <c r="G548" s="11">
        <v>47140</v>
      </c>
      <c r="H548" s="11">
        <v>91864</v>
      </c>
      <c r="I548" s="11">
        <v>34171</v>
      </c>
      <c r="J548" s="66">
        <f t="shared" si="36"/>
        <v>48.685012627362191</v>
      </c>
      <c r="K548" s="66">
        <f t="shared" si="37"/>
        <v>51.314987372637809</v>
      </c>
    </row>
    <row r="549" spans="1:11" ht="41.4" x14ac:dyDescent="0.3">
      <c r="A549" s="10">
        <v>30</v>
      </c>
      <c r="B549" s="10" t="s">
        <v>871</v>
      </c>
      <c r="C549" s="10" t="str" cm="1">
        <f t="array" ref="C549">_xlfn.IFS(A549&lt;20, "ภาคกลาง", A549&lt;30, "ภาคตะวันออก", A549&lt;50, "ภาคตะวันออกเฉียงเหนือ", A549&lt;60, "ภาคเหนือ", A549&lt;80, "ภาคกลาง/ตะวันตก", A549&gt;=80, "ภาคใต้")</f>
        <v>ภาคตะวันออกเฉียงเหนือ</v>
      </c>
      <c r="D549" s="64">
        <v>3016</v>
      </c>
      <c r="E549" s="10" t="s">
        <v>887</v>
      </c>
      <c r="F549" s="11">
        <v>58151</v>
      </c>
      <c r="G549" s="11">
        <v>60356</v>
      </c>
      <c r="H549" s="11">
        <v>118507</v>
      </c>
      <c r="I549" s="11">
        <v>41333</v>
      </c>
      <c r="J549" s="66">
        <f t="shared" si="36"/>
        <v>49.069675209059383</v>
      </c>
      <c r="K549" s="66">
        <f t="shared" si="37"/>
        <v>50.930324790940617</v>
      </c>
    </row>
    <row r="550" spans="1:11" ht="41.4" x14ac:dyDescent="0.3">
      <c r="A550" s="10">
        <v>30</v>
      </c>
      <c r="B550" s="10" t="s">
        <v>871</v>
      </c>
      <c r="C550" s="10" t="str" cm="1">
        <f t="array" ref="C550">_xlfn.IFS(A550&lt;20, "ภาคกลาง", A550&lt;30, "ภาคตะวันออก", A550&lt;50, "ภาคตะวันออกเฉียงเหนือ", A550&lt;60, "ภาคเหนือ", A550&lt;80, "ภาคกลาง/ตะวันตก", A550&gt;=80, "ภาคใต้")</f>
        <v>ภาคตะวันออกเฉียงเหนือ</v>
      </c>
      <c r="D550" s="64">
        <v>3017</v>
      </c>
      <c r="E550" s="10" t="s">
        <v>888</v>
      </c>
      <c r="F550" s="11">
        <v>34832</v>
      </c>
      <c r="G550" s="11">
        <v>34796</v>
      </c>
      <c r="H550" s="11">
        <v>69628</v>
      </c>
      <c r="I550" s="11">
        <v>20736</v>
      </c>
      <c r="J550" s="66">
        <f t="shared" si="36"/>
        <v>50.025851668868846</v>
      </c>
      <c r="K550" s="66">
        <f t="shared" si="37"/>
        <v>49.974148331131154</v>
      </c>
    </row>
    <row r="551" spans="1:11" ht="41.4" x14ac:dyDescent="0.3">
      <c r="A551" s="10">
        <v>30</v>
      </c>
      <c r="B551" s="10" t="s">
        <v>871</v>
      </c>
      <c r="C551" s="10" t="str" cm="1">
        <f t="array" ref="C551">_xlfn.IFS(A551&lt;20, "ภาคกลาง", A551&lt;30, "ภาคตะวันออก", A551&lt;50, "ภาคตะวันออกเฉียงเหนือ", A551&lt;60, "ภาคเหนือ", A551&lt;80, "ภาคกลาง/ตะวันตก", A551&gt;=80, "ภาคใต้")</f>
        <v>ภาคตะวันออกเฉียงเหนือ</v>
      </c>
      <c r="D551" s="64">
        <v>3018</v>
      </c>
      <c r="E551" s="10" t="s">
        <v>889</v>
      </c>
      <c r="F551" s="11">
        <v>36238</v>
      </c>
      <c r="G551" s="11">
        <v>36781</v>
      </c>
      <c r="H551" s="11">
        <v>73019</v>
      </c>
      <c r="I551" s="11">
        <v>21234</v>
      </c>
      <c r="J551" s="66">
        <f t="shared" si="36"/>
        <v>49.628178967118146</v>
      </c>
      <c r="K551" s="66">
        <f t="shared" si="37"/>
        <v>50.371821032881847</v>
      </c>
    </row>
    <row r="552" spans="1:11" ht="41.4" x14ac:dyDescent="0.3">
      <c r="A552" s="10">
        <v>30</v>
      </c>
      <c r="B552" s="10" t="s">
        <v>871</v>
      </c>
      <c r="C552" s="10" t="str" cm="1">
        <f t="array" ref="C552">_xlfn.IFS(A552&lt;20, "ภาคกลาง", A552&lt;30, "ภาคตะวันออก", A552&lt;50, "ภาคตะวันออกเฉียงเหนือ", A552&lt;60, "ภาคเหนือ", A552&lt;80, "ภาคกลาง/ตะวันตก", A552&gt;=80, "ภาคใต้")</f>
        <v>ภาคตะวันออกเฉียงเหนือ</v>
      </c>
      <c r="D552" s="64">
        <v>3019</v>
      </c>
      <c r="E552" s="10" t="s">
        <v>890</v>
      </c>
      <c r="F552" s="11">
        <v>35651</v>
      </c>
      <c r="G552" s="11">
        <v>37445</v>
      </c>
      <c r="H552" s="11">
        <v>73096</v>
      </c>
      <c r="I552" s="11">
        <v>31810</v>
      </c>
      <c r="J552" s="66">
        <f t="shared" si="36"/>
        <v>48.772846667396301</v>
      </c>
      <c r="K552" s="66">
        <f t="shared" si="37"/>
        <v>51.227153332603706</v>
      </c>
    </row>
    <row r="553" spans="1:11" ht="41.4" x14ac:dyDescent="0.3">
      <c r="A553" s="10">
        <v>30</v>
      </c>
      <c r="B553" s="10" t="s">
        <v>871</v>
      </c>
      <c r="C553" s="10" t="str" cm="1">
        <f t="array" ref="C553">_xlfn.IFS(A553&lt;20, "ภาคกลาง", A553&lt;30, "ภาคตะวันออก", A553&lt;50, "ภาคตะวันออกเฉียงเหนือ", A553&lt;60, "ภาคเหนือ", A553&lt;80, "ภาคกลาง/ตะวันตก", A553&gt;=80, "ภาคใต้")</f>
        <v>ภาคตะวันออกเฉียงเหนือ</v>
      </c>
      <c r="D553" s="64">
        <v>3020</v>
      </c>
      <c r="E553" s="10" t="s">
        <v>891</v>
      </c>
      <c r="F553" s="11">
        <v>12785</v>
      </c>
      <c r="G553" s="11">
        <v>13358</v>
      </c>
      <c r="H553" s="11">
        <v>26143</v>
      </c>
      <c r="I553" s="11">
        <v>9239</v>
      </c>
      <c r="J553" s="66">
        <f t="shared" si="36"/>
        <v>48.904104349156562</v>
      </c>
      <c r="K553" s="66">
        <f t="shared" si="37"/>
        <v>51.095895650843438</v>
      </c>
    </row>
    <row r="554" spans="1:11" ht="41.4" x14ac:dyDescent="0.3">
      <c r="A554" s="10">
        <v>30</v>
      </c>
      <c r="B554" s="10" t="s">
        <v>871</v>
      </c>
      <c r="C554" s="10" t="str" cm="1">
        <f t="array" ref="C554">_xlfn.IFS(A554&lt;20, "ภาคกลาง", A554&lt;30, "ภาคตะวันออก", A554&lt;50, "ภาคตะวันออกเฉียงเหนือ", A554&lt;60, "ภาคเหนือ", A554&lt;80, "ภาคกลาง/ตะวันตก", A554&gt;=80, "ภาคใต้")</f>
        <v>ภาคตะวันออกเฉียงเหนือ</v>
      </c>
      <c r="D554" s="64">
        <v>3021</v>
      </c>
      <c r="E554" s="10" t="s">
        <v>892</v>
      </c>
      <c r="F554" s="11">
        <v>43077</v>
      </c>
      <c r="G554" s="11">
        <v>43778</v>
      </c>
      <c r="H554" s="11">
        <v>86855</v>
      </c>
      <c r="I554" s="11">
        <v>34142</v>
      </c>
      <c r="J554" s="66">
        <f t="shared" si="36"/>
        <v>49.596453859881414</v>
      </c>
      <c r="K554" s="66">
        <f t="shared" si="37"/>
        <v>50.403546140118593</v>
      </c>
    </row>
    <row r="555" spans="1:11" ht="41.4" x14ac:dyDescent="0.3">
      <c r="A555" s="10">
        <v>30</v>
      </c>
      <c r="B555" s="10" t="s">
        <v>871</v>
      </c>
      <c r="C555" s="10" t="str" cm="1">
        <f t="array" ref="C555">_xlfn.IFS(A555&lt;20, "ภาคกลาง", A555&lt;30, "ภาคตะวันออก", A555&lt;50, "ภาคตะวันออกเฉียงเหนือ", A555&lt;60, "ภาคเหนือ", A555&lt;80, "ภาคกลาง/ตะวันตก", A555&gt;=80, "ภาคใต้")</f>
        <v>ภาคตะวันออกเฉียงเหนือ</v>
      </c>
      <c r="D555" s="64">
        <v>3022</v>
      </c>
      <c r="E555" s="10" t="s">
        <v>893</v>
      </c>
      <c r="F555" s="11">
        <v>62994</v>
      </c>
      <c r="G555" s="11">
        <v>64563</v>
      </c>
      <c r="H555" s="11">
        <v>127557</v>
      </c>
      <c r="I555" s="11">
        <v>74213</v>
      </c>
      <c r="J555" s="66">
        <f t="shared" si="36"/>
        <v>49.384980832098591</v>
      </c>
      <c r="K555" s="66">
        <f t="shared" si="37"/>
        <v>50.615019167901409</v>
      </c>
    </row>
    <row r="556" spans="1:11" ht="41.4" x14ac:dyDescent="0.3">
      <c r="A556" s="10">
        <v>30</v>
      </c>
      <c r="B556" s="10" t="s">
        <v>871</v>
      </c>
      <c r="C556" s="10" t="str" cm="1">
        <f t="array" ref="C556">_xlfn.IFS(A556&lt;20, "ภาคกลาง", A556&lt;30, "ภาคตะวันออก", A556&lt;50, "ภาคตะวันออกเฉียงเหนือ", A556&lt;60, "ภาคเหนือ", A556&lt;80, "ภาคกลาง/ตะวันตก", A556&gt;=80, "ภาคใต้")</f>
        <v>ภาคตะวันออกเฉียงเหนือ</v>
      </c>
      <c r="D556" s="64">
        <v>3023</v>
      </c>
      <c r="E556" s="10" t="s">
        <v>894</v>
      </c>
      <c r="F556" s="11">
        <v>29934</v>
      </c>
      <c r="G556" s="11">
        <v>30600</v>
      </c>
      <c r="H556" s="11">
        <v>60534</v>
      </c>
      <c r="I556" s="11">
        <v>19625</v>
      </c>
      <c r="J556" s="66">
        <f t="shared" si="36"/>
        <v>49.449895926256318</v>
      </c>
      <c r="K556" s="66">
        <f t="shared" si="37"/>
        <v>50.550104073743682</v>
      </c>
    </row>
    <row r="557" spans="1:11" ht="41.4" x14ac:dyDescent="0.3">
      <c r="A557" s="10">
        <v>30</v>
      </c>
      <c r="B557" s="10" t="s">
        <v>871</v>
      </c>
      <c r="C557" s="10" t="str" cm="1">
        <f t="array" ref="C557">_xlfn.IFS(A557&lt;20, "ภาคกลาง", A557&lt;30, "ภาคตะวันออก", A557&lt;50, "ภาคตะวันออกเฉียงเหนือ", A557&lt;60, "ภาคเหนือ", A557&lt;80, "ภาคกลาง/ตะวันตก", A557&gt;=80, "ภาคใต้")</f>
        <v>ภาคตะวันออกเฉียงเหนือ</v>
      </c>
      <c r="D557" s="64">
        <v>3024</v>
      </c>
      <c r="E557" s="10" t="s">
        <v>895</v>
      </c>
      <c r="F557" s="11">
        <v>17766</v>
      </c>
      <c r="G557" s="11">
        <v>18253</v>
      </c>
      <c r="H557" s="11">
        <v>36019</v>
      </c>
      <c r="I557" s="11">
        <v>11203</v>
      </c>
      <c r="J557" s="66">
        <f t="shared" si="36"/>
        <v>49.32396790582748</v>
      </c>
      <c r="K557" s="66">
        <f t="shared" si="37"/>
        <v>50.67603209417252</v>
      </c>
    </row>
    <row r="558" spans="1:11" ht="41.4" x14ac:dyDescent="0.3">
      <c r="A558" s="10">
        <v>30</v>
      </c>
      <c r="B558" s="10" t="s">
        <v>871</v>
      </c>
      <c r="C558" s="10" t="str" cm="1">
        <f t="array" ref="C558">_xlfn.IFS(A558&lt;20, "ภาคกลาง", A558&lt;30, "ภาคตะวันออก", A558&lt;50, "ภาคตะวันออกเฉียงเหนือ", A558&lt;60, "ภาคเหนือ", A558&lt;80, "ภาคกลาง/ตะวันตก", A558&gt;=80, "ภาคใต้")</f>
        <v>ภาคตะวันออกเฉียงเหนือ</v>
      </c>
      <c r="D558" s="64">
        <v>3025</v>
      </c>
      <c r="E558" s="10" t="s">
        <v>896</v>
      </c>
      <c r="F558" s="11">
        <v>10069</v>
      </c>
      <c r="G558" s="11">
        <v>10404</v>
      </c>
      <c r="H558" s="11">
        <v>20473</v>
      </c>
      <c r="I558" s="11">
        <v>6008</v>
      </c>
      <c r="J558" s="66">
        <f t="shared" si="36"/>
        <v>49.181849264885457</v>
      </c>
      <c r="K558" s="66">
        <f t="shared" si="37"/>
        <v>50.818150735114543</v>
      </c>
    </row>
    <row r="559" spans="1:11" ht="41.4" x14ac:dyDescent="0.3">
      <c r="A559" s="10">
        <v>30</v>
      </c>
      <c r="B559" s="10" t="s">
        <v>871</v>
      </c>
      <c r="C559" s="10" t="str" cm="1">
        <f t="array" ref="C559">_xlfn.IFS(A559&lt;20, "ภาคกลาง", A559&lt;30, "ภาคตะวันออก", A559&lt;50, "ภาคตะวันออกเฉียงเหนือ", A559&lt;60, "ภาคเหนือ", A559&lt;80, "ภาคกลาง/ตะวันตก", A559&gt;=80, "ภาคใต้")</f>
        <v>ภาคตะวันออกเฉียงเหนือ</v>
      </c>
      <c r="D559" s="64">
        <v>3026</v>
      </c>
      <c r="E559" s="10" t="s">
        <v>897</v>
      </c>
      <c r="F559" s="11">
        <v>21848</v>
      </c>
      <c r="G559" s="11">
        <v>22268</v>
      </c>
      <c r="H559" s="11">
        <v>44116</v>
      </c>
      <c r="I559" s="11">
        <v>21028</v>
      </c>
      <c r="J559" s="66">
        <f t="shared" si="36"/>
        <v>49.523982228669873</v>
      </c>
      <c r="K559" s="66">
        <f t="shared" si="37"/>
        <v>50.476017771330127</v>
      </c>
    </row>
    <row r="560" spans="1:11" ht="41.4" x14ac:dyDescent="0.3">
      <c r="A560" s="10">
        <v>30</v>
      </c>
      <c r="B560" s="10" t="s">
        <v>871</v>
      </c>
      <c r="C560" s="10" t="str" cm="1">
        <f t="array" ref="C560">_xlfn.IFS(A560&lt;20, "ภาคกลาง", A560&lt;30, "ภาคตะวันออก", A560&lt;50, "ภาคตะวันออกเฉียงเหนือ", A560&lt;60, "ภาคเหนือ", A560&lt;80, "ภาคกลาง/ตะวันตก", A560&gt;=80, "ภาคใต้")</f>
        <v>ภาคตะวันออกเฉียงเหนือ</v>
      </c>
      <c r="D560" s="64">
        <v>3027</v>
      </c>
      <c r="E560" s="10" t="s">
        <v>898</v>
      </c>
      <c r="F560" s="11">
        <v>12742</v>
      </c>
      <c r="G560" s="11">
        <v>12606</v>
      </c>
      <c r="H560" s="11">
        <v>25348</v>
      </c>
      <c r="I560" s="11">
        <v>9024</v>
      </c>
      <c r="J560" s="66">
        <f t="shared" si="36"/>
        <v>50.268265740886854</v>
      </c>
      <c r="K560" s="66">
        <f t="shared" si="37"/>
        <v>49.731734259113146</v>
      </c>
    </row>
    <row r="561" spans="1:11" ht="41.4" x14ac:dyDescent="0.3">
      <c r="A561" s="10">
        <v>30</v>
      </c>
      <c r="B561" s="10" t="s">
        <v>871</v>
      </c>
      <c r="C561" s="10" t="str" cm="1">
        <f t="array" ref="C561">_xlfn.IFS(A561&lt;20, "ภาคกลาง", A561&lt;30, "ภาคตะวันออก", A561&lt;50, "ภาคตะวันออกเฉียงเหนือ", A561&lt;60, "ภาคเหนือ", A561&lt;80, "ภาคกลาง/ตะวันตก", A561&gt;=80, "ภาคใต้")</f>
        <v>ภาคตะวันออกเฉียงเหนือ</v>
      </c>
      <c r="D561" s="64">
        <v>3028</v>
      </c>
      <c r="E561" s="10" t="s">
        <v>899</v>
      </c>
      <c r="F561" s="11">
        <v>9748</v>
      </c>
      <c r="G561" s="11">
        <v>9623</v>
      </c>
      <c r="H561" s="11">
        <v>19371</v>
      </c>
      <c r="I561" s="11">
        <v>5785</v>
      </c>
      <c r="J561" s="66">
        <f t="shared" si="36"/>
        <v>50.32264725620773</v>
      </c>
      <c r="K561" s="66">
        <f t="shared" si="37"/>
        <v>49.67735274379227</v>
      </c>
    </row>
    <row r="562" spans="1:11" ht="41.4" x14ac:dyDescent="0.3">
      <c r="A562" s="10">
        <v>30</v>
      </c>
      <c r="B562" s="10" t="s">
        <v>871</v>
      </c>
      <c r="C562" s="10" t="str" cm="1">
        <f t="array" ref="C562">_xlfn.IFS(A562&lt;20, "ภาคกลาง", A562&lt;30, "ภาคตะวันออก", A562&lt;50, "ภาคตะวันออกเฉียงเหนือ", A562&lt;60, "ภาคเหนือ", A562&lt;80, "ภาคกลาง/ตะวันตก", A562&gt;=80, "ภาคใต้")</f>
        <v>ภาคตะวันออกเฉียงเหนือ</v>
      </c>
      <c r="D562" s="64">
        <v>3029</v>
      </c>
      <c r="E562" s="10" t="s">
        <v>900</v>
      </c>
      <c r="F562" s="11">
        <v>18257</v>
      </c>
      <c r="G562" s="11">
        <v>18482</v>
      </c>
      <c r="H562" s="11">
        <v>36739</v>
      </c>
      <c r="I562" s="11">
        <v>12954</v>
      </c>
      <c r="J562" s="66">
        <f t="shared" si="36"/>
        <v>49.693785895097854</v>
      </c>
      <c r="K562" s="66">
        <f t="shared" si="37"/>
        <v>50.306214104902146</v>
      </c>
    </row>
    <row r="563" spans="1:11" ht="41.4" x14ac:dyDescent="0.3">
      <c r="A563" s="10">
        <v>30</v>
      </c>
      <c r="B563" s="10" t="s">
        <v>871</v>
      </c>
      <c r="C563" s="10" t="str" cm="1">
        <f t="array" ref="C563">_xlfn.IFS(A563&lt;20, "ภาคกลาง", A563&lt;30, "ภาคตะวันออก", A563&lt;50, "ภาคตะวันออกเฉียงเหนือ", A563&lt;60, "ภาคเหนือ", A563&lt;80, "ภาคกลาง/ตะวันตก", A563&gt;=80, "ภาคใต้")</f>
        <v>ภาคตะวันออกเฉียงเหนือ</v>
      </c>
      <c r="D563" s="64">
        <v>3030</v>
      </c>
      <c r="E563" s="10" t="s">
        <v>901</v>
      </c>
      <c r="F563" s="11">
        <v>13805</v>
      </c>
      <c r="G563" s="11">
        <v>13968</v>
      </c>
      <c r="H563" s="11">
        <v>27773</v>
      </c>
      <c r="I563" s="11">
        <v>7919</v>
      </c>
      <c r="J563" s="66">
        <f t="shared" si="36"/>
        <v>49.706549526518565</v>
      </c>
      <c r="K563" s="66">
        <f t="shared" si="37"/>
        <v>50.293450473481435</v>
      </c>
    </row>
    <row r="564" spans="1:11" ht="41.4" x14ac:dyDescent="0.3">
      <c r="A564" s="10">
        <v>30</v>
      </c>
      <c r="B564" s="10" t="s">
        <v>871</v>
      </c>
      <c r="C564" s="10" t="str" cm="1">
        <f t="array" ref="C564">_xlfn.IFS(A564&lt;20, "ภาคกลาง", A564&lt;30, "ภาคตะวันออก", A564&lt;50, "ภาคตะวันออกเฉียงเหนือ", A564&lt;60, "ภาคเหนือ", A564&lt;80, "ภาคกลาง/ตะวันตก", A564&gt;=80, "ภาคใต้")</f>
        <v>ภาคตะวันออกเฉียงเหนือ</v>
      </c>
      <c r="D564" s="64">
        <v>3031</v>
      </c>
      <c r="E564" s="10" t="s">
        <v>902</v>
      </c>
      <c r="F564" s="11">
        <v>10457</v>
      </c>
      <c r="G564" s="11">
        <v>10695</v>
      </c>
      <c r="H564" s="11">
        <v>21152</v>
      </c>
      <c r="I564" s="11">
        <v>6761</v>
      </c>
      <c r="J564" s="66">
        <f t="shared" si="36"/>
        <v>49.437405446293489</v>
      </c>
      <c r="K564" s="66">
        <f t="shared" si="37"/>
        <v>50.562594553706511</v>
      </c>
    </row>
    <row r="565" spans="1:11" ht="41.4" x14ac:dyDescent="0.3">
      <c r="A565" s="10">
        <v>30</v>
      </c>
      <c r="B565" s="10" t="s">
        <v>871</v>
      </c>
      <c r="C565" s="10" t="str" cm="1">
        <f t="array" ref="C565">_xlfn.IFS(A565&lt;20, "ภาคกลาง", A565&lt;30, "ภาคตะวันออก", A565&lt;50, "ภาคตะวันออกเฉียงเหนือ", A565&lt;60, "ภาคเหนือ", A565&lt;80, "ภาคกลาง/ตะวันตก", A565&gt;=80, "ภาคใต้")</f>
        <v>ภาคตะวันออกเฉียงเหนือ</v>
      </c>
      <c r="D565" s="64">
        <v>3032</v>
      </c>
      <c r="E565" s="10" t="s">
        <v>621</v>
      </c>
      <c r="F565" s="11">
        <v>9793</v>
      </c>
      <c r="G565" s="11">
        <v>9908</v>
      </c>
      <c r="H565" s="11">
        <v>19701</v>
      </c>
      <c r="I565" s="11">
        <v>6326</v>
      </c>
      <c r="J565" s="66">
        <f t="shared" si="36"/>
        <v>49.708136642810011</v>
      </c>
      <c r="K565" s="66">
        <f t="shared" si="37"/>
        <v>50.291863357189989</v>
      </c>
    </row>
    <row r="566" spans="1:11" ht="41.4" x14ac:dyDescent="0.3">
      <c r="A566" s="10">
        <v>30</v>
      </c>
      <c r="B566" s="10" t="s">
        <v>871</v>
      </c>
      <c r="C566" s="10" t="str" cm="1">
        <f t="array" ref="C566">_xlfn.IFS(A566&lt;20, "ภาคกลาง", A566&lt;30, "ภาคตะวันออก", A566&lt;50, "ภาคตะวันออกเฉียงเหนือ", A566&lt;60, "ภาคเหนือ", A566&lt;80, "ภาคกลาง/ตะวันตก", A566&gt;=80, "ภาคใต้")</f>
        <v>ภาคตะวันออกเฉียงเหนือ</v>
      </c>
      <c r="D566" s="64">
        <v>3035</v>
      </c>
      <c r="E566" s="10" t="s">
        <v>903</v>
      </c>
      <c r="F566" s="11">
        <v>15158</v>
      </c>
      <c r="G566" s="11">
        <v>15898</v>
      </c>
      <c r="H566" s="11">
        <v>31056</v>
      </c>
      <c r="I566" s="11">
        <v>9976</v>
      </c>
      <c r="J566" s="66">
        <f t="shared" si="36"/>
        <v>48.808603812467801</v>
      </c>
      <c r="K566" s="66">
        <f t="shared" si="37"/>
        <v>51.191396187532199</v>
      </c>
    </row>
    <row r="567" spans="1:11" ht="41.4" x14ac:dyDescent="0.3">
      <c r="A567" s="10">
        <v>30</v>
      </c>
      <c r="B567" s="10" t="s">
        <v>871</v>
      </c>
      <c r="C567" s="10" t="str" cm="1">
        <f t="array" ref="C567">_xlfn.IFS(A567&lt;20, "ภาคกลาง", A567&lt;30, "ภาคตะวันออก", A567&lt;50, "ภาคตะวันออกเฉียงเหนือ", A567&lt;60, "ภาคเหนือ", A567&lt;80, "ภาคกลาง/ตะวันตก", A567&gt;=80, "ภาคใต้")</f>
        <v>ภาคตะวันออกเฉียงเหนือ</v>
      </c>
      <c r="D567" s="64">
        <v>3037</v>
      </c>
      <c r="E567" s="10" t="s">
        <v>904</v>
      </c>
      <c r="F567" s="11">
        <v>7828</v>
      </c>
      <c r="G567" s="11">
        <v>8435</v>
      </c>
      <c r="H567" s="11">
        <v>16263</v>
      </c>
      <c r="I567" s="11">
        <v>8218</v>
      </c>
      <c r="J567" s="66">
        <f t="shared" si="36"/>
        <v>48.13380065178626</v>
      </c>
      <c r="K567" s="66">
        <f t="shared" si="37"/>
        <v>51.86619934821374</v>
      </c>
    </row>
    <row r="568" spans="1:11" ht="41.4" x14ac:dyDescent="0.3">
      <c r="A568" s="10">
        <v>30</v>
      </c>
      <c r="B568" s="10" t="s">
        <v>871</v>
      </c>
      <c r="C568" s="10" t="str" cm="1">
        <f t="array" ref="C568">_xlfn.IFS(A568&lt;20, "ภาคกลาง", A568&lt;30, "ภาคตะวันออก", A568&lt;50, "ภาคตะวันออกเฉียงเหนือ", A568&lt;60, "ภาคเหนือ", A568&lt;80, "ภาคกลาง/ตะวันตก", A568&gt;=80, "ภาคใต้")</f>
        <v>ภาคตะวันออกเฉียงเหนือ</v>
      </c>
      <c r="D568" s="64">
        <v>3038</v>
      </c>
      <c r="E568" s="10" t="s">
        <v>905</v>
      </c>
      <c r="F568" s="11">
        <v>3981</v>
      </c>
      <c r="G568" s="11">
        <v>4054</v>
      </c>
      <c r="H568" s="11">
        <v>8035</v>
      </c>
      <c r="I568" s="11">
        <v>2461</v>
      </c>
      <c r="J568" s="66">
        <f t="shared" si="36"/>
        <v>49.545737398879901</v>
      </c>
      <c r="K568" s="66">
        <f t="shared" si="37"/>
        <v>50.454262601120107</v>
      </c>
    </row>
    <row r="569" spans="1:11" ht="41.4" x14ac:dyDescent="0.3">
      <c r="A569" s="10">
        <v>30</v>
      </c>
      <c r="B569" s="10" t="s">
        <v>871</v>
      </c>
      <c r="C569" s="10" t="str" cm="1">
        <f t="array" ref="C569">_xlfn.IFS(A569&lt;20, "ภาคกลาง", A569&lt;30, "ภาคตะวันออก", A569&lt;50, "ภาคตะวันออกเฉียงเหนือ", A569&lt;60, "ภาคเหนือ", A569&lt;80, "ภาคกลาง/ตะวันตก", A569&gt;=80, "ภาคใต้")</f>
        <v>ภาคตะวันออกเฉียงเหนือ</v>
      </c>
      <c r="D569" s="64">
        <v>3039</v>
      </c>
      <c r="E569" s="10" t="s">
        <v>906</v>
      </c>
      <c r="F569" s="11">
        <v>6623</v>
      </c>
      <c r="G569" s="11">
        <v>6672</v>
      </c>
      <c r="H569" s="11">
        <v>13295</v>
      </c>
      <c r="I569" s="11">
        <v>5364</v>
      </c>
      <c r="J569" s="66">
        <f t="shared" si="36"/>
        <v>49.815720195562243</v>
      </c>
      <c r="K569" s="66">
        <f t="shared" si="37"/>
        <v>50.184279804437757</v>
      </c>
    </row>
    <row r="570" spans="1:11" ht="41.4" x14ac:dyDescent="0.3">
      <c r="A570" s="10">
        <v>30</v>
      </c>
      <c r="B570" s="10" t="s">
        <v>871</v>
      </c>
      <c r="C570" s="10" t="str" cm="1">
        <f t="array" ref="C570">_xlfn.IFS(A570&lt;20, "ภาคกลาง", A570&lt;30, "ภาคตะวันออก", A570&lt;50, "ภาคตะวันออกเฉียงเหนือ", A570&lt;60, "ภาคเหนือ", A570&lt;80, "ภาคกลาง/ตะวันตก", A570&gt;=80, "ภาคใต้")</f>
        <v>ภาคตะวันออกเฉียงเหนือ</v>
      </c>
      <c r="D570" s="64">
        <v>3040</v>
      </c>
      <c r="E570" s="10" t="s">
        <v>907</v>
      </c>
      <c r="F570" s="11">
        <v>4182</v>
      </c>
      <c r="G570" s="11">
        <v>4335</v>
      </c>
      <c r="H570" s="11">
        <v>8517</v>
      </c>
      <c r="I570" s="11">
        <v>2743</v>
      </c>
      <c r="J570" s="66">
        <f t="shared" si="36"/>
        <v>49.101796407185624</v>
      </c>
      <c r="K570" s="66">
        <f t="shared" si="37"/>
        <v>50.898203592814376</v>
      </c>
    </row>
    <row r="571" spans="1:11" ht="41.4" x14ac:dyDescent="0.3">
      <c r="A571" s="10">
        <v>30</v>
      </c>
      <c r="B571" s="10" t="s">
        <v>871</v>
      </c>
      <c r="C571" s="10" t="str" cm="1">
        <f t="array" ref="C571">_xlfn.IFS(A571&lt;20, "ภาคกลาง", A571&lt;30, "ภาคตะวันออก", A571&lt;50, "ภาคตะวันออกเฉียงเหนือ", A571&lt;60, "ภาคเหนือ", A571&lt;80, "ภาคกลาง/ตะวันตก", A571&gt;=80, "ภาคใต้")</f>
        <v>ภาคตะวันออกเฉียงเหนือ</v>
      </c>
      <c r="D571" s="64">
        <v>3041</v>
      </c>
      <c r="E571" s="10" t="s">
        <v>908</v>
      </c>
      <c r="F571" s="11">
        <v>6402</v>
      </c>
      <c r="G571" s="11">
        <v>6494</v>
      </c>
      <c r="H571" s="11">
        <v>12896</v>
      </c>
      <c r="I571" s="11">
        <v>3754</v>
      </c>
      <c r="J571" s="66">
        <f t="shared" si="36"/>
        <v>49.643300248138956</v>
      </c>
      <c r="K571" s="66">
        <f t="shared" si="37"/>
        <v>50.356699751861044</v>
      </c>
    </row>
    <row r="572" spans="1:11" ht="41.4" x14ac:dyDescent="0.3">
      <c r="A572" s="10">
        <v>30</v>
      </c>
      <c r="B572" s="10" t="s">
        <v>871</v>
      </c>
      <c r="C572" s="10" t="str" cm="1">
        <f t="array" ref="C572">_xlfn.IFS(A572&lt;20, "ภาคกลาง", A572&lt;30, "ภาคตะวันออก", A572&lt;50, "ภาคตะวันออกเฉียงเหนือ", A572&lt;60, "ภาคเหนือ", A572&lt;80, "ภาคกลาง/ตะวันตก", A572&gt;=80, "ภาคใต้")</f>
        <v>ภาคตะวันออกเฉียงเหนือ</v>
      </c>
      <c r="D572" s="64">
        <v>3042</v>
      </c>
      <c r="E572" s="10" t="s">
        <v>909</v>
      </c>
      <c r="F572" s="11">
        <v>4266</v>
      </c>
      <c r="G572" s="11">
        <v>4501</v>
      </c>
      <c r="H572" s="11">
        <v>8767</v>
      </c>
      <c r="I572" s="11">
        <v>2853</v>
      </c>
      <c r="J572" s="66">
        <f t="shared" si="36"/>
        <v>48.659746777689058</v>
      </c>
      <c r="K572" s="66">
        <f t="shared" si="37"/>
        <v>51.340253222310942</v>
      </c>
    </row>
    <row r="573" spans="1:11" ht="41.4" x14ac:dyDescent="0.3">
      <c r="A573" s="10">
        <v>30</v>
      </c>
      <c r="B573" s="10" t="s">
        <v>871</v>
      </c>
      <c r="C573" s="10" t="str" cm="1">
        <f t="array" ref="C573">_xlfn.IFS(A573&lt;20, "ภาคกลาง", A573&lt;30, "ภาคตะวันออก", A573&lt;50, "ภาคตะวันออกเฉียงเหนือ", A573&lt;60, "ภาคเหนือ", A573&lt;80, "ภาคกลาง/ตะวันตก", A573&gt;=80, "ภาคใต้")</f>
        <v>ภาคตะวันออกเฉียงเหนือ</v>
      </c>
      <c r="D573" s="64">
        <v>3043</v>
      </c>
      <c r="E573" s="10" t="s">
        <v>910</v>
      </c>
      <c r="F573" s="11">
        <v>3801</v>
      </c>
      <c r="G573" s="11">
        <v>3864</v>
      </c>
      <c r="H573" s="11">
        <v>7665</v>
      </c>
      <c r="I573" s="11">
        <v>2574</v>
      </c>
      <c r="J573" s="66">
        <f t="shared" si="36"/>
        <v>49.589041095890416</v>
      </c>
      <c r="K573" s="66">
        <f t="shared" si="37"/>
        <v>50.410958904109592</v>
      </c>
    </row>
    <row r="574" spans="1:11" ht="41.4" x14ac:dyDescent="0.3">
      <c r="A574" s="10">
        <v>30</v>
      </c>
      <c r="B574" s="10" t="s">
        <v>871</v>
      </c>
      <c r="C574" s="10" t="str" cm="1">
        <f t="array" ref="C574">_xlfn.IFS(A574&lt;20, "ภาคกลาง", A574&lt;30, "ภาคตะวันออก", A574&lt;50, "ภาคตะวันออกเฉียงเหนือ", A574&lt;60, "ภาคเหนือ", A574&lt;80, "ภาคกลาง/ตะวันตก", A574&gt;=80, "ภาคใต้")</f>
        <v>ภาคตะวันออกเฉียงเหนือ</v>
      </c>
      <c r="D574" s="64">
        <v>3044</v>
      </c>
      <c r="E574" s="10" t="s">
        <v>911</v>
      </c>
      <c r="F574" s="11">
        <v>3075</v>
      </c>
      <c r="G574" s="11">
        <v>3073</v>
      </c>
      <c r="H574" s="11">
        <v>6148</v>
      </c>
      <c r="I574" s="11">
        <v>1984</v>
      </c>
      <c r="J574" s="66">
        <f t="shared" si="36"/>
        <v>50.016265452179574</v>
      </c>
      <c r="K574" s="66">
        <f t="shared" si="37"/>
        <v>49.983734547820433</v>
      </c>
    </row>
    <row r="575" spans="1:11" ht="41.4" x14ac:dyDescent="0.3">
      <c r="A575" s="10">
        <v>30</v>
      </c>
      <c r="B575" s="10" t="s">
        <v>871</v>
      </c>
      <c r="C575" s="10" t="str" cm="1">
        <f t="array" ref="C575">_xlfn.IFS(A575&lt;20, "ภาคกลาง", A575&lt;30, "ภาคตะวันออก", A575&lt;50, "ภาคตะวันออกเฉียงเหนือ", A575&lt;60, "ภาคเหนือ", A575&lt;80, "ภาคกลาง/ตะวันตก", A575&gt;=80, "ภาคใต้")</f>
        <v>ภาคตะวันออกเฉียงเหนือ</v>
      </c>
      <c r="D575" s="64">
        <v>3045</v>
      </c>
      <c r="E575" s="10" t="s">
        <v>912</v>
      </c>
      <c r="F575" s="11">
        <v>5617</v>
      </c>
      <c r="G575" s="11">
        <v>5797</v>
      </c>
      <c r="H575" s="11">
        <v>11414</v>
      </c>
      <c r="I575" s="11">
        <v>5828</v>
      </c>
      <c r="J575" s="66">
        <f t="shared" si="36"/>
        <v>49.211494655686003</v>
      </c>
      <c r="K575" s="66">
        <f t="shared" si="37"/>
        <v>50.788505344314004</v>
      </c>
    </row>
    <row r="576" spans="1:11" ht="41.4" x14ac:dyDescent="0.3">
      <c r="A576" s="10">
        <v>30</v>
      </c>
      <c r="B576" s="10" t="s">
        <v>871</v>
      </c>
      <c r="C576" s="10" t="str" cm="1">
        <f t="array" ref="C576">_xlfn.IFS(A576&lt;20, "ภาคกลาง", A576&lt;30, "ภาคตะวันออก", A576&lt;50, "ภาคตะวันออกเฉียงเหนือ", A576&lt;60, "ภาคเหนือ", A576&lt;80, "ภาคกลาง/ตะวันตก", A576&gt;=80, "ภาคใต้")</f>
        <v>ภาคตะวันออกเฉียงเหนือ</v>
      </c>
      <c r="D576" s="64">
        <v>3046</v>
      </c>
      <c r="E576" s="10" t="s">
        <v>913</v>
      </c>
      <c r="F576" s="11">
        <v>4571</v>
      </c>
      <c r="G576" s="11">
        <v>4675</v>
      </c>
      <c r="H576" s="11">
        <v>9246</v>
      </c>
      <c r="I576" s="11">
        <v>4640</v>
      </c>
      <c r="J576" s="66">
        <f t="shared" si="36"/>
        <v>49.43759463551806</v>
      </c>
      <c r="K576" s="66">
        <f t="shared" si="37"/>
        <v>50.562405364481933</v>
      </c>
    </row>
    <row r="577" spans="1:11" ht="41.4" x14ac:dyDescent="0.3">
      <c r="A577" s="10">
        <v>30</v>
      </c>
      <c r="B577" s="10" t="s">
        <v>871</v>
      </c>
      <c r="C577" s="10" t="str" cm="1">
        <f t="array" ref="C577">_xlfn.IFS(A577&lt;20, "ภาคกลาง", A577&lt;30, "ภาคตะวันออก", A577&lt;50, "ภาคตะวันออกเฉียงเหนือ", A577&lt;60, "ภาคเหนือ", A577&lt;80, "ภาคกลาง/ตะวันตก", A577&gt;=80, "ภาคใต้")</f>
        <v>ภาคตะวันออกเฉียงเหนือ</v>
      </c>
      <c r="D577" s="64">
        <v>3047</v>
      </c>
      <c r="E577" s="10" t="s">
        <v>914</v>
      </c>
      <c r="F577" s="11">
        <v>2340</v>
      </c>
      <c r="G577" s="11">
        <v>2374</v>
      </c>
      <c r="H577" s="11">
        <v>4714</v>
      </c>
      <c r="I577" s="11">
        <v>1483</v>
      </c>
      <c r="J577" s="66">
        <f t="shared" si="36"/>
        <v>49.639372083156559</v>
      </c>
      <c r="K577" s="66">
        <f t="shared" si="37"/>
        <v>50.360627916843448</v>
      </c>
    </row>
    <row r="578" spans="1:11" ht="41.4" x14ac:dyDescent="0.3">
      <c r="A578" s="10">
        <v>30</v>
      </c>
      <c r="B578" s="10" t="s">
        <v>871</v>
      </c>
      <c r="C578" s="10" t="str" cm="1">
        <f t="array" ref="C578">_xlfn.IFS(A578&lt;20, "ภาคกลาง", A578&lt;30, "ภาคตะวันออก", A578&lt;50, "ภาคตะวันออกเฉียงเหนือ", A578&lt;60, "ภาคเหนือ", A578&lt;80, "ภาคกลาง/ตะวันตก", A578&gt;=80, "ภาคใต้")</f>
        <v>ภาคตะวันออกเฉียงเหนือ</v>
      </c>
      <c r="D578" s="64">
        <v>3048</v>
      </c>
      <c r="E578" s="10" t="s">
        <v>915</v>
      </c>
      <c r="F578" s="11">
        <v>1741</v>
      </c>
      <c r="G578" s="11">
        <v>1916</v>
      </c>
      <c r="H578" s="11">
        <v>3657</v>
      </c>
      <c r="I578" s="11">
        <v>1375</v>
      </c>
      <c r="J578" s="66">
        <f t="shared" si="36"/>
        <v>47.607328411266067</v>
      </c>
      <c r="K578" s="66">
        <f t="shared" si="37"/>
        <v>52.392671588733933</v>
      </c>
    </row>
    <row r="579" spans="1:11" ht="41.4" x14ac:dyDescent="0.3">
      <c r="A579" s="10">
        <v>30</v>
      </c>
      <c r="B579" s="10" t="s">
        <v>871</v>
      </c>
      <c r="C579" s="10" t="str" cm="1">
        <f t="array" ref="C579">_xlfn.IFS(A579&lt;20, "ภาคกลาง", A579&lt;30, "ภาคตะวันออก", A579&lt;50, "ภาคตะวันออกเฉียงเหนือ", A579&lt;60, "ภาคเหนือ", A579&lt;80, "ภาคกลาง/ตะวันตก", A579&gt;=80, "ภาคใต้")</f>
        <v>ภาคตะวันออกเฉียงเหนือ</v>
      </c>
      <c r="D579" s="64">
        <v>3049</v>
      </c>
      <c r="E579" s="10" t="s">
        <v>916</v>
      </c>
      <c r="F579" s="11">
        <v>6661</v>
      </c>
      <c r="G579" s="11">
        <v>6789</v>
      </c>
      <c r="H579" s="11">
        <v>13450</v>
      </c>
      <c r="I579" s="11">
        <v>12435</v>
      </c>
      <c r="J579" s="66">
        <f t="shared" si="36"/>
        <v>49.524163568773233</v>
      </c>
      <c r="K579" s="66">
        <f t="shared" si="37"/>
        <v>50.47583643122676</v>
      </c>
    </row>
    <row r="580" spans="1:11" ht="41.4" x14ac:dyDescent="0.3">
      <c r="A580" s="10">
        <v>30</v>
      </c>
      <c r="B580" s="10" t="s">
        <v>871</v>
      </c>
      <c r="C580" s="10" t="str" cm="1">
        <f t="array" ref="C580">_xlfn.IFS(A580&lt;20, "ภาคกลาง", A580&lt;30, "ภาคตะวันออก", A580&lt;50, "ภาคตะวันออกเฉียงเหนือ", A580&lt;60, "ภาคเหนือ", A580&lt;80, "ภาคกลาง/ตะวันตก", A580&gt;=80, "ภาคใต้")</f>
        <v>ภาคตะวันออกเฉียงเหนือ</v>
      </c>
      <c r="D580" s="64">
        <v>3050</v>
      </c>
      <c r="E580" s="10" t="s">
        <v>917</v>
      </c>
      <c r="F580" s="11">
        <v>14775</v>
      </c>
      <c r="G580" s="11">
        <v>14425</v>
      </c>
      <c r="H580" s="11">
        <v>29200</v>
      </c>
      <c r="I580" s="11">
        <v>14148</v>
      </c>
      <c r="J580" s="66">
        <f t="shared" si="36"/>
        <v>50.599315068493155</v>
      </c>
      <c r="K580" s="66">
        <f t="shared" si="37"/>
        <v>49.400684931506852</v>
      </c>
    </row>
    <row r="581" spans="1:11" ht="41.4" x14ac:dyDescent="0.3">
      <c r="A581" s="10">
        <v>30</v>
      </c>
      <c r="B581" s="10" t="s">
        <v>871</v>
      </c>
      <c r="C581" s="10" t="str" cm="1">
        <f t="array" ref="C581">_xlfn.IFS(A581&lt;20, "ภาคกลาง", A581&lt;30, "ภาคตะวันออก", A581&lt;50, "ภาคตะวันออกเฉียงเหนือ", A581&lt;60, "ภาคเหนือ", A581&lt;80, "ภาคกลาง/ตะวันตก", A581&gt;=80, "ภาคใต้")</f>
        <v>ภาคตะวันออกเฉียงเหนือ</v>
      </c>
      <c r="D581" s="64">
        <v>3051</v>
      </c>
      <c r="E581" s="10" t="s">
        <v>918</v>
      </c>
      <c r="F581" s="11">
        <v>13224</v>
      </c>
      <c r="G581" s="11">
        <v>14713</v>
      </c>
      <c r="H581" s="11">
        <v>27937</v>
      </c>
      <c r="I581" s="11">
        <v>14664</v>
      </c>
      <c r="J581" s="66">
        <f t="shared" si="36"/>
        <v>47.335075348104667</v>
      </c>
      <c r="K581" s="66">
        <f t="shared" si="37"/>
        <v>52.66492465189534</v>
      </c>
    </row>
    <row r="582" spans="1:11" ht="41.4" x14ac:dyDescent="0.3">
      <c r="A582" s="10">
        <v>30</v>
      </c>
      <c r="B582" s="10" t="s">
        <v>871</v>
      </c>
      <c r="C582" s="10" t="str" cm="1">
        <f t="array" ref="C582">_xlfn.IFS(A582&lt;20, "ภาคกลาง", A582&lt;30, "ภาคตะวันออก", A582&lt;50, "ภาคตะวันออกเฉียงเหนือ", A582&lt;60, "ภาคเหนือ", A582&lt;80, "ภาคกลาง/ตะวันตก", A582&gt;=80, "ภาคใต้")</f>
        <v>ภาคตะวันออกเฉียงเหนือ</v>
      </c>
      <c r="D582" s="64">
        <v>3052</v>
      </c>
      <c r="E582" s="10" t="s">
        <v>919</v>
      </c>
      <c r="F582" s="11">
        <v>5586</v>
      </c>
      <c r="G582" s="11">
        <v>5821</v>
      </c>
      <c r="H582" s="11">
        <v>11407</v>
      </c>
      <c r="I582" s="11">
        <v>5927</v>
      </c>
      <c r="J582" s="66">
        <f t="shared" si="36"/>
        <v>48.969930744279829</v>
      </c>
      <c r="K582" s="66">
        <f t="shared" si="37"/>
        <v>51.030069255720164</v>
      </c>
    </row>
    <row r="583" spans="1:11" ht="41.4" x14ac:dyDescent="0.3">
      <c r="A583" s="10">
        <v>30</v>
      </c>
      <c r="B583" s="10" t="s">
        <v>871</v>
      </c>
      <c r="C583" s="10" t="str" cm="1">
        <f t="array" ref="C583">_xlfn.IFS(A583&lt;20, "ภาคกลาง", A583&lt;30, "ภาคตะวันออก", A583&lt;50, "ภาคตะวันออกเฉียงเหนือ", A583&lt;60, "ภาคเหนือ", A583&lt;80, "ภาคกลาง/ตะวันตก", A583&gt;=80, "ภาคใต้")</f>
        <v>ภาคตะวันออกเฉียงเหนือ</v>
      </c>
      <c r="D583" s="64">
        <v>3053</v>
      </c>
      <c r="E583" s="10" t="s">
        <v>920</v>
      </c>
      <c r="F583" s="11">
        <v>4624</v>
      </c>
      <c r="G583" s="11">
        <v>5106</v>
      </c>
      <c r="H583" s="11">
        <v>9730</v>
      </c>
      <c r="I583" s="11">
        <v>5494</v>
      </c>
      <c r="J583" s="66">
        <f t="shared" si="36"/>
        <v>47.523124357656734</v>
      </c>
      <c r="K583" s="66">
        <f t="shared" si="37"/>
        <v>52.476875642343266</v>
      </c>
    </row>
    <row r="584" spans="1:11" ht="41.4" x14ac:dyDescent="0.3">
      <c r="A584" s="10">
        <v>30</v>
      </c>
      <c r="B584" s="10" t="s">
        <v>871</v>
      </c>
      <c r="C584" s="10" t="str" cm="1">
        <f t="array" ref="C584">_xlfn.IFS(A584&lt;20, "ภาคกลาง", A584&lt;30, "ภาคตะวันออก", A584&lt;50, "ภาคตะวันออกเฉียงเหนือ", A584&lt;60, "ภาคเหนือ", A584&lt;80, "ภาคกลาง/ตะวันตก", A584&gt;=80, "ภาคใต้")</f>
        <v>ภาคตะวันออกเฉียงเหนือ</v>
      </c>
      <c r="D584" s="64">
        <v>3054</v>
      </c>
      <c r="E584" s="10" t="s">
        <v>850</v>
      </c>
      <c r="F584" s="11">
        <v>9494</v>
      </c>
      <c r="G584" s="11">
        <v>3994</v>
      </c>
      <c r="H584" s="11">
        <v>13488</v>
      </c>
      <c r="I584" s="11">
        <v>11306</v>
      </c>
      <c r="J584" s="66">
        <f t="shared" si="36"/>
        <v>70.388493475682097</v>
      </c>
      <c r="K584" s="66">
        <f t="shared" si="37"/>
        <v>29.61150652431791</v>
      </c>
    </row>
    <row r="585" spans="1:11" ht="41.4" x14ac:dyDescent="0.3">
      <c r="A585" s="10">
        <v>30</v>
      </c>
      <c r="B585" s="10" t="s">
        <v>871</v>
      </c>
      <c r="C585" s="10" t="str" cm="1">
        <f t="array" ref="C585">_xlfn.IFS(A585&lt;20, "ภาคกลาง", A585&lt;30, "ภาคตะวันออก", A585&lt;50, "ภาคตะวันออกเฉียงเหนือ", A585&lt;60, "ภาคเหนือ", A585&lt;80, "ภาคกลาง/ตะวันตก", A585&gt;=80, "ภาคใต้")</f>
        <v>ภาคตะวันออกเฉียงเหนือ</v>
      </c>
      <c r="D585" s="64">
        <v>3055</v>
      </c>
      <c r="E585" s="10" t="s">
        <v>921</v>
      </c>
      <c r="F585" s="11">
        <v>2430</v>
      </c>
      <c r="G585" s="11">
        <v>2611</v>
      </c>
      <c r="H585" s="11">
        <v>5041</v>
      </c>
      <c r="I585" s="11">
        <v>2195</v>
      </c>
      <c r="J585" s="66">
        <f t="shared" si="36"/>
        <v>48.204721285459236</v>
      </c>
      <c r="K585" s="66">
        <f t="shared" si="37"/>
        <v>51.795278714540771</v>
      </c>
    </row>
    <row r="586" spans="1:11" ht="41.4" x14ac:dyDescent="0.3">
      <c r="A586" s="10">
        <v>30</v>
      </c>
      <c r="B586" s="10" t="s">
        <v>871</v>
      </c>
      <c r="C586" s="10" t="str" cm="1">
        <f t="array" ref="C586">_xlfn.IFS(A586&lt;20, "ภาคกลาง", A586&lt;30, "ภาคตะวันออก", A586&lt;50, "ภาคตะวันออกเฉียงเหนือ", A586&lt;60, "ภาคเหนือ", A586&lt;80, "ภาคกลาง/ตะวันตก", A586&gt;=80, "ภาคใต้")</f>
        <v>ภาคตะวันออกเฉียงเหนือ</v>
      </c>
      <c r="D586" s="64">
        <v>3056</v>
      </c>
      <c r="E586" s="10" t="s">
        <v>922</v>
      </c>
      <c r="F586" s="11">
        <v>1754</v>
      </c>
      <c r="G586" s="11">
        <v>1838</v>
      </c>
      <c r="H586" s="11">
        <v>3592</v>
      </c>
      <c r="I586" s="11">
        <v>1559</v>
      </c>
      <c r="J586" s="66">
        <f t="shared" si="36"/>
        <v>48.830734966592424</v>
      </c>
      <c r="K586" s="66">
        <f t="shared" si="37"/>
        <v>51.169265033407576</v>
      </c>
    </row>
    <row r="587" spans="1:11" ht="41.4" x14ac:dyDescent="0.3">
      <c r="A587" s="10">
        <v>30</v>
      </c>
      <c r="B587" s="10" t="s">
        <v>871</v>
      </c>
      <c r="C587" s="10" t="str" cm="1">
        <f t="array" ref="C587">_xlfn.IFS(A587&lt;20, "ภาคกลาง", A587&lt;30, "ภาคตะวันออก", A587&lt;50, "ภาคตะวันออกเฉียงเหนือ", A587&lt;60, "ภาคเหนือ", A587&lt;80, "ภาคกลาง/ตะวันตก", A587&gt;=80, "ภาคใต้")</f>
        <v>ภาคตะวันออกเฉียงเหนือ</v>
      </c>
      <c r="D587" s="64">
        <v>3057</v>
      </c>
      <c r="E587" s="10" t="s">
        <v>923</v>
      </c>
      <c r="F587" s="11">
        <v>1147</v>
      </c>
      <c r="G587" s="11">
        <v>1194</v>
      </c>
      <c r="H587" s="11">
        <v>2341</v>
      </c>
      <c r="I587" s="10">
        <v>895</v>
      </c>
      <c r="J587" s="66">
        <f t="shared" si="36"/>
        <v>48.996155489107217</v>
      </c>
      <c r="K587" s="66">
        <f t="shared" si="37"/>
        <v>51.003844510892783</v>
      </c>
    </row>
    <row r="588" spans="1:11" ht="41.4" x14ac:dyDescent="0.3">
      <c r="A588" s="10">
        <v>30</v>
      </c>
      <c r="B588" s="10" t="s">
        <v>871</v>
      </c>
      <c r="C588" s="10" t="str" cm="1">
        <f t="array" ref="C588">_xlfn.IFS(A588&lt;20, "ภาคกลาง", A588&lt;30, "ภาคตะวันออก", A588&lt;50, "ภาคตะวันออกเฉียงเหนือ", A588&lt;60, "ภาคเหนือ", A588&lt;80, "ภาคกลาง/ตะวันตก", A588&gt;=80, "ภาคใต้")</f>
        <v>ภาคตะวันออกเฉียงเหนือ</v>
      </c>
      <c r="D588" s="64">
        <v>3058</v>
      </c>
      <c r="E588" s="10" t="s">
        <v>924</v>
      </c>
      <c r="F588" s="11">
        <v>2241</v>
      </c>
      <c r="G588" s="11">
        <v>2310</v>
      </c>
      <c r="H588" s="11">
        <v>4551</v>
      </c>
      <c r="I588" s="11">
        <v>1955</v>
      </c>
      <c r="J588" s="66">
        <f t="shared" si="36"/>
        <v>49.241924851680949</v>
      </c>
      <c r="K588" s="66">
        <f t="shared" si="37"/>
        <v>50.758075148319051</v>
      </c>
    </row>
    <row r="589" spans="1:11" ht="41.4" x14ac:dyDescent="0.3">
      <c r="A589" s="10">
        <v>30</v>
      </c>
      <c r="B589" s="10" t="s">
        <v>871</v>
      </c>
      <c r="C589" s="10" t="str" cm="1">
        <f t="array" ref="C589">_xlfn.IFS(A589&lt;20, "ภาคกลาง", A589&lt;30, "ภาคตะวันออก", A589&lt;50, "ภาคตะวันออกเฉียงเหนือ", A589&lt;60, "ภาคเหนือ", A589&lt;80, "ภาคกลาง/ตะวันตก", A589&gt;=80, "ภาคใต้")</f>
        <v>ภาคตะวันออกเฉียงเหนือ</v>
      </c>
      <c r="D589" s="64">
        <v>3059</v>
      </c>
      <c r="E589" s="10" t="s">
        <v>925</v>
      </c>
      <c r="F589" s="11">
        <v>1925</v>
      </c>
      <c r="G589" s="11">
        <v>2050</v>
      </c>
      <c r="H589" s="11">
        <v>3975</v>
      </c>
      <c r="I589" s="11">
        <v>1694</v>
      </c>
      <c r="J589" s="66">
        <f t="shared" si="36"/>
        <v>48.427672955974842</v>
      </c>
      <c r="K589" s="66">
        <f t="shared" si="37"/>
        <v>51.572327044025158</v>
      </c>
    </row>
    <row r="590" spans="1:11" ht="41.4" x14ac:dyDescent="0.3">
      <c r="A590" s="10">
        <v>30</v>
      </c>
      <c r="B590" s="10" t="s">
        <v>871</v>
      </c>
      <c r="C590" s="10" t="str" cm="1">
        <f t="array" ref="C590">_xlfn.IFS(A590&lt;20, "ภาคกลาง", A590&lt;30, "ภาคตะวันออก", A590&lt;50, "ภาคตะวันออกเฉียงเหนือ", A590&lt;60, "ภาคเหนือ", A590&lt;80, "ภาคกลาง/ตะวันตก", A590&gt;=80, "ภาคใต้")</f>
        <v>ภาคตะวันออกเฉียงเหนือ</v>
      </c>
      <c r="D590" s="64">
        <v>3060</v>
      </c>
      <c r="E590" s="10" t="s">
        <v>926</v>
      </c>
      <c r="F590" s="10">
        <v>887</v>
      </c>
      <c r="G590" s="11">
        <v>1000</v>
      </c>
      <c r="H590" s="11">
        <v>1887</v>
      </c>
      <c r="I590" s="10">
        <v>981</v>
      </c>
      <c r="J590" s="66">
        <f t="shared" si="36"/>
        <v>47.005829358770534</v>
      </c>
      <c r="K590" s="66">
        <f t="shared" si="37"/>
        <v>52.994170641229466</v>
      </c>
    </row>
    <row r="591" spans="1:11" ht="41.4" x14ac:dyDescent="0.3">
      <c r="A591" s="10">
        <v>30</v>
      </c>
      <c r="B591" s="10" t="s">
        <v>871</v>
      </c>
      <c r="C591" s="10" t="str" cm="1">
        <f t="array" ref="C591">_xlfn.IFS(A591&lt;20, "ภาคกลาง", A591&lt;30, "ภาคตะวันออก", A591&lt;50, "ภาคตะวันออกเฉียงเหนือ", A591&lt;60, "ภาคเหนือ", A591&lt;80, "ภาคกลาง/ตะวันตก", A591&gt;=80, "ภาคใต้")</f>
        <v>ภาคตะวันออกเฉียงเหนือ</v>
      </c>
      <c r="D591" s="64">
        <v>3061</v>
      </c>
      <c r="E591" s="10" t="s">
        <v>927</v>
      </c>
      <c r="F591" s="11">
        <v>2050</v>
      </c>
      <c r="G591" s="11">
        <v>2180</v>
      </c>
      <c r="H591" s="11">
        <v>4230</v>
      </c>
      <c r="I591" s="11">
        <v>1680</v>
      </c>
      <c r="J591" s="66">
        <f t="shared" si="36"/>
        <v>48.463356973995268</v>
      </c>
      <c r="K591" s="66">
        <f t="shared" si="37"/>
        <v>51.536643026004725</v>
      </c>
    </row>
    <row r="592" spans="1:11" ht="41.4" x14ac:dyDescent="0.3">
      <c r="A592" s="10">
        <v>30</v>
      </c>
      <c r="B592" s="10" t="s">
        <v>871</v>
      </c>
      <c r="C592" s="10" t="str" cm="1">
        <f t="array" ref="C592">_xlfn.IFS(A592&lt;20, "ภาคกลาง", A592&lt;30, "ภาคตะวันออก", A592&lt;50, "ภาคตะวันออกเฉียงเหนือ", A592&lt;60, "ภาคเหนือ", A592&lt;80, "ภาคกลาง/ตะวันตก", A592&gt;=80, "ภาคใต้")</f>
        <v>ภาคตะวันออกเฉียงเหนือ</v>
      </c>
      <c r="D592" s="64">
        <v>3062</v>
      </c>
      <c r="E592" s="10" t="s">
        <v>928</v>
      </c>
      <c r="F592" s="11">
        <v>2422</v>
      </c>
      <c r="G592" s="11">
        <v>2515</v>
      </c>
      <c r="H592" s="11">
        <v>4937</v>
      </c>
      <c r="I592" s="11">
        <v>2804</v>
      </c>
      <c r="J592" s="66">
        <f t="shared" si="36"/>
        <v>49.058132469110795</v>
      </c>
      <c r="K592" s="66">
        <f t="shared" si="37"/>
        <v>50.941867530889205</v>
      </c>
    </row>
    <row r="593" spans="1:11" ht="41.4" x14ac:dyDescent="0.3">
      <c r="A593" s="10">
        <v>30</v>
      </c>
      <c r="B593" s="10" t="s">
        <v>871</v>
      </c>
      <c r="C593" s="10" t="str" cm="1">
        <f t="array" ref="C593">_xlfn.IFS(A593&lt;20, "ภาคกลาง", A593&lt;30, "ภาคตะวันออก", A593&lt;50, "ภาคตะวันออกเฉียงเหนือ", A593&lt;60, "ภาคเหนือ", A593&lt;80, "ภาคกลาง/ตะวันตก", A593&gt;=80, "ภาคใต้")</f>
        <v>ภาคตะวันออกเฉียงเหนือ</v>
      </c>
      <c r="D593" s="64">
        <v>3063</v>
      </c>
      <c r="E593" s="10" t="s">
        <v>929</v>
      </c>
      <c r="F593" s="11">
        <v>7536</v>
      </c>
      <c r="G593" s="11">
        <v>8510</v>
      </c>
      <c r="H593" s="11">
        <v>16046</v>
      </c>
      <c r="I593" s="11">
        <v>9816</v>
      </c>
      <c r="J593" s="66">
        <f t="shared" si="36"/>
        <v>46.964975694877225</v>
      </c>
      <c r="K593" s="66">
        <f t="shared" si="37"/>
        <v>53.035024305122768</v>
      </c>
    </row>
    <row r="594" spans="1:11" ht="41.4" x14ac:dyDescent="0.3">
      <c r="A594" s="10">
        <v>30</v>
      </c>
      <c r="B594" s="10" t="s">
        <v>871</v>
      </c>
      <c r="C594" s="10" t="str" cm="1">
        <f t="array" ref="C594">_xlfn.IFS(A594&lt;20, "ภาคกลาง", A594&lt;30, "ภาคตะวันออก", A594&lt;50, "ภาคตะวันออกเฉียงเหนือ", A594&lt;60, "ภาคเหนือ", A594&lt;80, "ภาคกลาง/ตะวันตก", A594&gt;=80, "ภาคใต้")</f>
        <v>ภาคตะวันออกเฉียงเหนือ</v>
      </c>
      <c r="D594" s="64">
        <v>3064</v>
      </c>
      <c r="E594" s="10" t="s">
        <v>930</v>
      </c>
      <c r="F594" s="11">
        <v>1915</v>
      </c>
      <c r="G594" s="11">
        <v>2105</v>
      </c>
      <c r="H594" s="11">
        <v>4020</v>
      </c>
      <c r="I594" s="11">
        <v>2308</v>
      </c>
      <c r="J594" s="66">
        <f t="shared" si="36"/>
        <v>47.636815920398014</v>
      </c>
      <c r="K594" s="66">
        <f t="shared" si="37"/>
        <v>52.363184079601986</v>
      </c>
    </row>
    <row r="595" spans="1:11" ht="41.4" x14ac:dyDescent="0.3">
      <c r="A595" s="10">
        <v>30</v>
      </c>
      <c r="B595" s="10" t="s">
        <v>871</v>
      </c>
      <c r="C595" s="10" t="str" cm="1">
        <f t="array" ref="C595">_xlfn.IFS(A595&lt;20, "ภาคกลาง", A595&lt;30, "ภาคตะวันออก", A595&lt;50, "ภาคตะวันออกเฉียงเหนือ", A595&lt;60, "ภาคเหนือ", A595&lt;80, "ภาคกลาง/ตะวันตก", A595&gt;=80, "ภาคใต้")</f>
        <v>ภาคตะวันออกเฉียงเหนือ</v>
      </c>
      <c r="D595" s="64">
        <v>3065</v>
      </c>
      <c r="E595" s="10" t="s">
        <v>931</v>
      </c>
      <c r="F595" s="11">
        <v>1945</v>
      </c>
      <c r="G595" s="11">
        <v>1648</v>
      </c>
      <c r="H595" s="11">
        <v>3593</v>
      </c>
      <c r="I595" s="11">
        <v>1774</v>
      </c>
      <c r="J595" s="66">
        <f t="shared" si="36"/>
        <v>54.133036459782915</v>
      </c>
      <c r="K595" s="66">
        <f t="shared" si="37"/>
        <v>45.866963540217085</v>
      </c>
    </row>
    <row r="596" spans="1:11" ht="41.4" x14ac:dyDescent="0.3">
      <c r="A596" s="10">
        <v>30</v>
      </c>
      <c r="B596" s="10" t="s">
        <v>871</v>
      </c>
      <c r="C596" s="10" t="str" cm="1">
        <f t="array" ref="C596">_xlfn.IFS(A596&lt;20, "ภาคกลาง", A596&lt;30, "ภาคตะวันออก", A596&lt;50, "ภาคตะวันออกเฉียงเหนือ", A596&lt;60, "ภาคเหนือ", A596&lt;80, "ภาคกลาง/ตะวันตก", A596&gt;=80, "ภาคใต้")</f>
        <v>ภาคตะวันออกเฉียงเหนือ</v>
      </c>
      <c r="D596" s="64">
        <v>3066</v>
      </c>
      <c r="E596" s="10" t="s">
        <v>932</v>
      </c>
      <c r="F596" s="11">
        <v>2095</v>
      </c>
      <c r="G596" s="11">
        <v>2262</v>
      </c>
      <c r="H596" s="11">
        <v>4357</v>
      </c>
      <c r="I596" s="11">
        <v>2381</v>
      </c>
      <c r="J596" s="66">
        <f t="shared" si="36"/>
        <v>48.083543722745006</v>
      </c>
      <c r="K596" s="66">
        <f t="shared" si="37"/>
        <v>51.916456277254994</v>
      </c>
    </row>
    <row r="597" spans="1:11" ht="41.4" x14ac:dyDescent="0.3">
      <c r="A597" s="10">
        <v>30</v>
      </c>
      <c r="B597" s="10" t="s">
        <v>871</v>
      </c>
      <c r="C597" s="10" t="str" cm="1">
        <f t="array" ref="C597">_xlfn.IFS(A597&lt;20, "ภาคกลาง", A597&lt;30, "ภาคตะวันออก", A597&lt;50, "ภาคตะวันออกเฉียงเหนือ", A597&lt;60, "ภาคเหนือ", A597&lt;80, "ภาคกลาง/ตะวันตก", A597&gt;=80, "ภาคใต้")</f>
        <v>ภาคตะวันออกเฉียงเหนือ</v>
      </c>
      <c r="D597" s="64">
        <v>3067</v>
      </c>
      <c r="E597" s="10" t="s">
        <v>933</v>
      </c>
      <c r="F597" s="11">
        <v>4551</v>
      </c>
      <c r="G597" s="11">
        <v>5073</v>
      </c>
      <c r="H597" s="11">
        <v>9624</v>
      </c>
      <c r="I597" s="11">
        <v>6482</v>
      </c>
      <c r="J597" s="66">
        <f t="shared" si="36"/>
        <v>47.288029925187033</v>
      </c>
      <c r="K597" s="66">
        <f t="shared" si="37"/>
        <v>52.711970074812967</v>
      </c>
    </row>
    <row r="598" spans="1:11" ht="41.4" x14ac:dyDescent="0.3">
      <c r="A598" s="10">
        <v>30</v>
      </c>
      <c r="B598" s="10" t="s">
        <v>871</v>
      </c>
      <c r="C598" s="10" t="str" cm="1">
        <f t="array" ref="C598">_xlfn.IFS(A598&lt;20, "ภาคกลาง", A598&lt;30, "ภาคตะวันออก", A598&lt;50, "ภาคตะวันออกเฉียงเหนือ", A598&lt;60, "ภาคเหนือ", A598&lt;80, "ภาคกลาง/ตะวันตก", A598&gt;=80, "ภาคใต้")</f>
        <v>ภาคตะวันออกเฉียงเหนือ</v>
      </c>
      <c r="D598" s="64">
        <v>3068</v>
      </c>
      <c r="E598" s="10" t="s">
        <v>934</v>
      </c>
      <c r="F598" s="11">
        <v>1263</v>
      </c>
      <c r="G598" s="11">
        <v>1422</v>
      </c>
      <c r="H598" s="11">
        <v>2685</v>
      </c>
      <c r="I598" s="11">
        <v>1545</v>
      </c>
      <c r="J598" s="66">
        <f t="shared" ref="J598:J629" si="38">F598/H598*100</f>
        <v>47.039106145251395</v>
      </c>
      <c r="K598" s="66">
        <f t="shared" ref="K598:K629" si="39">G598/H598*100</f>
        <v>52.960893854748605</v>
      </c>
    </row>
    <row r="599" spans="1:11" ht="41.4" x14ac:dyDescent="0.3">
      <c r="A599" s="10">
        <v>30</v>
      </c>
      <c r="B599" s="10" t="s">
        <v>871</v>
      </c>
      <c r="C599" s="10" t="str" cm="1">
        <f t="array" ref="C599">_xlfn.IFS(A599&lt;20, "ภาคกลาง", A599&lt;30, "ภาคตะวันออก", A599&lt;50, "ภาคตะวันออกเฉียงเหนือ", A599&lt;60, "ภาคเหนือ", A599&lt;80, "ภาคกลาง/ตะวันตก", A599&gt;=80, "ภาคใต้")</f>
        <v>ภาคตะวันออกเฉียงเหนือ</v>
      </c>
      <c r="D599" s="64">
        <v>3069</v>
      </c>
      <c r="E599" s="10" t="s">
        <v>935</v>
      </c>
      <c r="F599" s="11">
        <v>4155</v>
      </c>
      <c r="G599" s="11">
        <v>4430</v>
      </c>
      <c r="H599" s="11">
        <v>8585</v>
      </c>
      <c r="I599" s="11">
        <v>3953</v>
      </c>
      <c r="J599" s="66">
        <f t="shared" si="38"/>
        <v>48.398369248689576</v>
      </c>
      <c r="K599" s="66">
        <f t="shared" si="39"/>
        <v>51.601630751310424</v>
      </c>
    </row>
    <row r="600" spans="1:11" ht="41.4" x14ac:dyDescent="0.3">
      <c r="A600" s="10">
        <v>30</v>
      </c>
      <c r="B600" s="10" t="s">
        <v>871</v>
      </c>
      <c r="C600" s="10" t="str" cm="1">
        <f t="array" ref="C600">_xlfn.IFS(A600&lt;20, "ภาคกลาง", A600&lt;30, "ภาคตะวันออก", A600&lt;50, "ภาคตะวันออกเฉียงเหนือ", A600&lt;60, "ภาคเหนือ", A600&lt;80, "ภาคกลาง/ตะวันตก", A600&gt;=80, "ภาคใต้")</f>
        <v>ภาคตะวันออกเฉียงเหนือ</v>
      </c>
      <c r="D600" s="64">
        <v>3070</v>
      </c>
      <c r="E600" s="10" t="s">
        <v>936</v>
      </c>
      <c r="F600" s="11">
        <v>1355</v>
      </c>
      <c r="G600" s="11">
        <v>1373</v>
      </c>
      <c r="H600" s="11">
        <v>2728</v>
      </c>
      <c r="I600" s="10">
        <v>824</v>
      </c>
      <c r="J600" s="66">
        <f t="shared" si="38"/>
        <v>49.670087976539591</v>
      </c>
      <c r="K600" s="66">
        <f t="shared" si="39"/>
        <v>50.329912023460409</v>
      </c>
    </row>
    <row r="601" spans="1:11" ht="41.4" x14ac:dyDescent="0.3">
      <c r="A601" s="10">
        <v>30</v>
      </c>
      <c r="B601" s="10" t="s">
        <v>871</v>
      </c>
      <c r="C601" s="10" t="str" cm="1">
        <f t="array" ref="C601">_xlfn.IFS(A601&lt;20, "ภาคกลาง", A601&lt;30, "ภาคตะวันออก", A601&lt;50, "ภาคตะวันออกเฉียงเหนือ", A601&lt;60, "ภาคเหนือ", A601&lt;80, "ภาคกลาง/ตะวันตก", A601&gt;=80, "ภาคใต้")</f>
        <v>ภาคตะวันออกเฉียงเหนือ</v>
      </c>
      <c r="D601" s="64">
        <v>3071</v>
      </c>
      <c r="E601" s="10" t="s">
        <v>937</v>
      </c>
      <c r="F601" s="11">
        <v>1412</v>
      </c>
      <c r="G601" s="11">
        <v>1595</v>
      </c>
      <c r="H601" s="11">
        <v>3007</v>
      </c>
      <c r="I601" s="11">
        <v>1722</v>
      </c>
      <c r="J601" s="66">
        <f t="shared" si="38"/>
        <v>46.95710009976721</v>
      </c>
      <c r="K601" s="66">
        <f t="shared" si="39"/>
        <v>53.04289990023279</v>
      </c>
    </row>
    <row r="602" spans="1:11" ht="41.4" x14ac:dyDescent="0.3">
      <c r="A602" s="10">
        <v>30</v>
      </c>
      <c r="B602" s="10" t="s">
        <v>871</v>
      </c>
      <c r="C602" s="10" t="str" cm="1">
        <f t="array" ref="C602">_xlfn.IFS(A602&lt;20, "ภาคกลาง", A602&lt;30, "ภาคตะวันออก", A602&lt;50, "ภาคตะวันออกเฉียงเหนือ", A602&lt;60, "ภาคเหนือ", A602&lt;80, "ภาคกลาง/ตะวันตก", A602&gt;=80, "ภาคใต้")</f>
        <v>ภาคตะวันออกเฉียงเหนือ</v>
      </c>
      <c r="D602" s="64">
        <v>3072</v>
      </c>
      <c r="E602" s="10" t="s">
        <v>938</v>
      </c>
      <c r="F602" s="11">
        <v>3446</v>
      </c>
      <c r="G602" s="11">
        <v>4037</v>
      </c>
      <c r="H602" s="11">
        <v>7483</v>
      </c>
      <c r="I602" s="11">
        <v>2940</v>
      </c>
      <c r="J602" s="66">
        <f t="shared" si="38"/>
        <v>46.051049044500871</v>
      </c>
      <c r="K602" s="66">
        <f t="shared" si="39"/>
        <v>53.948950955499129</v>
      </c>
    </row>
    <row r="603" spans="1:11" ht="41.4" x14ac:dyDescent="0.3">
      <c r="A603" s="10">
        <v>30</v>
      </c>
      <c r="B603" s="10" t="s">
        <v>871</v>
      </c>
      <c r="C603" s="10" t="str" cm="1">
        <f t="array" ref="C603">_xlfn.IFS(A603&lt;20, "ภาคกลาง", A603&lt;30, "ภาคตะวันออก", A603&lt;50, "ภาคตะวันออกเฉียงเหนือ", A603&lt;60, "ภาคเหนือ", A603&lt;80, "ภาคกลาง/ตะวันตก", A603&gt;=80, "ภาคใต้")</f>
        <v>ภาคตะวันออกเฉียงเหนือ</v>
      </c>
      <c r="D603" s="64">
        <v>3073</v>
      </c>
      <c r="E603" s="10" t="s">
        <v>939</v>
      </c>
      <c r="F603" s="11">
        <v>6190</v>
      </c>
      <c r="G603" s="11">
        <v>7085</v>
      </c>
      <c r="H603" s="11">
        <v>13275</v>
      </c>
      <c r="I603" s="11">
        <v>7210</v>
      </c>
      <c r="J603" s="66">
        <f t="shared" si="38"/>
        <v>46.629001883239177</v>
      </c>
      <c r="K603" s="66">
        <f t="shared" si="39"/>
        <v>53.370998116760823</v>
      </c>
    </row>
    <row r="604" spans="1:11" ht="41.4" x14ac:dyDescent="0.3">
      <c r="A604" s="10">
        <v>30</v>
      </c>
      <c r="B604" s="10" t="s">
        <v>871</v>
      </c>
      <c r="C604" s="10" t="str" cm="1">
        <f t="array" ref="C604">_xlfn.IFS(A604&lt;20, "ภาคกลาง", A604&lt;30, "ภาคตะวันออก", A604&lt;50, "ภาคตะวันออกเฉียงเหนือ", A604&lt;60, "ภาคเหนือ", A604&lt;80, "ภาคกลาง/ตะวันตก", A604&gt;=80, "ภาคใต้")</f>
        <v>ภาคตะวันออกเฉียงเหนือ</v>
      </c>
      <c r="D604" s="64">
        <v>3074</v>
      </c>
      <c r="E604" s="10" t="s">
        <v>940</v>
      </c>
      <c r="F604" s="11">
        <v>2534</v>
      </c>
      <c r="G604" s="11">
        <v>2644</v>
      </c>
      <c r="H604" s="11">
        <v>5178</v>
      </c>
      <c r="I604" s="11">
        <v>2004</v>
      </c>
      <c r="J604" s="66">
        <f t="shared" si="38"/>
        <v>48.937813827732718</v>
      </c>
      <c r="K604" s="66">
        <f t="shared" si="39"/>
        <v>51.062186172267289</v>
      </c>
    </row>
    <row r="605" spans="1:11" ht="41.4" x14ac:dyDescent="0.3">
      <c r="A605" s="10">
        <v>30</v>
      </c>
      <c r="B605" s="10" t="s">
        <v>871</v>
      </c>
      <c r="C605" s="10" t="str" cm="1">
        <f t="array" ref="C605">_xlfn.IFS(A605&lt;20, "ภาคกลาง", A605&lt;30, "ภาคตะวันออก", A605&lt;50, "ภาคตะวันออกเฉียงเหนือ", A605&lt;60, "ภาคเหนือ", A605&lt;80, "ภาคกลาง/ตะวันตก", A605&gt;=80, "ภาคใต้")</f>
        <v>ภาคตะวันออกเฉียงเหนือ</v>
      </c>
      <c r="D605" s="64">
        <v>3075</v>
      </c>
      <c r="E605" s="10" t="s">
        <v>941</v>
      </c>
      <c r="F605" s="11">
        <v>2899</v>
      </c>
      <c r="G605" s="11">
        <v>3031</v>
      </c>
      <c r="H605" s="11">
        <v>5930</v>
      </c>
      <c r="I605" s="11">
        <v>3224</v>
      </c>
      <c r="J605" s="66">
        <f t="shared" si="38"/>
        <v>48.88701517706577</v>
      </c>
      <c r="K605" s="66">
        <f t="shared" si="39"/>
        <v>51.112984822934237</v>
      </c>
    </row>
    <row r="606" spans="1:11" ht="41.4" x14ac:dyDescent="0.3">
      <c r="A606" s="10">
        <v>30</v>
      </c>
      <c r="B606" s="10" t="s">
        <v>871</v>
      </c>
      <c r="C606" s="10" t="str" cm="1">
        <f t="array" ref="C606">_xlfn.IFS(A606&lt;20, "ภาคกลาง", A606&lt;30, "ภาคตะวันออก", A606&lt;50, "ภาคตะวันออกเฉียงเหนือ", A606&lt;60, "ภาคเหนือ", A606&lt;80, "ภาคกลาง/ตะวันตก", A606&gt;=80, "ภาคใต้")</f>
        <v>ภาคตะวันออกเฉียงเหนือ</v>
      </c>
      <c r="D606" s="64">
        <v>3076</v>
      </c>
      <c r="E606" s="10" t="s">
        <v>942</v>
      </c>
      <c r="F606" s="11">
        <v>2220</v>
      </c>
      <c r="G606" s="11">
        <v>2209</v>
      </c>
      <c r="H606" s="11">
        <v>4429</v>
      </c>
      <c r="I606" s="11">
        <v>1517</v>
      </c>
      <c r="J606" s="66">
        <f t="shared" si="38"/>
        <v>50.124181530819598</v>
      </c>
      <c r="K606" s="66">
        <f t="shared" si="39"/>
        <v>49.875818469180402</v>
      </c>
    </row>
    <row r="607" spans="1:11" ht="41.4" x14ac:dyDescent="0.3">
      <c r="A607" s="10">
        <v>30</v>
      </c>
      <c r="B607" s="10" t="s">
        <v>871</v>
      </c>
      <c r="C607" s="10" t="str" cm="1">
        <f t="array" ref="C607">_xlfn.IFS(A607&lt;20, "ภาคกลาง", A607&lt;30, "ภาคตะวันออก", A607&lt;50, "ภาคตะวันออกเฉียงเหนือ", A607&lt;60, "ภาคเหนือ", A607&lt;80, "ภาคกลาง/ตะวันตก", A607&gt;=80, "ภาคใต้")</f>
        <v>ภาคตะวันออกเฉียงเหนือ</v>
      </c>
      <c r="D607" s="64">
        <v>3077</v>
      </c>
      <c r="E607" s="10" t="s">
        <v>943</v>
      </c>
      <c r="F607" s="11">
        <v>2379</v>
      </c>
      <c r="G607" s="11">
        <v>2606</v>
      </c>
      <c r="H607" s="11">
        <v>4985</v>
      </c>
      <c r="I607" s="11">
        <v>1981</v>
      </c>
      <c r="J607" s="66">
        <f t="shared" si="38"/>
        <v>47.723169508525572</v>
      </c>
      <c r="K607" s="66">
        <f t="shared" si="39"/>
        <v>52.276830491474428</v>
      </c>
    </row>
    <row r="608" spans="1:11" ht="41.4" x14ac:dyDescent="0.3">
      <c r="A608" s="10">
        <v>30</v>
      </c>
      <c r="B608" s="10" t="s">
        <v>871</v>
      </c>
      <c r="C608" s="10" t="str" cm="1">
        <f t="array" ref="C608">_xlfn.IFS(A608&lt;20, "ภาคกลาง", A608&lt;30, "ภาคตะวันออก", A608&lt;50, "ภาคตะวันออกเฉียงเหนือ", A608&lt;60, "ภาคเหนือ", A608&lt;80, "ภาคกลาง/ตะวันตก", A608&gt;=80, "ภาคใต้")</f>
        <v>ภาคตะวันออกเฉียงเหนือ</v>
      </c>
      <c r="D608" s="64">
        <v>3078</v>
      </c>
      <c r="E608" s="10" t="s">
        <v>944</v>
      </c>
      <c r="F608" s="10">
        <v>941</v>
      </c>
      <c r="G608" s="10">
        <v>938</v>
      </c>
      <c r="H608" s="11">
        <v>1879</v>
      </c>
      <c r="I608" s="10">
        <v>621</v>
      </c>
      <c r="J608" s="66">
        <f t="shared" si="38"/>
        <v>50.079829696647153</v>
      </c>
      <c r="K608" s="66">
        <f t="shared" si="39"/>
        <v>49.920170303352847</v>
      </c>
    </row>
    <row r="609" spans="1:11" ht="41.4" x14ac:dyDescent="0.3">
      <c r="A609" s="10">
        <v>30</v>
      </c>
      <c r="B609" s="10" t="s">
        <v>871</v>
      </c>
      <c r="C609" s="10" t="str" cm="1">
        <f t="array" ref="C609">_xlfn.IFS(A609&lt;20, "ภาคกลาง", A609&lt;30, "ภาคตะวันออก", A609&lt;50, "ภาคตะวันออกเฉียงเหนือ", A609&lt;60, "ภาคเหนือ", A609&lt;80, "ภาคกลาง/ตะวันตก", A609&gt;=80, "ภาคใต้")</f>
        <v>ภาคตะวันออกเฉียงเหนือ</v>
      </c>
      <c r="D609" s="64">
        <v>3079</v>
      </c>
      <c r="E609" s="10" t="s">
        <v>945</v>
      </c>
      <c r="F609" s="11">
        <v>1507</v>
      </c>
      <c r="G609" s="11">
        <v>1689</v>
      </c>
      <c r="H609" s="11">
        <v>3196</v>
      </c>
      <c r="I609" s="11">
        <v>1382</v>
      </c>
      <c r="J609" s="66">
        <f t="shared" si="38"/>
        <v>47.152690863579473</v>
      </c>
      <c r="K609" s="66">
        <f t="shared" si="39"/>
        <v>52.847309136420527</v>
      </c>
    </row>
    <row r="610" spans="1:11" ht="41.4" x14ac:dyDescent="0.3">
      <c r="A610" s="10">
        <v>30</v>
      </c>
      <c r="B610" s="10" t="s">
        <v>871</v>
      </c>
      <c r="C610" s="10" t="str" cm="1">
        <f t="array" ref="C610">_xlfn.IFS(A610&lt;20, "ภาคกลาง", A610&lt;30, "ภาคตะวันออก", A610&lt;50, "ภาคตะวันออกเฉียงเหนือ", A610&lt;60, "ภาคเหนือ", A610&lt;80, "ภาคกลาง/ตะวันตก", A610&gt;=80, "ภาคใต้")</f>
        <v>ภาคตะวันออกเฉียงเหนือ</v>
      </c>
      <c r="D610" s="64">
        <v>3080</v>
      </c>
      <c r="E610" s="10" t="s">
        <v>946</v>
      </c>
      <c r="F610" s="11">
        <v>1369</v>
      </c>
      <c r="G610" s="11">
        <v>1590</v>
      </c>
      <c r="H610" s="11">
        <v>2959</v>
      </c>
      <c r="I610" s="11">
        <v>1413</v>
      </c>
      <c r="J610" s="66">
        <f t="shared" si="38"/>
        <v>46.265630280500169</v>
      </c>
      <c r="K610" s="66">
        <f t="shared" si="39"/>
        <v>53.734369719499831</v>
      </c>
    </row>
    <row r="611" spans="1:11" ht="41.4" x14ac:dyDescent="0.3">
      <c r="A611" s="10">
        <v>30</v>
      </c>
      <c r="B611" s="10" t="s">
        <v>871</v>
      </c>
      <c r="C611" s="10" t="str" cm="1">
        <f t="array" ref="C611">_xlfn.IFS(A611&lt;20, "ภาคกลาง", A611&lt;30, "ภาคตะวันออก", A611&lt;50, "ภาคตะวันออกเฉียงเหนือ", A611&lt;60, "ภาคเหนือ", A611&lt;80, "ภาคกลาง/ตะวันตก", A611&gt;=80, "ภาคใต้")</f>
        <v>ภาคตะวันออกเฉียงเหนือ</v>
      </c>
      <c r="D611" s="64">
        <v>3081</v>
      </c>
      <c r="E611" s="10" t="s">
        <v>947</v>
      </c>
      <c r="F611" s="11">
        <v>2484</v>
      </c>
      <c r="G611" s="11">
        <v>2631</v>
      </c>
      <c r="H611" s="11">
        <v>5115</v>
      </c>
      <c r="I611" s="11">
        <v>1869</v>
      </c>
      <c r="J611" s="66">
        <f t="shared" si="38"/>
        <v>48.563049853372434</v>
      </c>
      <c r="K611" s="66">
        <f t="shared" si="39"/>
        <v>51.436950146627566</v>
      </c>
    </row>
    <row r="612" spans="1:11" ht="41.4" x14ac:dyDescent="0.3">
      <c r="A612" s="10">
        <v>30</v>
      </c>
      <c r="B612" s="10" t="s">
        <v>871</v>
      </c>
      <c r="C612" s="10" t="str" cm="1">
        <f t="array" ref="C612">_xlfn.IFS(A612&lt;20, "ภาคกลาง", A612&lt;30, "ภาคตะวันออก", A612&lt;50, "ภาคตะวันออกเฉียงเหนือ", A612&lt;60, "ภาคเหนือ", A612&lt;80, "ภาคกลาง/ตะวันตก", A612&gt;=80, "ภาคใต้")</f>
        <v>ภาคตะวันออกเฉียงเหนือ</v>
      </c>
      <c r="D612" s="64">
        <v>3082</v>
      </c>
      <c r="E612" s="10" t="s">
        <v>948</v>
      </c>
      <c r="F612" s="11">
        <v>1935</v>
      </c>
      <c r="G612" s="11">
        <v>2088</v>
      </c>
      <c r="H612" s="11">
        <v>4023</v>
      </c>
      <c r="I612" s="11">
        <v>1405</v>
      </c>
      <c r="J612" s="66">
        <f t="shared" si="38"/>
        <v>48.098434004474271</v>
      </c>
      <c r="K612" s="66">
        <f t="shared" si="39"/>
        <v>51.901565995525722</v>
      </c>
    </row>
    <row r="613" spans="1:11" ht="41.4" x14ac:dyDescent="0.3">
      <c r="A613" s="10">
        <v>30</v>
      </c>
      <c r="B613" s="10" t="s">
        <v>871</v>
      </c>
      <c r="C613" s="10" t="str" cm="1">
        <f t="array" ref="C613">_xlfn.IFS(A613&lt;20, "ภาคกลาง", A613&lt;30, "ภาคตะวันออก", A613&lt;50, "ภาคตะวันออกเฉียงเหนือ", A613&lt;60, "ภาคเหนือ", A613&lt;80, "ภาคกลาง/ตะวันตก", A613&gt;=80, "ภาคใต้")</f>
        <v>ภาคตะวันออกเฉียงเหนือ</v>
      </c>
      <c r="D613" s="64">
        <v>3083</v>
      </c>
      <c r="E613" s="10" t="s">
        <v>949</v>
      </c>
      <c r="F613" s="11">
        <v>2765</v>
      </c>
      <c r="G613" s="11">
        <v>3197</v>
      </c>
      <c r="H613" s="11">
        <v>5962</v>
      </c>
      <c r="I613" s="11">
        <v>4132</v>
      </c>
      <c r="J613" s="66">
        <f t="shared" si="38"/>
        <v>46.377054679637709</v>
      </c>
      <c r="K613" s="66">
        <f t="shared" si="39"/>
        <v>53.622945320362291</v>
      </c>
    </row>
    <row r="614" spans="1:11" ht="41.4" x14ac:dyDescent="0.3">
      <c r="A614" s="10">
        <v>30</v>
      </c>
      <c r="B614" s="10" t="s">
        <v>871</v>
      </c>
      <c r="C614" s="10" t="str" cm="1">
        <f t="array" ref="C614">_xlfn.IFS(A614&lt;20, "ภาคกลาง", A614&lt;30, "ภาคตะวันออก", A614&lt;50, "ภาคตะวันออกเฉียงเหนือ", A614&lt;60, "ภาคเหนือ", A614&lt;80, "ภาคกลาง/ตะวันตก", A614&gt;=80, "ภาคใต้")</f>
        <v>ภาคตะวันออกเฉียงเหนือ</v>
      </c>
      <c r="D614" s="64">
        <v>3084</v>
      </c>
      <c r="E614" s="10" t="s">
        <v>950</v>
      </c>
      <c r="F614" s="11">
        <v>4794</v>
      </c>
      <c r="G614" s="11">
        <v>5107</v>
      </c>
      <c r="H614" s="11">
        <v>9901</v>
      </c>
      <c r="I614" s="11">
        <v>4640</v>
      </c>
      <c r="J614" s="66">
        <f t="shared" si="38"/>
        <v>48.419351580648417</v>
      </c>
      <c r="K614" s="66">
        <f t="shared" si="39"/>
        <v>51.580648419351583</v>
      </c>
    </row>
    <row r="615" spans="1:11" ht="41.4" x14ac:dyDescent="0.3">
      <c r="A615" s="10">
        <v>30</v>
      </c>
      <c r="B615" s="10" t="s">
        <v>871</v>
      </c>
      <c r="C615" s="10" t="str" cm="1">
        <f t="array" ref="C615">_xlfn.IFS(A615&lt;20, "ภาคกลาง", A615&lt;30, "ภาคตะวันออก", A615&lt;50, "ภาคตะวันออกเฉียงเหนือ", A615&lt;60, "ภาคเหนือ", A615&lt;80, "ภาคกลาง/ตะวันตก", A615&gt;=80, "ภาคใต้")</f>
        <v>ภาคตะวันออกเฉียงเหนือ</v>
      </c>
      <c r="D615" s="64">
        <v>3085</v>
      </c>
      <c r="E615" s="10" t="s">
        <v>951</v>
      </c>
      <c r="F615" s="11">
        <v>5869</v>
      </c>
      <c r="G615" s="11">
        <v>6500</v>
      </c>
      <c r="H615" s="11">
        <v>12369</v>
      </c>
      <c r="I615" s="11">
        <v>5709</v>
      </c>
      <c r="J615" s="66">
        <f t="shared" si="38"/>
        <v>47.449268332120624</v>
      </c>
      <c r="K615" s="66">
        <f t="shared" si="39"/>
        <v>52.550731667879383</v>
      </c>
    </row>
    <row r="616" spans="1:11" ht="41.4" x14ac:dyDescent="0.3">
      <c r="A616" s="10">
        <v>30</v>
      </c>
      <c r="B616" s="10" t="s">
        <v>871</v>
      </c>
      <c r="C616" s="10" t="str" cm="1">
        <f t="array" ref="C616">_xlfn.IFS(A616&lt;20, "ภาคกลาง", A616&lt;30, "ภาคตะวันออก", A616&lt;50, "ภาคตะวันออกเฉียงเหนือ", A616&lt;60, "ภาคเหนือ", A616&lt;80, "ภาคกลาง/ตะวันตก", A616&gt;=80, "ภาคใต้")</f>
        <v>ภาคตะวันออกเฉียงเหนือ</v>
      </c>
      <c r="D616" s="64">
        <v>3086</v>
      </c>
      <c r="E616" s="10" t="s">
        <v>952</v>
      </c>
      <c r="F616" s="11">
        <v>1785</v>
      </c>
      <c r="G616" s="11">
        <v>1968</v>
      </c>
      <c r="H616" s="11">
        <v>3753</v>
      </c>
      <c r="I616" s="11">
        <v>1705</v>
      </c>
      <c r="J616" s="66">
        <f t="shared" si="38"/>
        <v>47.561950439648285</v>
      </c>
      <c r="K616" s="66">
        <f t="shared" si="39"/>
        <v>52.438049560351715</v>
      </c>
    </row>
    <row r="617" spans="1:11" ht="41.4" x14ac:dyDescent="0.3">
      <c r="A617" s="10">
        <v>30</v>
      </c>
      <c r="B617" s="10" t="s">
        <v>871</v>
      </c>
      <c r="C617" s="10" t="str" cm="1">
        <f t="array" ref="C617">_xlfn.IFS(A617&lt;20, "ภาคกลาง", A617&lt;30, "ภาคตะวันออก", A617&lt;50, "ภาคตะวันออกเฉียงเหนือ", A617&lt;60, "ภาคเหนือ", A617&lt;80, "ภาคกลาง/ตะวันตก", A617&gt;=80, "ภาคใต้")</f>
        <v>ภาคตะวันออกเฉียงเหนือ</v>
      </c>
      <c r="D617" s="64">
        <v>3087</v>
      </c>
      <c r="E617" s="10" t="s">
        <v>953</v>
      </c>
      <c r="F617" s="11">
        <v>1560</v>
      </c>
      <c r="G617" s="11">
        <v>1790</v>
      </c>
      <c r="H617" s="11">
        <v>3350</v>
      </c>
      <c r="I617" s="11">
        <v>1287</v>
      </c>
      <c r="J617" s="66">
        <f t="shared" si="38"/>
        <v>46.567164179104473</v>
      </c>
      <c r="K617" s="66">
        <f t="shared" si="39"/>
        <v>53.432835820895519</v>
      </c>
    </row>
    <row r="618" spans="1:11" ht="41.4" x14ac:dyDescent="0.3">
      <c r="A618" s="10">
        <v>30</v>
      </c>
      <c r="B618" s="10" t="s">
        <v>871</v>
      </c>
      <c r="C618" s="10" t="str" cm="1">
        <f t="array" ref="C618">_xlfn.IFS(A618&lt;20, "ภาคกลาง", A618&lt;30, "ภาคตะวันออก", A618&lt;50, "ภาคตะวันออกเฉียงเหนือ", A618&lt;60, "ภาคเหนือ", A618&lt;80, "ภาคกลาง/ตะวันตก", A618&gt;=80, "ภาคใต้")</f>
        <v>ภาคตะวันออกเฉียงเหนือ</v>
      </c>
      <c r="D618" s="64">
        <v>3088</v>
      </c>
      <c r="E618" s="10" t="s">
        <v>954</v>
      </c>
      <c r="F618" s="11">
        <v>1026</v>
      </c>
      <c r="G618" s="11">
        <v>1140</v>
      </c>
      <c r="H618" s="11">
        <v>2166</v>
      </c>
      <c r="I618" s="11">
        <v>1010</v>
      </c>
      <c r="J618" s="66">
        <f t="shared" si="38"/>
        <v>47.368421052631575</v>
      </c>
      <c r="K618" s="66">
        <f t="shared" si="39"/>
        <v>52.631578947368418</v>
      </c>
    </row>
    <row r="619" spans="1:11" ht="41.4" x14ac:dyDescent="0.3">
      <c r="A619" s="10">
        <v>30</v>
      </c>
      <c r="B619" s="10" t="s">
        <v>871</v>
      </c>
      <c r="C619" s="10" t="str" cm="1">
        <f t="array" ref="C619">_xlfn.IFS(A619&lt;20, "ภาคกลาง", A619&lt;30, "ภาคตะวันออก", A619&lt;50, "ภาคตะวันออกเฉียงเหนือ", A619&lt;60, "ภาคเหนือ", A619&lt;80, "ภาคกลาง/ตะวันตก", A619&gt;=80, "ภาคใต้")</f>
        <v>ภาคตะวันออกเฉียงเหนือ</v>
      </c>
      <c r="D619" s="64">
        <v>3089</v>
      </c>
      <c r="E619" s="10" t="s">
        <v>955</v>
      </c>
      <c r="F619" s="11">
        <v>1307</v>
      </c>
      <c r="G619" s="11">
        <v>1381</v>
      </c>
      <c r="H619" s="11">
        <v>2688</v>
      </c>
      <c r="I619" s="10">
        <v>913</v>
      </c>
      <c r="J619" s="66">
        <f t="shared" si="38"/>
        <v>48.623511904761905</v>
      </c>
      <c r="K619" s="66">
        <f t="shared" si="39"/>
        <v>51.376488095238095</v>
      </c>
    </row>
    <row r="620" spans="1:11" ht="41.4" x14ac:dyDescent="0.3">
      <c r="A620" s="10">
        <v>30</v>
      </c>
      <c r="B620" s="10" t="s">
        <v>871</v>
      </c>
      <c r="C620" s="10" t="str" cm="1">
        <f t="array" ref="C620">_xlfn.IFS(A620&lt;20, "ภาคกลาง", A620&lt;30, "ภาคตะวันออก", A620&lt;50, "ภาคตะวันออกเฉียงเหนือ", A620&lt;60, "ภาคเหนือ", A620&lt;80, "ภาคกลาง/ตะวันตก", A620&gt;=80, "ภาคใต้")</f>
        <v>ภาคตะวันออกเฉียงเหนือ</v>
      </c>
      <c r="D620" s="64">
        <v>3090</v>
      </c>
      <c r="E620" s="10" t="s">
        <v>956</v>
      </c>
      <c r="F620" s="11">
        <v>3613</v>
      </c>
      <c r="G620" s="11">
        <v>3857</v>
      </c>
      <c r="H620" s="11">
        <v>7470</v>
      </c>
      <c r="I620" s="11">
        <v>3350</v>
      </c>
      <c r="J620" s="66">
        <f t="shared" si="38"/>
        <v>48.366800535475235</v>
      </c>
      <c r="K620" s="66">
        <f t="shared" si="39"/>
        <v>51.633199464524772</v>
      </c>
    </row>
    <row r="621" spans="1:11" ht="41.4" x14ac:dyDescent="0.3">
      <c r="A621" s="10">
        <v>30</v>
      </c>
      <c r="B621" s="10" t="s">
        <v>871</v>
      </c>
      <c r="C621" s="10" t="str" cm="1">
        <f t="array" ref="C621">_xlfn.IFS(A621&lt;20, "ภาคกลาง", A621&lt;30, "ภาคตะวันออก", A621&lt;50, "ภาคตะวันออกเฉียงเหนือ", A621&lt;60, "ภาคเหนือ", A621&lt;80, "ภาคกลาง/ตะวันตก", A621&gt;=80, "ภาคใต้")</f>
        <v>ภาคตะวันออกเฉียงเหนือ</v>
      </c>
      <c r="D621" s="64">
        <v>3091</v>
      </c>
      <c r="E621" s="10" t="s">
        <v>957</v>
      </c>
      <c r="F621" s="11">
        <v>2799</v>
      </c>
      <c r="G621" s="11">
        <v>2879</v>
      </c>
      <c r="H621" s="11">
        <v>5678</v>
      </c>
      <c r="I621" s="11">
        <v>1869</v>
      </c>
      <c r="J621" s="66">
        <f t="shared" si="38"/>
        <v>49.295526593871081</v>
      </c>
      <c r="K621" s="66">
        <f t="shared" si="39"/>
        <v>50.704473406128912</v>
      </c>
    </row>
    <row r="622" spans="1:11" ht="41.4" x14ac:dyDescent="0.3">
      <c r="A622" s="10">
        <v>30</v>
      </c>
      <c r="B622" s="10" t="s">
        <v>871</v>
      </c>
      <c r="C622" s="10" t="str" cm="1">
        <f t="array" ref="C622">_xlfn.IFS(A622&lt;20, "ภาคกลาง", A622&lt;30, "ภาคตะวันออก", A622&lt;50, "ภาคตะวันออกเฉียงเหนือ", A622&lt;60, "ภาคเหนือ", A622&lt;80, "ภาคกลาง/ตะวันตก", A622&gt;=80, "ภาคใต้")</f>
        <v>ภาคตะวันออกเฉียงเหนือ</v>
      </c>
      <c r="D622" s="64">
        <v>3092</v>
      </c>
      <c r="E622" s="10" t="s">
        <v>958</v>
      </c>
      <c r="F622" s="11">
        <v>1794</v>
      </c>
      <c r="G622" s="11">
        <v>1858</v>
      </c>
      <c r="H622" s="11">
        <v>3652</v>
      </c>
      <c r="I622" s="11">
        <v>1207</v>
      </c>
      <c r="J622" s="66">
        <f t="shared" si="38"/>
        <v>49.123767798466595</v>
      </c>
      <c r="K622" s="66">
        <f t="shared" si="39"/>
        <v>50.876232201533412</v>
      </c>
    </row>
    <row r="623" spans="1:11" ht="41.4" x14ac:dyDescent="0.3">
      <c r="A623" s="10">
        <v>30</v>
      </c>
      <c r="B623" s="10" t="s">
        <v>871</v>
      </c>
      <c r="C623" s="10" t="str" cm="1">
        <f t="array" ref="C623">_xlfn.IFS(A623&lt;20, "ภาคกลาง", A623&lt;30, "ภาคตะวันออก", A623&lt;50, "ภาคตะวันออกเฉียงเหนือ", A623&lt;60, "ภาคเหนือ", A623&lt;80, "ภาคกลาง/ตะวันตก", A623&gt;=80, "ภาคใต้")</f>
        <v>ภาคตะวันออกเฉียงเหนือ</v>
      </c>
      <c r="D623" s="64">
        <v>3093</v>
      </c>
      <c r="E623" s="10" t="s">
        <v>959</v>
      </c>
      <c r="F623" s="11">
        <v>2625</v>
      </c>
      <c r="G623" s="11">
        <v>3016</v>
      </c>
      <c r="H623" s="11">
        <v>5641</v>
      </c>
      <c r="I623" s="11">
        <v>3088</v>
      </c>
      <c r="J623" s="66">
        <f t="shared" si="38"/>
        <v>46.534302428647401</v>
      </c>
      <c r="K623" s="66">
        <f t="shared" si="39"/>
        <v>53.465697571352599</v>
      </c>
    </row>
    <row r="624" spans="1:11" ht="41.4" x14ac:dyDescent="0.3">
      <c r="A624" s="10">
        <v>30</v>
      </c>
      <c r="B624" s="10" t="s">
        <v>871</v>
      </c>
      <c r="C624" s="10" t="str" cm="1">
        <f t="array" ref="C624">_xlfn.IFS(A624&lt;20, "ภาคกลาง", A624&lt;30, "ภาคตะวันออก", A624&lt;50, "ภาคตะวันออกเฉียงเหนือ", A624&lt;60, "ภาคเหนือ", A624&lt;80, "ภาคกลาง/ตะวันตก", A624&gt;=80, "ภาคใต้")</f>
        <v>ภาคตะวันออกเฉียงเหนือ</v>
      </c>
      <c r="D624" s="64">
        <v>3094</v>
      </c>
      <c r="E624" s="10" t="s">
        <v>960</v>
      </c>
      <c r="F624" s="11">
        <v>2836</v>
      </c>
      <c r="G624" s="11">
        <v>3166</v>
      </c>
      <c r="H624" s="11">
        <v>6002</v>
      </c>
      <c r="I624" s="11">
        <v>2511</v>
      </c>
      <c r="J624" s="66">
        <f t="shared" si="38"/>
        <v>47.25091636121293</v>
      </c>
      <c r="K624" s="66">
        <f t="shared" si="39"/>
        <v>52.749083638787077</v>
      </c>
    </row>
    <row r="625" spans="1:11" ht="41.4" x14ac:dyDescent="0.3">
      <c r="A625" s="10">
        <v>30</v>
      </c>
      <c r="B625" s="10" t="s">
        <v>871</v>
      </c>
      <c r="C625" s="10" t="str" cm="1">
        <f t="array" ref="C625">_xlfn.IFS(A625&lt;20, "ภาคกลาง", A625&lt;30, "ภาคตะวันออก", A625&lt;50, "ภาคตะวันออกเฉียงเหนือ", A625&lt;60, "ภาคเหนือ", A625&lt;80, "ภาคกลาง/ตะวันตก", A625&gt;=80, "ภาคใต้")</f>
        <v>ภาคตะวันออกเฉียงเหนือ</v>
      </c>
      <c r="D625" s="64">
        <v>3095</v>
      </c>
      <c r="E625" s="10" t="s">
        <v>961</v>
      </c>
      <c r="F625" s="11">
        <v>8412</v>
      </c>
      <c r="G625" s="11">
        <v>8782</v>
      </c>
      <c r="H625" s="11">
        <v>17194</v>
      </c>
      <c r="I625" s="11">
        <v>10395</v>
      </c>
      <c r="J625" s="66">
        <f t="shared" si="38"/>
        <v>48.924043270908456</v>
      </c>
      <c r="K625" s="66">
        <f t="shared" si="39"/>
        <v>51.075956729091544</v>
      </c>
    </row>
    <row r="626" spans="1:11" ht="41.4" x14ac:dyDescent="0.3">
      <c r="A626" s="10">
        <v>30</v>
      </c>
      <c r="B626" s="10" t="s">
        <v>871</v>
      </c>
      <c r="C626" s="10" t="str" cm="1">
        <f t="array" ref="C626">_xlfn.IFS(A626&lt;20, "ภาคกลาง", A626&lt;30, "ภาคตะวันออก", A626&lt;50, "ภาคตะวันออกเฉียงเหนือ", A626&lt;60, "ภาคเหนือ", A626&lt;80, "ภาคกลาง/ตะวันตก", A626&gt;=80, "ภาคใต้")</f>
        <v>ภาคตะวันออกเฉียงเหนือ</v>
      </c>
      <c r="D626" s="64">
        <v>3096</v>
      </c>
      <c r="E626" s="10" t="s">
        <v>962</v>
      </c>
      <c r="F626" s="11">
        <v>3215</v>
      </c>
      <c r="G626" s="11">
        <v>3745</v>
      </c>
      <c r="H626" s="11">
        <v>6960</v>
      </c>
      <c r="I626" s="11">
        <v>4784</v>
      </c>
      <c r="J626" s="66">
        <f t="shared" si="38"/>
        <v>46.19252873563218</v>
      </c>
      <c r="K626" s="66">
        <f t="shared" si="39"/>
        <v>53.807471264367813</v>
      </c>
    </row>
    <row r="627" spans="1:11" ht="41.4" x14ac:dyDescent="0.3">
      <c r="A627" s="10">
        <v>30</v>
      </c>
      <c r="B627" s="10" t="s">
        <v>871</v>
      </c>
      <c r="C627" s="10" t="str" cm="1">
        <f t="array" ref="C627">_xlfn.IFS(A627&lt;20, "ภาคกลาง", A627&lt;30, "ภาคตะวันออก", A627&lt;50, "ภาคตะวันออกเฉียงเหนือ", A627&lt;60, "ภาคเหนือ", A627&lt;80, "ภาคกลาง/ตะวันตก", A627&gt;=80, "ภาคใต้")</f>
        <v>ภาคตะวันออกเฉียงเหนือ</v>
      </c>
      <c r="D627" s="64">
        <v>3097</v>
      </c>
      <c r="E627" s="10" t="s">
        <v>963</v>
      </c>
      <c r="F627" s="11">
        <v>4472</v>
      </c>
      <c r="G627" s="11">
        <v>4817</v>
      </c>
      <c r="H627" s="11">
        <v>9289</v>
      </c>
      <c r="I627" s="11">
        <v>4176</v>
      </c>
      <c r="J627" s="66">
        <f t="shared" si="38"/>
        <v>48.142964797071805</v>
      </c>
      <c r="K627" s="66">
        <f t="shared" si="39"/>
        <v>51.857035202928195</v>
      </c>
    </row>
    <row r="628" spans="1:11" ht="41.4" x14ac:dyDescent="0.3">
      <c r="A628" s="10">
        <v>30</v>
      </c>
      <c r="B628" s="10" t="s">
        <v>871</v>
      </c>
      <c r="C628" s="10" t="str" cm="1">
        <f t="array" ref="C628">_xlfn.IFS(A628&lt;20, "ภาคกลาง", A628&lt;30, "ภาคตะวันออก", A628&lt;50, "ภาคตะวันออกเฉียงเหนือ", A628&lt;60, "ภาคเหนือ", A628&lt;80, "ภาคกลาง/ตะวันตก", A628&gt;=80, "ภาคใต้")</f>
        <v>ภาคตะวันออกเฉียงเหนือ</v>
      </c>
      <c r="D628" s="64">
        <v>3098</v>
      </c>
      <c r="E628" s="10" t="s">
        <v>964</v>
      </c>
      <c r="F628" s="11">
        <v>6207</v>
      </c>
      <c r="G628" s="11">
        <v>6813</v>
      </c>
      <c r="H628" s="11">
        <v>13020</v>
      </c>
      <c r="I628" s="11">
        <v>7403</v>
      </c>
      <c r="J628" s="66">
        <f t="shared" si="38"/>
        <v>47.672811059907829</v>
      </c>
      <c r="K628" s="66">
        <f t="shared" si="39"/>
        <v>52.327188940092164</v>
      </c>
    </row>
    <row r="629" spans="1:11" ht="41.4" x14ac:dyDescent="0.3">
      <c r="A629" s="10">
        <v>30</v>
      </c>
      <c r="B629" s="10" t="s">
        <v>871</v>
      </c>
      <c r="C629" s="10" t="str" cm="1">
        <f t="array" ref="C629">_xlfn.IFS(A629&lt;20, "ภาคกลาง", A629&lt;30, "ภาคตะวันออก", A629&lt;50, "ภาคตะวันออกเฉียงเหนือ", A629&lt;60, "ภาคเหนือ", A629&lt;80, "ภาคกลาง/ตะวันตก", A629&gt;=80, "ภาคใต้")</f>
        <v>ภาคตะวันออกเฉียงเหนือ</v>
      </c>
      <c r="D629" s="64">
        <v>3099</v>
      </c>
      <c r="E629" s="10" t="s">
        <v>965</v>
      </c>
      <c r="F629" s="11">
        <v>15025</v>
      </c>
      <c r="G629" s="11">
        <v>16995</v>
      </c>
      <c r="H629" s="11">
        <v>32020</v>
      </c>
      <c r="I629" s="11">
        <v>19408</v>
      </c>
      <c r="J629" s="66">
        <f t="shared" si="38"/>
        <v>46.923797626483449</v>
      </c>
      <c r="K629" s="66">
        <f t="shared" si="39"/>
        <v>53.076202373516558</v>
      </c>
    </row>
    <row r="630" spans="1:11" ht="41.4" hidden="1" x14ac:dyDescent="0.3">
      <c r="A630" s="10">
        <v>30</v>
      </c>
      <c r="B630" s="10" t="s">
        <v>871</v>
      </c>
      <c r="C630" s="10" t="str" cm="1">
        <f t="array" ref="C630">_xlfn.IFS(A630&lt;20, "ภาคกลาง", A630&lt;30, "ภาคตะวันออก", A630&lt;50, "ภาคตะวันออกเฉียงเหนือ", A630&lt;60, "ภาคเหนือ", A630&lt;80, "ภาคกลาง/ตะวันตก", A630&gt;=80, "ภาคใต้")</f>
        <v>ภาคตะวันออกเฉียงเหนือ</v>
      </c>
      <c r="D630" s="10">
        <v>0</v>
      </c>
      <c r="E630" s="10" t="s">
        <v>343</v>
      </c>
      <c r="F630" s="11">
        <v>52544</v>
      </c>
      <c r="G630" s="11">
        <v>60640</v>
      </c>
      <c r="H630" s="11">
        <v>113184</v>
      </c>
      <c r="I630" s="11">
        <v>73265</v>
      </c>
      <c r="J630"/>
      <c r="K630"/>
    </row>
    <row r="631" spans="1:11" ht="41.4" x14ac:dyDescent="0.3">
      <c r="A631" s="10">
        <v>31</v>
      </c>
      <c r="B631" s="10" t="s">
        <v>966</v>
      </c>
      <c r="C631" s="10" t="str" cm="1">
        <f t="array" ref="C631">_xlfn.IFS(A631&lt;20, "ภาคกลาง", A631&lt;30, "ภาคตะวันออก", A631&lt;50, "ภาคตะวันออกเฉียงเหนือ", A631&lt;60, "ภาคเหนือ", A631&lt;80, "ภาคกลาง/ตะวันตก", A631&gt;=80, "ภาคใต้")</f>
        <v>ภาคตะวันออกเฉียงเหนือ</v>
      </c>
      <c r="D631" s="64">
        <v>3101</v>
      </c>
      <c r="E631" s="10" t="s">
        <v>967</v>
      </c>
      <c r="F631" s="11">
        <v>775230</v>
      </c>
      <c r="G631" s="11">
        <v>791078</v>
      </c>
      <c r="H631" s="11">
        <v>1566308</v>
      </c>
      <c r="I631" s="11">
        <v>504266</v>
      </c>
      <c r="J631" s="66">
        <f t="shared" ref="J631:J689" si="40">F631/H631*100</f>
        <v>49.494096946449865</v>
      </c>
      <c r="K631" s="66">
        <f t="shared" ref="K631:K689" si="41">G631/H631*100</f>
        <v>50.505903053550128</v>
      </c>
    </row>
    <row r="632" spans="1:11" ht="41.4" x14ac:dyDescent="0.3">
      <c r="A632" s="10">
        <v>31</v>
      </c>
      <c r="B632" s="10" t="s">
        <v>966</v>
      </c>
      <c r="C632" s="10" t="str" cm="1">
        <f t="array" ref="C632">_xlfn.IFS(A632&lt;20, "ภาคกลาง", A632&lt;30, "ภาคตะวันออก", A632&lt;50, "ภาคตะวันออกเฉียงเหนือ", A632&lt;60, "ภาคเหนือ", A632&lt;80, "ภาคกลาง/ตะวันตก", A632&gt;=80, "ภาคใต้")</f>
        <v>ภาคตะวันออกเฉียงเหนือ</v>
      </c>
      <c r="D632" s="64">
        <v>3102</v>
      </c>
      <c r="E632" s="10" t="s">
        <v>968</v>
      </c>
      <c r="F632" s="11">
        <v>83803</v>
      </c>
      <c r="G632" s="11">
        <v>86137</v>
      </c>
      <c r="H632" s="11">
        <v>169940</v>
      </c>
      <c r="I632" s="11">
        <v>53568</v>
      </c>
      <c r="J632" s="66">
        <f t="shared" si="40"/>
        <v>49.313287042485584</v>
      </c>
      <c r="K632" s="66">
        <f t="shared" si="41"/>
        <v>50.686712957514416</v>
      </c>
    </row>
    <row r="633" spans="1:11" ht="41.4" x14ac:dyDescent="0.3">
      <c r="A633" s="10">
        <v>31</v>
      </c>
      <c r="B633" s="10" t="s">
        <v>966</v>
      </c>
      <c r="C633" s="10" t="str" cm="1">
        <f t="array" ref="C633">_xlfn.IFS(A633&lt;20, "ภาคกลาง", A633&lt;30, "ภาคตะวันออก", A633&lt;50, "ภาคตะวันออกเฉียงเหนือ", A633&lt;60, "ภาคเหนือ", A633&lt;80, "ภาคกลาง/ตะวันตก", A633&gt;=80, "ภาคใต้")</f>
        <v>ภาคตะวันออกเฉียงเหนือ</v>
      </c>
      <c r="D633" s="64">
        <v>3103</v>
      </c>
      <c r="E633" s="10" t="s">
        <v>969</v>
      </c>
      <c r="F633" s="11">
        <v>29318</v>
      </c>
      <c r="G633" s="11">
        <v>29279</v>
      </c>
      <c r="H633" s="11">
        <v>58597</v>
      </c>
      <c r="I633" s="11">
        <v>16997</v>
      </c>
      <c r="J633" s="66">
        <f t="shared" si="40"/>
        <v>50.033278154171711</v>
      </c>
      <c r="K633" s="66">
        <f t="shared" si="41"/>
        <v>49.966721845828282</v>
      </c>
    </row>
    <row r="634" spans="1:11" ht="41.4" x14ac:dyDescent="0.3">
      <c r="A634" s="10">
        <v>31</v>
      </c>
      <c r="B634" s="10" t="s">
        <v>966</v>
      </c>
      <c r="C634" s="10" t="str" cm="1">
        <f t="array" ref="C634">_xlfn.IFS(A634&lt;20, "ภาคกลาง", A634&lt;30, "ภาคตะวันออก", A634&lt;50, "ภาคตะวันออกเฉียงเหนือ", A634&lt;60, "ภาคเหนือ", A634&lt;80, "ภาคกลาง/ตะวันตก", A634&gt;=80, "ภาคใต้")</f>
        <v>ภาคตะวันออกเฉียงเหนือ</v>
      </c>
      <c r="D634" s="64">
        <v>3104</v>
      </c>
      <c r="E634" s="10" t="s">
        <v>970</v>
      </c>
      <c r="F634" s="11">
        <v>49754</v>
      </c>
      <c r="G634" s="11">
        <v>50951</v>
      </c>
      <c r="H634" s="11">
        <v>100705</v>
      </c>
      <c r="I634" s="11">
        <v>27512</v>
      </c>
      <c r="J634" s="66">
        <f t="shared" si="40"/>
        <v>49.405689886301573</v>
      </c>
      <c r="K634" s="66">
        <f t="shared" si="41"/>
        <v>50.594310113698427</v>
      </c>
    </row>
    <row r="635" spans="1:11" ht="41.4" x14ac:dyDescent="0.3">
      <c r="A635" s="10">
        <v>31</v>
      </c>
      <c r="B635" s="10" t="s">
        <v>966</v>
      </c>
      <c r="C635" s="10" t="str" cm="1">
        <f t="array" ref="C635">_xlfn.IFS(A635&lt;20, "ภาคกลาง", A635&lt;30, "ภาคตะวันออก", A635&lt;50, "ภาคตะวันออกเฉียงเหนือ", A635&lt;60, "ภาคเหนือ", A635&lt;80, "ภาคกลาง/ตะวันตก", A635&gt;=80, "ภาคใต้")</f>
        <v>ภาคตะวันออกเฉียงเหนือ</v>
      </c>
      <c r="D635" s="64">
        <v>3105</v>
      </c>
      <c r="E635" s="10" t="s">
        <v>971</v>
      </c>
      <c r="F635" s="11">
        <v>45649</v>
      </c>
      <c r="G635" s="11">
        <v>47137</v>
      </c>
      <c r="H635" s="11">
        <v>92786</v>
      </c>
      <c r="I635" s="11">
        <v>27856</v>
      </c>
      <c r="J635" s="66">
        <f t="shared" si="40"/>
        <v>49.198154894057296</v>
      </c>
      <c r="K635" s="66">
        <f t="shared" si="41"/>
        <v>50.801845105942711</v>
      </c>
    </row>
    <row r="636" spans="1:11" ht="41.4" x14ac:dyDescent="0.3">
      <c r="A636" s="10">
        <v>31</v>
      </c>
      <c r="B636" s="10" t="s">
        <v>966</v>
      </c>
      <c r="C636" s="10" t="str" cm="1">
        <f t="array" ref="C636">_xlfn.IFS(A636&lt;20, "ภาคกลาง", A636&lt;30, "ภาคตะวันออก", A636&lt;50, "ภาคตะวันออกเฉียงเหนือ", A636&lt;60, "ภาคเหนือ", A636&lt;80, "ภาคกลาง/ตะวันตก", A636&gt;=80, "ภาคใต้")</f>
        <v>ภาคตะวันออกเฉียงเหนือ</v>
      </c>
      <c r="D636" s="64">
        <v>3106</v>
      </c>
      <c r="E636" s="10" t="s">
        <v>972</v>
      </c>
      <c r="F636" s="11">
        <v>28659</v>
      </c>
      <c r="G636" s="11">
        <v>28443</v>
      </c>
      <c r="H636" s="11">
        <v>57102</v>
      </c>
      <c r="I636" s="11">
        <v>16177</v>
      </c>
      <c r="J636" s="66">
        <f t="shared" si="40"/>
        <v>50.189135231690663</v>
      </c>
      <c r="K636" s="66">
        <f t="shared" si="41"/>
        <v>49.810864768309344</v>
      </c>
    </row>
    <row r="637" spans="1:11" ht="41.4" x14ac:dyDescent="0.3">
      <c r="A637" s="10">
        <v>31</v>
      </c>
      <c r="B637" s="10" t="s">
        <v>966</v>
      </c>
      <c r="C637" s="10" t="str" cm="1">
        <f t="array" ref="C637">_xlfn.IFS(A637&lt;20, "ภาคกลาง", A637&lt;30, "ภาคตะวันออก", A637&lt;50, "ภาคตะวันออกเฉียงเหนือ", A637&lt;60, "ภาคเหนือ", A637&lt;80, "ภาคกลาง/ตะวันตก", A637&gt;=80, "ภาคใต้")</f>
        <v>ภาคตะวันออกเฉียงเหนือ</v>
      </c>
      <c r="D637" s="64">
        <v>3107</v>
      </c>
      <c r="E637" s="10" t="s">
        <v>973</v>
      </c>
      <c r="F637" s="11">
        <v>9654</v>
      </c>
      <c r="G637" s="11">
        <v>9699</v>
      </c>
      <c r="H637" s="11">
        <v>19353</v>
      </c>
      <c r="I637" s="11">
        <v>6099</v>
      </c>
      <c r="J637" s="66">
        <f t="shared" si="40"/>
        <v>49.883738955200748</v>
      </c>
      <c r="K637" s="66">
        <f t="shared" si="41"/>
        <v>50.116261044799259</v>
      </c>
    </row>
    <row r="638" spans="1:11" ht="41.4" x14ac:dyDescent="0.3">
      <c r="A638" s="10">
        <v>31</v>
      </c>
      <c r="B638" s="10" t="s">
        <v>966</v>
      </c>
      <c r="C638" s="10" t="str" cm="1">
        <f t="array" ref="C638">_xlfn.IFS(A638&lt;20, "ภาคกลาง", A638&lt;30, "ภาคตะวันออก", A638&lt;50, "ภาคตะวันออกเฉียงเหนือ", A638&lt;60, "ภาคเหนือ", A638&lt;80, "ภาคกลาง/ตะวันตก", A638&gt;=80, "ภาคใต้")</f>
        <v>ภาคตะวันออกเฉียงเหนือ</v>
      </c>
      <c r="D638" s="64">
        <v>3108</v>
      </c>
      <c r="E638" s="10" t="s">
        <v>974</v>
      </c>
      <c r="F638" s="11">
        <v>61874</v>
      </c>
      <c r="G638" s="11">
        <v>62752</v>
      </c>
      <c r="H638" s="11">
        <v>124626</v>
      </c>
      <c r="I638" s="11">
        <v>38673</v>
      </c>
      <c r="J638" s="66">
        <f t="shared" si="40"/>
        <v>49.647746056200148</v>
      </c>
      <c r="K638" s="66">
        <f t="shared" si="41"/>
        <v>50.352253943799852</v>
      </c>
    </row>
    <row r="639" spans="1:11" ht="41.4" x14ac:dyDescent="0.3">
      <c r="A639" s="10">
        <v>31</v>
      </c>
      <c r="B639" s="10" t="s">
        <v>966</v>
      </c>
      <c r="C639" s="10" t="str" cm="1">
        <f t="array" ref="C639">_xlfn.IFS(A639&lt;20, "ภาคกลาง", A639&lt;30, "ภาคตะวันออก", A639&lt;50, "ภาคตะวันออกเฉียงเหนือ", A639&lt;60, "ภาคเหนือ", A639&lt;80, "ภาคกลาง/ตะวันตก", A639&gt;=80, "ภาคใต้")</f>
        <v>ภาคตะวันออกเฉียงเหนือ</v>
      </c>
      <c r="D639" s="64">
        <v>3109</v>
      </c>
      <c r="E639" s="10" t="s">
        <v>975</v>
      </c>
      <c r="F639" s="11">
        <v>20318</v>
      </c>
      <c r="G639" s="11">
        <v>20503</v>
      </c>
      <c r="H639" s="11">
        <v>40821</v>
      </c>
      <c r="I639" s="11">
        <v>11926</v>
      </c>
      <c r="J639" s="66">
        <f t="shared" si="40"/>
        <v>49.773400945591732</v>
      </c>
      <c r="K639" s="66">
        <f t="shared" si="41"/>
        <v>50.226599054408268</v>
      </c>
    </row>
    <row r="640" spans="1:11" ht="41.4" x14ac:dyDescent="0.3">
      <c r="A640" s="10">
        <v>31</v>
      </c>
      <c r="B640" s="10" t="s">
        <v>966</v>
      </c>
      <c r="C640" s="10" t="str" cm="1">
        <f t="array" ref="C640">_xlfn.IFS(A640&lt;20, "ภาคกลาง", A640&lt;30, "ภาคตะวันออก", A640&lt;50, "ภาคตะวันออกเฉียงเหนือ", A640&lt;60, "ภาคเหนือ", A640&lt;80, "ภาคกลาง/ตะวันตก", A640&gt;=80, "ภาคใต้")</f>
        <v>ภาคตะวันออกเฉียงเหนือ</v>
      </c>
      <c r="D640" s="64">
        <v>3110</v>
      </c>
      <c r="E640" s="10" t="s">
        <v>976</v>
      </c>
      <c r="F640" s="11">
        <v>19972</v>
      </c>
      <c r="G640" s="11">
        <v>20979</v>
      </c>
      <c r="H640" s="11">
        <v>40951</v>
      </c>
      <c r="I640" s="11">
        <v>12887</v>
      </c>
      <c r="J640" s="66">
        <f t="shared" si="40"/>
        <v>48.770481795316357</v>
      </c>
      <c r="K640" s="66">
        <f t="shared" si="41"/>
        <v>51.229518204683643</v>
      </c>
    </row>
    <row r="641" spans="1:11" ht="41.4" x14ac:dyDescent="0.3">
      <c r="A641" s="10">
        <v>31</v>
      </c>
      <c r="B641" s="10" t="s">
        <v>966</v>
      </c>
      <c r="C641" s="10" t="str" cm="1">
        <f t="array" ref="C641">_xlfn.IFS(A641&lt;20, "ภาคกลาง", A641&lt;30, "ภาคตะวันออก", A641&lt;50, "ภาคตะวันออกเฉียงเหนือ", A641&lt;60, "ภาคเหนือ", A641&lt;80, "ภาคกลาง/ตะวันตก", A641&gt;=80, "ภาคใต้")</f>
        <v>ภาคตะวันออกเฉียงเหนือ</v>
      </c>
      <c r="D641" s="64">
        <v>3111</v>
      </c>
      <c r="E641" s="10" t="s">
        <v>977</v>
      </c>
      <c r="F641" s="11">
        <v>56431</v>
      </c>
      <c r="G641" s="11">
        <v>56820</v>
      </c>
      <c r="H641" s="11">
        <v>113251</v>
      </c>
      <c r="I641" s="11">
        <v>32571</v>
      </c>
      <c r="J641" s="66">
        <f t="shared" si="40"/>
        <v>49.828257587129471</v>
      </c>
      <c r="K641" s="66">
        <f t="shared" si="41"/>
        <v>50.171742412870522</v>
      </c>
    </row>
    <row r="642" spans="1:11" ht="41.4" x14ac:dyDescent="0.3">
      <c r="A642" s="10">
        <v>31</v>
      </c>
      <c r="B642" s="10" t="s">
        <v>966</v>
      </c>
      <c r="C642" s="10" t="str" cm="1">
        <f t="array" ref="C642">_xlfn.IFS(A642&lt;20, "ภาคกลาง", A642&lt;30, "ภาคตะวันออก", A642&lt;50, "ภาคตะวันออกเฉียงเหนือ", A642&lt;60, "ภาคเหนือ", A642&lt;80, "ภาคกลาง/ตะวันตก", A642&gt;=80, "ภาคใต้")</f>
        <v>ภาคตะวันออกเฉียงเหนือ</v>
      </c>
      <c r="D642" s="64">
        <v>3112</v>
      </c>
      <c r="E642" s="10" t="s">
        <v>978</v>
      </c>
      <c r="F642" s="11">
        <v>48724</v>
      </c>
      <c r="G642" s="11">
        <v>49075</v>
      </c>
      <c r="H642" s="11">
        <v>97799</v>
      </c>
      <c r="I642" s="11">
        <v>28402</v>
      </c>
      <c r="J642" s="66">
        <f t="shared" si="40"/>
        <v>49.820550312375381</v>
      </c>
      <c r="K642" s="66">
        <f t="shared" si="41"/>
        <v>50.179449687624626</v>
      </c>
    </row>
    <row r="643" spans="1:11" ht="41.4" x14ac:dyDescent="0.3">
      <c r="A643" s="10">
        <v>31</v>
      </c>
      <c r="B643" s="10" t="s">
        <v>966</v>
      </c>
      <c r="C643" s="10" t="str" cm="1">
        <f t="array" ref="C643">_xlfn.IFS(A643&lt;20, "ภาคกลาง", A643&lt;30, "ภาคตะวันออก", A643&lt;50, "ภาคตะวันออกเฉียงเหนือ", A643&lt;60, "ภาคเหนือ", A643&lt;80, "ภาคกลาง/ตะวันตก", A643&gt;=80, "ภาคใต้")</f>
        <v>ภาคตะวันออกเฉียงเหนือ</v>
      </c>
      <c r="D643" s="64">
        <v>3113</v>
      </c>
      <c r="E643" s="10" t="s">
        <v>979</v>
      </c>
      <c r="F643" s="11">
        <v>19033</v>
      </c>
      <c r="G643" s="11">
        <v>18954</v>
      </c>
      <c r="H643" s="11">
        <v>37987</v>
      </c>
      <c r="I643" s="11">
        <v>12268</v>
      </c>
      <c r="J643" s="66">
        <f t="shared" si="40"/>
        <v>50.103982941532635</v>
      </c>
      <c r="K643" s="66">
        <f t="shared" si="41"/>
        <v>49.896017058467365</v>
      </c>
    </row>
    <row r="644" spans="1:11" ht="41.4" x14ac:dyDescent="0.3">
      <c r="A644" s="10">
        <v>31</v>
      </c>
      <c r="B644" s="10" t="s">
        <v>966</v>
      </c>
      <c r="C644" s="10" t="str" cm="1">
        <f t="array" ref="C644">_xlfn.IFS(A644&lt;20, "ภาคกลาง", A644&lt;30, "ภาคตะวันออก", A644&lt;50, "ภาคตะวันออกเฉียงเหนือ", A644&lt;60, "ภาคเหนือ", A644&lt;80, "ภาคกลาง/ตะวันตก", A644&gt;=80, "ภาคใต้")</f>
        <v>ภาคตะวันออกเฉียงเหนือ</v>
      </c>
      <c r="D644" s="64">
        <v>3114</v>
      </c>
      <c r="E644" s="10" t="s">
        <v>980</v>
      </c>
      <c r="F644" s="11">
        <v>13722</v>
      </c>
      <c r="G644" s="11">
        <v>14206</v>
      </c>
      <c r="H644" s="11">
        <v>27928</v>
      </c>
      <c r="I644" s="11">
        <v>8289</v>
      </c>
      <c r="J644" s="66">
        <f t="shared" si="40"/>
        <v>49.133486107132626</v>
      </c>
      <c r="K644" s="66">
        <f t="shared" si="41"/>
        <v>50.866513892867374</v>
      </c>
    </row>
    <row r="645" spans="1:11" ht="41.4" x14ac:dyDescent="0.3">
      <c r="A645" s="10">
        <v>31</v>
      </c>
      <c r="B645" s="10" t="s">
        <v>966</v>
      </c>
      <c r="C645" s="10" t="str" cm="1">
        <f t="array" ref="C645">_xlfn.IFS(A645&lt;20, "ภาคกลาง", A645&lt;30, "ภาคตะวันออก", A645&lt;50, "ภาคตะวันออกเฉียงเหนือ", A645&lt;60, "ภาคเหนือ", A645&lt;80, "ภาคกลาง/ตะวันตก", A645&gt;=80, "ภาคใต้")</f>
        <v>ภาคตะวันออกเฉียงเหนือ</v>
      </c>
      <c r="D645" s="64">
        <v>3115</v>
      </c>
      <c r="E645" s="10" t="s">
        <v>981</v>
      </c>
      <c r="F645" s="11">
        <v>17663</v>
      </c>
      <c r="G645" s="11">
        <v>17493</v>
      </c>
      <c r="H645" s="11">
        <v>35156</v>
      </c>
      <c r="I645" s="11">
        <v>9778</v>
      </c>
      <c r="J645" s="66">
        <f t="shared" si="40"/>
        <v>50.241779497098648</v>
      </c>
      <c r="K645" s="66">
        <f t="shared" si="41"/>
        <v>49.758220502901352</v>
      </c>
    </row>
    <row r="646" spans="1:11" ht="41.4" x14ac:dyDescent="0.3">
      <c r="A646" s="10">
        <v>31</v>
      </c>
      <c r="B646" s="10" t="s">
        <v>966</v>
      </c>
      <c r="C646" s="10" t="str" cm="1">
        <f t="array" ref="C646">_xlfn.IFS(A646&lt;20, "ภาคกลาง", A646&lt;30, "ภาคตะวันออก", A646&lt;50, "ภาคตะวันออกเฉียงเหนือ", A646&lt;60, "ภาคเหนือ", A646&lt;80, "ภาคกลาง/ตะวันตก", A646&gt;=80, "ภาคใต้")</f>
        <v>ภาคตะวันออกเฉียงเหนือ</v>
      </c>
      <c r="D646" s="64">
        <v>3116</v>
      </c>
      <c r="E646" s="10" t="s">
        <v>982</v>
      </c>
      <c r="F646" s="11">
        <v>14032</v>
      </c>
      <c r="G646" s="11">
        <v>13722</v>
      </c>
      <c r="H646" s="11">
        <v>27754</v>
      </c>
      <c r="I646" s="11">
        <v>7589</v>
      </c>
      <c r="J646" s="66">
        <f t="shared" si="40"/>
        <v>50.558478057216981</v>
      </c>
      <c r="K646" s="66">
        <f t="shared" si="41"/>
        <v>49.441521942783027</v>
      </c>
    </row>
    <row r="647" spans="1:11" ht="41.4" x14ac:dyDescent="0.3">
      <c r="A647" s="10">
        <v>31</v>
      </c>
      <c r="B647" s="10" t="s">
        <v>966</v>
      </c>
      <c r="C647" s="10" t="str" cm="1">
        <f t="array" ref="C647">_xlfn.IFS(A647&lt;20, "ภาคกลาง", A647&lt;30, "ภาคตะวันออก", A647&lt;50, "ภาคตะวันออกเฉียงเหนือ", A647&lt;60, "ภาคเหนือ", A647&lt;80, "ภาคกลาง/ตะวันตก", A647&gt;=80, "ภาคใต้")</f>
        <v>ภาคตะวันออกเฉียงเหนือ</v>
      </c>
      <c r="D647" s="64">
        <v>3117</v>
      </c>
      <c r="E647" s="10" t="s">
        <v>983</v>
      </c>
      <c r="F647" s="11">
        <v>16032</v>
      </c>
      <c r="G647" s="11">
        <v>16324</v>
      </c>
      <c r="H647" s="11">
        <v>32356</v>
      </c>
      <c r="I647" s="11">
        <v>8675</v>
      </c>
      <c r="J647" s="66">
        <f t="shared" si="40"/>
        <v>49.548769934478919</v>
      </c>
      <c r="K647" s="66">
        <f t="shared" si="41"/>
        <v>50.451230065521081</v>
      </c>
    </row>
    <row r="648" spans="1:11" ht="41.4" x14ac:dyDescent="0.3">
      <c r="A648" s="10">
        <v>31</v>
      </c>
      <c r="B648" s="10" t="s">
        <v>966</v>
      </c>
      <c r="C648" s="10" t="str" cm="1">
        <f t="array" ref="C648">_xlfn.IFS(A648&lt;20, "ภาคกลาง", A648&lt;30, "ภาคตะวันออก", A648&lt;50, "ภาคตะวันออกเฉียงเหนือ", A648&lt;60, "ภาคเหนือ", A648&lt;80, "ภาคกลาง/ตะวันตก", A648&gt;=80, "ภาคใต้")</f>
        <v>ภาคตะวันออกเฉียงเหนือ</v>
      </c>
      <c r="D648" s="64">
        <v>3118</v>
      </c>
      <c r="E648" s="10" t="s">
        <v>984</v>
      </c>
      <c r="F648" s="11">
        <v>10899</v>
      </c>
      <c r="G648" s="11">
        <v>10916</v>
      </c>
      <c r="H648" s="11">
        <v>21815</v>
      </c>
      <c r="I648" s="11">
        <v>6706</v>
      </c>
      <c r="J648" s="66">
        <f t="shared" si="40"/>
        <v>49.961035984414394</v>
      </c>
      <c r="K648" s="66">
        <f t="shared" si="41"/>
        <v>50.038964015585606</v>
      </c>
    </row>
    <row r="649" spans="1:11" ht="41.4" x14ac:dyDescent="0.3">
      <c r="A649" s="10">
        <v>31</v>
      </c>
      <c r="B649" s="10" t="s">
        <v>966</v>
      </c>
      <c r="C649" s="10" t="str" cm="1">
        <f t="array" ref="C649">_xlfn.IFS(A649&lt;20, "ภาคกลาง", A649&lt;30, "ภาคตะวันออก", A649&lt;50, "ภาคตะวันออกเฉียงเหนือ", A649&lt;60, "ภาคเหนือ", A649&lt;80, "ภาคกลาง/ตะวันตก", A649&gt;=80, "ภาคใต้")</f>
        <v>ภาคตะวันออกเฉียงเหนือ</v>
      </c>
      <c r="D649" s="64">
        <v>3119</v>
      </c>
      <c r="E649" s="10" t="s">
        <v>985</v>
      </c>
      <c r="F649" s="11">
        <v>17457</v>
      </c>
      <c r="G649" s="11">
        <v>17614</v>
      </c>
      <c r="H649" s="11">
        <v>35071</v>
      </c>
      <c r="I649" s="11">
        <v>9561</v>
      </c>
      <c r="J649" s="66">
        <f t="shared" si="40"/>
        <v>49.776168344216018</v>
      </c>
      <c r="K649" s="66">
        <f t="shared" si="41"/>
        <v>50.223831655783982</v>
      </c>
    </row>
    <row r="650" spans="1:11" ht="41.4" x14ac:dyDescent="0.3">
      <c r="A650" s="10">
        <v>31</v>
      </c>
      <c r="B650" s="10" t="s">
        <v>966</v>
      </c>
      <c r="C650" s="10" t="str" cm="1">
        <f t="array" ref="C650">_xlfn.IFS(A650&lt;20, "ภาคกลาง", A650&lt;30, "ภาคตะวันออก", A650&lt;50, "ภาคตะวันออกเฉียงเหนือ", A650&lt;60, "ภาคเหนือ", A650&lt;80, "ภาคกลาง/ตะวันตก", A650&gt;=80, "ภาคใต้")</f>
        <v>ภาคตะวันออกเฉียงเหนือ</v>
      </c>
      <c r="D650" s="64">
        <v>3120</v>
      </c>
      <c r="E650" s="10" t="s">
        <v>986</v>
      </c>
      <c r="F650" s="11">
        <v>10671</v>
      </c>
      <c r="G650" s="11">
        <v>10998</v>
      </c>
      <c r="H650" s="11">
        <v>21669</v>
      </c>
      <c r="I650" s="11">
        <v>6364</v>
      </c>
      <c r="J650" s="66">
        <f t="shared" si="40"/>
        <v>49.245465872905996</v>
      </c>
      <c r="K650" s="66">
        <f t="shared" si="41"/>
        <v>50.754534127094011</v>
      </c>
    </row>
    <row r="651" spans="1:11" ht="41.4" x14ac:dyDescent="0.3">
      <c r="A651" s="10">
        <v>31</v>
      </c>
      <c r="B651" s="10" t="s">
        <v>966</v>
      </c>
      <c r="C651" s="10" t="str" cm="1">
        <f t="array" ref="C651">_xlfn.IFS(A651&lt;20, "ภาคกลาง", A651&lt;30, "ภาคตะวันออก", A651&lt;50, "ภาคตะวันออกเฉียงเหนือ", A651&lt;60, "ภาคเหนือ", A651&lt;80, "ภาคกลาง/ตะวันตก", A651&gt;=80, "ภาคใต้")</f>
        <v>ภาคตะวันออกเฉียงเหนือ</v>
      </c>
      <c r="D651" s="64">
        <v>3121</v>
      </c>
      <c r="E651" s="10" t="s">
        <v>987</v>
      </c>
      <c r="F651" s="11">
        <v>9334</v>
      </c>
      <c r="G651" s="11">
        <v>9288</v>
      </c>
      <c r="H651" s="11">
        <v>18622</v>
      </c>
      <c r="I651" s="11">
        <v>5981</v>
      </c>
      <c r="J651" s="66">
        <f t="shared" si="40"/>
        <v>50.123509827086245</v>
      </c>
      <c r="K651" s="66">
        <f t="shared" si="41"/>
        <v>49.876490172913755</v>
      </c>
    </row>
    <row r="652" spans="1:11" ht="41.4" x14ac:dyDescent="0.3">
      <c r="A652" s="10">
        <v>31</v>
      </c>
      <c r="B652" s="10" t="s">
        <v>966</v>
      </c>
      <c r="C652" s="10" t="str" cm="1">
        <f t="array" ref="C652">_xlfn.IFS(A652&lt;20, "ภาคกลาง", A652&lt;30, "ภาคตะวันออก", A652&lt;50, "ภาคตะวันออกเฉียงเหนือ", A652&lt;60, "ภาคเหนือ", A652&lt;80, "ภาคกลาง/ตะวันตก", A652&gt;=80, "ภาคใต้")</f>
        <v>ภาคตะวันออกเฉียงเหนือ</v>
      </c>
      <c r="D652" s="64">
        <v>3122</v>
      </c>
      <c r="E652" s="10" t="s">
        <v>988</v>
      </c>
      <c r="F652" s="11">
        <v>9147</v>
      </c>
      <c r="G652" s="11">
        <v>9473</v>
      </c>
      <c r="H652" s="11">
        <v>18620</v>
      </c>
      <c r="I652" s="11">
        <v>4828</v>
      </c>
      <c r="J652" s="66">
        <f t="shared" si="40"/>
        <v>49.124597207303971</v>
      </c>
      <c r="K652" s="66">
        <f t="shared" si="41"/>
        <v>50.875402792696022</v>
      </c>
    </row>
    <row r="653" spans="1:11" ht="41.4" x14ac:dyDescent="0.3">
      <c r="A653" s="10">
        <v>31</v>
      </c>
      <c r="B653" s="10" t="s">
        <v>966</v>
      </c>
      <c r="C653" s="10" t="str" cm="1">
        <f t="array" ref="C653">_xlfn.IFS(A653&lt;20, "ภาคกลาง", A653&lt;30, "ภาคตะวันออก", A653&lt;50, "ภาคตะวันออกเฉียงเหนือ", A653&lt;60, "ภาคเหนือ", A653&lt;80, "ภาคกลาง/ตะวันตก", A653&gt;=80, "ภาคใต้")</f>
        <v>ภาคตะวันออกเฉียงเหนือ</v>
      </c>
      <c r="D653" s="64">
        <v>3123</v>
      </c>
      <c r="E653" s="10" t="s">
        <v>621</v>
      </c>
      <c r="F653" s="11">
        <v>13207</v>
      </c>
      <c r="G653" s="11">
        <v>13437</v>
      </c>
      <c r="H653" s="11">
        <v>26644</v>
      </c>
      <c r="I653" s="11">
        <v>7668</v>
      </c>
      <c r="J653" s="66">
        <f t="shared" si="40"/>
        <v>49.568383125656808</v>
      </c>
      <c r="K653" s="66">
        <f t="shared" si="41"/>
        <v>50.431616874343192</v>
      </c>
    </row>
    <row r="654" spans="1:11" ht="41.4" x14ac:dyDescent="0.3">
      <c r="A654" s="10">
        <v>31</v>
      </c>
      <c r="B654" s="10" t="s">
        <v>966</v>
      </c>
      <c r="C654" s="10" t="str" cm="1">
        <f t="array" ref="C654">_xlfn.IFS(A654&lt;20, "ภาคกลาง", A654&lt;30, "ภาคตะวันออก", A654&lt;50, "ภาคตะวันออกเฉียงเหนือ", A654&lt;60, "ภาคเหนือ", A654&lt;80, "ภาคกลาง/ตะวันตก", A654&gt;=80, "ภาคใต้")</f>
        <v>ภาคตะวันออกเฉียงเหนือ</v>
      </c>
      <c r="D654" s="64">
        <v>3162</v>
      </c>
      <c r="E654" s="10" t="s">
        <v>989</v>
      </c>
      <c r="F654" s="11">
        <v>5997</v>
      </c>
      <c r="G654" s="11">
        <v>6036</v>
      </c>
      <c r="H654" s="11">
        <v>12033</v>
      </c>
      <c r="I654" s="11">
        <v>3697</v>
      </c>
      <c r="J654" s="66">
        <f t="shared" si="40"/>
        <v>49.837945649463968</v>
      </c>
      <c r="K654" s="66">
        <f t="shared" si="41"/>
        <v>50.162054350536025</v>
      </c>
    </row>
    <row r="655" spans="1:11" ht="41.4" x14ac:dyDescent="0.3">
      <c r="A655" s="10">
        <v>31</v>
      </c>
      <c r="B655" s="10" t="s">
        <v>966</v>
      </c>
      <c r="C655" s="10" t="str" cm="1">
        <f t="array" ref="C655">_xlfn.IFS(A655&lt;20, "ภาคกลาง", A655&lt;30, "ภาคตะวันออก", A655&lt;50, "ภาคตะวันออกเฉียงเหนือ", A655&lt;60, "ภาคเหนือ", A655&lt;80, "ภาคกลาง/ตะวันตก", A655&gt;=80, "ภาคใต้")</f>
        <v>ภาคตะวันออกเฉียงเหนือ</v>
      </c>
      <c r="D655" s="64">
        <v>3163</v>
      </c>
      <c r="E655" s="10" t="s">
        <v>990</v>
      </c>
      <c r="F655" s="11">
        <v>5139</v>
      </c>
      <c r="G655" s="11">
        <v>5248</v>
      </c>
      <c r="H655" s="11">
        <v>10387</v>
      </c>
      <c r="I655" s="11">
        <v>3072</v>
      </c>
      <c r="J655" s="66">
        <f t="shared" si="40"/>
        <v>49.475305670549723</v>
      </c>
      <c r="K655" s="66">
        <f t="shared" si="41"/>
        <v>50.52469432945027</v>
      </c>
    </row>
    <row r="656" spans="1:11" ht="41.4" x14ac:dyDescent="0.3">
      <c r="A656" s="10">
        <v>31</v>
      </c>
      <c r="B656" s="10" t="s">
        <v>966</v>
      </c>
      <c r="C656" s="10" t="str" cm="1">
        <f t="array" ref="C656">_xlfn.IFS(A656&lt;20, "ภาคกลาง", A656&lt;30, "ภาคตะวันออก", A656&lt;50, "ภาคตะวันออกเฉียงเหนือ", A656&lt;60, "ภาคเหนือ", A656&lt;80, "ภาคกลาง/ตะวันตก", A656&gt;=80, "ภาคใต้")</f>
        <v>ภาคตะวันออกเฉียงเหนือ</v>
      </c>
      <c r="D656" s="64">
        <v>3164</v>
      </c>
      <c r="E656" s="10" t="s">
        <v>991</v>
      </c>
      <c r="F656" s="11">
        <v>4815</v>
      </c>
      <c r="G656" s="11">
        <v>4908</v>
      </c>
      <c r="H656" s="11">
        <v>9723</v>
      </c>
      <c r="I656" s="11">
        <v>2828</v>
      </c>
      <c r="J656" s="66">
        <f t="shared" si="40"/>
        <v>49.521752545510644</v>
      </c>
      <c r="K656" s="66">
        <f t="shared" si="41"/>
        <v>50.478247454489356</v>
      </c>
    </row>
    <row r="657" spans="1:11" ht="41.4" x14ac:dyDescent="0.3">
      <c r="A657" s="10">
        <v>31</v>
      </c>
      <c r="B657" s="10" t="s">
        <v>966</v>
      </c>
      <c r="C657" s="10" t="str" cm="1">
        <f t="array" ref="C657">_xlfn.IFS(A657&lt;20, "ภาคกลาง", A657&lt;30, "ภาคตะวันออก", A657&lt;50, "ภาคตะวันออกเฉียงเหนือ", A657&lt;60, "ภาคเหนือ", A657&lt;80, "ภาคกลาง/ตะวันตก", A657&gt;=80, "ภาคใต้")</f>
        <v>ภาคตะวันออกเฉียงเหนือ</v>
      </c>
      <c r="D657" s="64">
        <v>3165</v>
      </c>
      <c r="E657" s="10" t="s">
        <v>992</v>
      </c>
      <c r="F657" s="11">
        <v>6284</v>
      </c>
      <c r="G657" s="11">
        <v>6268</v>
      </c>
      <c r="H657" s="11">
        <v>12552</v>
      </c>
      <c r="I657" s="11">
        <v>3912</v>
      </c>
      <c r="J657" s="66">
        <f t="shared" si="40"/>
        <v>50.063734862970044</v>
      </c>
      <c r="K657" s="66">
        <f t="shared" si="41"/>
        <v>49.936265137029956</v>
      </c>
    </row>
    <row r="658" spans="1:11" ht="41.4" x14ac:dyDescent="0.3">
      <c r="A658" s="10">
        <v>31</v>
      </c>
      <c r="B658" s="10" t="s">
        <v>966</v>
      </c>
      <c r="C658" s="10" t="str" cm="1">
        <f t="array" ref="C658">_xlfn.IFS(A658&lt;20, "ภาคกลาง", A658&lt;30, "ภาคตะวันออก", A658&lt;50, "ภาคตะวันออกเฉียงเหนือ", A658&lt;60, "ภาคเหนือ", A658&lt;80, "ภาคกลาง/ตะวันตก", A658&gt;=80, "ภาคใต้")</f>
        <v>ภาคตะวันออกเฉียงเหนือ</v>
      </c>
      <c r="D658" s="64">
        <v>3166</v>
      </c>
      <c r="E658" s="10" t="s">
        <v>993</v>
      </c>
      <c r="F658" s="11">
        <v>3879</v>
      </c>
      <c r="G658" s="11">
        <v>3953</v>
      </c>
      <c r="H658" s="11">
        <v>7832</v>
      </c>
      <c r="I658" s="11">
        <v>2513</v>
      </c>
      <c r="J658" s="66">
        <f t="shared" si="40"/>
        <v>49.527579162410625</v>
      </c>
      <c r="K658" s="66">
        <f t="shared" si="41"/>
        <v>50.472420837589382</v>
      </c>
    </row>
    <row r="659" spans="1:11" ht="41.4" x14ac:dyDescent="0.3">
      <c r="A659" s="10">
        <v>31</v>
      </c>
      <c r="B659" s="10" t="s">
        <v>966</v>
      </c>
      <c r="C659" s="10" t="str" cm="1">
        <f t="array" ref="C659">_xlfn.IFS(A659&lt;20, "ภาคกลาง", A659&lt;30, "ภาคตะวันออก", A659&lt;50, "ภาคตะวันออกเฉียงเหนือ", A659&lt;60, "ภาคเหนือ", A659&lt;80, "ภาคกลาง/ตะวันตก", A659&gt;=80, "ภาคใต้")</f>
        <v>ภาคตะวันออกเฉียงเหนือ</v>
      </c>
      <c r="D659" s="64">
        <v>3167</v>
      </c>
      <c r="E659" s="10" t="s">
        <v>994</v>
      </c>
      <c r="F659" s="11">
        <v>8416</v>
      </c>
      <c r="G659" s="11">
        <v>8339</v>
      </c>
      <c r="H659" s="11">
        <v>16755</v>
      </c>
      <c r="I659" s="11">
        <v>4408</v>
      </c>
      <c r="J659" s="66">
        <f t="shared" si="40"/>
        <v>50.229782154580725</v>
      </c>
      <c r="K659" s="66">
        <f t="shared" si="41"/>
        <v>49.770217845419282</v>
      </c>
    </row>
    <row r="660" spans="1:11" ht="41.4" x14ac:dyDescent="0.3">
      <c r="A660" s="10">
        <v>31</v>
      </c>
      <c r="B660" s="10" t="s">
        <v>966</v>
      </c>
      <c r="C660" s="10" t="str" cm="1">
        <f t="array" ref="C660">_xlfn.IFS(A660&lt;20, "ภาคกลาง", A660&lt;30, "ภาคตะวันออก", A660&lt;50, "ภาคตะวันออกเฉียงเหนือ", A660&lt;60, "ภาคเหนือ", A660&lt;80, "ภาคกลาง/ตะวันตก", A660&gt;=80, "ภาคใต้")</f>
        <v>ภาคตะวันออกเฉียงเหนือ</v>
      </c>
      <c r="D660" s="64">
        <v>3168</v>
      </c>
      <c r="E660" s="10" t="s">
        <v>995</v>
      </c>
      <c r="F660" s="11">
        <v>5062</v>
      </c>
      <c r="G660" s="11">
        <v>5035</v>
      </c>
      <c r="H660" s="11">
        <v>10097</v>
      </c>
      <c r="I660" s="11">
        <v>3041</v>
      </c>
      <c r="J660" s="66">
        <f t="shared" si="40"/>
        <v>50.133703080122807</v>
      </c>
      <c r="K660" s="66">
        <f t="shared" si="41"/>
        <v>49.866296919877193</v>
      </c>
    </row>
    <row r="661" spans="1:11" ht="41.4" x14ac:dyDescent="0.3">
      <c r="A661" s="10">
        <v>31</v>
      </c>
      <c r="B661" s="10" t="s">
        <v>966</v>
      </c>
      <c r="C661" s="10" t="str" cm="1">
        <f t="array" ref="C661">_xlfn.IFS(A661&lt;20, "ภาคกลาง", A661&lt;30, "ภาคตะวันออก", A661&lt;50, "ภาคตะวันออกเฉียงเหนือ", A661&lt;60, "ภาคเหนือ", A661&lt;80, "ภาคกลาง/ตะวันตก", A661&gt;=80, "ภาคใต้")</f>
        <v>ภาคตะวันออกเฉียงเหนือ</v>
      </c>
      <c r="D661" s="64">
        <v>3169</v>
      </c>
      <c r="E661" s="10" t="s">
        <v>996</v>
      </c>
      <c r="F661" s="11">
        <v>4691</v>
      </c>
      <c r="G661" s="11">
        <v>4696</v>
      </c>
      <c r="H661" s="11">
        <v>9387</v>
      </c>
      <c r="I661" s="11">
        <v>2848</v>
      </c>
      <c r="J661" s="66">
        <f t="shared" si="40"/>
        <v>49.973367423031853</v>
      </c>
      <c r="K661" s="66">
        <f t="shared" si="41"/>
        <v>50.026632576968147</v>
      </c>
    </row>
    <row r="662" spans="1:11" ht="41.4" x14ac:dyDescent="0.3">
      <c r="A662" s="10">
        <v>31</v>
      </c>
      <c r="B662" s="10" t="s">
        <v>966</v>
      </c>
      <c r="C662" s="10" t="str" cm="1">
        <f t="array" ref="C662">_xlfn.IFS(A662&lt;20, "ภาคกลาง", A662&lt;30, "ภาคตะวันออก", A662&lt;50, "ภาคตะวันออกเฉียงเหนือ", A662&lt;60, "ภาคเหนือ", A662&lt;80, "ภาคกลาง/ตะวันตก", A662&gt;=80, "ภาคใต้")</f>
        <v>ภาคตะวันออกเฉียงเหนือ</v>
      </c>
      <c r="D662" s="64">
        <v>3170</v>
      </c>
      <c r="E662" s="10" t="s">
        <v>997</v>
      </c>
      <c r="F662" s="11">
        <v>5857</v>
      </c>
      <c r="G662" s="11">
        <v>6044</v>
      </c>
      <c r="H662" s="11">
        <v>11901</v>
      </c>
      <c r="I662" s="11">
        <v>3487</v>
      </c>
      <c r="J662" s="66">
        <f t="shared" si="40"/>
        <v>49.214351735148313</v>
      </c>
      <c r="K662" s="66">
        <f t="shared" si="41"/>
        <v>50.785648264851687</v>
      </c>
    </row>
    <row r="663" spans="1:11" ht="41.4" x14ac:dyDescent="0.3">
      <c r="A663" s="10">
        <v>31</v>
      </c>
      <c r="B663" s="10" t="s">
        <v>966</v>
      </c>
      <c r="C663" s="10" t="str" cm="1">
        <f t="array" ref="C663">_xlfn.IFS(A663&lt;20, "ภาคกลาง", A663&lt;30, "ภาคตะวันออก", A663&lt;50, "ภาคตะวันออกเฉียงเหนือ", A663&lt;60, "ภาคเหนือ", A663&lt;80, "ภาคกลาง/ตะวันตก", A663&gt;=80, "ภาคใต้")</f>
        <v>ภาคตะวันออกเฉียงเหนือ</v>
      </c>
      <c r="D663" s="64">
        <v>3171</v>
      </c>
      <c r="E663" s="10" t="s">
        <v>998</v>
      </c>
      <c r="F663" s="11">
        <v>3765</v>
      </c>
      <c r="G663" s="11">
        <v>3825</v>
      </c>
      <c r="H663" s="11">
        <v>7590</v>
      </c>
      <c r="I663" s="11">
        <v>2274</v>
      </c>
      <c r="J663" s="66">
        <f t="shared" si="40"/>
        <v>49.604743083003953</v>
      </c>
      <c r="K663" s="66">
        <f t="shared" si="41"/>
        <v>50.395256916996047</v>
      </c>
    </row>
    <row r="664" spans="1:11" ht="41.4" x14ac:dyDescent="0.3">
      <c r="A664" s="10">
        <v>31</v>
      </c>
      <c r="B664" s="10" t="s">
        <v>966</v>
      </c>
      <c r="C664" s="10" t="str" cm="1">
        <f t="array" ref="C664">_xlfn.IFS(A664&lt;20, "ภาคกลาง", A664&lt;30, "ภาคตะวันออก", A664&lt;50, "ภาคตะวันออกเฉียงเหนือ", A664&lt;60, "ภาคเหนือ", A664&lt;80, "ภาคกลาง/ตะวันตก", A664&gt;=80, "ภาคใต้")</f>
        <v>ภาคตะวันออกเฉียงเหนือ</v>
      </c>
      <c r="D664" s="64">
        <v>3174</v>
      </c>
      <c r="E664" s="10" t="s">
        <v>999</v>
      </c>
      <c r="F664" s="11">
        <v>4318</v>
      </c>
      <c r="G664" s="11">
        <v>4255</v>
      </c>
      <c r="H664" s="11">
        <v>8573</v>
      </c>
      <c r="I664" s="11">
        <v>2437</v>
      </c>
      <c r="J664" s="66">
        <f t="shared" si="40"/>
        <v>50.367432637349822</v>
      </c>
      <c r="K664" s="66">
        <f t="shared" si="41"/>
        <v>49.632567362650178</v>
      </c>
    </row>
    <row r="665" spans="1:11" ht="41.4" x14ac:dyDescent="0.3">
      <c r="A665" s="10">
        <v>31</v>
      </c>
      <c r="B665" s="10" t="s">
        <v>966</v>
      </c>
      <c r="C665" s="10" t="str" cm="1">
        <f t="array" ref="C665">_xlfn.IFS(A665&lt;20, "ภาคกลาง", A665&lt;30, "ภาคตะวันออก", A665&lt;50, "ภาคตะวันออกเฉียงเหนือ", A665&lt;60, "ภาคเหนือ", A665&lt;80, "ภาคกลาง/ตะวันตก", A665&gt;=80, "ภาคใต้")</f>
        <v>ภาคตะวันออกเฉียงเหนือ</v>
      </c>
      <c r="D665" s="64">
        <v>3175</v>
      </c>
      <c r="E665" s="10" t="s">
        <v>1000</v>
      </c>
      <c r="F665" s="11">
        <v>1678</v>
      </c>
      <c r="G665" s="11">
        <v>1704</v>
      </c>
      <c r="H665" s="11">
        <v>3382</v>
      </c>
      <c r="I665" s="11">
        <v>1377</v>
      </c>
      <c r="J665" s="66">
        <f t="shared" si="40"/>
        <v>49.61561206386753</v>
      </c>
      <c r="K665" s="66">
        <f t="shared" si="41"/>
        <v>50.38438793613247</v>
      </c>
    </row>
    <row r="666" spans="1:11" ht="41.4" x14ac:dyDescent="0.3">
      <c r="A666" s="10">
        <v>31</v>
      </c>
      <c r="B666" s="10" t="s">
        <v>966</v>
      </c>
      <c r="C666" s="10" t="str" cm="1">
        <f t="array" ref="C666">_xlfn.IFS(A666&lt;20, "ภาคกลาง", A666&lt;30, "ภาคตะวันออก", A666&lt;50, "ภาคตะวันออกเฉียงเหนือ", A666&lt;60, "ภาคเหนือ", A666&lt;80, "ภาคกลาง/ตะวันตก", A666&gt;=80, "ภาคใต้")</f>
        <v>ภาคตะวันออกเฉียงเหนือ</v>
      </c>
      <c r="D666" s="64">
        <v>3176</v>
      </c>
      <c r="E666" s="10" t="s">
        <v>1001</v>
      </c>
      <c r="F666" s="11">
        <v>8337</v>
      </c>
      <c r="G666" s="11">
        <v>8229</v>
      </c>
      <c r="H666" s="11">
        <v>16566</v>
      </c>
      <c r="I666" s="11">
        <v>4508</v>
      </c>
      <c r="J666" s="66">
        <f t="shared" si="40"/>
        <v>50.325968851865269</v>
      </c>
      <c r="K666" s="66">
        <f t="shared" si="41"/>
        <v>49.674031148134731</v>
      </c>
    </row>
    <row r="667" spans="1:11" ht="41.4" x14ac:dyDescent="0.3">
      <c r="A667" s="10">
        <v>31</v>
      </c>
      <c r="B667" s="10" t="s">
        <v>966</v>
      </c>
      <c r="C667" s="10" t="str" cm="1">
        <f t="array" ref="C667">_xlfn.IFS(A667&lt;20, "ภาคกลาง", A667&lt;30, "ภาคตะวันออก", A667&lt;50, "ภาคตะวันออกเฉียงเหนือ", A667&lt;60, "ภาคเหนือ", A667&lt;80, "ภาคกลาง/ตะวันตก", A667&gt;=80, "ภาคใต้")</f>
        <v>ภาคตะวันออกเฉียงเหนือ</v>
      </c>
      <c r="D667" s="64">
        <v>3177</v>
      </c>
      <c r="E667" s="10" t="s">
        <v>1002</v>
      </c>
      <c r="F667" s="11">
        <v>5560</v>
      </c>
      <c r="G667" s="11">
        <v>5978</v>
      </c>
      <c r="H667" s="11">
        <v>11538</v>
      </c>
      <c r="I667" s="11">
        <v>4047</v>
      </c>
      <c r="J667" s="66">
        <f t="shared" si="40"/>
        <v>48.188594210435085</v>
      </c>
      <c r="K667" s="66">
        <f t="shared" si="41"/>
        <v>51.811405789564915</v>
      </c>
    </row>
    <row r="668" spans="1:11" ht="41.4" x14ac:dyDescent="0.3">
      <c r="A668" s="10">
        <v>31</v>
      </c>
      <c r="B668" s="10" t="s">
        <v>966</v>
      </c>
      <c r="C668" s="10" t="str" cm="1">
        <f t="array" ref="C668">_xlfn.IFS(A668&lt;20, "ภาคกลาง", A668&lt;30, "ภาคตะวันออก", A668&lt;50, "ภาคตะวันออกเฉียงเหนือ", A668&lt;60, "ภาคเหนือ", A668&lt;80, "ภาคกลาง/ตะวันตก", A668&gt;=80, "ภาคใต้")</f>
        <v>ภาคตะวันออกเฉียงเหนือ</v>
      </c>
      <c r="D668" s="64">
        <v>3178</v>
      </c>
      <c r="E668" s="10" t="s">
        <v>1003</v>
      </c>
      <c r="F668" s="11">
        <v>2668</v>
      </c>
      <c r="G668" s="11">
        <v>2737</v>
      </c>
      <c r="H668" s="11">
        <v>5405</v>
      </c>
      <c r="I668" s="11">
        <v>2051</v>
      </c>
      <c r="J668" s="66">
        <f t="shared" si="40"/>
        <v>49.361702127659576</v>
      </c>
      <c r="K668" s="66">
        <f t="shared" si="41"/>
        <v>50.638297872340424</v>
      </c>
    </row>
    <row r="669" spans="1:11" ht="41.4" x14ac:dyDescent="0.3">
      <c r="A669" s="10">
        <v>31</v>
      </c>
      <c r="B669" s="10" t="s">
        <v>966</v>
      </c>
      <c r="C669" s="10" t="str" cm="1">
        <f t="array" ref="C669">_xlfn.IFS(A669&lt;20, "ภาคกลาง", A669&lt;30, "ภาคตะวันออก", A669&lt;50, "ภาคตะวันออกเฉียงเหนือ", A669&lt;60, "ภาคเหนือ", A669&lt;80, "ภาคกลาง/ตะวันตก", A669&gt;=80, "ภาคใต้")</f>
        <v>ภาคตะวันออกเฉียงเหนือ</v>
      </c>
      <c r="D669" s="64">
        <v>3179</v>
      </c>
      <c r="E669" s="10" t="s">
        <v>1004</v>
      </c>
      <c r="F669" s="11">
        <v>4504</v>
      </c>
      <c r="G669" s="11">
        <v>4668</v>
      </c>
      <c r="H669" s="11">
        <v>9172</v>
      </c>
      <c r="I669" s="11">
        <v>3727</v>
      </c>
      <c r="J669" s="66">
        <f t="shared" si="40"/>
        <v>49.105974705625819</v>
      </c>
      <c r="K669" s="66">
        <f t="shared" si="41"/>
        <v>50.894025294374181</v>
      </c>
    </row>
    <row r="670" spans="1:11" ht="41.4" x14ac:dyDescent="0.3">
      <c r="A670" s="10">
        <v>31</v>
      </c>
      <c r="B670" s="10" t="s">
        <v>966</v>
      </c>
      <c r="C670" s="10" t="str" cm="1">
        <f t="array" ref="C670">_xlfn.IFS(A670&lt;20, "ภาคกลาง", A670&lt;30, "ภาคตะวันออก", A670&lt;50, "ภาคตะวันออกเฉียงเหนือ", A670&lt;60, "ภาคเหนือ", A670&lt;80, "ภาคกลาง/ตะวันตก", A670&gt;=80, "ภาคใต้")</f>
        <v>ภาคตะวันออกเฉียงเหนือ</v>
      </c>
      <c r="D670" s="64">
        <v>3180</v>
      </c>
      <c r="E670" s="10" t="s">
        <v>1005</v>
      </c>
      <c r="F670" s="11">
        <v>2054</v>
      </c>
      <c r="G670" s="11">
        <v>2155</v>
      </c>
      <c r="H670" s="11">
        <v>4209</v>
      </c>
      <c r="I670" s="11">
        <v>1478</v>
      </c>
      <c r="J670" s="66">
        <f t="shared" si="40"/>
        <v>48.80019006889998</v>
      </c>
      <c r="K670" s="66">
        <f t="shared" si="41"/>
        <v>51.199809931100027</v>
      </c>
    </row>
    <row r="671" spans="1:11" ht="41.4" x14ac:dyDescent="0.3">
      <c r="A671" s="10">
        <v>31</v>
      </c>
      <c r="B671" s="10" t="s">
        <v>966</v>
      </c>
      <c r="C671" s="10" t="str" cm="1">
        <f t="array" ref="C671">_xlfn.IFS(A671&lt;20, "ภาคกลาง", A671&lt;30, "ภาคตะวันออก", A671&lt;50, "ภาคตะวันออกเฉียงเหนือ", A671&lt;60, "ภาคเหนือ", A671&lt;80, "ภาคกลาง/ตะวันตก", A671&gt;=80, "ภาคใต้")</f>
        <v>ภาคตะวันออกเฉียงเหนือ</v>
      </c>
      <c r="D671" s="64">
        <v>3181</v>
      </c>
      <c r="E671" s="10" t="s">
        <v>1006</v>
      </c>
      <c r="F671" s="11">
        <v>1572</v>
      </c>
      <c r="G671" s="11">
        <v>1643</v>
      </c>
      <c r="H671" s="11">
        <v>3215</v>
      </c>
      <c r="I671" s="11">
        <v>1111</v>
      </c>
      <c r="J671" s="66">
        <f t="shared" si="40"/>
        <v>48.895800933125969</v>
      </c>
      <c r="K671" s="66">
        <f t="shared" si="41"/>
        <v>51.104199066874024</v>
      </c>
    </row>
    <row r="672" spans="1:11" ht="41.4" x14ac:dyDescent="0.3">
      <c r="A672" s="10">
        <v>31</v>
      </c>
      <c r="B672" s="10" t="s">
        <v>966</v>
      </c>
      <c r="C672" s="10" t="str" cm="1">
        <f t="array" ref="C672">_xlfn.IFS(A672&lt;20, "ภาคกลาง", A672&lt;30, "ภาคตะวันออก", A672&lt;50, "ภาคตะวันออกเฉียงเหนือ", A672&lt;60, "ภาคเหนือ", A672&lt;80, "ภาคกลาง/ตะวันตก", A672&gt;=80, "ภาคใต้")</f>
        <v>ภาคตะวันออกเฉียงเหนือ</v>
      </c>
      <c r="D672" s="64">
        <v>3182</v>
      </c>
      <c r="E672" s="10" t="s">
        <v>1007</v>
      </c>
      <c r="F672" s="11">
        <v>2445</v>
      </c>
      <c r="G672" s="11">
        <v>2555</v>
      </c>
      <c r="H672" s="11">
        <v>5000</v>
      </c>
      <c r="I672" s="11">
        <v>1486</v>
      </c>
      <c r="J672" s="66">
        <f t="shared" si="40"/>
        <v>48.9</v>
      </c>
      <c r="K672" s="66">
        <f t="shared" si="41"/>
        <v>51.1</v>
      </c>
    </row>
    <row r="673" spans="1:11" ht="41.4" x14ac:dyDescent="0.3">
      <c r="A673" s="10">
        <v>31</v>
      </c>
      <c r="B673" s="10" t="s">
        <v>966</v>
      </c>
      <c r="C673" s="10" t="str" cm="1">
        <f t="array" ref="C673">_xlfn.IFS(A673&lt;20, "ภาคกลาง", A673&lt;30, "ภาคตะวันออก", A673&lt;50, "ภาคตะวันออกเฉียงเหนือ", A673&lt;60, "ภาคเหนือ", A673&lt;80, "ภาคกลาง/ตะวันตก", A673&gt;=80, "ภาคใต้")</f>
        <v>ภาคตะวันออกเฉียงเหนือ</v>
      </c>
      <c r="D673" s="64">
        <v>3183</v>
      </c>
      <c r="E673" s="10" t="s">
        <v>1008</v>
      </c>
      <c r="F673" s="11">
        <v>3329</v>
      </c>
      <c r="G673" s="11">
        <v>3293</v>
      </c>
      <c r="H673" s="11">
        <v>6622</v>
      </c>
      <c r="I673" s="11">
        <v>2082</v>
      </c>
      <c r="J673" s="66">
        <f t="shared" si="40"/>
        <v>50.271821202053758</v>
      </c>
      <c r="K673" s="66">
        <f t="shared" si="41"/>
        <v>49.728178797946235</v>
      </c>
    </row>
    <row r="674" spans="1:11" ht="41.4" x14ac:dyDescent="0.3">
      <c r="A674" s="10">
        <v>31</v>
      </c>
      <c r="B674" s="10" t="s">
        <v>966</v>
      </c>
      <c r="C674" s="10" t="str" cm="1">
        <f t="array" ref="C674">_xlfn.IFS(A674&lt;20, "ภาคกลาง", A674&lt;30, "ภาคตะวันออก", A674&lt;50, "ภาคตะวันออกเฉียงเหนือ", A674&lt;60, "ภาคเหนือ", A674&lt;80, "ภาคกลาง/ตะวันตก", A674&gt;=80, "ภาคใต้")</f>
        <v>ภาคตะวันออกเฉียงเหนือ</v>
      </c>
      <c r="D674" s="64">
        <v>3184</v>
      </c>
      <c r="E674" s="10" t="s">
        <v>1009</v>
      </c>
      <c r="F674" s="11">
        <v>2316</v>
      </c>
      <c r="G674" s="11">
        <v>2354</v>
      </c>
      <c r="H674" s="11">
        <v>4670</v>
      </c>
      <c r="I674" s="11">
        <v>1842</v>
      </c>
      <c r="J674" s="66">
        <f t="shared" si="40"/>
        <v>49.593147751605997</v>
      </c>
      <c r="K674" s="66">
        <f t="shared" si="41"/>
        <v>50.40685224839401</v>
      </c>
    </row>
    <row r="675" spans="1:11" ht="41.4" x14ac:dyDescent="0.3">
      <c r="A675" s="10">
        <v>31</v>
      </c>
      <c r="B675" s="10" t="s">
        <v>966</v>
      </c>
      <c r="C675" s="10" t="str" cm="1">
        <f t="array" ref="C675">_xlfn.IFS(A675&lt;20, "ภาคกลาง", A675&lt;30, "ภาคตะวันออก", A675&lt;50, "ภาคตะวันออกเฉียงเหนือ", A675&lt;60, "ภาคเหนือ", A675&lt;80, "ภาคกลาง/ตะวันตก", A675&gt;=80, "ภาคใต้")</f>
        <v>ภาคตะวันออกเฉียงเหนือ</v>
      </c>
      <c r="D675" s="64">
        <v>3185</v>
      </c>
      <c r="E675" s="10" t="s">
        <v>1010</v>
      </c>
      <c r="F675" s="11">
        <v>1715</v>
      </c>
      <c r="G675" s="11">
        <v>1899</v>
      </c>
      <c r="H675" s="11">
        <v>3614</v>
      </c>
      <c r="I675" s="11">
        <v>1739</v>
      </c>
      <c r="J675" s="66">
        <f t="shared" si="40"/>
        <v>47.454344216934146</v>
      </c>
      <c r="K675" s="66">
        <f t="shared" si="41"/>
        <v>52.545655783065861</v>
      </c>
    </row>
    <row r="676" spans="1:11" ht="41.4" x14ac:dyDescent="0.3">
      <c r="A676" s="10">
        <v>31</v>
      </c>
      <c r="B676" s="10" t="s">
        <v>966</v>
      </c>
      <c r="C676" s="10" t="str" cm="1">
        <f t="array" ref="C676">_xlfn.IFS(A676&lt;20, "ภาคกลาง", A676&lt;30, "ภาคตะวันออก", A676&lt;50, "ภาคตะวันออกเฉียงเหนือ", A676&lt;60, "ภาคเหนือ", A676&lt;80, "ภาคกลาง/ตะวันตก", A676&gt;=80, "ภาคใต้")</f>
        <v>ภาคตะวันออกเฉียงเหนือ</v>
      </c>
      <c r="D676" s="64">
        <v>3186</v>
      </c>
      <c r="E676" s="10" t="s">
        <v>1011</v>
      </c>
      <c r="F676" s="11">
        <v>3477</v>
      </c>
      <c r="G676" s="11">
        <v>3621</v>
      </c>
      <c r="H676" s="11">
        <v>7098</v>
      </c>
      <c r="I676" s="11">
        <v>2951</v>
      </c>
      <c r="J676" s="66">
        <f t="shared" si="40"/>
        <v>48.985629754860526</v>
      </c>
      <c r="K676" s="66">
        <f t="shared" si="41"/>
        <v>51.014370245139474</v>
      </c>
    </row>
    <row r="677" spans="1:11" ht="41.4" x14ac:dyDescent="0.3">
      <c r="A677" s="10">
        <v>31</v>
      </c>
      <c r="B677" s="10" t="s">
        <v>966</v>
      </c>
      <c r="C677" s="10" t="str" cm="1">
        <f t="array" ref="C677">_xlfn.IFS(A677&lt;20, "ภาคกลาง", A677&lt;30, "ภาคตะวันออก", A677&lt;50, "ภาคตะวันออกเฉียงเหนือ", A677&lt;60, "ภาคเหนือ", A677&lt;80, "ภาคกลาง/ตะวันตก", A677&gt;=80, "ภาคใต้")</f>
        <v>ภาคตะวันออกเฉียงเหนือ</v>
      </c>
      <c r="D677" s="64">
        <v>3187</v>
      </c>
      <c r="E677" s="10" t="s">
        <v>1012</v>
      </c>
      <c r="F677" s="11">
        <v>5152</v>
      </c>
      <c r="G677" s="11">
        <v>5570</v>
      </c>
      <c r="H677" s="11">
        <v>10722</v>
      </c>
      <c r="I677" s="11">
        <v>5827</v>
      </c>
      <c r="J677" s="66">
        <f t="shared" si="40"/>
        <v>48.050736802835289</v>
      </c>
      <c r="K677" s="66">
        <f t="shared" si="41"/>
        <v>51.949263197164711</v>
      </c>
    </row>
    <row r="678" spans="1:11" ht="41.4" x14ac:dyDescent="0.3">
      <c r="A678" s="10">
        <v>31</v>
      </c>
      <c r="B678" s="10" t="s">
        <v>966</v>
      </c>
      <c r="C678" s="10" t="str" cm="1">
        <f t="array" ref="C678">_xlfn.IFS(A678&lt;20, "ภาคกลาง", A678&lt;30, "ภาคตะวันออก", A678&lt;50, "ภาคตะวันออกเฉียงเหนือ", A678&lt;60, "ภาคเหนือ", A678&lt;80, "ภาคกลาง/ตะวันตก", A678&gt;=80, "ภาคใต้")</f>
        <v>ภาคตะวันออกเฉียงเหนือ</v>
      </c>
      <c r="D678" s="64">
        <v>3188</v>
      </c>
      <c r="E678" s="10" t="s">
        <v>1013</v>
      </c>
      <c r="F678" s="11">
        <v>6159</v>
      </c>
      <c r="G678" s="11">
        <v>6764</v>
      </c>
      <c r="H678" s="11">
        <v>12923</v>
      </c>
      <c r="I678" s="11">
        <v>6432</v>
      </c>
      <c r="J678" s="66">
        <f t="shared" si="40"/>
        <v>47.659212257215813</v>
      </c>
      <c r="K678" s="66">
        <f t="shared" si="41"/>
        <v>52.34078774278418</v>
      </c>
    </row>
    <row r="679" spans="1:11" ht="41.4" x14ac:dyDescent="0.3">
      <c r="A679" s="10">
        <v>31</v>
      </c>
      <c r="B679" s="10" t="s">
        <v>966</v>
      </c>
      <c r="C679" s="10" t="str" cm="1">
        <f t="array" ref="C679">_xlfn.IFS(A679&lt;20, "ภาคกลาง", A679&lt;30, "ภาคตะวันออก", A679&lt;50, "ภาคตะวันออกเฉียงเหนือ", A679&lt;60, "ภาคเหนือ", A679&lt;80, "ภาคกลาง/ตะวันตก", A679&gt;=80, "ภาคใต้")</f>
        <v>ภาคตะวันออกเฉียงเหนือ</v>
      </c>
      <c r="D679" s="64">
        <v>3189</v>
      </c>
      <c r="E679" s="10" t="s">
        <v>1014</v>
      </c>
      <c r="F679" s="11">
        <v>2071</v>
      </c>
      <c r="G679" s="11">
        <v>2144</v>
      </c>
      <c r="H679" s="11">
        <v>4215</v>
      </c>
      <c r="I679" s="11">
        <v>1294</v>
      </c>
      <c r="J679" s="66">
        <f t="shared" si="40"/>
        <v>49.134045077105576</v>
      </c>
      <c r="K679" s="66">
        <f t="shared" si="41"/>
        <v>50.865954922894431</v>
      </c>
    </row>
    <row r="680" spans="1:11" ht="41.4" x14ac:dyDescent="0.3">
      <c r="A680" s="10">
        <v>31</v>
      </c>
      <c r="B680" s="10" t="s">
        <v>966</v>
      </c>
      <c r="C680" s="10" t="str" cm="1">
        <f t="array" ref="C680">_xlfn.IFS(A680&lt;20, "ภาคกลาง", A680&lt;30, "ภาคตะวันออก", A680&lt;50, "ภาคตะวันออกเฉียงเหนือ", A680&lt;60, "ภาคเหนือ", A680&lt;80, "ภาคกลาง/ตะวันตก", A680&gt;=80, "ภาคใต้")</f>
        <v>ภาคตะวันออกเฉียงเหนือ</v>
      </c>
      <c r="D680" s="64">
        <v>3190</v>
      </c>
      <c r="E680" s="10" t="s">
        <v>1015</v>
      </c>
      <c r="F680" s="11">
        <v>1915</v>
      </c>
      <c r="G680" s="11">
        <v>2138</v>
      </c>
      <c r="H680" s="11">
        <v>4053</v>
      </c>
      <c r="I680" s="11">
        <v>2340</v>
      </c>
      <c r="J680" s="66">
        <f t="shared" si="40"/>
        <v>47.248951394029113</v>
      </c>
      <c r="K680" s="66">
        <f t="shared" si="41"/>
        <v>52.751048605970887</v>
      </c>
    </row>
    <row r="681" spans="1:11" ht="41.4" x14ac:dyDescent="0.3">
      <c r="A681" s="10">
        <v>31</v>
      </c>
      <c r="B681" s="10" t="s">
        <v>966</v>
      </c>
      <c r="C681" s="10" t="str" cm="1">
        <f t="array" ref="C681">_xlfn.IFS(A681&lt;20, "ภาคกลาง", A681&lt;30, "ภาคตะวันออก", A681&lt;50, "ภาคตะวันออกเฉียงเหนือ", A681&lt;60, "ภาคเหนือ", A681&lt;80, "ภาคกลาง/ตะวันตก", A681&gt;=80, "ภาคใต้")</f>
        <v>ภาคตะวันออกเฉียงเหนือ</v>
      </c>
      <c r="D681" s="64">
        <v>3191</v>
      </c>
      <c r="E681" s="10" t="s">
        <v>1016</v>
      </c>
      <c r="F681" s="11">
        <v>1841</v>
      </c>
      <c r="G681" s="11">
        <v>1952</v>
      </c>
      <c r="H681" s="11">
        <v>3793</v>
      </c>
      <c r="I681" s="11">
        <v>2036</v>
      </c>
      <c r="J681" s="66">
        <f t="shared" si="40"/>
        <v>48.536778275771155</v>
      </c>
      <c r="K681" s="66">
        <f t="shared" si="41"/>
        <v>51.463221724228845</v>
      </c>
    </row>
    <row r="682" spans="1:11" ht="41.4" x14ac:dyDescent="0.3">
      <c r="A682" s="10">
        <v>31</v>
      </c>
      <c r="B682" s="10" t="s">
        <v>966</v>
      </c>
      <c r="C682" s="10" t="str" cm="1">
        <f t="array" ref="C682">_xlfn.IFS(A682&lt;20, "ภาคกลาง", A682&lt;30, "ภาคตะวันออก", A682&lt;50, "ภาคตะวันออกเฉียงเหนือ", A682&lt;60, "ภาคเหนือ", A682&lt;80, "ภาคกลาง/ตะวันตก", A682&gt;=80, "ภาคใต้")</f>
        <v>ภาคตะวันออกเฉียงเหนือ</v>
      </c>
      <c r="D682" s="64">
        <v>3192</v>
      </c>
      <c r="E682" s="10" t="s">
        <v>1017</v>
      </c>
      <c r="F682" s="11">
        <v>2372</v>
      </c>
      <c r="G682" s="11">
        <v>2428</v>
      </c>
      <c r="H682" s="11">
        <v>4800</v>
      </c>
      <c r="I682" s="11">
        <v>1849</v>
      </c>
      <c r="J682" s="66">
        <f t="shared" si="40"/>
        <v>49.416666666666664</v>
      </c>
      <c r="K682" s="66">
        <f t="shared" si="41"/>
        <v>50.583333333333336</v>
      </c>
    </row>
    <row r="683" spans="1:11" ht="41.4" x14ac:dyDescent="0.3">
      <c r="A683" s="10">
        <v>31</v>
      </c>
      <c r="B683" s="10" t="s">
        <v>966</v>
      </c>
      <c r="C683" s="10" t="str" cm="1">
        <f t="array" ref="C683">_xlfn.IFS(A683&lt;20, "ภาคกลาง", A683&lt;30, "ภาคตะวันออก", A683&lt;50, "ภาคตะวันออกเฉียงเหนือ", A683&lt;60, "ภาคเหนือ", A683&lt;80, "ภาคกลาง/ตะวันตก", A683&gt;=80, "ภาคใต้")</f>
        <v>ภาคตะวันออกเฉียงเหนือ</v>
      </c>
      <c r="D683" s="64">
        <v>3193</v>
      </c>
      <c r="E683" s="10" t="s">
        <v>1018</v>
      </c>
      <c r="F683" s="11">
        <v>4218</v>
      </c>
      <c r="G683" s="11">
        <v>4734</v>
      </c>
      <c r="H683" s="11">
        <v>8952</v>
      </c>
      <c r="I683" s="11">
        <v>4195</v>
      </c>
      <c r="J683" s="66">
        <f t="shared" si="40"/>
        <v>47.117962466487931</v>
      </c>
      <c r="K683" s="66">
        <f t="shared" si="41"/>
        <v>52.882037533512062</v>
      </c>
    </row>
    <row r="684" spans="1:11" ht="41.4" x14ac:dyDescent="0.3">
      <c r="A684" s="10">
        <v>31</v>
      </c>
      <c r="B684" s="10" t="s">
        <v>966</v>
      </c>
      <c r="C684" s="10" t="str" cm="1">
        <f t="array" ref="C684">_xlfn.IFS(A684&lt;20, "ภาคกลาง", A684&lt;30, "ภาคตะวันออก", A684&lt;50, "ภาคตะวันออกเฉียงเหนือ", A684&lt;60, "ภาคเหนือ", A684&lt;80, "ภาคกลาง/ตะวันตก", A684&gt;=80, "ภาคใต้")</f>
        <v>ภาคตะวันออกเฉียงเหนือ</v>
      </c>
      <c r="D684" s="64">
        <v>3194</v>
      </c>
      <c r="E684" s="10" t="s">
        <v>1019</v>
      </c>
      <c r="F684" s="11">
        <v>4094</v>
      </c>
      <c r="G684" s="11">
        <v>4113</v>
      </c>
      <c r="H684" s="11">
        <v>8207</v>
      </c>
      <c r="I684" s="11">
        <v>3647</v>
      </c>
      <c r="J684" s="66">
        <f t="shared" si="40"/>
        <v>49.884245156573655</v>
      </c>
      <c r="K684" s="66">
        <f t="shared" si="41"/>
        <v>50.115754843426345</v>
      </c>
    </row>
    <row r="685" spans="1:11" ht="41.4" x14ac:dyDescent="0.3">
      <c r="A685" s="10">
        <v>31</v>
      </c>
      <c r="B685" s="10" t="s">
        <v>966</v>
      </c>
      <c r="C685" s="10" t="str" cm="1">
        <f t="array" ref="C685">_xlfn.IFS(A685&lt;20, "ภาคกลาง", A685&lt;30, "ภาคตะวันออก", A685&lt;50, "ภาคตะวันออกเฉียงเหนือ", A685&lt;60, "ภาคเหนือ", A685&lt;80, "ภาคกลาง/ตะวันตก", A685&gt;=80, "ภาคใต้")</f>
        <v>ภาคตะวันออกเฉียงเหนือ</v>
      </c>
      <c r="D685" s="64">
        <v>3195</v>
      </c>
      <c r="E685" s="10" t="s">
        <v>1020</v>
      </c>
      <c r="F685" s="11">
        <v>4526</v>
      </c>
      <c r="G685" s="11">
        <v>4938</v>
      </c>
      <c r="H685" s="11">
        <v>9464</v>
      </c>
      <c r="I685" s="11">
        <v>4272</v>
      </c>
      <c r="J685" s="66">
        <f t="shared" si="40"/>
        <v>47.823330515638204</v>
      </c>
      <c r="K685" s="66">
        <f t="shared" si="41"/>
        <v>52.176669484361796</v>
      </c>
    </row>
    <row r="686" spans="1:11" ht="41.4" x14ac:dyDescent="0.3">
      <c r="A686" s="10">
        <v>31</v>
      </c>
      <c r="B686" s="10" t="s">
        <v>966</v>
      </c>
      <c r="C686" s="10" t="str" cm="1">
        <f t="array" ref="C686">_xlfn.IFS(A686&lt;20, "ภาคกลาง", A686&lt;30, "ภาคตะวันออก", A686&lt;50, "ภาคตะวันออกเฉียงเหนือ", A686&lt;60, "ภาคเหนือ", A686&lt;80, "ภาคกลาง/ตะวันตก", A686&gt;=80, "ภาคใต้")</f>
        <v>ภาคตะวันออกเฉียงเหนือ</v>
      </c>
      <c r="D686" s="64">
        <v>3196</v>
      </c>
      <c r="E686" s="10" t="s">
        <v>1021</v>
      </c>
      <c r="F686" s="11">
        <v>1516</v>
      </c>
      <c r="G686" s="11">
        <v>1720</v>
      </c>
      <c r="H686" s="11">
        <v>3236</v>
      </c>
      <c r="I686" s="11">
        <v>1867</v>
      </c>
      <c r="J686" s="66">
        <f t="shared" si="40"/>
        <v>46.847960444993817</v>
      </c>
      <c r="K686" s="66">
        <f t="shared" si="41"/>
        <v>53.152039555006183</v>
      </c>
    </row>
    <row r="687" spans="1:11" ht="41.4" x14ac:dyDescent="0.3">
      <c r="A687" s="10">
        <v>31</v>
      </c>
      <c r="B687" s="10" t="s">
        <v>966</v>
      </c>
      <c r="C687" s="10" t="str" cm="1">
        <f t="array" ref="C687">_xlfn.IFS(A687&lt;20, "ภาคกลาง", A687&lt;30, "ภาคตะวันออก", A687&lt;50, "ภาคตะวันออกเฉียงเหนือ", A687&lt;60, "ภาคเหนือ", A687&lt;80, "ภาคกลาง/ตะวันตก", A687&gt;=80, "ภาคใต้")</f>
        <v>ภาคตะวันออกเฉียงเหนือ</v>
      </c>
      <c r="D687" s="64">
        <v>3197</v>
      </c>
      <c r="E687" s="10" t="s">
        <v>1022</v>
      </c>
      <c r="F687" s="11">
        <v>2393</v>
      </c>
      <c r="G687" s="11">
        <v>2516</v>
      </c>
      <c r="H687" s="11">
        <v>4909</v>
      </c>
      <c r="I687" s="11">
        <v>1890</v>
      </c>
      <c r="J687" s="66">
        <f t="shared" si="40"/>
        <v>48.747199022204114</v>
      </c>
      <c r="K687" s="66">
        <f t="shared" si="41"/>
        <v>51.252800977795886</v>
      </c>
    </row>
    <row r="688" spans="1:11" ht="41.4" x14ac:dyDescent="0.3">
      <c r="A688" s="10">
        <v>31</v>
      </c>
      <c r="B688" s="10" t="s">
        <v>966</v>
      </c>
      <c r="C688" s="10" t="str" cm="1">
        <f t="array" ref="C688">_xlfn.IFS(A688&lt;20, "ภาคกลาง", A688&lt;30, "ภาคตะวันออก", A688&lt;50, "ภาคตะวันออกเฉียงเหนือ", A688&lt;60, "ภาคเหนือ", A688&lt;80, "ภาคกลาง/ตะวันตก", A688&gt;=80, "ภาคใต้")</f>
        <v>ภาคตะวันออกเฉียงเหนือ</v>
      </c>
      <c r="D688" s="64">
        <v>3198</v>
      </c>
      <c r="E688" s="10" t="s">
        <v>1023</v>
      </c>
      <c r="F688" s="11">
        <v>1784</v>
      </c>
      <c r="G688" s="11">
        <v>1787</v>
      </c>
      <c r="H688" s="11">
        <v>3571</v>
      </c>
      <c r="I688" s="11">
        <v>2087</v>
      </c>
      <c r="J688" s="66">
        <f t="shared" si="40"/>
        <v>49.95799495939513</v>
      </c>
      <c r="K688" s="66">
        <f t="shared" si="41"/>
        <v>50.042005040604877</v>
      </c>
    </row>
    <row r="689" spans="1:11" ht="41.4" x14ac:dyDescent="0.3">
      <c r="A689" s="10">
        <v>31</v>
      </c>
      <c r="B689" s="10" t="s">
        <v>966</v>
      </c>
      <c r="C689" s="10" t="str" cm="1">
        <f t="array" ref="C689">_xlfn.IFS(A689&lt;20, "ภาคกลาง", A689&lt;30, "ภาคตะวันออก", A689&lt;50, "ภาคตะวันออกเฉียงเหนือ", A689&lt;60, "ภาคเหนือ", A689&lt;80, "ภาคกลาง/ตะวันตก", A689&gt;=80, "ภาคใต้")</f>
        <v>ภาคตะวันออกเฉียงเหนือ</v>
      </c>
      <c r="D689" s="64">
        <v>3199</v>
      </c>
      <c r="E689" s="10" t="s">
        <v>1024</v>
      </c>
      <c r="F689" s="11">
        <v>9388</v>
      </c>
      <c r="G689" s="11">
        <v>10676</v>
      </c>
      <c r="H689" s="11">
        <v>20064</v>
      </c>
      <c r="I689" s="11">
        <v>11785</v>
      </c>
      <c r="J689" s="66">
        <f t="shared" si="40"/>
        <v>46.79027113237639</v>
      </c>
      <c r="K689" s="66">
        <f t="shared" si="41"/>
        <v>53.20972886762361</v>
      </c>
    </row>
    <row r="690" spans="1:11" ht="41.4" hidden="1" x14ac:dyDescent="0.3">
      <c r="A690" s="10">
        <v>31</v>
      </c>
      <c r="B690" s="10" t="s">
        <v>966</v>
      </c>
      <c r="C690" s="10" t="str" cm="1">
        <f t="array" ref="C690">_xlfn.IFS(A690&lt;20, "ภาคกลาง", A690&lt;30, "ภาคตะวันออก", A690&lt;50, "ภาคตะวันออกเฉียงเหนือ", A690&lt;60, "ภาคเหนือ", A690&lt;80, "ภาคกลาง/ตะวันตก", A690&gt;=80, "ภาคใต้")</f>
        <v>ภาคตะวันออกเฉียงเหนือ</v>
      </c>
      <c r="D690" s="10">
        <v>0</v>
      </c>
      <c r="E690" s="10" t="s">
        <v>343</v>
      </c>
      <c r="F690" s="11">
        <v>24570</v>
      </c>
      <c r="G690" s="11">
        <v>25955</v>
      </c>
      <c r="H690" s="11">
        <v>50525</v>
      </c>
      <c r="I690" s="11">
        <v>31454</v>
      </c>
      <c r="J690"/>
      <c r="K690"/>
    </row>
    <row r="691" spans="1:11" ht="41.4" x14ac:dyDescent="0.3">
      <c r="A691" s="10">
        <v>32</v>
      </c>
      <c r="B691" s="10" t="s">
        <v>1025</v>
      </c>
      <c r="C691" s="10" t="str" cm="1">
        <f t="array" ref="C691">_xlfn.IFS(A691&lt;20, "ภาคกลาง", A691&lt;30, "ภาคตะวันออก", A691&lt;50, "ภาคตะวันออกเฉียงเหนือ", A691&lt;60, "ภาคเหนือ", A691&lt;80, "ภาคกลาง/ตะวันตก", A691&gt;=80, "ภาคใต้")</f>
        <v>ภาคตะวันออกเฉียงเหนือ</v>
      </c>
      <c r="D691" s="64">
        <v>3201</v>
      </c>
      <c r="E691" s="10" t="s">
        <v>1026</v>
      </c>
      <c r="F691" s="11">
        <v>675268</v>
      </c>
      <c r="G691" s="11">
        <v>684977</v>
      </c>
      <c r="H691" s="11">
        <v>1360245</v>
      </c>
      <c r="I691" s="11">
        <v>426326</v>
      </c>
      <c r="J691" s="66">
        <f t="shared" ref="J691:J721" si="42">F691/H691*100</f>
        <v>49.643115762234011</v>
      </c>
      <c r="K691" s="66">
        <f t="shared" ref="K691:K721" si="43">G691/H691*100</f>
        <v>50.356884237765989</v>
      </c>
    </row>
    <row r="692" spans="1:11" ht="41.4" x14ac:dyDescent="0.3">
      <c r="A692" s="10">
        <v>32</v>
      </c>
      <c r="B692" s="10" t="s">
        <v>1025</v>
      </c>
      <c r="C692" s="10" t="str" cm="1">
        <f t="array" ref="C692">_xlfn.IFS(A692&lt;20, "ภาคกลาง", A692&lt;30, "ภาคตะวันออก", A692&lt;50, "ภาคตะวันออกเฉียงเหนือ", A692&lt;60, "ภาคเหนือ", A692&lt;80, "ภาคกลาง/ตะวันตก", A692&gt;=80, "ภาคใต้")</f>
        <v>ภาคตะวันออกเฉียงเหนือ</v>
      </c>
      <c r="D692" s="64">
        <v>3202</v>
      </c>
      <c r="E692" s="10" t="s">
        <v>1027</v>
      </c>
      <c r="F692" s="11">
        <v>106979</v>
      </c>
      <c r="G692" s="11">
        <v>109808</v>
      </c>
      <c r="H692" s="11">
        <v>216787</v>
      </c>
      <c r="I692" s="11">
        <v>80692</v>
      </c>
      <c r="J692" s="66">
        <f t="shared" si="42"/>
        <v>49.347516225603933</v>
      </c>
      <c r="K692" s="66">
        <f t="shared" si="43"/>
        <v>50.65248377439606</v>
      </c>
    </row>
    <row r="693" spans="1:11" ht="41.4" x14ac:dyDescent="0.3">
      <c r="A693" s="10">
        <v>32</v>
      </c>
      <c r="B693" s="10" t="s">
        <v>1025</v>
      </c>
      <c r="C693" s="10" t="str" cm="1">
        <f t="array" ref="C693">_xlfn.IFS(A693&lt;20, "ภาคกลาง", A693&lt;30, "ภาคตะวันออก", A693&lt;50, "ภาคตะวันออกเฉียงเหนือ", A693&lt;60, "ภาคเหนือ", A693&lt;80, "ภาคกลาง/ตะวันตก", A693&gt;=80, "ภาคใต้")</f>
        <v>ภาคตะวันออกเฉียงเหนือ</v>
      </c>
      <c r="D693" s="64">
        <v>3203</v>
      </c>
      <c r="E693" s="10" t="s">
        <v>1028</v>
      </c>
      <c r="F693" s="11">
        <v>33812</v>
      </c>
      <c r="G693" s="11">
        <v>33858</v>
      </c>
      <c r="H693" s="11">
        <v>67670</v>
      </c>
      <c r="I693" s="11">
        <v>19556</v>
      </c>
      <c r="J693" s="66">
        <f t="shared" si="42"/>
        <v>49.96601152652579</v>
      </c>
      <c r="K693" s="66">
        <f t="shared" si="43"/>
        <v>50.03398847347421</v>
      </c>
    </row>
    <row r="694" spans="1:11" ht="41.4" x14ac:dyDescent="0.3">
      <c r="A694" s="10">
        <v>32</v>
      </c>
      <c r="B694" s="10" t="s">
        <v>1025</v>
      </c>
      <c r="C694" s="10" t="str" cm="1">
        <f t="array" ref="C694">_xlfn.IFS(A694&lt;20, "ภาคกลาง", A694&lt;30, "ภาคตะวันออก", A694&lt;50, "ภาคตะวันออกเฉียงเหนือ", A694&lt;60, "ภาคเหนือ", A694&lt;80, "ภาคกลาง/ตะวันตก", A694&gt;=80, "ภาคใต้")</f>
        <v>ภาคตะวันออกเฉียงเหนือ</v>
      </c>
      <c r="D694" s="64">
        <v>3204</v>
      </c>
      <c r="E694" s="10" t="s">
        <v>1029</v>
      </c>
      <c r="F694" s="11">
        <v>45042</v>
      </c>
      <c r="G694" s="11">
        <v>44937</v>
      </c>
      <c r="H694" s="11">
        <v>89979</v>
      </c>
      <c r="I694" s="11">
        <v>24470</v>
      </c>
      <c r="J694" s="66">
        <f t="shared" si="42"/>
        <v>50.058346947621111</v>
      </c>
      <c r="K694" s="66">
        <f t="shared" si="43"/>
        <v>49.941653052378889</v>
      </c>
    </row>
    <row r="695" spans="1:11" ht="41.4" x14ac:dyDescent="0.3">
      <c r="A695" s="10">
        <v>32</v>
      </c>
      <c r="B695" s="10" t="s">
        <v>1025</v>
      </c>
      <c r="C695" s="10" t="str" cm="1">
        <f t="array" ref="C695">_xlfn.IFS(A695&lt;20, "ภาคกลาง", A695&lt;30, "ภาคตะวันออก", A695&lt;50, "ภาคตะวันออกเฉียงเหนือ", A695&lt;60, "ภาคเหนือ", A695&lt;80, "ภาคกลาง/ตะวันตก", A695&gt;=80, "ภาคใต้")</f>
        <v>ภาคตะวันออกเฉียงเหนือ</v>
      </c>
      <c r="D695" s="64">
        <v>3205</v>
      </c>
      <c r="E695" s="10" t="s">
        <v>1030</v>
      </c>
      <c r="F695" s="11">
        <v>26848</v>
      </c>
      <c r="G695" s="11">
        <v>26867</v>
      </c>
      <c r="H695" s="11">
        <v>53715</v>
      </c>
      <c r="I695" s="11">
        <v>14571</v>
      </c>
      <c r="J695" s="66">
        <f t="shared" si="42"/>
        <v>49.982314064972542</v>
      </c>
      <c r="K695" s="66">
        <f t="shared" si="43"/>
        <v>50.017685935027458</v>
      </c>
    </row>
    <row r="696" spans="1:11" ht="41.4" x14ac:dyDescent="0.3">
      <c r="A696" s="10">
        <v>32</v>
      </c>
      <c r="B696" s="10" t="s">
        <v>1025</v>
      </c>
      <c r="C696" s="10" t="str" cm="1">
        <f t="array" ref="C696">_xlfn.IFS(A696&lt;20, "ภาคกลาง", A696&lt;30, "ภาคตะวันออก", A696&lt;50, "ภาคตะวันออกเฉียงเหนือ", A696&lt;60, "ภาคเหนือ", A696&lt;80, "ภาคกลาง/ตะวันตก", A696&gt;=80, "ภาคใต้")</f>
        <v>ภาคตะวันออกเฉียงเหนือ</v>
      </c>
      <c r="D696" s="64">
        <v>3206</v>
      </c>
      <c r="E696" s="10" t="s">
        <v>1031</v>
      </c>
      <c r="F696" s="11">
        <v>70602</v>
      </c>
      <c r="G696" s="11">
        <v>72527</v>
      </c>
      <c r="H696" s="11">
        <v>143129</v>
      </c>
      <c r="I696" s="11">
        <v>44228</v>
      </c>
      <c r="J696" s="66">
        <f t="shared" si="42"/>
        <v>49.327529710960043</v>
      </c>
      <c r="K696" s="66">
        <f t="shared" si="43"/>
        <v>50.672470289039964</v>
      </c>
    </row>
    <row r="697" spans="1:11" ht="41.4" x14ac:dyDescent="0.3">
      <c r="A697" s="10">
        <v>32</v>
      </c>
      <c r="B697" s="10" t="s">
        <v>1025</v>
      </c>
      <c r="C697" s="10" t="str" cm="1">
        <f t="array" ref="C697">_xlfn.IFS(A697&lt;20, "ภาคกลาง", A697&lt;30, "ภาคตะวันออก", A697&lt;50, "ภาคตะวันออกเฉียงเหนือ", A697&lt;60, "ภาคเหนือ", A697&lt;80, "ภาคกลาง/ตะวันตก", A697&gt;=80, "ภาคใต้")</f>
        <v>ภาคตะวันออกเฉียงเหนือ</v>
      </c>
      <c r="D697" s="64">
        <v>3207</v>
      </c>
      <c r="E697" s="10" t="s">
        <v>1032</v>
      </c>
      <c r="F697" s="11">
        <v>29880</v>
      </c>
      <c r="G697" s="11">
        <v>29740</v>
      </c>
      <c r="H697" s="11">
        <v>59620</v>
      </c>
      <c r="I697" s="11">
        <v>20001</v>
      </c>
      <c r="J697" s="66">
        <f t="shared" si="42"/>
        <v>50.117410265011742</v>
      </c>
      <c r="K697" s="66">
        <f t="shared" si="43"/>
        <v>49.882589734988258</v>
      </c>
    </row>
    <row r="698" spans="1:11" ht="41.4" x14ac:dyDescent="0.3">
      <c r="A698" s="10">
        <v>32</v>
      </c>
      <c r="B698" s="10" t="s">
        <v>1025</v>
      </c>
      <c r="C698" s="10" t="str" cm="1">
        <f t="array" ref="C698">_xlfn.IFS(A698&lt;20, "ภาคกลาง", A698&lt;30, "ภาคตะวันออก", A698&lt;50, "ภาคตะวันออกเฉียงเหนือ", A698&lt;60, "ภาคเหนือ", A698&lt;80, "ภาคกลาง/ตะวันตก", A698&gt;=80, "ภาคใต้")</f>
        <v>ภาคตะวันออกเฉียงเหนือ</v>
      </c>
      <c r="D698" s="64">
        <v>3208</v>
      </c>
      <c r="E698" s="10" t="s">
        <v>1033</v>
      </c>
      <c r="F698" s="11">
        <v>42715</v>
      </c>
      <c r="G698" s="11">
        <v>43096</v>
      </c>
      <c r="H698" s="11">
        <v>85811</v>
      </c>
      <c r="I698" s="11">
        <v>24077</v>
      </c>
      <c r="J698" s="66">
        <f t="shared" si="42"/>
        <v>49.778000489447734</v>
      </c>
      <c r="K698" s="66">
        <f t="shared" si="43"/>
        <v>50.221999510552266</v>
      </c>
    </row>
    <row r="699" spans="1:11" ht="41.4" x14ac:dyDescent="0.3">
      <c r="A699" s="10">
        <v>32</v>
      </c>
      <c r="B699" s="10" t="s">
        <v>1025</v>
      </c>
      <c r="C699" s="10" t="str" cm="1">
        <f t="array" ref="C699">_xlfn.IFS(A699&lt;20, "ภาคกลาง", A699&lt;30, "ภาคตะวันออก", A699&lt;50, "ภาคตะวันออกเฉียงเหนือ", A699&lt;60, "ภาคเหนือ", A699&lt;80, "ภาคกลาง/ตะวันตก", A699&gt;=80, "ภาคใต้")</f>
        <v>ภาคตะวันออกเฉียงเหนือ</v>
      </c>
      <c r="D699" s="64">
        <v>3209</v>
      </c>
      <c r="E699" s="10" t="s">
        <v>1034</v>
      </c>
      <c r="F699" s="11">
        <v>18980</v>
      </c>
      <c r="G699" s="11">
        <v>18779</v>
      </c>
      <c r="H699" s="11">
        <v>37759</v>
      </c>
      <c r="I699" s="11">
        <v>11213</v>
      </c>
      <c r="J699" s="66">
        <f t="shared" si="42"/>
        <v>50.266161709791049</v>
      </c>
      <c r="K699" s="66">
        <f t="shared" si="43"/>
        <v>49.733838290208958</v>
      </c>
    </row>
    <row r="700" spans="1:11" ht="41.4" x14ac:dyDescent="0.3">
      <c r="A700" s="10">
        <v>32</v>
      </c>
      <c r="B700" s="10" t="s">
        <v>1025</v>
      </c>
      <c r="C700" s="10" t="str" cm="1">
        <f t="array" ref="C700">_xlfn.IFS(A700&lt;20, "ภาคกลาง", A700&lt;30, "ภาคตะวันออก", A700&lt;50, "ภาคตะวันออกเฉียงเหนือ", A700&lt;60, "ภาคเหนือ", A700&lt;80, "ภาคกลาง/ตะวันตก", A700&gt;=80, "ภาคใต้")</f>
        <v>ภาคตะวันออกเฉียงเหนือ</v>
      </c>
      <c r="D700" s="64">
        <v>3210</v>
      </c>
      <c r="E700" s="10" t="s">
        <v>1035</v>
      </c>
      <c r="F700" s="11">
        <v>63779</v>
      </c>
      <c r="G700" s="11">
        <v>64598</v>
      </c>
      <c r="H700" s="11">
        <v>128377</v>
      </c>
      <c r="I700" s="11">
        <v>33821</v>
      </c>
      <c r="J700" s="66">
        <f t="shared" si="42"/>
        <v>49.681017627768213</v>
      </c>
      <c r="K700" s="66">
        <f t="shared" si="43"/>
        <v>50.318982372231794</v>
      </c>
    </row>
    <row r="701" spans="1:11" ht="41.4" x14ac:dyDescent="0.3">
      <c r="A701" s="10">
        <v>32</v>
      </c>
      <c r="B701" s="10" t="s">
        <v>1025</v>
      </c>
      <c r="C701" s="10" t="str" cm="1">
        <f t="array" ref="C701">_xlfn.IFS(A701&lt;20, "ภาคกลาง", A701&lt;30, "ภาคตะวันออก", A701&lt;50, "ภาคตะวันออกเฉียงเหนือ", A701&lt;60, "ภาคเหนือ", A701&lt;80, "ภาคกลาง/ตะวันตก", A701&gt;=80, "ภาคใต้")</f>
        <v>ภาคตะวันออกเฉียงเหนือ</v>
      </c>
      <c r="D701" s="64">
        <v>3211</v>
      </c>
      <c r="E701" s="10" t="s">
        <v>1036</v>
      </c>
      <c r="F701" s="11">
        <v>63268</v>
      </c>
      <c r="G701" s="11">
        <v>62984</v>
      </c>
      <c r="H701" s="11">
        <v>126252</v>
      </c>
      <c r="I701" s="11">
        <v>36330</v>
      </c>
      <c r="J701" s="66">
        <f t="shared" si="42"/>
        <v>50.112473465766882</v>
      </c>
      <c r="K701" s="66">
        <f t="shared" si="43"/>
        <v>49.887526534233125</v>
      </c>
    </row>
    <row r="702" spans="1:11" ht="41.4" x14ac:dyDescent="0.3">
      <c r="A702" s="10">
        <v>32</v>
      </c>
      <c r="B702" s="10" t="s">
        <v>1025</v>
      </c>
      <c r="C702" s="10" t="str" cm="1">
        <f t="array" ref="C702">_xlfn.IFS(A702&lt;20, "ภาคกลาง", A702&lt;30, "ภาคตะวันออก", A702&lt;50, "ภาคตะวันออกเฉียงเหนือ", A702&lt;60, "ภาคเหนือ", A702&lt;80, "ภาคกลาง/ตะวันตก", A702&gt;=80, "ภาคใต้")</f>
        <v>ภาคตะวันออกเฉียงเหนือ</v>
      </c>
      <c r="D702" s="64">
        <v>3212</v>
      </c>
      <c r="E702" s="10" t="s">
        <v>1037</v>
      </c>
      <c r="F702" s="11">
        <v>13282</v>
      </c>
      <c r="G702" s="11">
        <v>13264</v>
      </c>
      <c r="H702" s="11">
        <v>26546</v>
      </c>
      <c r="I702" s="11">
        <v>7353</v>
      </c>
      <c r="J702" s="66">
        <f t="shared" si="42"/>
        <v>50.033903412943573</v>
      </c>
      <c r="K702" s="66">
        <f t="shared" si="43"/>
        <v>49.966096587056427</v>
      </c>
    </row>
    <row r="703" spans="1:11" ht="41.4" x14ac:dyDescent="0.3">
      <c r="A703" s="10">
        <v>32</v>
      </c>
      <c r="B703" s="10" t="s">
        <v>1025</v>
      </c>
      <c r="C703" s="10" t="str" cm="1">
        <f t="array" ref="C703">_xlfn.IFS(A703&lt;20, "ภาคกลาง", A703&lt;30, "ภาคตะวันออก", A703&lt;50, "ภาคตะวันออกเฉียงเหนือ", A703&lt;60, "ภาคเหนือ", A703&lt;80, "ภาคกลาง/ตะวันตก", A703&gt;=80, "ภาคใต้")</f>
        <v>ภาคตะวันออกเฉียงเหนือ</v>
      </c>
      <c r="D703" s="64">
        <v>3213</v>
      </c>
      <c r="E703" s="10" t="s">
        <v>1038</v>
      </c>
      <c r="F703" s="11">
        <v>24836</v>
      </c>
      <c r="G703" s="11">
        <v>24824</v>
      </c>
      <c r="H703" s="11">
        <v>49660</v>
      </c>
      <c r="I703" s="11">
        <v>12255</v>
      </c>
      <c r="J703" s="66">
        <f t="shared" si="42"/>
        <v>50.012082158679014</v>
      </c>
      <c r="K703" s="66">
        <f t="shared" si="43"/>
        <v>49.987917841320986</v>
      </c>
    </row>
    <row r="704" spans="1:11" ht="41.4" x14ac:dyDescent="0.3">
      <c r="A704" s="10">
        <v>32</v>
      </c>
      <c r="B704" s="10" t="s">
        <v>1025</v>
      </c>
      <c r="C704" s="10" t="str" cm="1">
        <f t="array" ref="C704">_xlfn.IFS(A704&lt;20, "ภาคกลาง", A704&lt;30, "ภาคตะวันออก", A704&lt;50, "ภาคตะวันออกเฉียงเหนือ", A704&lt;60, "ภาคเหนือ", A704&lt;80, "ภาคกลาง/ตะวันตก", A704&gt;=80, "ภาคใต้")</f>
        <v>ภาคตะวันออกเฉียงเหนือ</v>
      </c>
      <c r="D704" s="64">
        <v>3214</v>
      </c>
      <c r="E704" s="10" t="s">
        <v>1039</v>
      </c>
      <c r="F704" s="11">
        <v>17724</v>
      </c>
      <c r="G704" s="11">
        <v>17164</v>
      </c>
      <c r="H704" s="11">
        <v>34888</v>
      </c>
      <c r="I704" s="11">
        <v>10269</v>
      </c>
      <c r="J704" s="66">
        <f t="shared" si="42"/>
        <v>50.802568218298561</v>
      </c>
      <c r="K704" s="66">
        <f t="shared" si="43"/>
        <v>49.197431781701447</v>
      </c>
    </row>
    <row r="705" spans="1:11" ht="41.4" x14ac:dyDescent="0.3">
      <c r="A705" s="10">
        <v>32</v>
      </c>
      <c r="B705" s="10" t="s">
        <v>1025</v>
      </c>
      <c r="C705" s="10" t="str" cm="1">
        <f t="array" ref="C705">_xlfn.IFS(A705&lt;20, "ภาคกลาง", A705&lt;30, "ภาคตะวันออก", A705&lt;50, "ภาคตะวันออกเฉียงเหนือ", A705&lt;60, "ภาคเหนือ", A705&lt;80, "ภาคกลาง/ตะวันตก", A705&gt;=80, "ภาคใต้")</f>
        <v>ภาคตะวันออกเฉียงเหนือ</v>
      </c>
      <c r="D705" s="64">
        <v>3215</v>
      </c>
      <c r="E705" s="10" t="s">
        <v>1040</v>
      </c>
      <c r="F705" s="11">
        <v>18927</v>
      </c>
      <c r="G705" s="11">
        <v>18610</v>
      </c>
      <c r="H705" s="11">
        <v>37537</v>
      </c>
      <c r="I705" s="11">
        <v>12707</v>
      </c>
      <c r="J705" s="66">
        <f t="shared" si="42"/>
        <v>50.422250046620661</v>
      </c>
      <c r="K705" s="66">
        <f t="shared" si="43"/>
        <v>49.577749953379332</v>
      </c>
    </row>
    <row r="706" spans="1:11" ht="41.4" x14ac:dyDescent="0.3">
      <c r="A706" s="10">
        <v>32</v>
      </c>
      <c r="B706" s="10" t="s">
        <v>1025</v>
      </c>
      <c r="C706" s="10" t="str" cm="1">
        <f t="array" ref="C706">_xlfn.IFS(A706&lt;20, "ภาคกลาง", A706&lt;30, "ภาคตะวันออก", A706&lt;50, "ภาคตะวันออกเฉียงเหนือ", A706&lt;60, "ภาคเหนือ", A706&lt;80, "ภาคกลาง/ตะวันตก", A706&gt;=80, "ภาคใต้")</f>
        <v>ภาคตะวันออกเฉียงเหนือ</v>
      </c>
      <c r="D706" s="64">
        <v>3216</v>
      </c>
      <c r="E706" s="10" t="s">
        <v>1041</v>
      </c>
      <c r="F706" s="11">
        <v>23261</v>
      </c>
      <c r="G706" s="11">
        <v>23039</v>
      </c>
      <c r="H706" s="11">
        <v>46300</v>
      </c>
      <c r="I706" s="11">
        <v>12103</v>
      </c>
      <c r="J706" s="66">
        <f t="shared" si="42"/>
        <v>50.239740820734347</v>
      </c>
      <c r="K706" s="66">
        <f t="shared" si="43"/>
        <v>49.76025917926566</v>
      </c>
    </row>
    <row r="707" spans="1:11" ht="41.4" x14ac:dyDescent="0.3">
      <c r="A707" s="10">
        <v>32</v>
      </c>
      <c r="B707" s="10" t="s">
        <v>1025</v>
      </c>
      <c r="C707" s="10" t="str" cm="1">
        <f t="array" ref="C707">_xlfn.IFS(A707&lt;20, "ภาคกลาง", A707&lt;30, "ภาคตะวันออก", A707&lt;50, "ภาคตะวันออกเฉียงเหนือ", A707&lt;60, "ภาคเหนือ", A707&lt;80, "ภาคกลาง/ตะวันตก", A707&gt;=80, "ภาคใต้")</f>
        <v>ภาคตะวันออกเฉียงเหนือ</v>
      </c>
      <c r="D707" s="64">
        <v>3217</v>
      </c>
      <c r="E707" s="10" t="s">
        <v>1042</v>
      </c>
      <c r="F707" s="11">
        <v>16615</v>
      </c>
      <c r="G707" s="11">
        <v>17030</v>
      </c>
      <c r="H707" s="11">
        <v>33645</v>
      </c>
      <c r="I707" s="11">
        <v>10444</v>
      </c>
      <c r="J707" s="66">
        <f t="shared" si="42"/>
        <v>49.383266458611978</v>
      </c>
      <c r="K707" s="66">
        <f t="shared" si="43"/>
        <v>50.616733541388029</v>
      </c>
    </row>
    <row r="708" spans="1:11" ht="41.4" x14ac:dyDescent="0.3">
      <c r="A708" s="10">
        <v>32</v>
      </c>
      <c r="B708" s="10" t="s">
        <v>1025</v>
      </c>
      <c r="C708" s="10" t="str" cm="1">
        <f t="array" ref="C708">_xlfn.IFS(A708&lt;20, "ภาคกลาง", A708&lt;30, "ภาคตะวันออก", A708&lt;50, "ภาคตะวันออกเฉียงเหนือ", A708&lt;60, "ภาคเหนือ", A708&lt;80, "ภาคกลาง/ตะวันตก", A708&gt;=80, "ภาคใต้")</f>
        <v>ภาคตะวันออกเฉียงเหนือ</v>
      </c>
      <c r="D708" s="64">
        <v>3286</v>
      </c>
      <c r="E708" s="10" t="s">
        <v>1043</v>
      </c>
      <c r="F708" s="11">
        <v>17133</v>
      </c>
      <c r="G708" s="11">
        <v>17286</v>
      </c>
      <c r="H708" s="11">
        <v>34419</v>
      </c>
      <c r="I708" s="11">
        <v>9065</v>
      </c>
      <c r="J708" s="66">
        <f t="shared" si="42"/>
        <v>49.777739039484004</v>
      </c>
      <c r="K708" s="66">
        <f t="shared" si="43"/>
        <v>50.222260960515996</v>
      </c>
    </row>
    <row r="709" spans="1:11" ht="41.4" x14ac:dyDescent="0.3">
      <c r="A709" s="10">
        <v>32</v>
      </c>
      <c r="B709" s="10" t="s">
        <v>1025</v>
      </c>
      <c r="C709" s="10" t="str" cm="1">
        <f t="array" ref="C709">_xlfn.IFS(A709&lt;20, "ภาคกลาง", A709&lt;30, "ภาคตะวันออก", A709&lt;50, "ภาคตะวันออกเฉียงเหนือ", A709&lt;60, "ภาคเหนือ", A709&lt;80, "ภาคกลาง/ตะวันตก", A709&gt;=80, "ภาคใต้")</f>
        <v>ภาคตะวันออกเฉียงเหนือ</v>
      </c>
      <c r="D709" s="64">
        <v>3287</v>
      </c>
      <c r="E709" s="10" t="s">
        <v>1044</v>
      </c>
      <c r="F709" s="11">
        <v>3159</v>
      </c>
      <c r="G709" s="11">
        <v>3279</v>
      </c>
      <c r="H709" s="11">
        <v>6438</v>
      </c>
      <c r="I709" s="11">
        <v>2513</v>
      </c>
      <c r="J709" s="66">
        <f t="shared" si="42"/>
        <v>49.068033550792173</v>
      </c>
      <c r="K709" s="66">
        <f t="shared" si="43"/>
        <v>50.931966449207835</v>
      </c>
    </row>
    <row r="710" spans="1:11" ht="41.4" x14ac:dyDescent="0.3">
      <c r="A710" s="10">
        <v>32</v>
      </c>
      <c r="B710" s="10" t="s">
        <v>1025</v>
      </c>
      <c r="C710" s="10" t="str" cm="1">
        <f t="array" ref="C710">_xlfn.IFS(A710&lt;20, "ภาคกลาง", A710&lt;30, "ภาคตะวันออก", A710&lt;50, "ภาคตะวันออกเฉียงเหนือ", A710&lt;60, "ภาคเหนือ", A710&lt;80, "ภาคกลาง/ตะวันตก", A710&gt;=80, "ภาคใต้")</f>
        <v>ภาคตะวันออกเฉียงเหนือ</v>
      </c>
      <c r="D710" s="64">
        <v>3288</v>
      </c>
      <c r="E710" s="10" t="s">
        <v>1045</v>
      </c>
      <c r="F710" s="11">
        <v>1165</v>
      </c>
      <c r="G710" s="11">
        <v>1151</v>
      </c>
      <c r="H710" s="11">
        <v>2316</v>
      </c>
      <c r="I710" s="11">
        <v>1316</v>
      </c>
      <c r="J710" s="66">
        <f t="shared" si="42"/>
        <v>50.302245250431774</v>
      </c>
      <c r="K710" s="66">
        <f t="shared" si="43"/>
        <v>49.697754749568226</v>
      </c>
    </row>
    <row r="711" spans="1:11" ht="41.4" x14ac:dyDescent="0.3">
      <c r="A711" s="10">
        <v>32</v>
      </c>
      <c r="B711" s="10" t="s">
        <v>1025</v>
      </c>
      <c r="C711" s="10" t="str" cm="1">
        <f t="array" ref="C711">_xlfn.IFS(A711&lt;20, "ภาคกลาง", A711&lt;30, "ภาคตะวันออก", A711&lt;50, "ภาคตะวันออกเฉียงเหนือ", A711&lt;60, "ภาคเหนือ", A711&lt;80, "ภาคกลาง/ตะวันตก", A711&gt;=80, "ภาคใต้")</f>
        <v>ภาคตะวันออกเฉียงเหนือ</v>
      </c>
      <c r="D711" s="64">
        <v>3289</v>
      </c>
      <c r="E711" s="10" t="s">
        <v>1046</v>
      </c>
      <c r="F711" s="11">
        <v>2012</v>
      </c>
      <c r="G711" s="11">
        <v>2249</v>
      </c>
      <c r="H711" s="11">
        <v>4261</v>
      </c>
      <c r="I711" s="11">
        <v>1941</v>
      </c>
      <c r="J711" s="66">
        <f t="shared" si="42"/>
        <v>47.218962684815772</v>
      </c>
      <c r="K711" s="66">
        <f t="shared" si="43"/>
        <v>52.781037315184228</v>
      </c>
    </row>
    <row r="712" spans="1:11" ht="41.4" x14ac:dyDescent="0.3">
      <c r="A712" s="10">
        <v>32</v>
      </c>
      <c r="B712" s="10" t="s">
        <v>1025</v>
      </c>
      <c r="C712" s="10" t="str" cm="1">
        <f t="array" ref="C712">_xlfn.IFS(A712&lt;20, "ภาคกลาง", A712&lt;30, "ภาคตะวันออก", A712&lt;50, "ภาคตะวันออกเฉียงเหนือ", A712&lt;60, "ภาคเหนือ", A712&lt;80, "ภาคกลาง/ตะวันตก", A712&gt;=80, "ภาคใต้")</f>
        <v>ภาคตะวันออกเฉียงเหนือ</v>
      </c>
      <c r="D712" s="64">
        <v>3290</v>
      </c>
      <c r="E712" s="10" t="s">
        <v>1047</v>
      </c>
      <c r="F712" s="11">
        <v>1633</v>
      </c>
      <c r="G712" s="11">
        <v>1933</v>
      </c>
      <c r="H712" s="11">
        <v>3566</v>
      </c>
      <c r="I712" s="11">
        <v>2424</v>
      </c>
      <c r="J712" s="66">
        <f t="shared" si="42"/>
        <v>45.793606281547952</v>
      </c>
      <c r="K712" s="66">
        <f t="shared" si="43"/>
        <v>54.206393718452048</v>
      </c>
    </row>
    <row r="713" spans="1:11" ht="41.4" x14ac:dyDescent="0.3">
      <c r="A713" s="10">
        <v>32</v>
      </c>
      <c r="B713" s="10" t="s">
        <v>1025</v>
      </c>
      <c r="C713" s="10" t="str" cm="1">
        <f t="array" ref="C713">_xlfn.IFS(A713&lt;20, "ภาคกลาง", A713&lt;30, "ภาคตะวันออก", A713&lt;50, "ภาคตะวันออกเฉียงเหนือ", A713&lt;60, "ภาคเหนือ", A713&lt;80, "ภาคกลาง/ตะวันตก", A713&gt;=80, "ภาคใต้")</f>
        <v>ภาคตะวันออกเฉียงเหนือ</v>
      </c>
      <c r="D713" s="64">
        <v>3291</v>
      </c>
      <c r="E713" s="10" t="s">
        <v>1048</v>
      </c>
      <c r="F713" s="11">
        <v>2186</v>
      </c>
      <c r="G713" s="11">
        <v>2377</v>
      </c>
      <c r="H713" s="11">
        <v>4563</v>
      </c>
      <c r="I713" s="11">
        <v>2931</v>
      </c>
      <c r="J713" s="66">
        <f t="shared" si="42"/>
        <v>47.907078676309446</v>
      </c>
      <c r="K713" s="66">
        <f t="shared" si="43"/>
        <v>52.092921323690554</v>
      </c>
    </row>
    <row r="714" spans="1:11" ht="41.4" x14ac:dyDescent="0.3">
      <c r="A714" s="10">
        <v>32</v>
      </c>
      <c r="B714" s="10" t="s">
        <v>1025</v>
      </c>
      <c r="C714" s="10" t="str" cm="1">
        <f t="array" ref="C714">_xlfn.IFS(A714&lt;20, "ภาคกลาง", A714&lt;30, "ภาคตะวันออก", A714&lt;50, "ภาคตะวันออกเฉียงเหนือ", A714&lt;60, "ภาคเหนือ", A714&lt;80, "ภาคกลาง/ตะวันตก", A714&gt;=80, "ภาคใต้")</f>
        <v>ภาคตะวันออกเฉียงเหนือ</v>
      </c>
      <c r="D714" s="64">
        <v>3292</v>
      </c>
      <c r="E714" s="10" t="s">
        <v>1049</v>
      </c>
      <c r="F714" s="11">
        <v>2363</v>
      </c>
      <c r="G714" s="11">
        <v>2523</v>
      </c>
      <c r="H714" s="11">
        <v>4886</v>
      </c>
      <c r="I714" s="11">
        <v>1699</v>
      </c>
      <c r="J714" s="66">
        <f t="shared" si="42"/>
        <v>48.362668849774863</v>
      </c>
      <c r="K714" s="66">
        <f t="shared" si="43"/>
        <v>51.63733115022513</v>
      </c>
    </row>
    <row r="715" spans="1:11" ht="41.4" x14ac:dyDescent="0.3">
      <c r="A715" s="10">
        <v>32</v>
      </c>
      <c r="B715" s="10" t="s">
        <v>1025</v>
      </c>
      <c r="C715" s="10" t="str" cm="1">
        <f t="array" ref="C715">_xlfn.IFS(A715&lt;20, "ภาคกลาง", A715&lt;30, "ภาคตะวันออก", A715&lt;50, "ภาคตะวันออกเฉียงเหนือ", A715&lt;60, "ภาคเหนือ", A715&lt;80, "ภาคกลาง/ตะวันตก", A715&gt;=80, "ภาคใต้")</f>
        <v>ภาคตะวันออกเฉียงเหนือ</v>
      </c>
      <c r="D715" s="64">
        <v>3293</v>
      </c>
      <c r="E715" s="10" t="s">
        <v>1050</v>
      </c>
      <c r="F715" s="11">
        <v>2475</v>
      </c>
      <c r="G715" s="11">
        <v>2690</v>
      </c>
      <c r="H715" s="11">
        <v>5165</v>
      </c>
      <c r="I715" s="11">
        <v>2825</v>
      </c>
      <c r="J715" s="66">
        <f t="shared" si="42"/>
        <v>47.918683446272993</v>
      </c>
      <c r="K715" s="66">
        <f t="shared" si="43"/>
        <v>52.081316553727007</v>
      </c>
    </row>
    <row r="716" spans="1:11" ht="41.4" x14ac:dyDescent="0.3">
      <c r="A716" s="10">
        <v>32</v>
      </c>
      <c r="B716" s="10" t="s">
        <v>1025</v>
      </c>
      <c r="C716" s="10" t="str" cm="1">
        <f t="array" ref="C716">_xlfn.IFS(A716&lt;20, "ภาคกลาง", A716&lt;30, "ภาคตะวันออก", A716&lt;50, "ภาคตะวันออกเฉียงเหนือ", A716&lt;60, "ภาคเหนือ", A716&lt;80, "ภาคกลาง/ตะวันตก", A716&gt;=80, "ภาคใต้")</f>
        <v>ภาคตะวันออกเฉียงเหนือ</v>
      </c>
      <c r="D716" s="64">
        <v>3294</v>
      </c>
      <c r="E716" s="10" t="s">
        <v>1051</v>
      </c>
      <c r="F716" s="11">
        <v>1336</v>
      </c>
      <c r="G716" s="11">
        <v>1324</v>
      </c>
      <c r="H716" s="11">
        <v>2660</v>
      </c>
      <c r="I716" s="10">
        <v>893</v>
      </c>
      <c r="J716" s="66">
        <f t="shared" si="42"/>
        <v>50.225563909774436</v>
      </c>
      <c r="K716" s="66">
        <f t="shared" si="43"/>
        <v>49.774436090225564</v>
      </c>
    </row>
    <row r="717" spans="1:11" ht="41.4" x14ac:dyDescent="0.3">
      <c r="A717" s="10">
        <v>32</v>
      </c>
      <c r="B717" s="10" t="s">
        <v>1025</v>
      </c>
      <c r="C717" s="10" t="str" cm="1">
        <f t="array" ref="C717">_xlfn.IFS(A717&lt;20, "ภาคกลาง", A717&lt;30, "ภาคตะวันออก", A717&lt;50, "ภาคตะวันออกเฉียงเหนือ", A717&lt;60, "ภาคเหนือ", A717&lt;80, "ภาคกลาง/ตะวันตก", A717&gt;=80, "ภาคใต้")</f>
        <v>ภาคตะวันออกเฉียงเหนือ</v>
      </c>
      <c r="D717" s="64">
        <v>3295</v>
      </c>
      <c r="E717" s="10" t="s">
        <v>1052</v>
      </c>
      <c r="F717" s="11">
        <v>2576</v>
      </c>
      <c r="G717" s="11">
        <v>2943</v>
      </c>
      <c r="H717" s="11">
        <v>5519</v>
      </c>
      <c r="I717" s="11">
        <v>3515</v>
      </c>
      <c r="J717" s="66">
        <f t="shared" si="42"/>
        <v>46.675122304765353</v>
      </c>
      <c r="K717" s="66">
        <f t="shared" si="43"/>
        <v>53.32487769523464</v>
      </c>
    </row>
    <row r="718" spans="1:11" ht="41.4" x14ac:dyDescent="0.3">
      <c r="A718" s="10">
        <v>32</v>
      </c>
      <c r="B718" s="10" t="s">
        <v>1025</v>
      </c>
      <c r="C718" s="10" t="str" cm="1">
        <f t="array" ref="C718">_xlfn.IFS(A718&lt;20, "ภาคกลาง", A718&lt;30, "ภาคตะวันออก", A718&lt;50, "ภาคตะวันออกเฉียงเหนือ", A718&lt;60, "ภาคเหนือ", A718&lt;80, "ภาคกลาง/ตะวันตก", A718&gt;=80, "ภาคใต้")</f>
        <v>ภาคตะวันออกเฉียงเหนือ</v>
      </c>
      <c r="D718" s="64">
        <v>3296</v>
      </c>
      <c r="E718" s="10" t="s">
        <v>1053</v>
      </c>
      <c r="F718" s="11">
        <v>1888</v>
      </c>
      <c r="G718" s="11">
        <v>2102</v>
      </c>
      <c r="H718" s="11">
        <v>3990</v>
      </c>
      <c r="I718" s="11">
        <v>2027</v>
      </c>
      <c r="J718" s="66">
        <f t="shared" si="42"/>
        <v>47.318295739348372</v>
      </c>
      <c r="K718" s="66">
        <f t="shared" si="43"/>
        <v>52.681704260651628</v>
      </c>
    </row>
    <row r="719" spans="1:11" ht="41.4" x14ac:dyDescent="0.3">
      <c r="A719" s="10">
        <v>32</v>
      </c>
      <c r="B719" s="10" t="s">
        <v>1025</v>
      </c>
      <c r="C719" s="10" t="str" cm="1">
        <f t="array" ref="C719">_xlfn.IFS(A719&lt;20, "ภาคกลาง", A719&lt;30, "ภาคตะวันออก", A719&lt;50, "ภาคตะวันออกเฉียงเหนือ", A719&lt;60, "ภาคเหนือ", A719&lt;80, "ภาคกลาง/ตะวันตก", A719&gt;=80, "ภาคใต้")</f>
        <v>ภาคตะวันออกเฉียงเหนือ</v>
      </c>
      <c r="D719" s="64">
        <v>3297</v>
      </c>
      <c r="E719" s="10" t="s">
        <v>1054</v>
      </c>
      <c r="F719" s="11">
        <v>1854</v>
      </c>
      <c r="G719" s="11">
        <v>1987</v>
      </c>
      <c r="H719" s="11">
        <v>3841</v>
      </c>
      <c r="I719" s="11">
        <v>1852</v>
      </c>
      <c r="J719" s="66">
        <f t="shared" si="42"/>
        <v>48.268680031241864</v>
      </c>
      <c r="K719" s="66">
        <f t="shared" si="43"/>
        <v>51.731319968758136</v>
      </c>
    </row>
    <row r="720" spans="1:11" ht="41.4" x14ac:dyDescent="0.3">
      <c r="A720" s="10">
        <v>32</v>
      </c>
      <c r="B720" s="10" t="s">
        <v>1025</v>
      </c>
      <c r="C720" s="10" t="str" cm="1">
        <f t="array" ref="C720">_xlfn.IFS(A720&lt;20, "ภาคกลาง", A720&lt;30, "ภาคตะวันออก", A720&lt;50, "ภาคตะวันออกเฉียงเหนือ", A720&lt;60, "ภาคเหนือ", A720&lt;80, "ภาคกลาง/ตะวันตก", A720&gt;=80, "ภาคใต้")</f>
        <v>ภาคตะวันออกเฉียงเหนือ</v>
      </c>
      <c r="D720" s="64">
        <v>3298</v>
      </c>
      <c r="E720" s="10" t="s">
        <v>1055</v>
      </c>
      <c r="F720" s="11">
        <v>1070</v>
      </c>
      <c r="G720" s="11">
        <v>1174</v>
      </c>
      <c r="H720" s="11">
        <v>2244</v>
      </c>
      <c r="I720" s="11">
        <v>1147</v>
      </c>
      <c r="J720" s="66">
        <f t="shared" si="42"/>
        <v>47.682709447415327</v>
      </c>
      <c r="K720" s="66">
        <f t="shared" si="43"/>
        <v>52.317290552584673</v>
      </c>
    </row>
    <row r="721" spans="1:11" ht="41.4" x14ac:dyDescent="0.3">
      <c r="A721" s="10">
        <v>32</v>
      </c>
      <c r="B721" s="10" t="s">
        <v>1025</v>
      </c>
      <c r="C721" s="10" t="str" cm="1">
        <f t="array" ref="C721">_xlfn.IFS(A721&lt;20, "ภาคกลาง", A721&lt;30, "ภาคตะวันออก", A721&lt;50, "ภาคตะวันออกเฉียงเหนือ", A721&lt;60, "ภาคเหนือ", A721&lt;80, "ภาคกลาง/ตะวันตก", A721&gt;=80, "ภาคใต้")</f>
        <v>ภาคตะวันออกเฉียงเหนือ</v>
      </c>
      <c r="D721" s="64">
        <v>3299</v>
      </c>
      <c r="E721" s="10" t="s">
        <v>1056</v>
      </c>
      <c r="F721" s="10">
        <v>954</v>
      </c>
      <c r="G721" s="10">
        <v>919</v>
      </c>
      <c r="H721" s="11">
        <v>1873</v>
      </c>
      <c r="I721" s="10">
        <v>581</v>
      </c>
      <c r="J721" s="66">
        <f t="shared" si="42"/>
        <v>50.93432995194874</v>
      </c>
      <c r="K721" s="66">
        <f t="shared" si="43"/>
        <v>49.065670048051253</v>
      </c>
    </row>
    <row r="722" spans="1:11" ht="41.4" hidden="1" x14ac:dyDescent="0.3">
      <c r="A722" s="10">
        <v>32</v>
      </c>
      <c r="B722" s="10" t="s">
        <v>1025</v>
      </c>
      <c r="C722" s="10" t="str" cm="1">
        <f t="array" ref="C722">_xlfn.IFS(A722&lt;20, "ภาคกลาง", A722&lt;30, "ภาคตะวันออก", A722&lt;50, "ภาคตะวันออกเฉียงเหนือ", A722&lt;60, "ภาคเหนือ", A722&lt;80, "ภาคกลาง/ตะวันตก", A722&gt;=80, "ภาคใต้")</f>
        <v>ภาคตะวันออกเฉียงเหนือ</v>
      </c>
      <c r="D722" s="10">
        <v>0</v>
      </c>
      <c r="E722" s="10" t="s">
        <v>343</v>
      </c>
      <c r="F722" s="11">
        <v>16914</v>
      </c>
      <c r="G722" s="11">
        <v>19915</v>
      </c>
      <c r="H722" s="11">
        <v>36829</v>
      </c>
      <c r="I722" s="11">
        <v>17507</v>
      </c>
      <c r="J722"/>
      <c r="K722"/>
    </row>
    <row r="723" spans="1:11" ht="41.4" x14ac:dyDescent="0.3">
      <c r="A723" s="10">
        <v>33</v>
      </c>
      <c r="B723" s="10" t="s">
        <v>1057</v>
      </c>
      <c r="C723" s="10" t="str" cm="1">
        <f t="array" ref="C723">_xlfn.IFS(A723&lt;20, "ภาคกลาง", A723&lt;30, "ภาคตะวันออก", A723&lt;50, "ภาคตะวันออกเฉียงเหนือ", A723&lt;60, "ภาคเหนือ", A723&lt;80, "ภาคกลาง/ตะวันตก", A723&gt;=80, "ภาคใต้")</f>
        <v>ภาคตะวันออกเฉียงเหนือ</v>
      </c>
      <c r="D723" s="64">
        <v>3301</v>
      </c>
      <c r="E723" s="10" t="s">
        <v>1058</v>
      </c>
      <c r="F723" s="11">
        <v>717079</v>
      </c>
      <c r="G723" s="11">
        <v>724934</v>
      </c>
      <c r="H723" s="11">
        <v>1442013</v>
      </c>
      <c r="I723" s="11">
        <v>420976</v>
      </c>
      <c r="J723" s="66">
        <f t="shared" ref="J723:J763" si="44">F723/H723*100</f>
        <v>49.727637684264977</v>
      </c>
      <c r="K723" s="66">
        <f t="shared" ref="K723:K763" si="45">G723/H723*100</f>
        <v>50.272362315735023</v>
      </c>
    </row>
    <row r="724" spans="1:11" ht="41.4" x14ac:dyDescent="0.3">
      <c r="A724" s="10">
        <v>33</v>
      </c>
      <c r="B724" s="10" t="s">
        <v>1057</v>
      </c>
      <c r="C724" s="10" t="str" cm="1">
        <f t="array" ref="C724">_xlfn.IFS(A724&lt;20, "ภาคกลาง", A724&lt;30, "ภาคตะวันออก", A724&lt;50, "ภาคตะวันออกเฉียงเหนือ", A724&lt;60, "ภาคเหนือ", A724&lt;80, "ภาคกลาง/ตะวันตก", A724&gt;=80, "ภาคใต้")</f>
        <v>ภาคตะวันออกเฉียงเหนือ</v>
      </c>
      <c r="D724" s="64">
        <v>3302</v>
      </c>
      <c r="E724" s="10" t="s">
        <v>1059</v>
      </c>
      <c r="F724" s="11">
        <v>42715</v>
      </c>
      <c r="G724" s="11">
        <v>44372</v>
      </c>
      <c r="H724" s="11">
        <v>87087</v>
      </c>
      <c r="I724" s="11">
        <v>28641</v>
      </c>
      <c r="J724" s="66">
        <f t="shared" si="44"/>
        <v>49.048652496928355</v>
      </c>
      <c r="K724" s="66">
        <f t="shared" si="45"/>
        <v>50.951347503071645</v>
      </c>
    </row>
    <row r="725" spans="1:11" ht="41.4" x14ac:dyDescent="0.3">
      <c r="A725" s="10">
        <v>33</v>
      </c>
      <c r="B725" s="10" t="s">
        <v>1057</v>
      </c>
      <c r="C725" s="10" t="str" cm="1">
        <f t="array" ref="C725">_xlfn.IFS(A725&lt;20, "ภาคกลาง", A725&lt;30, "ภาคตะวันออก", A725&lt;50, "ภาคตะวันออกเฉียงเหนือ", A725&lt;60, "ภาคเหนือ", A725&lt;80, "ภาคกลาง/ตะวันตก", A725&gt;=80, "ภาคใต้")</f>
        <v>ภาคตะวันออกเฉียงเหนือ</v>
      </c>
      <c r="D725" s="64">
        <v>3303</v>
      </c>
      <c r="E725" s="10" t="s">
        <v>1060</v>
      </c>
      <c r="F725" s="11">
        <v>14566</v>
      </c>
      <c r="G725" s="11">
        <v>14531</v>
      </c>
      <c r="H725" s="11">
        <v>29097</v>
      </c>
      <c r="I725" s="11">
        <v>7868</v>
      </c>
      <c r="J725" s="66">
        <f t="shared" si="44"/>
        <v>50.060143657421733</v>
      </c>
      <c r="K725" s="66">
        <f t="shared" si="45"/>
        <v>49.939856342578267</v>
      </c>
    </row>
    <row r="726" spans="1:11" ht="41.4" x14ac:dyDescent="0.3">
      <c r="A726" s="10">
        <v>33</v>
      </c>
      <c r="B726" s="10" t="s">
        <v>1057</v>
      </c>
      <c r="C726" s="10" t="str" cm="1">
        <f t="array" ref="C726">_xlfn.IFS(A726&lt;20, "ภาคกลาง", A726&lt;30, "ภาคตะวันออก", A726&lt;50, "ภาคตะวันออกเฉียงเหนือ", A726&lt;60, "ภาคเหนือ", A726&lt;80, "ภาคกลาง/ตะวันตก", A726&gt;=80, "ภาคใต้")</f>
        <v>ภาคตะวันออกเฉียงเหนือ</v>
      </c>
      <c r="D726" s="64">
        <v>3304</v>
      </c>
      <c r="E726" s="10" t="s">
        <v>1061</v>
      </c>
      <c r="F726" s="11">
        <v>46036</v>
      </c>
      <c r="G726" s="11">
        <v>46393</v>
      </c>
      <c r="H726" s="11">
        <v>92429</v>
      </c>
      <c r="I726" s="11">
        <v>25518</v>
      </c>
      <c r="J726" s="66">
        <f t="shared" si="44"/>
        <v>49.80687879345227</v>
      </c>
      <c r="K726" s="66">
        <f t="shared" si="45"/>
        <v>50.19312120654773</v>
      </c>
    </row>
    <row r="727" spans="1:11" ht="41.4" x14ac:dyDescent="0.3">
      <c r="A727" s="10">
        <v>33</v>
      </c>
      <c r="B727" s="10" t="s">
        <v>1057</v>
      </c>
      <c r="C727" s="10" t="str" cm="1">
        <f t="array" ref="C727">_xlfn.IFS(A727&lt;20, "ภาคกลาง", A727&lt;30, "ภาคตะวันออก", A727&lt;50, "ภาคตะวันออกเฉียงเหนือ", A727&lt;60, "ภาคเหนือ", A727&lt;80, "ภาคกลาง/ตะวันตก", A727&gt;=80, "ภาคใต้")</f>
        <v>ภาคตะวันออกเฉียงเหนือ</v>
      </c>
      <c r="D727" s="64">
        <v>3305</v>
      </c>
      <c r="E727" s="10" t="s">
        <v>1062</v>
      </c>
      <c r="F727" s="11">
        <v>91830</v>
      </c>
      <c r="G727" s="11">
        <v>91592</v>
      </c>
      <c r="H727" s="11">
        <v>183422</v>
      </c>
      <c r="I727" s="11">
        <v>53433</v>
      </c>
      <c r="J727" s="66">
        <f t="shared" si="44"/>
        <v>50.064877713687558</v>
      </c>
      <c r="K727" s="66">
        <f t="shared" si="45"/>
        <v>49.935122286312442</v>
      </c>
    </row>
    <row r="728" spans="1:11" ht="41.4" x14ac:dyDescent="0.3">
      <c r="A728" s="10">
        <v>33</v>
      </c>
      <c r="B728" s="10" t="s">
        <v>1057</v>
      </c>
      <c r="C728" s="10" t="str" cm="1">
        <f t="array" ref="C728">_xlfn.IFS(A728&lt;20, "ภาคกลาง", A728&lt;30, "ภาคตะวันออก", A728&lt;50, "ภาคตะวันออกเฉียงเหนือ", A728&lt;60, "ภาคเหนือ", A728&lt;80, "ภาคกลาง/ตะวันตก", A728&gt;=80, "ภาคใต้")</f>
        <v>ภาคตะวันออกเฉียงเหนือ</v>
      </c>
      <c r="D728" s="64">
        <v>3306</v>
      </c>
      <c r="E728" s="10" t="s">
        <v>1063</v>
      </c>
      <c r="F728" s="11">
        <v>71639</v>
      </c>
      <c r="G728" s="11">
        <v>72425</v>
      </c>
      <c r="H728" s="11">
        <v>144064</v>
      </c>
      <c r="I728" s="11">
        <v>36720</v>
      </c>
      <c r="J728" s="66">
        <f t="shared" si="44"/>
        <v>49.727204575744118</v>
      </c>
      <c r="K728" s="66">
        <f t="shared" si="45"/>
        <v>50.272795424255889</v>
      </c>
    </row>
    <row r="729" spans="1:11" ht="41.4" x14ac:dyDescent="0.3">
      <c r="A729" s="10">
        <v>33</v>
      </c>
      <c r="B729" s="10" t="s">
        <v>1057</v>
      </c>
      <c r="C729" s="10" t="str" cm="1">
        <f t="array" ref="C729">_xlfn.IFS(A729&lt;20, "ภาคกลาง", A729&lt;30, "ภาคตะวันออก", A729&lt;50, "ภาคตะวันออกเฉียงเหนือ", A729&lt;60, "ภาคเหนือ", A729&lt;80, "ภาคกลาง/ตะวันตก", A729&gt;=80, "ภาคใต้")</f>
        <v>ภาคตะวันออกเฉียงเหนือ</v>
      </c>
      <c r="D729" s="64">
        <v>3307</v>
      </c>
      <c r="E729" s="10" t="s">
        <v>1064</v>
      </c>
      <c r="F729" s="11">
        <v>17830</v>
      </c>
      <c r="G729" s="11">
        <v>18125</v>
      </c>
      <c r="H729" s="11">
        <v>35955</v>
      </c>
      <c r="I729" s="11">
        <v>9420</v>
      </c>
      <c r="J729" s="66">
        <f t="shared" si="44"/>
        <v>49.589764984007786</v>
      </c>
      <c r="K729" s="66">
        <f t="shared" si="45"/>
        <v>50.410235015992214</v>
      </c>
    </row>
    <row r="730" spans="1:11" ht="41.4" x14ac:dyDescent="0.3">
      <c r="A730" s="10">
        <v>33</v>
      </c>
      <c r="B730" s="10" t="s">
        <v>1057</v>
      </c>
      <c r="C730" s="10" t="str" cm="1">
        <f t="array" ref="C730">_xlfn.IFS(A730&lt;20, "ภาคกลาง", A730&lt;30, "ภาคตะวันออก", A730&lt;50, "ภาคตะวันออกเฉียงเหนือ", A730&lt;60, "ภาคเหนือ", A730&lt;80, "ภาคกลาง/ตะวันตก", A730&gt;=80, "ภาคใต้")</f>
        <v>ภาคตะวันออกเฉียงเหนือ</v>
      </c>
      <c r="D730" s="64">
        <v>3308</v>
      </c>
      <c r="E730" s="10" t="s">
        <v>1065</v>
      </c>
      <c r="F730" s="11">
        <v>31041</v>
      </c>
      <c r="G730" s="11">
        <v>31502</v>
      </c>
      <c r="H730" s="11">
        <v>62543</v>
      </c>
      <c r="I730" s="11">
        <v>15738</v>
      </c>
      <c r="J730" s="66">
        <f t="shared" si="44"/>
        <v>49.631453559950756</v>
      </c>
      <c r="K730" s="66">
        <f t="shared" si="45"/>
        <v>50.368546440049244</v>
      </c>
    </row>
    <row r="731" spans="1:11" ht="41.4" x14ac:dyDescent="0.3">
      <c r="A731" s="10">
        <v>33</v>
      </c>
      <c r="B731" s="10" t="s">
        <v>1057</v>
      </c>
      <c r="C731" s="10" t="str" cm="1">
        <f t="array" ref="C731">_xlfn.IFS(A731&lt;20, "ภาคกลาง", A731&lt;30, "ภาคตะวันออก", A731&lt;50, "ภาคตะวันออกเฉียงเหนือ", A731&lt;60, "ภาคเหนือ", A731&lt;80, "ภาคกลาง/ตะวันตก", A731&gt;=80, "ภาคใต้")</f>
        <v>ภาคตะวันออกเฉียงเหนือ</v>
      </c>
      <c r="D731" s="64">
        <v>3309</v>
      </c>
      <c r="E731" s="10" t="s">
        <v>1066</v>
      </c>
      <c r="F731" s="11">
        <v>34004</v>
      </c>
      <c r="G731" s="11">
        <v>34507</v>
      </c>
      <c r="H731" s="11">
        <v>68511</v>
      </c>
      <c r="I731" s="11">
        <v>18826</v>
      </c>
      <c r="J731" s="66">
        <f t="shared" si="44"/>
        <v>49.632905664783756</v>
      </c>
      <c r="K731" s="66">
        <f t="shared" si="45"/>
        <v>50.367094335216244</v>
      </c>
    </row>
    <row r="732" spans="1:11" ht="41.4" x14ac:dyDescent="0.3">
      <c r="A732" s="10">
        <v>33</v>
      </c>
      <c r="B732" s="10" t="s">
        <v>1057</v>
      </c>
      <c r="C732" s="10" t="str" cm="1">
        <f t="array" ref="C732">_xlfn.IFS(A732&lt;20, "ภาคกลาง", A732&lt;30, "ภาคตะวันออก", A732&lt;50, "ภาคตะวันออกเฉียงเหนือ", A732&lt;60, "ภาคเหนือ", A732&lt;80, "ภาคกลาง/ตะวันตก", A732&gt;=80, "ภาคใต้")</f>
        <v>ภาคตะวันออกเฉียงเหนือ</v>
      </c>
      <c r="D732" s="64">
        <v>3310</v>
      </c>
      <c r="E732" s="10" t="s">
        <v>1067</v>
      </c>
      <c r="F732" s="11">
        <v>37070</v>
      </c>
      <c r="G732" s="11">
        <v>37490</v>
      </c>
      <c r="H732" s="11">
        <v>74560</v>
      </c>
      <c r="I732" s="11">
        <v>21004</v>
      </c>
      <c r="J732" s="66">
        <f t="shared" si="44"/>
        <v>49.718347639484975</v>
      </c>
      <c r="K732" s="66">
        <f t="shared" si="45"/>
        <v>50.281652360515018</v>
      </c>
    </row>
    <row r="733" spans="1:11" ht="41.4" x14ac:dyDescent="0.3">
      <c r="A733" s="10">
        <v>33</v>
      </c>
      <c r="B733" s="10" t="s">
        <v>1057</v>
      </c>
      <c r="C733" s="10" t="str" cm="1">
        <f t="array" ref="C733">_xlfn.IFS(A733&lt;20, "ภาคกลาง", A733&lt;30, "ภาคตะวันออก", A733&lt;50, "ภาคตะวันออกเฉียงเหนือ", A733&lt;60, "ภาคเหนือ", A733&lt;80, "ภาคกลาง/ตะวันตก", A733&gt;=80, "ภาคใต้")</f>
        <v>ภาคตะวันออกเฉียงเหนือ</v>
      </c>
      <c r="D733" s="64">
        <v>3311</v>
      </c>
      <c r="E733" s="10" t="s">
        <v>1068</v>
      </c>
      <c r="F733" s="11">
        <v>49943</v>
      </c>
      <c r="G733" s="11">
        <v>50661</v>
      </c>
      <c r="H733" s="11">
        <v>100604</v>
      </c>
      <c r="I733" s="11">
        <v>27568</v>
      </c>
      <c r="J733" s="66">
        <f t="shared" si="44"/>
        <v>49.64315534173592</v>
      </c>
      <c r="K733" s="66">
        <f t="shared" si="45"/>
        <v>50.356844658264087</v>
      </c>
    </row>
    <row r="734" spans="1:11" ht="41.4" x14ac:dyDescent="0.3">
      <c r="A734" s="10">
        <v>33</v>
      </c>
      <c r="B734" s="10" t="s">
        <v>1057</v>
      </c>
      <c r="C734" s="10" t="str" cm="1">
        <f t="array" ref="C734">_xlfn.IFS(A734&lt;20, "ภาคกลาง", A734&lt;30, "ภาคตะวันออก", A734&lt;50, "ภาคตะวันออกเฉียงเหนือ", A734&lt;60, "ภาคเหนือ", A734&lt;80, "ภาคกลาง/ตะวันตก", A734&gt;=80, "ภาคใต้")</f>
        <v>ภาคตะวันออกเฉียงเหนือ</v>
      </c>
      <c r="D734" s="64">
        <v>3312</v>
      </c>
      <c r="E734" s="10" t="s">
        <v>1069</v>
      </c>
      <c r="F734" s="11">
        <v>2167</v>
      </c>
      <c r="G734" s="11">
        <v>2155</v>
      </c>
      <c r="H734" s="11">
        <v>4322</v>
      </c>
      <c r="I734" s="11">
        <v>1140</v>
      </c>
      <c r="J734" s="66">
        <f t="shared" si="44"/>
        <v>50.138824618232306</v>
      </c>
      <c r="K734" s="66">
        <f t="shared" si="45"/>
        <v>49.861175381767701</v>
      </c>
    </row>
    <row r="735" spans="1:11" ht="41.4" x14ac:dyDescent="0.3">
      <c r="A735" s="10">
        <v>33</v>
      </c>
      <c r="B735" s="10" t="s">
        <v>1057</v>
      </c>
      <c r="C735" s="10" t="str" cm="1">
        <f t="array" ref="C735">_xlfn.IFS(A735&lt;20, "ภาคกลาง", A735&lt;30, "ภาคตะวันออก", A735&lt;50, "ภาคตะวันออกเฉียงเหนือ", A735&lt;60, "ภาคเหนือ", A735&lt;80, "ภาคกลาง/ตะวันตก", A735&gt;=80, "ภาคใต้")</f>
        <v>ภาคตะวันออกเฉียงเหนือ</v>
      </c>
      <c r="D735" s="64">
        <v>3313</v>
      </c>
      <c r="E735" s="10" t="s">
        <v>1070</v>
      </c>
      <c r="F735" s="11">
        <v>19339</v>
      </c>
      <c r="G735" s="11">
        <v>19256</v>
      </c>
      <c r="H735" s="11">
        <v>38595</v>
      </c>
      <c r="I735" s="11">
        <v>9348</v>
      </c>
      <c r="J735" s="66">
        <f t="shared" si="44"/>
        <v>50.107526881720432</v>
      </c>
      <c r="K735" s="66">
        <f t="shared" si="45"/>
        <v>49.892473118279568</v>
      </c>
    </row>
    <row r="736" spans="1:11" ht="41.4" x14ac:dyDescent="0.3">
      <c r="A736" s="10">
        <v>33</v>
      </c>
      <c r="B736" s="10" t="s">
        <v>1057</v>
      </c>
      <c r="C736" s="10" t="str" cm="1">
        <f t="array" ref="C736">_xlfn.IFS(A736&lt;20, "ภาคกลาง", A736&lt;30, "ภาคตะวันออก", A736&lt;50, "ภาคตะวันออกเฉียงเหนือ", A736&lt;60, "ภาคเหนือ", A736&lt;80, "ภาคกลาง/ตะวันตก", A736&gt;=80, "ภาคใต้")</f>
        <v>ภาคตะวันออกเฉียงเหนือ</v>
      </c>
      <c r="D736" s="64">
        <v>3314</v>
      </c>
      <c r="E736" s="10" t="s">
        <v>1071</v>
      </c>
      <c r="F736" s="11">
        <v>19720</v>
      </c>
      <c r="G736" s="11">
        <v>19451</v>
      </c>
      <c r="H736" s="11">
        <v>39171</v>
      </c>
      <c r="I736" s="11">
        <v>12562</v>
      </c>
      <c r="J736" s="66">
        <f t="shared" si="44"/>
        <v>50.343366265859949</v>
      </c>
      <c r="K736" s="66">
        <f t="shared" si="45"/>
        <v>49.656633734140051</v>
      </c>
    </row>
    <row r="737" spans="1:11" ht="41.4" x14ac:dyDescent="0.3">
      <c r="A737" s="10">
        <v>33</v>
      </c>
      <c r="B737" s="10" t="s">
        <v>1057</v>
      </c>
      <c r="C737" s="10" t="str" cm="1">
        <f t="array" ref="C737">_xlfn.IFS(A737&lt;20, "ภาคกลาง", A737&lt;30, "ภาคตะวันออก", A737&lt;50, "ภาคตะวันออกเฉียงเหนือ", A737&lt;60, "ภาคเหนือ", A737&lt;80, "ภาคกลาง/ตะวันตก", A737&gt;=80, "ภาคใต้")</f>
        <v>ภาคตะวันออกเฉียงเหนือ</v>
      </c>
      <c r="D737" s="64">
        <v>3315</v>
      </c>
      <c r="E737" s="10" t="s">
        <v>1072</v>
      </c>
      <c r="F737" s="11">
        <v>23906</v>
      </c>
      <c r="G737" s="11">
        <v>24166</v>
      </c>
      <c r="H737" s="11">
        <v>48072</v>
      </c>
      <c r="I737" s="11">
        <v>11885</v>
      </c>
      <c r="J737" s="66">
        <f t="shared" si="44"/>
        <v>49.729572308204361</v>
      </c>
      <c r="K737" s="66">
        <f t="shared" si="45"/>
        <v>50.270427691795639</v>
      </c>
    </row>
    <row r="738" spans="1:11" ht="41.4" x14ac:dyDescent="0.3">
      <c r="A738" s="10">
        <v>33</v>
      </c>
      <c r="B738" s="10" t="s">
        <v>1057</v>
      </c>
      <c r="C738" s="10" t="str" cm="1">
        <f t="array" ref="C738">_xlfn.IFS(A738&lt;20, "ภาคกลาง", A738&lt;30, "ภาคตะวันออก", A738&lt;50, "ภาคตะวันออกเฉียงเหนือ", A738&lt;60, "ภาคเหนือ", A738&lt;80, "ภาคกลาง/ตะวันตก", A738&gt;=80, "ภาคใต้")</f>
        <v>ภาคตะวันออกเฉียงเหนือ</v>
      </c>
      <c r="D738" s="64">
        <v>3316</v>
      </c>
      <c r="E738" s="10" t="s">
        <v>1073</v>
      </c>
      <c r="F738" s="11">
        <v>22413</v>
      </c>
      <c r="G738" s="11">
        <v>21874</v>
      </c>
      <c r="H738" s="11">
        <v>44287</v>
      </c>
      <c r="I738" s="11">
        <v>11748</v>
      </c>
      <c r="J738" s="66">
        <f t="shared" si="44"/>
        <v>50.608530720075876</v>
      </c>
      <c r="K738" s="66">
        <f t="shared" si="45"/>
        <v>49.391469279924131</v>
      </c>
    </row>
    <row r="739" spans="1:11" ht="41.4" x14ac:dyDescent="0.3">
      <c r="A739" s="10">
        <v>33</v>
      </c>
      <c r="B739" s="10" t="s">
        <v>1057</v>
      </c>
      <c r="C739" s="10" t="str" cm="1">
        <f t="array" ref="C739">_xlfn.IFS(A739&lt;20, "ภาคกลาง", A739&lt;30, "ภาคตะวันออก", A739&lt;50, "ภาคตะวันออกเฉียงเหนือ", A739&lt;60, "ภาคเหนือ", A739&lt;80, "ภาคกลาง/ตะวันตก", A739&gt;=80, "ภาคใต้")</f>
        <v>ภาคตะวันออกเฉียงเหนือ</v>
      </c>
      <c r="D739" s="64">
        <v>3317</v>
      </c>
      <c r="E739" s="10" t="s">
        <v>1074</v>
      </c>
      <c r="F739" s="11">
        <v>20179</v>
      </c>
      <c r="G739" s="11">
        <v>20019</v>
      </c>
      <c r="H739" s="11">
        <v>40198</v>
      </c>
      <c r="I739" s="11">
        <v>9938</v>
      </c>
      <c r="J739" s="66">
        <f t="shared" si="44"/>
        <v>50.199014876362</v>
      </c>
      <c r="K739" s="66">
        <f t="shared" si="45"/>
        <v>49.800985123637993</v>
      </c>
    </row>
    <row r="740" spans="1:11" ht="41.4" x14ac:dyDescent="0.3">
      <c r="A740" s="10">
        <v>33</v>
      </c>
      <c r="B740" s="10" t="s">
        <v>1057</v>
      </c>
      <c r="C740" s="10" t="str" cm="1">
        <f t="array" ref="C740">_xlfn.IFS(A740&lt;20, "ภาคกลาง", A740&lt;30, "ภาคตะวันออก", A740&lt;50, "ภาคตะวันออกเฉียงเหนือ", A740&lt;60, "ภาคเหนือ", A740&lt;80, "ภาคกลาง/ตะวันตก", A740&gt;=80, "ภาคใต้")</f>
        <v>ภาคตะวันออกเฉียงเหนือ</v>
      </c>
      <c r="D740" s="64">
        <v>3318</v>
      </c>
      <c r="E740" s="10" t="s">
        <v>1075</v>
      </c>
      <c r="F740" s="11">
        <v>27506</v>
      </c>
      <c r="G740" s="11">
        <v>27098</v>
      </c>
      <c r="H740" s="11">
        <v>54604</v>
      </c>
      <c r="I740" s="11">
        <v>16576</v>
      </c>
      <c r="J740" s="66">
        <f t="shared" si="44"/>
        <v>50.37359900373599</v>
      </c>
      <c r="K740" s="66">
        <f t="shared" si="45"/>
        <v>49.62640099626401</v>
      </c>
    </row>
    <row r="741" spans="1:11" ht="41.4" x14ac:dyDescent="0.3">
      <c r="A741" s="10">
        <v>33</v>
      </c>
      <c r="B741" s="10" t="s">
        <v>1057</v>
      </c>
      <c r="C741" s="10" t="str" cm="1">
        <f t="array" ref="C741">_xlfn.IFS(A741&lt;20, "ภาคกลาง", A741&lt;30, "ภาคตะวันออก", A741&lt;50, "ภาคตะวันออกเฉียงเหนือ", A741&lt;60, "ภาคเหนือ", A741&lt;80, "ภาคกลาง/ตะวันตก", A741&gt;=80, "ภาคใต้")</f>
        <v>ภาคตะวันออกเฉียงเหนือ</v>
      </c>
      <c r="D741" s="64">
        <v>3319</v>
      </c>
      <c r="E741" s="10" t="s">
        <v>1076</v>
      </c>
      <c r="F741" s="11">
        <v>8850</v>
      </c>
      <c r="G741" s="11">
        <v>8702</v>
      </c>
      <c r="H741" s="11">
        <v>17552</v>
      </c>
      <c r="I741" s="11">
        <v>4620</v>
      </c>
      <c r="J741" s="66">
        <f t="shared" si="44"/>
        <v>50.421604375569743</v>
      </c>
      <c r="K741" s="66">
        <f t="shared" si="45"/>
        <v>49.578395624430264</v>
      </c>
    </row>
    <row r="742" spans="1:11" ht="41.4" x14ac:dyDescent="0.3">
      <c r="A742" s="10">
        <v>33</v>
      </c>
      <c r="B742" s="10" t="s">
        <v>1057</v>
      </c>
      <c r="C742" s="10" t="str" cm="1">
        <f t="array" ref="C742">_xlfn.IFS(A742&lt;20, "ภาคกลาง", A742&lt;30, "ภาคตะวันออก", A742&lt;50, "ภาคตะวันออกเฉียงเหนือ", A742&lt;60, "ภาคเหนือ", A742&lt;80, "ภาคกลาง/ตะวันตก", A742&gt;=80, "ภาคใต้")</f>
        <v>ภาคตะวันออกเฉียงเหนือ</v>
      </c>
      <c r="D742" s="64">
        <v>3320</v>
      </c>
      <c r="E742" s="10" t="s">
        <v>1077</v>
      </c>
      <c r="F742" s="11">
        <v>18001</v>
      </c>
      <c r="G742" s="11">
        <v>17785</v>
      </c>
      <c r="H742" s="11">
        <v>35786</v>
      </c>
      <c r="I742" s="11">
        <v>9791</v>
      </c>
      <c r="J742" s="66">
        <f t="shared" si="44"/>
        <v>50.301793997652709</v>
      </c>
      <c r="K742" s="66">
        <f t="shared" si="45"/>
        <v>49.698206002347291</v>
      </c>
    </row>
    <row r="743" spans="1:11" ht="41.4" x14ac:dyDescent="0.3">
      <c r="A743" s="10">
        <v>33</v>
      </c>
      <c r="B743" s="10" t="s">
        <v>1057</v>
      </c>
      <c r="C743" s="10" t="str" cm="1">
        <f t="array" ref="C743">_xlfn.IFS(A743&lt;20, "ภาคกลาง", A743&lt;30, "ภาคตะวันออก", A743&lt;50, "ภาคตะวันออกเฉียงเหนือ", A743&lt;60, "ภาคเหนือ", A743&lt;80, "ภาคกลาง/ตะวันตก", A743&gt;=80, "ภาคใต้")</f>
        <v>ภาคตะวันออกเฉียงเหนือ</v>
      </c>
      <c r="D743" s="64">
        <v>3321</v>
      </c>
      <c r="E743" s="10" t="s">
        <v>1078</v>
      </c>
      <c r="F743" s="11">
        <v>15187</v>
      </c>
      <c r="G743" s="11">
        <v>15508</v>
      </c>
      <c r="H743" s="11">
        <v>30695</v>
      </c>
      <c r="I743" s="11">
        <v>8569</v>
      </c>
      <c r="J743" s="66">
        <f t="shared" si="44"/>
        <v>49.477113536406577</v>
      </c>
      <c r="K743" s="66">
        <f t="shared" si="45"/>
        <v>50.522886463593423</v>
      </c>
    </row>
    <row r="744" spans="1:11" ht="41.4" x14ac:dyDescent="0.3">
      <c r="A744" s="10">
        <v>33</v>
      </c>
      <c r="B744" s="10" t="s">
        <v>1057</v>
      </c>
      <c r="C744" s="10" t="str" cm="1">
        <f t="array" ref="C744">_xlfn.IFS(A744&lt;20, "ภาคกลาง", A744&lt;30, "ภาคตะวันออก", A744&lt;50, "ภาคตะวันออกเฉียงเหนือ", A744&lt;60, "ภาคเหนือ", A744&lt;80, "ภาคกลาง/ตะวันตก", A744&gt;=80, "ภาคใต้")</f>
        <v>ภาคตะวันออกเฉียงเหนือ</v>
      </c>
      <c r="D744" s="64">
        <v>3322</v>
      </c>
      <c r="E744" s="10" t="s">
        <v>1079</v>
      </c>
      <c r="F744" s="11">
        <v>11700</v>
      </c>
      <c r="G744" s="11">
        <v>11682</v>
      </c>
      <c r="H744" s="11">
        <v>23382</v>
      </c>
      <c r="I744" s="11">
        <v>5940</v>
      </c>
      <c r="J744" s="66">
        <f t="shared" si="44"/>
        <v>50.038491147036183</v>
      </c>
      <c r="K744" s="66">
        <f t="shared" si="45"/>
        <v>49.961508852963817</v>
      </c>
    </row>
    <row r="745" spans="1:11" ht="41.4" x14ac:dyDescent="0.3">
      <c r="A745" s="10">
        <v>33</v>
      </c>
      <c r="B745" s="10" t="s">
        <v>1057</v>
      </c>
      <c r="C745" s="10" t="str" cm="1">
        <f t="array" ref="C745">_xlfn.IFS(A745&lt;20, "ภาคกลาง", A745&lt;30, "ภาคตะวันออก", A745&lt;50, "ภาคตะวันออกเฉียงเหนือ", A745&lt;60, "ภาคเหนือ", A745&lt;80, "ภาคกลาง/ตะวันตก", A745&gt;=80, "ภาคใต้")</f>
        <v>ภาคตะวันออกเฉียงเหนือ</v>
      </c>
      <c r="D745" s="64">
        <v>3381</v>
      </c>
      <c r="E745" s="10" t="s">
        <v>1080</v>
      </c>
      <c r="F745" s="11">
        <v>9765</v>
      </c>
      <c r="G745" s="11">
        <v>9663</v>
      </c>
      <c r="H745" s="11">
        <v>19428</v>
      </c>
      <c r="I745" s="11">
        <v>5606</v>
      </c>
      <c r="J745" s="66">
        <f t="shared" si="44"/>
        <v>50.262507720815321</v>
      </c>
      <c r="K745" s="66">
        <f t="shared" si="45"/>
        <v>49.737492279184679</v>
      </c>
    </row>
    <row r="746" spans="1:11" ht="41.4" x14ac:dyDescent="0.3">
      <c r="A746" s="10">
        <v>33</v>
      </c>
      <c r="B746" s="10" t="s">
        <v>1057</v>
      </c>
      <c r="C746" s="10" t="str" cm="1">
        <f t="array" ref="C746">_xlfn.IFS(A746&lt;20, "ภาคกลาง", A746&lt;30, "ภาคตะวันออก", A746&lt;50, "ภาคตะวันออกเฉียงเหนือ", A746&lt;60, "ภาคเหนือ", A746&lt;80, "ภาคกลาง/ตะวันตก", A746&gt;=80, "ภาคใต้")</f>
        <v>ภาคตะวันออกเฉียงเหนือ</v>
      </c>
      <c r="D746" s="64">
        <v>3382</v>
      </c>
      <c r="E746" s="10" t="s">
        <v>1081</v>
      </c>
      <c r="F746" s="11">
        <v>5137</v>
      </c>
      <c r="G746" s="11">
        <v>5017</v>
      </c>
      <c r="H746" s="11">
        <v>10154</v>
      </c>
      <c r="I746" s="11">
        <v>2868</v>
      </c>
      <c r="J746" s="66">
        <f t="shared" si="44"/>
        <v>50.590900137876702</v>
      </c>
      <c r="K746" s="66">
        <f t="shared" si="45"/>
        <v>49.409099862123298</v>
      </c>
    </row>
    <row r="747" spans="1:11" ht="41.4" x14ac:dyDescent="0.3">
      <c r="A747" s="10">
        <v>33</v>
      </c>
      <c r="B747" s="10" t="s">
        <v>1057</v>
      </c>
      <c r="C747" s="10" t="str" cm="1">
        <f t="array" ref="C747">_xlfn.IFS(A747&lt;20, "ภาคกลาง", A747&lt;30, "ภาคตะวันออก", A747&lt;50, "ภาคตะวันออกเฉียงเหนือ", A747&lt;60, "ภาคเหนือ", A747&lt;80, "ภาคกลาง/ตะวันตก", A747&gt;=80, "ภาคใต้")</f>
        <v>ภาคตะวันออกเฉียงเหนือ</v>
      </c>
      <c r="D747" s="64">
        <v>3383</v>
      </c>
      <c r="E747" s="10" t="s">
        <v>1082</v>
      </c>
      <c r="F747" s="11">
        <v>4570</v>
      </c>
      <c r="G747" s="11">
        <v>4392</v>
      </c>
      <c r="H747" s="11">
        <v>8962</v>
      </c>
      <c r="I747" s="11">
        <v>2375</v>
      </c>
      <c r="J747" s="66">
        <f t="shared" si="44"/>
        <v>50.9930819013613</v>
      </c>
      <c r="K747" s="66">
        <f t="shared" si="45"/>
        <v>49.0069180986387</v>
      </c>
    </row>
    <row r="748" spans="1:11" ht="41.4" x14ac:dyDescent="0.3">
      <c r="A748" s="10">
        <v>33</v>
      </c>
      <c r="B748" s="10" t="s">
        <v>1057</v>
      </c>
      <c r="C748" s="10" t="str" cm="1">
        <f t="array" ref="C748">_xlfn.IFS(A748&lt;20, "ภาคกลาง", A748&lt;30, "ภาคตะวันออก", A748&lt;50, "ภาคตะวันออกเฉียงเหนือ", A748&lt;60, "ภาคเหนือ", A748&lt;80, "ภาคกลาง/ตะวันตก", A748&gt;=80, "ภาคใต้")</f>
        <v>ภาคตะวันออกเฉียงเหนือ</v>
      </c>
      <c r="D748" s="64">
        <v>3384</v>
      </c>
      <c r="E748" s="10" t="s">
        <v>1083</v>
      </c>
      <c r="F748" s="11">
        <v>4306</v>
      </c>
      <c r="G748" s="11">
        <v>4439</v>
      </c>
      <c r="H748" s="11">
        <v>8745</v>
      </c>
      <c r="I748" s="11">
        <v>2298</v>
      </c>
      <c r="J748" s="66">
        <f t="shared" si="44"/>
        <v>49.239565465980561</v>
      </c>
      <c r="K748" s="66">
        <f t="shared" si="45"/>
        <v>50.760434534019439</v>
      </c>
    </row>
    <row r="749" spans="1:11" ht="41.4" x14ac:dyDescent="0.3">
      <c r="A749" s="10">
        <v>33</v>
      </c>
      <c r="B749" s="10" t="s">
        <v>1057</v>
      </c>
      <c r="C749" s="10" t="str" cm="1">
        <f t="array" ref="C749">_xlfn.IFS(A749&lt;20, "ภาคกลาง", A749&lt;30, "ภาคตะวันออก", A749&lt;50, "ภาคตะวันออกเฉียงเหนือ", A749&lt;60, "ภาคเหนือ", A749&lt;80, "ภาคกลาง/ตะวันตก", A749&gt;=80, "ภาคใต้")</f>
        <v>ภาคตะวันออกเฉียงเหนือ</v>
      </c>
      <c r="D749" s="64">
        <v>3385</v>
      </c>
      <c r="E749" s="10" t="s">
        <v>1084</v>
      </c>
      <c r="F749" s="11">
        <v>5162</v>
      </c>
      <c r="G749" s="11">
        <v>5348</v>
      </c>
      <c r="H749" s="11">
        <v>10510</v>
      </c>
      <c r="I749" s="11">
        <v>3175</v>
      </c>
      <c r="J749" s="66">
        <f t="shared" si="44"/>
        <v>49.115128449096105</v>
      </c>
      <c r="K749" s="66">
        <f t="shared" si="45"/>
        <v>50.884871550903895</v>
      </c>
    </row>
    <row r="750" spans="1:11" ht="41.4" x14ac:dyDescent="0.3">
      <c r="A750" s="10">
        <v>33</v>
      </c>
      <c r="B750" s="10" t="s">
        <v>1057</v>
      </c>
      <c r="C750" s="10" t="str" cm="1">
        <f t="array" ref="C750">_xlfn.IFS(A750&lt;20, "ภาคกลาง", A750&lt;30, "ภาคตะวันออก", A750&lt;50, "ภาคตะวันออกเฉียงเหนือ", A750&lt;60, "ภาคเหนือ", A750&lt;80, "ภาคกลาง/ตะวันตก", A750&gt;=80, "ภาคใต้")</f>
        <v>ภาคตะวันออกเฉียงเหนือ</v>
      </c>
      <c r="D750" s="64">
        <v>3386</v>
      </c>
      <c r="E750" s="10" t="s">
        <v>1085</v>
      </c>
      <c r="F750" s="11">
        <v>4538</v>
      </c>
      <c r="G750" s="11">
        <v>4519</v>
      </c>
      <c r="H750" s="11">
        <v>9057</v>
      </c>
      <c r="I750" s="11">
        <v>2123</v>
      </c>
      <c r="J750" s="66">
        <f t="shared" si="44"/>
        <v>50.104891244341395</v>
      </c>
      <c r="K750" s="66">
        <f t="shared" si="45"/>
        <v>49.895108755658605</v>
      </c>
    </row>
    <row r="751" spans="1:11" ht="41.4" x14ac:dyDescent="0.3">
      <c r="A751" s="10">
        <v>33</v>
      </c>
      <c r="B751" s="10" t="s">
        <v>1057</v>
      </c>
      <c r="C751" s="10" t="str" cm="1">
        <f t="array" ref="C751">_xlfn.IFS(A751&lt;20, "ภาคกลาง", A751&lt;30, "ภาคตะวันออก", A751&lt;50, "ภาคตะวันออกเฉียงเหนือ", A751&lt;60, "ภาคเหนือ", A751&lt;80, "ภาคกลาง/ตะวันตก", A751&gt;=80, "ภาคใต้")</f>
        <v>ภาคตะวันออกเฉียงเหนือ</v>
      </c>
      <c r="D751" s="64">
        <v>3387</v>
      </c>
      <c r="E751" s="10" t="s">
        <v>1086</v>
      </c>
      <c r="F751" s="11">
        <v>1920</v>
      </c>
      <c r="G751" s="11">
        <v>1952</v>
      </c>
      <c r="H751" s="11">
        <v>3872</v>
      </c>
      <c r="I751" s="11">
        <v>1540</v>
      </c>
      <c r="J751" s="66">
        <f t="shared" si="44"/>
        <v>49.586776859504134</v>
      </c>
      <c r="K751" s="66">
        <f t="shared" si="45"/>
        <v>50.413223140495866</v>
      </c>
    </row>
    <row r="752" spans="1:11" ht="41.4" x14ac:dyDescent="0.3">
      <c r="A752" s="10">
        <v>33</v>
      </c>
      <c r="B752" s="10" t="s">
        <v>1057</v>
      </c>
      <c r="C752" s="10" t="str" cm="1">
        <f t="array" ref="C752">_xlfn.IFS(A752&lt;20, "ภาคกลาง", A752&lt;30, "ภาคตะวันออก", A752&lt;50, "ภาคตะวันออกเฉียงเหนือ", A752&lt;60, "ภาคเหนือ", A752&lt;80, "ภาคกลาง/ตะวันตก", A752&gt;=80, "ภาคใต้")</f>
        <v>ภาคตะวันออกเฉียงเหนือ</v>
      </c>
      <c r="D752" s="64">
        <v>3388</v>
      </c>
      <c r="E752" s="10" t="s">
        <v>1087</v>
      </c>
      <c r="F752" s="11">
        <v>2242</v>
      </c>
      <c r="G752" s="11">
        <v>2325</v>
      </c>
      <c r="H752" s="11">
        <v>4567</v>
      </c>
      <c r="I752" s="11">
        <v>1503</v>
      </c>
      <c r="J752" s="66">
        <f t="shared" si="44"/>
        <v>49.091307203853738</v>
      </c>
      <c r="K752" s="66">
        <f t="shared" si="45"/>
        <v>50.908692796146269</v>
      </c>
    </row>
    <row r="753" spans="1:11" ht="41.4" x14ac:dyDescent="0.3">
      <c r="A753" s="10">
        <v>33</v>
      </c>
      <c r="B753" s="10" t="s">
        <v>1057</v>
      </c>
      <c r="C753" s="10" t="str" cm="1">
        <f t="array" ref="C753">_xlfn.IFS(A753&lt;20, "ภาคกลาง", A753&lt;30, "ภาคตะวันออก", A753&lt;50, "ภาคตะวันออกเฉียงเหนือ", A753&lt;60, "ภาคเหนือ", A753&lt;80, "ภาคกลาง/ตะวันตก", A753&gt;=80, "ภาคใต้")</f>
        <v>ภาคตะวันออกเฉียงเหนือ</v>
      </c>
      <c r="D753" s="64">
        <v>3389</v>
      </c>
      <c r="E753" s="10" t="s">
        <v>1088</v>
      </c>
      <c r="F753" s="11">
        <v>1656</v>
      </c>
      <c r="G753" s="11">
        <v>1611</v>
      </c>
      <c r="H753" s="11">
        <v>3267</v>
      </c>
      <c r="I753" s="11">
        <v>1110</v>
      </c>
      <c r="J753" s="66">
        <f t="shared" si="44"/>
        <v>50.688705234159784</v>
      </c>
      <c r="K753" s="66">
        <f t="shared" si="45"/>
        <v>49.311294765840216</v>
      </c>
    </row>
    <row r="754" spans="1:11" ht="41.4" x14ac:dyDescent="0.3">
      <c r="A754" s="10">
        <v>33</v>
      </c>
      <c r="B754" s="10" t="s">
        <v>1057</v>
      </c>
      <c r="C754" s="10" t="str" cm="1">
        <f t="array" ref="C754">_xlfn.IFS(A754&lt;20, "ภาคกลาง", A754&lt;30, "ภาคตะวันออก", A754&lt;50, "ภาคตะวันออกเฉียงเหนือ", A754&lt;60, "ภาคเหนือ", A754&lt;80, "ภาคกลาง/ตะวันตก", A754&gt;=80, "ภาคใต้")</f>
        <v>ภาคตะวันออกเฉียงเหนือ</v>
      </c>
      <c r="D754" s="64">
        <v>3390</v>
      </c>
      <c r="E754" s="10" t="s">
        <v>1089</v>
      </c>
      <c r="F754" s="11">
        <v>2904</v>
      </c>
      <c r="G754" s="11">
        <v>3045</v>
      </c>
      <c r="H754" s="11">
        <v>5949</v>
      </c>
      <c r="I754" s="11">
        <v>1914</v>
      </c>
      <c r="J754" s="66">
        <f t="shared" si="44"/>
        <v>48.81492687846697</v>
      </c>
      <c r="K754" s="66">
        <f t="shared" si="45"/>
        <v>51.18507312153303</v>
      </c>
    </row>
    <row r="755" spans="1:11" ht="41.4" x14ac:dyDescent="0.3">
      <c r="A755" s="10">
        <v>33</v>
      </c>
      <c r="B755" s="10" t="s">
        <v>1057</v>
      </c>
      <c r="C755" s="10" t="str" cm="1">
        <f t="array" ref="C755">_xlfn.IFS(A755&lt;20, "ภาคกลาง", A755&lt;30, "ภาคตะวันออก", A755&lt;50, "ภาคตะวันออกเฉียงเหนือ", A755&lt;60, "ภาคเหนือ", A755&lt;80, "ภาคกลาง/ตะวันตก", A755&gt;=80, "ภาคใต้")</f>
        <v>ภาคตะวันออกเฉียงเหนือ</v>
      </c>
      <c r="D755" s="64">
        <v>3391</v>
      </c>
      <c r="E755" s="10" t="s">
        <v>953</v>
      </c>
      <c r="F755" s="11">
        <v>1196</v>
      </c>
      <c r="G755" s="11">
        <v>1314</v>
      </c>
      <c r="H755" s="11">
        <v>2510</v>
      </c>
      <c r="I755" s="11">
        <v>1354</v>
      </c>
      <c r="J755" s="66">
        <f t="shared" si="44"/>
        <v>47.649402390438247</v>
      </c>
      <c r="K755" s="66">
        <f t="shared" si="45"/>
        <v>52.350597609561753</v>
      </c>
    </row>
    <row r="756" spans="1:11" ht="41.4" x14ac:dyDescent="0.3">
      <c r="A756" s="10">
        <v>33</v>
      </c>
      <c r="B756" s="10" t="s">
        <v>1057</v>
      </c>
      <c r="C756" s="10" t="str" cm="1">
        <f t="array" ref="C756">_xlfn.IFS(A756&lt;20, "ภาคกลาง", A756&lt;30, "ภาคตะวันออก", A756&lt;50, "ภาคตะวันออกเฉียงเหนือ", A756&lt;60, "ภาคเหนือ", A756&lt;80, "ภาคกลาง/ตะวันตก", A756&gt;=80, "ภาคใต้")</f>
        <v>ภาคตะวันออกเฉียงเหนือ</v>
      </c>
      <c r="D756" s="64">
        <v>3392</v>
      </c>
      <c r="E756" s="10" t="s">
        <v>1090</v>
      </c>
      <c r="F756" s="11">
        <v>1831</v>
      </c>
      <c r="G756" s="11">
        <v>1962</v>
      </c>
      <c r="H756" s="11">
        <v>3793</v>
      </c>
      <c r="I756" s="11">
        <v>2165</v>
      </c>
      <c r="J756" s="66">
        <f t="shared" si="44"/>
        <v>48.273134721856046</v>
      </c>
      <c r="K756" s="66">
        <f t="shared" si="45"/>
        <v>51.726865278143954</v>
      </c>
    </row>
    <row r="757" spans="1:11" ht="41.4" x14ac:dyDescent="0.3">
      <c r="A757" s="10">
        <v>33</v>
      </c>
      <c r="B757" s="10" t="s">
        <v>1057</v>
      </c>
      <c r="C757" s="10" t="str" cm="1">
        <f t="array" ref="C757">_xlfn.IFS(A757&lt;20, "ภาคกลาง", A757&lt;30, "ภาคตะวันออก", A757&lt;50, "ภาคตะวันออกเฉียงเหนือ", A757&lt;60, "ภาคเหนือ", A757&lt;80, "ภาคกลาง/ตะวันตก", A757&gt;=80, "ภาคใต้")</f>
        <v>ภาคตะวันออกเฉียงเหนือ</v>
      </c>
      <c r="D757" s="64">
        <v>3393</v>
      </c>
      <c r="E757" s="10" t="s">
        <v>1091</v>
      </c>
      <c r="F757" s="11">
        <v>5232</v>
      </c>
      <c r="G757" s="11">
        <v>5348</v>
      </c>
      <c r="H757" s="11">
        <v>10580</v>
      </c>
      <c r="I757" s="11">
        <v>3936</v>
      </c>
      <c r="J757" s="66">
        <f t="shared" si="44"/>
        <v>49.45179584120983</v>
      </c>
      <c r="K757" s="66">
        <f t="shared" si="45"/>
        <v>50.548204158790163</v>
      </c>
    </row>
    <row r="758" spans="1:11" ht="41.4" x14ac:dyDescent="0.3">
      <c r="A758" s="10">
        <v>33</v>
      </c>
      <c r="B758" s="10" t="s">
        <v>1057</v>
      </c>
      <c r="C758" s="10" t="str" cm="1">
        <f t="array" ref="C758">_xlfn.IFS(A758&lt;20, "ภาคกลาง", A758&lt;30, "ภาคตะวันออก", A758&lt;50, "ภาคตะวันออกเฉียงเหนือ", A758&lt;60, "ภาคเหนือ", A758&lt;80, "ภาคกลาง/ตะวันตก", A758&gt;=80, "ภาคใต้")</f>
        <v>ภาคตะวันออกเฉียงเหนือ</v>
      </c>
      <c r="D758" s="64">
        <v>3394</v>
      </c>
      <c r="E758" s="10" t="s">
        <v>1092</v>
      </c>
      <c r="F758" s="11">
        <v>1365</v>
      </c>
      <c r="G758" s="11">
        <v>1409</v>
      </c>
      <c r="H758" s="11">
        <v>2774</v>
      </c>
      <c r="I758" s="11">
        <v>1382</v>
      </c>
      <c r="J758" s="66">
        <f t="shared" si="44"/>
        <v>49.206921413121847</v>
      </c>
      <c r="K758" s="66">
        <f t="shared" si="45"/>
        <v>50.79307858687816</v>
      </c>
    </row>
    <row r="759" spans="1:11" ht="41.4" x14ac:dyDescent="0.3">
      <c r="A759" s="10">
        <v>33</v>
      </c>
      <c r="B759" s="10" t="s">
        <v>1057</v>
      </c>
      <c r="C759" s="10" t="str" cm="1">
        <f t="array" ref="C759">_xlfn.IFS(A759&lt;20, "ภาคกลาง", A759&lt;30, "ภาคตะวันออก", A759&lt;50, "ภาคตะวันออกเฉียงเหนือ", A759&lt;60, "ภาคเหนือ", A759&lt;80, "ภาคกลาง/ตะวันตก", A759&gt;=80, "ภาคใต้")</f>
        <v>ภาคตะวันออกเฉียงเหนือ</v>
      </c>
      <c r="D759" s="64">
        <v>3395</v>
      </c>
      <c r="E759" s="10" t="s">
        <v>1093</v>
      </c>
      <c r="F759" s="11">
        <v>5368</v>
      </c>
      <c r="G759" s="11">
        <v>5399</v>
      </c>
      <c r="H759" s="11">
        <v>10767</v>
      </c>
      <c r="I759" s="11">
        <v>3078</v>
      </c>
      <c r="J759" s="66">
        <f t="shared" si="44"/>
        <v>49.856041608618931</v>
      </c>
      <c r="K759" s="66">
        <f t="shared" si="45"/>
        <v>50.143958391381069</v>
      </c>
    </row>
    <row r="760" spans="1:11" ht="41.4" x14ac:dyDescent="0.3">
      <c r="A760" s="10">
        <v>33</v>
      </c>
      <c r="B760" s="10" t="s">
        <v>1057</v>
      </c>
      <c r="C760" s="10" t="str" cm="1">
        <f t="array" ref="C760">_xlfn.IFS(A760&lt;20, "ภาคกลาง", A760&lt;30, "ภาคตะวันออก", A760&lt;50, "ภาคตะวันออกเฉียงเหนือ", A760&lt;60, "ภาคเหนือ", A760&lt;80, "ภาคกลาง/ตะวันตก", A760&gt;=80, "ภาคใต้")</f>
        <v>ภาคตะวันออกเฉียงเหนือ</v>
      </c>
      <c r="D760" s="64">
        <v>3396</v>
      </c>
      <c r="E760" s="10" t="s">
        <v>1094</v>
      </c>
      <c r="F760" s="11">
        <v>1994</v>
      </c>
      <c r="G760" s="11">
        <v>2116</v>
      </c>
      <c r="H760" s="11">
        <v>4110</v>
      </c>
      <c r="I760" s="11">
        <v>2200</v>
      </c>
      <c r="J760" s="66">
        <f t="shared" si="44"/>
        <v>48.515815085158145</v>
      </c>
      <c r="K760" s="66">
        <f t="shared" si="45"/>
        <v>51.484184914841848</v>
      </c>
    </row>
    <row r="761" spans="1:11" ht="41.4" x14ac:dyDescent="0.3">
      <c r="A761" s="10">
        <v>33</v>
      </c>
      <c r="B761" s="10" t="s">
        <v>1057</v>
      </c>
      <c r="C761" s="10" t="str" cm="1">
        <f t="array" ref="C761">_xlfn.IFS(A761&lt;20, "ภาคกลาง", A761&lt;30, "ภาคตะวันออก", A761&lt;50, "ภาคตะวันออกเฉียงเหนือ", A761&lt;60, "ภาคเหนือ", A761&lt;80, "ภาคกลาง/ตะวันตก", A761&gt;=80, "ภาคใต้")</f>
        <v>ภาคตะวันออกเฉียงเหนือ</v>
      </c>
      <c r="D761" s="64">
        <v>3397</v>
      </c>
      <c r="E761" s="10" t="s">
        <v>1095</v>
      </c>
      <c r="F761" s="11">
        <v>8185</v>
      </c>
      <c r="G761" s="11">
        <v>8975</v>
      </c>
      <c r="H761" s="11">
        <v>17160</v>
      </c>
      <c r="I761" s="11">
        <v>7867</v>
      </c>
      <c r="J761" s="66">
        <f t="shared" si="44"/>
        <v>47.698135198135198</v>
      </c>
      <c r="K761" s="66">
        <f t="shared" si="45"/>
        <v>52.301864801864809</v>
      </c>
    </row>
    <row r="762" spans="1:11" ht="41.4" x14ac:dyDescent="0.3">
      <c r="A762" s="10">
        <v>33</v>
      </c>
      <c r="B762" s="10" t="s">
        <v>1057</v>
      </c>
      <c r="C762" s="10" t="str" cm="1">
        <f t="array" ref="C762">_xlfn.IFS(A762&lt;20, "ภาคกลาง", A762&lt;30, "ภาคตะวันออก", A762&lt;50, "ภาคตะวันออกเฉียงเหนือ", A762&lt;60, "ภาคเหนือ", A762&lt;80, "ภาคกลาง/ตะวันตก", A762&gt;=80, "ภาคใต้")</f>
        <v>ภาคตะวันออกเฉียงเหนือ</v>
      </c>
      <c r="D762" s="64">
        <v>3398</v>
      </c>
      <c r="E762" s="10" t="s">
        <v>1096</v>
      </c>
      <c r="F762" s="11">
        <v>2831</v>
      </c>
      <c r="G762" s="11">
        <v>3086</v>
      </c>
      <c r="H762" s="11">
        <v>5917</v>
      </c>
      <c r="I762" s="11">
        <v>3346</v>
      </c>
      <c r="J762" s="66">
        <f t="shared" si="44"/>
        <v>47.845191820179146</v>
      </c>
      <c r="K762" s="66">
        <f t="shared" si="45"/>
        <v>52.154808179820854</v>
      </c>
    </row>
    <row r="763" spans="1:11" ht="41.4" x14ac:dyDescent="0.3">
      <c r="A763" s="10">
        <v>33</v>
      </c>
      <c r="B763" s="10" t="s">
        <v>1057</v>
      </c>
      <c r="C763" s="10" t="str" cm="1">
        <f t="array" ref="C763">_xlfn.IFS(A763&lt;20, "ภาคกลาง", A763&lt;30, "ภาคตะวันออก", A763&lt;50, "ภาคตะวันออกเฉียงเหนือ", A763&lt;60, "ภาคเหนือ", A763&lt;80, "ภาคกลาง/ตะวันตก", A763&gt;=80, "ภาคใต้")</f>
        <v>ภาคตะวันออกเฉียงเหนือ</v>
      </c>
      <c r="D763" s="64">
        <v>3399</v>
      </c>
      <c r="E763" s="10" t="s">
        <v>1097</v>
      </c>
      <c r="F763" s="11">
        <v>3038</v>
      </c>
      <c r="G763" s="11">
        <v>3171</v>
      </c>
      <c r="H763" s="11">
        <v>6209</v>
      </c>
      <c r="I763" s="11">
        <v>2522</v>
      </c>
      <c r="J763" s="66">
        <f t="shared" si="44"/>
        <v>48.928974069898537</v>
      </c>
      <c r="K763" s="66">
        <f t="shared" si="45"/>
        <v>51.071025930101463</v>
      </c>
    </row>
    <row r="764" spans="1:11" ht="41.4" hidden="1" x14ac:dyDescent="0.3">
      <c r="A764" s="10">
        <v>33</v>
      </c>
      <c r="B764" s="10" t="s">
        <v>1057</v>
      </c>
      <c r="C764" s="10" t="str" cm="1">
        <f t="array" ref="C764">_xlfn.IFS(A764&lt;20, "ภาคกลาง", A764&lt;30, "ภาคตะวันออก", A764&lt;50, "ภาคตะวันออกเฉียงเหนือ", A764&lt;60, "ภาคเหนือ", A764&lt;80, "ภาคกลาง/ตะวันตก", A764&gt;=80, "ภาคใต้")</f>
        <v>ภาคตะวันออกเฉียงเหนือ</v>
      </c>
      <c r="D764" s="10">
        <v>0</v>
      </c>
      <c r="E764" s="10" t="s">
        <v>343</v>
      </c>
      <c r="F764" s="11">
        <v>18197</v>
      </c>
      <c r="G764" s="11">
        <v>20549</v>
      </c>
      <c r="H764" s="11">
        <v>38746</v>
      </c>
      <c r="I764" s="11">
        <v>21761</v>
      </c>
      <c r="J764"/>
      <c r="K764"/>
    </row>
    <row r="765" spans="1:11" ht="41.4" x14ac:dyDescent="0.3">
      <c r="A765" s="10">
        <v>34</v>
      </c>
      <c r="B765" s="10" t="s">
        <v>1098</v>
      </c>
      <c r="C765" s="10" t="str" cm="1">
        <f t="array" ref="C765">_xlfn.IFS(A765&lt;20, "ภาคกลาง", A765&lt;30, "ภาคตะวันออก", A765&lt;50, "ภาคตะวันออกเฉียงเหนือ", A765&lt;60, "ภาคเหนือ", A765&lt;80, "ภาคกลาง/ตะวันตก", A765&gt;=80, "ภาคใต้")</f>
        <v>ภาคตะวันออกเฉียงเหนือ</v>
      </c>
      <c r="D765" s="64">
        <v>3401</v>
      </c>
      <c r="E765" s="10" t="s">
        <v>1099</v>
      </c>
      <c r="F765" s="11">
        <v>929772</v>
      </c>
      <c r="G765" s="11">
        <v>938170</v>
      </c>
      <c r="H765" s="11">
        <v>1867942</v>
      </c>
      <c r="I765" s="11">
        <v>661003</v>
      </c>
      <c r="J765" s="66">
        <f t="shared" ref="J765:J826" si="46">F765/H765*100</f>
        <v>49.775207153112895</v>
      </c>
      <c r="K765" s="66">
        <f t="shared" ref="K765:K826" si="47">G765/H765*100</f>
        <v>50.224792846887112</v>
      </c>
    </row>
    <row r="766" spans="1:11" ht="41.4" x14ac:dyDescent="0.3">
      <c r="A766" s="10">
        <v>34</v>
      </c>
      <c r="B766" s="10" t="s">
        <v>1098</v>
      </c>
      <c r="C766" s="10" t="str" cm="1">
        <f t="array" ref="C766">_xlfn.IFS(A766&lt;20, "ภาคกลาง", A766&lt;30, "ภาคตะวันออก", A766&lt;50, "ภาคตะวันออกเฉียงเหนือ", A766&lt;60, "ภาคเหนือ", A766&lt;80, "ภาคกลาง/ตะวันตก", A766&gt;=80, "ภาคใต้")</f>
        <v>ภาคตะวันออกเฉียงเหนือ</v>
      </c>
      <c r="D766" s="64">
        <v>3402</v>
      </c>
      <c r="E766" s="10" t="s">
        <v>1100</v>
      </c>
      <c r="F766" s="11">
        <v>48202</v>
      </c>
      <c r="G766" s="11">
        <v>50196</v>
      </c>
      <c r="H766" s="11">
        <v>98398</v>
      </c>
      <c r="I766" s="11">
        <v>38838</v>
      </c>
      <c r="J766" s="66">
        <f t="shared" si="46"/>
        <v>48.986768023740318</v>
      </c>
      <c r="K766" s="66">
        <f t="shared" si="47"/>
        <v>51.013231976259675</v>
      </c>
    </row>
    <row r="767" spans="1:11" ht="41.4" x14ac:dyDescent="0.3">
      <c r="A767" s="10">
        <v>34</v>
      </c>
      <c r="B767" s="10" t="s">
        <v>1098</v>
      </c>
      <c r="C767" s="10" t="str" cm="1">
        <f t="array" ref="C767">_xlfn.IFS(A767&lt;20, "ภาคกลาง", A767&lt;30, "ภาคตะวันออก", A767&lt;50, "ภาคตะวันออกเฉียงเหนือ", A767&lt;60, "ภาคเหนือ", A767&lt;80, "ภาคกลาง/ตะวันตก", A767&gt;=80, "ภาคใต้")</f>
        <v>ภาคตะวันออกเฉียงเหนือ</v>
      </c>
      <c r="D767" s="64">
        <v>3403</v>
      </c>
      <c r="E767" s="10" t="s">
        <v>1101</v>
      </c>
      <c r="F767" s="11">
        <v>33605</v>
      </c>
      <c r="G767" s="11">
        <v>33061</v>
      </c>
      <c r="H767" s="11">
        <v>66666</v>
      </c>
      <c r="I767" s="11">
        <v>20190</v>
      </c>
      <c r="J767" s="66">
        <f t="shared" si="46"/>
        <v>50.408004080040804</v>
      </c>
      <c r="K767" s="66">
        <f t="shared" si="47"/>
        <v>49.591995919959196</v>
      </c>
    </row>
    <row r="768" spans="1:11" ht="41.4" x14ac:dyDescent="0.3">
      <c r="A768" s="10">
        <v>34</v>
      </c>
      <c r="B768" s="10" t="s">
        <v>1098</v>
      </c>
      <c r="C768" s="10" t="str" cm="1">
        <f t="array" ref="C768">_xlfn.IFS(A768&lt;20, "ภาคกลาง", A768&lt;30, "ภาคตะวันออก", A768&lt;50, "ภาคตะวันออกเฉียงเหนือ", A768&lt;60, "ภาคเหนือ", A768&lt;80, "ภาคกลาง/ตะวันตก", A768&gt;=80, "ภาคใต้")</f>
        <v>ภาคตะวันออกเฉียงเหนือ</v>
      </c>
      <c r="D768" s="64">
        <v>3404</v>
      </c>
      <c r="E768" s="10" t="s">
        <v>1102</v>
      </c>
      <c r="F768" s="11">
        <v>18294</v>
      </c>
      <c r="G768" s="11">
        <v>18033</v>
      </c>
      <c r="H768" s="11">
        <v>36327</v>
      </c>
      <c r="I768" s="11">
        <v>10854</v>
      </c>
      <c r="J768" s="66">
        <f t="shared" si="46"/>
        <v>50.359236931208194</v>
      </c>
      <c r="K768" s="66">
        <f t="shared" si="47"/>
        <v>49.640763068791813</v>
      </c>
    </row>
    <row r="769" spans="1:11" ht="41.4" x14ac:dyDescent="0.3">
      <c r="A769" s="10">
        <v>34</v>
      </c>
      <c r="B769" s="10" t="s">
        <v>1098</v>
      </c>
      <c r="C769" s="10" t="str" cm="1">
        <f t="array" ref="C769">_xlfn.IFS(A769&lt;20, "ภาคกลาง", A769&lt;30, "ภาคตะวันออก", A769&lt;50, "ภาคตะวันออกเฉียงเหนือ", A769&lt;60, "ภาคเหนือ", A769&lt;80, "ภาคกลาง/ตะวันตก", A769&gt;=80, "ภาคใต้")</f>
        <v>ภาคตะวันออกเฉียงเหนือ</v>
      </c>
      <c r="D769" s="64">
        <v>3405</v>
      </c>
      <c r="E769" s="10" t="s">
        <v>1103</v>
      </c>
      <c r="F769" s="11">
        <v>49824</v>
      </c>
      <c r="G769" s="11">
        <v>50848</v>
      </c>
      <c r="H769" s="11">
        <v>100672</v>
      </c>
      <c r="I769" s="11">
        <v>29244</v>
      </c>
      <c r="J769" s="66">
        <f t="shared" si="46"/>
        <v>49.491417673235851</v>
      </c>
      <c r="K769" s="66">
        <f t="shared" si="47"/>
        <v>50.508582326764142</v>
      </c>
    </row>
    <row r="770" spans="1:11" ht="41.4" x14ac:dyDescent="0.3">
      <c r="A770" s="10">
        <v>34</v>
      </c>
      <c r="B770" s="10" t="s">
        <v>1098</v>
      </c>
      <c r="C770" s="10" t="str" cm="1">
        <f t="array" ref="C770">_xlfn.IFS(A770&lt;20, "ภาคกลาง", A770&lt;30, "ภาคตะวันออก", A770&lt;50, "ภาคตะวันออกเฉียงเหนือ", A770&lt;60, "ภาคเหนือ", A770&lt;80, "ภาคกลาง/ตะวันตก", A770&gt;=80, "ภาคใต้")</f>
        <v>ภาคตะวันออกเฉียงเหนือ</v>
      </c>
      <c r="D770" s="64">
        <v>3407</v>
      </c>
      <c r="E770" s="10" t="s">
        <v>1104</v>
      </c>
      <c r="F770" s="11">
        <v>15998</v>
      </c>
      <c r="G770" s="11">
        <v>16012</v>
      </c>
      <c r="H770" s="11">
        <v>32010</v>
      </c>
      <c r="I770" s="11">
        <v>9534</v>
      </c>
      <c r="J770" s="66">
        <f t="shared" si="46"/>
        <v>49.978131833801939</v>
      </c>
      <c r="K770" s="66">
        <f t="shared" si="47"/>
        <v>50.021868166198061</v>
      </c>
    </row>
    <row r="771" spans="1:11" ht="41.4" x14ac:dyDescent="0.3">
      <c r="A771" s="10">
        <v>34</v>
      </c>
      <c r="B771" s="10" t="s">
        <v>1098</v>
      </c>
      <c r="C771" s="10" t="str" cm="1">
        <f t="array" ref="C771">_xlfn.IFS(A771&lt;20, "ภาคกลาง", A771&lt;30, "ภาคตะวันออก", A771&lt;50, "ภาคตะวันออกเฉียงเหนือ", A771&lt;60, "ภาคเหนือ", A771&lt;80, "ภาคกลาง/ตะวันตก", A771&gt;=80, "ภาคใต้")</f>
        <v>ภาคตะวันออกเฉียงเหนือ</v>
      </c>
      <c r="D771" s="64">
        <v>3408</v>
      </c>
      <c r="E771" s="10" t="s">
        <v>1105</v>
      </c>
      <c r="F771" s="11">
        <v>66362</v>
      </c>
      <c r="G771" s="11">
        <v>65513</v>
      </c>
      <c r="H771" s="11">
        <v>131875</v>
      </c>
      <c r="I771" s="11">
        <v>56002</v>
      </c>
      <c r="J771" s="66">
        <f t="shared" si="46"/>
        <v>50.321895734597156</v>
      </c>
      <c r="K771" s="66">
        <f t="shared" si="47"/>
        <v>49.678104265402844</v>
      </c>
    </row>
    <row r="772" spans="1:11" ht="41.4" x14ac:dyDescent="0.3">
      <c r="A772" s="10">
        <v>34</v>
      </c>
      <c r="B772" s="10" t="s">
        <v>1098</v>
      </c>
      <c r="C772" s="10" t="str" cm="1">
        <f t="array" ref="C772">_xlfn.IFS(A772&lt;20, "ภาคกลาง", A772&lt;30, "ภาคตะวันออก", A772&lt;50, "ภาคตะวันออกเฉียงเหนือ", A772&lt;60, "ภาคเหนือ", A772&lt;80, "ภาคกลาง/ตะวันตก", A772&gt;=80, "ภาคใต้")</f>
        <v>ภาคตะวันออกเฉียงเหนือ</v>
      </c>
      <c r="D772" s="64">
        <v>3409</v>
      </c>
      <c r="E772" s="10" t="s">
        <v>1106</v>
      </c>
      <c r="F772" s="11">
        <v>26148</v>
      </c>
      <c r="G772" s="11">
        <v>25499</v>
      </c>
      <c r="H772" s="11">
        <v>51647</v>
      </c>
      <c r="I772" s="11">
        <v>19398</v>
      </c>
      <c r="J772" s="66">
        <f t="shared" si="46"/>
        <v>50.628303676883455</v>
      </c>
      <c r="K772" s="66">
        <f t="shared" si="47"/>
        <v>49.371696323116545</v>
      </c>
    </row>
    <row r="773" spans="1:11" ht="41.4" x14ac:dyDescent="0.3">
      <c r="A773" s="10">
        <v>34</v>
      </c>
      <c r="B773" s="10" t="s">
        <v>1098</v>
      </c>
      <c r="C773" s="10" t="str" cm="1">
        <f t="array" ref="C773">_xlfn.IFS(A773&lt;20, "ภาคกลาง", A773&lt;30, "ภาคตะวันออก", A773&lt;50, "ภาคตะวันออกเฉียงเหนือ", A773&lt;60, "ภาคเหนือ", A773&lt;80, "ภาคกลาง/ตะวันตก", A773&gt;=80, "ภาคใต้")</f>
        <v>ภาคตะวันออกเฉียงเหนือ</v>
      </c>
      <c r="D773" s="64">
        <v>3410</v>
      </c>
      <c r="E773" s="10" t="s">
        <v>1107</v>
      </c>
      <c r="F773" s="11">
        <v>31041</v>
      </c>
      <c r="G773" s="11">
        <v>30147</v>
      </c>
      <c r="H773" s="11">
        <v>61188</v>
      </c>
      <c r="I773" s="11">
        <v>21464</v>
      </c>
      <c r="J773" s="66">
        <f t="shared" si="46"/>
        <v>50.730535399097867</v>
      </c>
      <c r="K773" s="66">
        <f t="shared" si="47"/>
        <v>49.269464600902133</v>
      </c>
    </row>
    <row r="774" spans="1:11" ht="41.4" x14ac:dyDescent="0.3">
      <c r="A774" s="10">
        <v>34</v>
      </c>
      <c r="B774" s="10" t="s">
        <v>1098</v>
      </c>
      <c r="C774" s="10" t="str" cm="1">
        <f t="array" ref="C774">_xlfn.IFS(A774&lt;20, "ภาคกลาง", A774&lt;30, "ภาคตะวันออก", A774&lt;50, "ภาคตะวันออกเฉียงเหนือ", A774&lt;60, "ภาคเหนือ", A774&lt;80, "ภาคกลาง/ตะวันตก", A774&gt;=80, "ภาคใต้")</f>
        <v>ภาคตะวันออกเฉียงเหนือ</v>
      </c>
      <c r="D774" s="64">
        <v>3411</v>
      </c>
      <c r="E774" s="10" t="s">
        <v>1108</v>
      </c>
      <c r="F774" s="11">
        <v>39522</v>
      </c>
      <c r="G774" s="11">
        <v>38460</v>
      </c>
      <c r="H774" s="11">
        <v>77982</v>
      </c>
      <c r="I774" s="11">
        <v>25208</v>
      </c>
      <c r="J774" s="66">
        <f t="shared" si="46"/>
        <v>50.6809263676233</v>
      </c>
      <c r="K774" s="66">
        <f t="shared" si="47"/>
        <v>49.3190736323767</v>
      </c>
    </row>
    <row r="775" spans="1:11" ht="41.4" x14ac:dyDescent="0.3">
      <c r="A775" s="10">
        <v>34</v>
      </c>
      <c r="B775" s="10" t="s">
        <v>1098</v>
      </c>
      <c r="C775" s="10" t="str" cm="1">
        <f t="array" ref="C775">_xlfn.IFS(A775&lt;20, "ภาคกลาง", A775&lt;30, "ภาคตะวันออก", A775&lt;50, "ภาคตะวันออกเฉียงเหนือ", A775&lt;60, "ภาคเหนือ", A775&lt;80, "ภาคกลาง/ตะวันตก", A775&gt;=80, "ภาคใต้")</f>
        <v>ภาคตะวันออกเฉียงเหนือ</v>
      </c>
      <c r="D775" s="64">
        <v>3412</v>
      </c>
      <c r="E775" s="10" t="s">
        <v>1109</v>
      </c>
      <c r="F775" s="11">
        <v>55878</v>
      </c>
      <c r="G775" s="11">
        <v>55449</v>
      </c>
      <c r="H775" s="11">
        <v>111327</v>
      </c>
      <c r="I775" s="11">
        <v>31122</v>
      </c>
      <c r="J775" s="66">
        <f t="shared" si="46"/>
        <v>50.192675631248484</v>
      </c>
      <c r="K775" s="66">
        <f t="shared" si="47"/>
        <v>49.807324368751516</v>
      </c>
    </row>
    <row r="776" spans="1:11" ht="41.4" x14ac:dyDescent="0.3">
      <c r="A776" s="10">
        <v>34</v>
      </c>
      <c r="B776" s="10" t="s">
        <v>1098</v>
      </c>
      <c r="C776" s="10" t="str" cm="1">
        <f t="array" ref="C776">_xlfn.IFS(A776&lt;20, "ภาคกลาง", A776&lt;30, "ภาคตะวันออก", A776&lt;50, "ภาคตะวันออกเฉียงเหนือ", A776&lt;60, "ภาคเหนือ", A776&lt;80, "ภาคกลาง/ตะวันตก", A776&gt;=80, "ภาคใต้")</f>
        <v>ภาคตะวันออกเฉียงเหนือ</v>
      </c>
      <c r="D776" s="64">
        <v>3414</v>
      </c>
      <c r="E776" s="10" t="s">
        <v>1110</v>
      </c>
      <c r="F776" s="11">
        <v>18365</v>
      </c>
      <c r="G776" s="11">
        <v>18154</v>
      </c>
      <c r="H776" s="11">
        <v>36519</v>
      </c>
      <c r="I776" s="11">
        <v>9947</v>
      </c>
      <c r="J776" s="66">
        <f t="shared" si="46"/>
        <v>50.288890714422628</v>
      </c>
      <c r="K776" s="66">
        <f t="shared" si="47"/>
        <v>49.711109285577372</v>
      </c>
    </row>
    <row r="777" spans="1:11" ht="41.4" x14ac:dyDescent="0.3">
      <c r="A777" s="10">
        <v>34</v>
      </c>
      <c r="B777" s="10" t="s">
        <v>1098</v>
      </c>
      <c r="C777" s="10" t="str" cm="1">
        <f t="array" ref="C777">_xlfn.IFS(A777&lt;20, "ภาคกลาง", A777&lt;30, "ภาคตะวันออก", A777&lt;50, "ภาคตะวันออกเฉียงเหนือ", A777&lt;60, "ภาคเหนือ", A777&lt;80, "ภาคกลาง/ตะวันตก", A777&gt;=80, "ภาคใต้")</f>
        <v>ภาคตะวันออกเฉียงเหนือ</v>
      </c>
      <c r="D777" s="64">
        <v>3415</v>
      </c>
      <c r="E777" s="10" t="s">
        <v>1111</v>
      </c>
      <c r="F777" s="11">
        <v>40336</v>
      </c>
      <c r="G777" s="11">
        <v>40308</v>
      </c>
      <c r="H777" s="11">
        <v>80644</v>
      </c>
      <c r="I777" s="11">
        <v>24063</v>
      </c>
      <c r="J777" s="66">
        <f t="shared" si="46"/>
        <v>50.017360249987597</v>
      </c>
      <c r="K777" s="66">
        <f t="shared" si="47"/>
        <v>49.982639750012396</v>
      </c>
    </row>
    <row r="778" spans="1:11" ht="41.4" x14ac:dyDescent="0.3">
      <c r="A778" s="10">
        <v>34</v>
      </c>
      <c r="B778" s="10" t="s">
        <v>1098</v>
      </c>
      <c r="C778" s="10" t="str" cm="1">
        <f t="array" ref="C778">_xlfn.IFS(A778&lt;20, "ภาคกลาง", A778&lt;30, "ภาคตะวันออก", A778&lt;50, "ภาคตะวันออกเฉียงเหนือ", A778&lt;60, "ภาคเหนือ", A778&lt;80, "ภาคกลาง/ตะวันตก", A778&gt;=80, "ภาคใต้")</f>
        <v>ภาคตะวันออกเฉียงเหนือ</v>
      </c>
      <c r="D778" s="64">
        <v>3419</v>
      </c>
      <c r="E778" s="10" t="s">
        <v>1112</v>
      </c>
      <c r="F778" s="11">
        <v>46196</v>
      </c>
      <c r="G778" s="11">
        <v>47125</v>
      </c>
      <c r="H778" s="11">
        <v>93321</v>
      </c>
      <c r="I778" s="11">
        <v>32952</v>
      </c>
      <c r="J778" s="66">
        <f t="shared" si="46"/>
        <v>49.502255655211577</v>
      </c>
      <c r="K778" s="66">
        <f t="shared" si="47"/>
        <v>50.497744344788423</v>
      </c>
    </row>
    <row r="779" spans="1:11" ht="41.4" x14ac:dyDescent="0.3">
      <c r="A779" s="10">
        <v>34</v>
      </c>
      <c r="B779" s="10" t="s">
        <v>1098</v>
      </c>
      <c r="C779" s="10" t="str" cm="1">
        <f t="array" ref="C779">_xlfn.IFS(A779&lt;20, "ภาคกลาง", A779&lt;30, "ภาคตะวันออก", A779&lt;50, "ภาคตะวันออกเฉียงเหนือ", A779&lt;60, "ภาคเหนือ", A779&lt;80, "ภาคกลาง/ตะวันตก", A779&gt;=80, "ภาคใต้")</f>
        <v>ภาคตะวันออกเฉียงเหนือ</v>
      </c>
      <c r="D779" s="64">
        <v>3420</v>
      </c>
      <c r="E779" s="10" t="s">
        <v>1113</v>
      </c>
      <c r="F779" s="11">
        <v>52369</v>
      </c>
      <c r="G779" s="11">
        <v>51691</v>
      </c>
      <c r="H779" s="11">
        <v>104060</v>
      </c>
      <c r="I779" s="11">
        <v>35796</v>
      </c>
      <c r="J779" s="66">
        <f t="shared" si="46"/>
        <v>50.32577359215837</v>
      </c>
      <c r="K779" s="66">
        <f t="shared" si="47"/>
        <v>49.67422640784163</v>
      </c>
    </row>
    <row r="780" spans="1:11" ht="41.4" x14ac:dyDescent="0.3">
      <c r="A780" s="10">
        <v>34</v>
      </c>
      <c r="B780" s="10" t="s">
        <v>1098</v>
      </c>
      <c r="C780" s="10" t="str" cm="1">
        <f t="array" ref="C780">_xlfn.IFS(A780&lt;20, "ภาคกลาง", A780&lt;30, "ภาคตะวันออก", A780&lt;50, "ภาคตะวันออกเฉียงเหนือ", A780&lt;60, "ภาคเหนือ", A780&lt;80, "ภาคกลาง/ตะวันตก", A780&gt;=80, "ภาคใต้")</f>
        <v>ภาคตะวันออกเฉียงเหนือ</v>
      </c>
      <c r="D780" s="64">
        <v>3421</v>
      </c>
      <c r="E780" s="10" t="s">
        <v>1114</v>
      </c>
      <c r="F780" s="11">
        <v>15089</v>
      </c>
      <c r="G780" s="11">
        <v>14662</v>
      </c>
      <c r="H780" s="11">
        <v>29751</v>
      </c>
      <c r="I780" s="11">
        <v>9007</v>
      </c>
      <c r="J780" s="66">
        <f t="shared" si="46"/>
        <v>50.71762293704414</v>
      </c>
      <c r="K780" s="66">
        <f t="shared" si="47"/>
        <v>49.282377062955867</v>
      </c>
    </row>
    <row r="781" spans="1:11" ht="41.4" x14ac:dyDescent="0.3">
      <c r="A781" s="10">
        <v>34</v>
      </c>
      <c r="B781" s="10" t="s">
        <v>1098</v>
      </c>
      <c r="C781" s="10" t="str" cm="1">
        <f t="array" ref="C781">_xlfn.IFS(A781&lt;20, "ภาคกลาง", A781&lt;30, "ภาคตะวันออก", A781&lt;50, "ภาคตะวันออกเฉียงเหนือ", A781&lt;60, "ภาคเหนือ", A781&lt;80, "ภาคกลาง/ตะวันตก", A781&gt;=80, "ภาคใต้")</f>
        <v>ภาคตะวันออกเฉียงเหนือ</v>
      </c>
      <c r="D781" s="64">
        <v>3422</v>
      </c>
      <c r="E781" s="10" t="s">
        <v>1115</v>
      </c>
      <c r="F781" s="11">
        <v>22824</v>
      </c>
      <c r="G781" s="11">
        <v>22250</v>
      </c>
      <c r="H781" s="11">
        <v>45074</v>
      </c>
      <c r="I781" s="11">
        <v>12629</v>
      </c>
      <c r="J781" s="66">
        <f t="shared" si="46"/>
        <v>50.636730709499936</v>
      </c>
      <c r="K781" s="66">
        <f t="shared" si="47"/>
        <v>49.363269290500064</v>
      </c>
    </row>
    <row r="782" spans="1:11" ht="41.4" x14ac:dyDescent="0.3">
      <c r="A782" s="10">
        <v>34</v>
      </c>
      <c r="B782" s="10" t="s">
        <v>1098</v>
      </c>
      <c r="C782" s="10" t="str" cm="1">
        <f t="array" ref="C782">_xlfn.IFS(A782&lt;20, "ภาคกลาง", A782&lt;30, "ภาคตะวันออก", A782&lt;50, "ภาคตะวันออกเฉียงเหนือ", A782&lt;60, "ภาคเหนือ", A782&lt;80, "ภาคกลาง/ตะวันตก", A782&gt;=80, "ภาคใต้")</f>
        <v>ภาคตะวันออกเฉียงเหนือ</v>
      </c>
      <c r="D782" s="64">
        <v>3424</v>
      </c>
      <c r="E782" s="10" t="s">
        <v>1116</v>
      </c>
      <c r="F782" s="11">
        <v>26961</v>
      </c>
      <c r="G782" s="11">
        <v>26871</v>
      </c>
      <c r="H782" s="11">
        <v>53832</v>
      </c>
      <c r="I782" s="11">
        <v>15617</v>
      </c>
      <c r="J782" s="66">
        <f t="shared" si="46"/>
        <v>50.083593401694159</v>
      </c>
      <c r="K782" s="66">
        <f t="shared" si="47"/>
        <v>49.916406598305841</v>
      </c>
    </row>
    <row r="783" spans="1:11" ht="41.4" x14ac:dyDescent="0.3">
      <c r="A783" s="10">
        <v>34</v>
      </c>
      <c r="B783" s="10" t="s">
        <v>1098</v>
      </c>
      <c r="C783" s="10" t="str" cm="1">
        <f t="array" ref="C783">_xlfn.IFS(A783&lt;20, "ภาคกลาง", A783&lt;30, "ภาคตะวันออก", A783&lt;50, "ภาคตะวันออกเฉียงเหนือ", A783&lt;60, "ภาคเหนือ", A783&lt;80, "ภาคกลาง/ตะวันตก", A783&gt;=80, "ภาคใต้")</f>
        <v>ภาคตะวันออกเฉียงเหนือ</v>
      </c>
      <c r="D783" s="64">
        <v>3425</v>
      </c>
      <c r="E783" s="10" t="s">
        <v>1117</v>
      </c>
      <c r="F783" s="11">
        <v>13596</v>
      </c>
      <c r="G783" s="11">
        <v>13468</v>
      </c>
      <c r="H783" s="11">
        <v>27064</v>
      </c>
      <c r="I783" s="11">
        <v>8413</v>
      </c>
      <c r="J783" s="66">
        <f t="shared" si="46"/>
        <v>50.236476500147795</v>
      </c>
      <c r="K783" s="66">
        <f t="shared" si="47"/>
        <v>49.763523499852205</v>
      </c>
    </row>
    <row r="784" spans="1:11" ht="41.4" x14ac:dyDescent="0.3">
      <c r="A784" s="10">
        <v>34</v>
      </c>
      <c r="B784" s="10" t="s">
        <v>1098</v>
      </c>
      <c r="C784" s="10" t="str" cm="1">
        <f t="array" ref="C784">_xlfn.IFS(A784&lt;20, "ภาคกลาง", A784&lt;30, "ภาคตะวันออก", A784&lt;50, "ภาคตะวันออกเฉียงเหนือ", A784&lt;60, "ภาคเหนือ", A784&lt;80, "ภาคกลาง/ตะวันตก", A784&gt;=80, "ภาคใต้")</f>
        <v>ภาคตะวันออกเฉียงเหนือ</v>
      </c>
      <c r="D784" s="64">
        <v>3426</v>
      </c>
      <c r="E784" s="10" t="s">
        <v>1118</v>
      </c>
      <c r="F784" s="11">
        <v>22491</v>
      </c>
      <c r="G784" s="11">
        <v>21756</v>
      </c>
      <c r="H784" s="11">
        <v>44247</v>
      </c>
      <c r="I784" s="11">
        <v>15417</v>
      </c>
      <c r="J784" s="66">
        <f t="shared" si="46"/>
        <v>50.830564784053159</v>
      </c>
      <c r="K784" s="66">
        <f t="shared" si="47"/>
        <v>49.169435215946841</v>
      </c>
    </row>
    <row r="785" spans="1:11" ht="41.4" x14ac:dyDescent="0.3">
      <c r="A785" s="10">
        <v>34</v>
      </c>
      <c r="B785" s="10" t="s">
        <v>1098</v>
      </c>
      <c r="C785" s="10" t="str" cm="1">
        <f t="array" ref="C785">_xlfn.IFS(A785&lt;20, "ภาคกลาง", A785&lt;30, "ภาคตะวันออก", A785&lt;50, "ภาคตะวันออกเฉียงเหนือ", A785&lt;60, "ภาคเหนือ", A785&lt;80, "ภาคกลาง/ตะวันตก", A785&gt;=80, "ภาคใต้")</f>
        <v>ภาคตะวันออกเฉียงเหนือ</v>
      </c>
      <c r="D785" s="64">
        <v>3429</v>
      </c>
      <c r="E785" s="10" t="s">
        <v>1119</v>
      </c>
      <c r="F785" s="11">
        <v>14736</v>
      </c>
      <c r="G785" s="11">
        <v>14383</v>
      </c>
      <c r="H785" s="11">
        <v>29119</v>
      </c>
      <c r="I785" s="11">
        <v>9519</v>
      </c>
      <c r="J785" s="66">
        <f t="shared" si="46"/>
        <v>50.606133452385038</v>
      </c>
      <c r="K785" s="66">
        <f t="shared" si="47"/>
        <v>49.393866547614962</v>
      </c>
    </row>
    <row r="786" spans="1:11" ht="41.4" x14ac:dyDescent="0.3">
      <c r="A786" s="10">
        <v>34</v>
      </c>
      <c r="B786" s="10" t="s">
        <v>1098</v>
      </c>
      <c r="C786" s="10" t="str" cm="1">
        <f t="array" ref="C786">_xlfn.IFS(A786&lt;20, "ภาคกลาง", A786&lt;30, "ภาคตะวันออก", A786&lt;50, "ภาคตะวันออกเฉียงเหนือ", A786&lt;60, "ภาคเหนือ", A786&lt;80, "ภาคกลาง/ตะวันตก", A786&gt;=80, "ภาคใต้")</f>
        <v>ภาคตะวันออกเฉียงเหนือ</v>
      </c>
      <c r="D786" s="64">
        <v>3430</v>
      </c>
      <c r="E786" s="10" t="s">
        <v>1120</v>
      </c>
      <c r="F786" s="11">
        <v>10929</v>
      </c>
      <c r="G786" s="11">
        <v>10288</v>
      </c>
      <c r="H786" s="11">
        <v>21217</v>
      </c>
      <c r="I786" s="11">
        <v>7580</v>
      </c>
      <c r="J786" s="66">
        <f t="shared" si="46"/>
        <v>51.510581137766884</v>
      </c>
      <c r="K786" s="66">
        <f t="shared" si="47"/>
        <v>48.489418862233116</v>
      </c>
    </row>
    <row r="787" spans="1:11" ht="41.4" x14ac:dyDescent="0.3">
      <c r="A787" s="10">
        <v>34</v>
      </c>
      <c r="B787" s="10" t="s">
        <v>1098</v>
      </c>
      <c r="C787" s="10" t="str" cm="1">
        <f t="array" ref="C787">_xlfn.IFS(A787&lt;20, "ภาคกลาง", A787&lt;30, "ภาคตะวันออก", A787&lt;50, "ภาคตะวันออกเฉียงเหนือ", A787&lt;60, "ภาคเหนือ", A787&lt;80, "ภาคกลาง/ตะวันตก", A787&gt;=80, "ภาคใต้")</f>
        <v>ภาคตะวันออกเฉียงเหนือ</v>
      </c>
      <c r="D787" s="64">
        <v>3431</v>
      </c>
      <c r="E787" s="10" t="s">
        <v>1121</v>
      </c>
      <c r="F787" s="11">
        <v>19484</v>
      </c>
      <c r="G787" s="11">
        <v>19455</v>
      </c>
      <c r="H787" s="11">
        <v>38939</v>
      </c>
      <c r="I787" s="11">
        <v>11938</v>
      </c>
      <c r="J787" s="66">
        <f t="shared" si="46"/>
        <v>50.037237730809721</v>
      </c>
      <c r="K787" s="66">
        <f t="shared" si="47"/>
        <v>49.962762269190272</v>
      </c>
    </row>
    <row r="788" spans="1:11" ht="41.4" x14ac:dyDescent="0.3">
      <c r="A788" s="10">
        <v>34</v>
      </c>
      <c r="B788" s="10" t="s">
        <v>1098</v>
      </c>
      <c r="C788" s="10" t="str" cm="1">
        <f t="array" ref="C788">_xlfn.IFS(A788&lt;20, "ภาคกลาง", A788&lt;30, "ภาคตะวันออก", A788&lt;50, "ภาคตะวันออกเฉียงเหนือ", A788&lt;60, "ภาคเหนือ", A788&lt;80, "ภาคกลาง/ตะวันตก", A788&gt;=80, "ภาคใต้")</f>
        <v>ภาคตะวันออกเฉียงเหนือ</v>
      </c>
      <c r="D788" s="64">
        <v>3432</v>
      </c>
      <c r="E788" s="10" t="s">
        <v>1122</v>
      </c>
      <c r="F788" s="11">
        <v>14063</v>
      </c>
      <c r="G788" s="11">
        <v>13966</v>
      </c>
      <c r="H788" s="11">
        <v>28029</v>
      </c>
      <c r="I788" s="11">
        <v>8372</v>
      </c>
      <c r="J788" s="66">
        <f t="shared" si="46"/>
        <v>50.173035070819502</v>
      </c>
      <c r="K788" s="66">
        <f t="shared" si="47"/>
        <v>49.826964929180491</v>
      </c>
    </row>
    <row r="789" spans="1:11" ht="41.4" x14ac:dyDescent="0.3">
      <c r="A789" s="10">
        <v>34</v>
      </c>
      <c r="B789" s="10" t="s">
        <v>1098</v>
      </c>
      <c r="C789" s="10" t="str" cm="1">
        <f t="array" ref="C789">_xlfn.IFS(A789&lt;20, "ภาคกลาง", A789&lt;30, "ภาคตะวันออก", A789&lt;50, "ภาคตะวันออกเฉียงเหนือ", A789&lt;60, "ภาคเหนือ", A789&lt;80, "ภาคกลาง/ตะวันตก", A789&gt;=80, "ภาคใต้")</f>
        <v>ภาคตะวันออกเฉียงเหนือ</v>
      </c>
      <c r="D789" s="64">
        <v>3433</v>
      </c>
      <c r="E789" s="10" t="s">
        <v>1123</v>
      </c>
      <c r="F789" s="11">
        <v>15631</v>
      </c>
      <c r="G789" s="11">
        <v>15518</v>
      </c>
      <c r="H789" s="11">
        <v>31149</v>
      </c>
      <c r="I789" s="11">
        <v>9799</v>
      </c>
      <c r="J789" s="66">
        <f t="shared" si="46"/>
        <v>50.181386240328742</v>
      </c>
      <c r="K789" s="66">
        <f t="shared" si="47"/>
        <v>49.818613759671258</v>
      </c>
    </row>
    <row r="790" spans="1:11" ht="41.4" x14ac:dyDescent="0.3">
      <c r="A790" s="10">
        <v>34</v>
      </c>
      <c r="B790" s="10" t="s">
        <v>1098</v>
      </c>
      <c r="C790" s="10" t="str" cm="1">
        <f t="array" ref="C790">_xlfn.IFS(A790&lt;20, "ภาคกลาง", A790&lt;30, "ภาคตะวันออก", A790&lt;50, "ภาคตะวันออกเฉียงเหนือ", A790&lt;60, "ภาคเหนือ", A790&lt;80, "ภาคกลาง/ตะวันตก", A790&gt;=80, "ภาคใต้")</f>
        <v>ภาคตะวันออกเฉียงเหนือ</v>
      </c>
      <c r="D790" s="64">
        <v>3463</v>
      </c>
      <c r="E790" s="10" t="s">
        <v>1124</v>
      </c>
      <c r="F790" s="11">
        <v>16716</v>
      </c>
      <c r="G790" s="11">
        <v>16477</v>
      </c>
      <c r="H790" s="11">
        <v>33193</v>
      </c>
      <c r="I790" s="11">
        <v>11459</v>
      </c>
      <c r="J790" s="66">
        <f t="shared" si="46"/>
        <v>50.360015665953661</v>
      </c>
      <c r="K790" s="66">
        <f t="shared" si="47"/>
        <v>49.639984334046332</v>
      </c>
    </row>
    <row r="791" spans="1:11" ht="41.4" x14ac:dyDescent="0.3">
      <c r="A791" s="10">
        <v>34</v>
      </c>
      <c r="B791" s="10" t="s">
        <v>1098</v>
      </c>
      <c r="C791" s="10" t="str" cm="1">
        <f t="array" ref="C791">_xlfn.IFS(A791&lt;20, "ภาคกลาง", A791&lt;30, "ภาคตะวันออก", A791&lt;50, "ภาคตะวันออกเฉียงเหนือ", A791&lt;60, "ภาคเหนือ", A791&lt;80, "ภาคกลาง/ตะวันตก", A791&gt;=80, "ภาคใต้")</f>
        <v>ภาคตะวันออกเฉียงเหนือ</v>
      </c>
      <c r="D791" s="64">
        <v>3464</v>
      </c>
      <c r="E791" s="10" t="s">
        <v>1125</v>
      </c>
      <c r="F791" s="11">
        <v>5893</v>
      </c>
      <c r="G791" s="11">
        <v>5844</v>
      </c>
      <c r="H791" s="11">
        <v>11737</v>
      </c>
      <c r="I791" s="11">
        <v>4636</v>
      </c>
      <c r="J791" s="66">
        <f t="shared" si="46"/>
        <v>50.208741586436055</v>
      </c>
      <c r="K791" s="66">
        <f t="shared" si="47"/>
        <v>49.791258413563945</v>
      </c>
    </row>
    <row r="792" spans="1:11" ht="41.4" x14ac:dyDescent="0.3">
      <c r="A792" s="10">
        <v>34</v>
      </c>
      <c r="B792" s="10" t="s">
        <v>1098</v>
      </c>
      <c r="C792" s="10" t="str" cm="1">
        <f t="array" ref="C792">_xlfn.IFS(A792&lt;20, "ภาคกลาง", A792&lt;30, "ภาคตะวันออก", A792&lt;50, "ภาคตะวันออกเฉียงเหนือ", A792&lt;60, "ภาคเหนือ", A792&lt;80, "ภาคกลาง/ตะวันตก", A792&gt;=80, "ภาคใต้")</f>
        <v>ภาคตะวันออกเฉียงเหนือ</v>
      </c>
      <c r="D792" s="64">
        <v>3465</v>
      </c>
      <c r="E792" s="10" t="s">
        <v>1126</v>
      </c>
      <c r="F792" s="11">
        <v>4065</v>
      </c>
      <c r="G792" s="11">
        <v>4216</v>
      </c>
      <c r="H792" s="11">
        <v>8281</v>
      </c>
      <c r="I792" s="11">
        <v>3472</v>
      </c>
      <c r="J792" s="66">
        <f t="shared" si="46"/>
        <v>49.088274362999641</v>
      </c>
      <c r="K792" s="66">
        <f t="shared" si="47"/>
        <v>50.911725637000359</v>
      </c>
    </row>
    <row r="793" spans="1:11" ht="41.4" x14ac:dyDescent="0.3">
      <c r="A793" s="10">
        <v>34</v>
      </c>
      <c r="B793" s="10" t="s">
        <v>1098</v>
      </c>
      <c r="C793" s="10" t="str" cm="1">
        <f t="array" ref="C793">_xlfn.IFS(A793&lt;20, "ภาคกลาง", A793&lt;30, "ภาคตะวันออก", A793&lt;50, "ภาคตะวันออกเฉียงเหนือ", A793&lt;60, "ภาคเหนือ", A793&lt;80, "ภาคกลาง/ตะวันตก", A793&gt;=80, "ภาคใต้")</f>
        <v>ภาคตะวันออกเฉียงเหนือ</v>
      </c>
      <c r="D793" s="64">
        <v>3466</v>
      </c>
      <c r="E793" s="10" t="s">
        <v>1127</v>
      </c>
      <c r="F793" s="11">
        <v>6541</v>
      </c>
      <c r="G793" s="11">
        <v>6598</v>
      </c>
      <c r="H793" s="11">
        <v>13139</v>
      </c>
      <c r="I793" s="11">
        <v>3751</v>
      </c>
      <c r="J793" s="66">
        <f t="shared" si="46"/>
        <v>49.783088515107693</v>
      </c>
      <c r="K793" s="66">
        <f t="shared" si="47"/>
        <v>50.2169114848923</v>
      </c>
    </row>
    <row r="794" spans="1:11" ht="41.4" x14ac:dyDescent="0.3">
      <c r="A794" s="10">
        <v>34</v>
      </c>
      <c r="B794" s="10" t="s">
        <v>1098</v>
      </c>
      <c r="C794" s="10" t="str" cm="1">
        <f t="array" ref="C794">_xlfn.IFS(A794&lt;20, "ภาคกลาง", A794&lt;30, "ภาคตะวันออก", A794&lt;50, "ภาคตะวันออกเฉียงเหนือ", A794&lt;60, "ภาคเหนือ", A794&lt;80, "ภาคกลาง/ตะวันตก", A794&gt;=80, "ภาคใต้")</f>
        <v>ภาคตะวันออกเฉียงเหนือ</v>
      </c>
      <c r="D794" s="64">
        <v>3467</v>
      </c>
      <c r="E794" s="10" t="s">
        <v>1128</v>
      </c>
      <c r="F794" s="11">
        <v>4430</v>
      </c>
      <c r="G794" s="11">
        <v>4591</v>
      </c>
      <c r="H794" s="11">
        <v>9021</v>
      </c>
      <c r="I794" s="11">
        <v>3396</v>
      </c>
      <c r="J794" s="66">
        <f t="shared" si="46"/>
        <v>49.10763773417581</v>
      </c>
      <c r="K794" s="66">
        <f t="shared" si="47"/>
        <v>50.89236226582419</v>
      </c>
    </row>
    <row r="795" spans="1:11" ht="41.4" x14ac:dyDescent="0.3">
      <c r="A795" s="10">
        <v>34</v>
      </c>
      <c r="B795" s="10" t="s">
        <v>1098</v>
      </c>
      <c r="C795" s="10" t="str" cm="1">
        <f t="array" ref="C795">_xlfn.IFS(A795&lt;20, "ภาคกลาง", A795&lt;30, "ภาคตะวันออก", A795&lt;50, "ภาคตะวันออกเฉียงเหนือ", A795&lt;60, "ภาคเหนือ", A795&lt;80, "ภาคกลาง/ตะวันตก", A795&gt;=80, "ภาคใต้")</f>
        <v>ภาคตะวันออกเฉียงเหนือ</v>
      </c>
      <c r="D795" s="64">
        <v>3468</v>
      </c>
      <c r="E795" s="10" t="s">
        <v>1129</v>
      </c>
      <c r="F795" s="11">
        <v>4521</v>
      </c>
      <c r="G795" s="11">
        <v>7138</v>
      </c>
      <c r="H795" s="11">
        <v>11659</v>
      </c>
      <c r="I795" s="11">
        <v>3572</v>
      </c>
      <c r="J795" s="66">
        <f t="shared" si="46"/>
        <v>38.776910541212793</v>
      </c>
      <c r="K795" s="66">
        <f t="shared" si="47"/>
        <v>61.223089458787207</v>
      </c>
    </row>
    <row r="796" spans="1:11" ht="41.4" x14ac:dyDescent="0.3">
      <c r="A796" s="10">
        <v>34</v>
      </c>
      <c r="B796" s="10" t="s">
        <v>1098</v>
      </c>
      <c r="C796" s="10" t="str" cm="1">
        <f t="array" ref="C796">_xlfn.IFS(A796&lt;20, "ภาคกลาง", A796&lt;30, "ภาคตะวันออก", A796&lt;50, "ภาคตะวันออกเฉียงเหนือ", A796&lt;60, "ภาคเหนือ", A796&lt;80, "ภาคกลาง/ตะวันตก", A796&gt;=80, "ภาคใต้")</f>
        <v>ภาคตะวันออกเฉียงเหนือ</v>
      </c>
      <c r="D796" s="64">
        <v>3469</v>
      </c>
      <c r="E796" s="10" t="s">
        <v>1130</v>
      </c>
      <c r="F796" s="11">
        <v>4895</v>
      </c>
      <c r="G796" s="11">
        <v>5029</v>
      </c>
      <c r="H796" s="11">
        <v>9924</v>
      </c>
      <c r="I796" s="11">
        <v>3535</v>
      </c>
      <c r="J796" s="66">
        <f t="shared" si="46"/>
        <v>49.324869004433694</v>
      </c>
      <c r="K796" s="66">
        <f t="shared" si="47"/>
        <v>50.675130995566306</v>
      </c>
    </row>
    <row r="797" spans="1:11" ht="41.4" x14ac:dyDescent="0.3">
      <c r="A797" s="10">
        <v>34</v>
      </c>
      <c r="B797" s="10" t="s">
        <v>1098</v>
      </c>
      <c r="C797" s="10" t="str" cm="1">
        <f t="array" ref="C797">_xlfn.IFS(A797&lt;20, "ภาคกลาง", A797&lt;30, "ภาคตะวันออก", A797&lt;50, "ภาคตะวันออกเฉียงเหนือ", A797&lt;60, "ภาคเหนือ", A797&lt;80, "ภาคกลาง/ตะวันตก", A797&gt;=80, "ภาคใต้")</f>
        <v>ภาคตะวันออกเฉียงเหนือ</v>
      </c>
      <c r="D797" s="64">
        <v>3470</v>
      </c>
      <c r="E797" s="10" t="s">
        <v>1131</v>
      </c>
      <c r="F797" s="11">
        <v>4754</v>
      </c>
      <c r="G797" s="11">
        <v>4721</v>
      </c>
      <c r="H797" s="11">
        <v>9475</v>
      </c>
      <c r="I797" s="11">
        <v>3349</v>
      </c>
      <c r="J797" s="66">
        <f t="shared" si="46"/>
        <v>50.174142480211081</v>
      </c>
      <c r="K797" s="66">
        <f t="shared" si="47"/>
        <v>49.825857519788919</v>
      </c>
    </row>
    <row r="798" spans="1:11" ht="41.4" x14ac:dyDescent="0.3">
      <c r="A798" s="10">
        <v>34</v>
      </c>
      <c r="B798" s="10" t="s">
        <v>1098</v>
      </c>
      <c r="C798" s="10" t="str" cm="1">
        <f t="array" ref="C798">_xlfn.IFS(A798&lt;20, "ภาคกลาง", A798&lt;30, "ภาคตะวันออก", A798&lt;50, "ภาคตะวันออกเฉียงเหนือ", A798&lt;60, "ภาคเหนือ", A798&lt;80, "ภาคกลาง/ตะวันตก", A798&gt;=80, "ภาคใต้")</f>
        <v>ภาคตะวันออกเฉียงเหนือ</v>
      </c>
      <c r="D798" s="64">
        <v>3471</v>
      </c>
      <c r="E798" s="10" t="s">
        <v>1132</v>
      </c>
      <c r="F798" s="11">
        <v>6164</v>
      </c>
      <c r="G798" s="11">
        <v>6246</v>
      </c>
      <c r="H798" s="11">
        <v>12410</v>
      </c>
      <c r="I798" s="11">
        <v>4386</v>
      </c>
      <c r="J798" s="66">
        <f t="shared" si="46"/>
        <v>49.669621273166804</v>
      </c>
      <c r="K798" s="66">
        <f t="shared" si="47"/>
        <v>50.330378726833203</v>
      </c>
    </row>
    <row r="799" spans="1:11" ht="41.4" x14ac:dyDescent="0.3">
      <c r="A799" s="10">
        <v>34</v>
      </c>
      <c r="B799" s="10" t="s">
        <v>1098</v>
      </c>
      <c r="C799" s="10" t="str" cm="1">
        <f t="array" ref="C799">_xlfn.IFS(A799&lt;20, "ภาคกลาง", A799&lt;30, "ภาคตะวันออก", A799&lt;50, "ภาคตะวันออกเฉียงเหนือ", A799&lt;60, "ภาคเหนือ", A799&lt;80, "ภาคกลาง/ตะวันตก", A799&gt;=80, "ภาคใต้")</f>
        <v>ภาคตะวันออกเฉียงเหนือ</v>
      </c>
      <c r="D799" s="64">
        <v>3472</v>
      </c>
      <c r="E799" s="10" t="s">
        <v>1133</v>
      </c>
      <c r="F799" s="11">
        <v>4904</v>
      </c>
      <c r="G799" s="11">
        <v>5550</v>
      </c>
      <c r="H799" s="11">
        <v>10454</v>
      </c>
      <c r="I799" s="11">
        <v>4360</v>
      </c>
      <c r="J799" s="66">
        <f t="shared" si="46"/>
        <v>46.910273579491104</v>
      </c>
      <c r="K799" s="66">
        <f t="shared" si="47"/>
        <v>53.089726420508896</v>
      </c>
    </row>
    <row r="800" spans="1:11" ht="41.4" x14ac:dyDescent="0.3">
      <c r="A800" s="10">
        <v>34</v>
      </c>
      <c r="B800" s="10" t="s">
        <v>1098</v>
      </c>
      <c r="C800" s="10" t="str" cm="1">
        <f t="array" ref="C800">_xlfn.IFS(A800&lt;20, "ภาคกลาง", A800&lt;30, "ภาคตะวันออก", A800&lt;50, "ภาคตะวันออกเฉียงเหนือ", A800&lt;60, "ภาคเหนือ", A800&lt;80, "ภาคกลาง/ตะวันตก", A800&gt;=80, "ภาคใต้")</f>
        <v>ภาคตะวันออกเฉียงเหนือ</v>
      </c>
      <c r="D800" s="64">
        <v>3473</v>
      </c>
      <c r="E800" s="10" t="s">
        <v>1134</v>
      </c>
      <c r="F800" s="11">
        <v>6755</v>
      </c>
      <c r="G800" s="11">
        <v>6567</v>
      </c>
      <c r="H800" s="11">
        <v>13322</v>
      </c>
      <c r="I800" s="11">
        <v>4193</v>
      </c>
      <c r="J800" s="66">
        <f t="shared" si="46"/>
        <v>50.705599759795831</v>
      </c>
      <c r="K800" s="66">
        <f t="shared" si="47"/>
        <v>49.294400240204169</v>
      </c>
    </row>
    <row r="801" spans="1:11" ht="41.4" x14ac:dyDescent="0.3">
      <c r="A801" s="10">
        <v>34</v>
      </c>
      <c r="B801" s="10" t="s">
        <v>1098</v>
      </c>
      <c r="C801" s="10" t="str" cm="1">
        <f t="array" ref="C801">_xlfn.IFS(A801&lt;20, "ภาคกลาง", A801&lt;30, "ภาคตะวันออก", A801&lt;50, "ภาคตะวันออกเฉียงเหนือ", A801&lt;60, "ภาคเหนือ", A801&lt;80, "ภาคกลาง/ตะวันตก", A801&gt;=80, "ภาคใต้")</f>
        <v>ภาคตะวันออกเฉียงเหนือ</v>
      </c>
      <c r="D801" s="64">
        <v>3474</v>
      </c>
      <c r="E801" s="10" t="s">
        <v>1135</v>
      </c>
      <c r="F801" s="11">
        <v>3919</v>
      </c>
      <c r="G801" s="11">
        <v>3961</v>
      </c>
      <c r="H801" s="11">
        <v>7880</v>
      </c>
      <c r="I801" s="11">
        <v>3123</v>
      </c>
      <c r="J801" s="66">
        <f t="shared" si="46"/>
        <v>49.733502538071065</v>
      </c>
      <c r="K801" s="66">
        <f t="shared" si="47"/>
        <v>50.266497461928935</v>
      </c>
    </row>
    <row r="802" spans="1:11" ht="41.4" x14ac:dyDescent="0.3">
      <c r="A802" s="10">
        <v>34</v>
      </c>
      <c r="B802" s="10" t="s">
        <v>1098</v>
      </c>
      <c r="C802" s="10" t="str" cm="1">
        <f t="array" ref="C802">_xlfn.IFS(A802&lt;20, "ภาคกลาง", A802&lt;30, "ภาคตะวันออก", A802&lt;50, "ภาคตะวันออกเฉียงเหนือ", A802&lt;60, "ภาคเหนือ", A802&lt;80, "ภาคกลาง/ตะวันตก", A802&gt;=80, "ภาคใต้")</f>
        <v>ภาคตะวันออกเฉียงเหนือ</v>
      </c>
      <c r="D802" s="64">
        <v>3475</v>
      </c>
      <c r="E802" s="10" t="s">
        <v>1136</v>
      </c>
      <c r="F802" s="11">
        <v>6899</v>
      </c>
      <c r="G802" s="11">
        <v>6736</v>
      </c>
      <c r="H802" s="11">
        <v>13635</v>
      </c>
      <c r="I802" s="11">
        <v>5374</v>
      </c>
      <c r="J802" s="66">
        <f t="shared" si="46"/>
        <v>50.597726439310598</v>
      </c>
      <c r="K802" s="66">
        <f t="shared" si="47"/>
        <v>49.402273560689402</v>
      </c>
    </row>
    <row r="803" spans="1:11" ht="41.4" x14ac:dyDescent="0.3">
      <c r="A803" s="10">
        <v>34</v>
      </c>
      <c r="B803" s="10" t="s">
        <v>1098</v>
      </c>
      <c r="C803" s="10" t="str" cm="1">
        <f t="array" ref="C803">_xlfn.IFS(A803&lt;20, "ภาคกลาง", A803&lt;30, "ภาคตะวันออก", A803&lt;50, "ภาคตะวันออกเฉียงเหนือ", A803&lt;60, "ภาคเหนือ", A803&lt;80, "ภาคกลาง/ตะวันตก", A803&gt;=80, "ภาคใต้")</f>
        <v>ภาคตะวันออกเฉียงเหนือ</v>
      </c>
      <c r="D803" s="64">
        <v>3476</v>
      </c>
      <c r="E803" s="10" t="s">
        <v>1137</v>
      </c>
      <c r="F803" s="11">
        <v>19714</v>
      </c>
      <c r="G803" s="11">
        <v>22013</v>
      </c>
      <c r="H803" s="11">
        <v>41727</v>
      </c>
      <c r="I803" s="11">
        <v>22883</v>
      </c>
      <c r="J803" s="66">
        <f t="shared" si="46"/>
        <v>47.245188966376688</v>
      </c>
      <c r="K803" s="66">
        <f t="shared" si="47"/>
        <v>52.754811033623319</v>
      </c>
    </row>
    <row r="804" spans="1:11" ht="41.4" x14ac:dyDescent="0.3">
      <c r="A804" s="10">
        <v>34</v>
      </c>
      <c r="B804" s="10" t="s">
        <v>1098</v>
      </c>
      <c r="C804" s="10" t="str" cm="1">
        <f t="array" ref="C804">_xlfn.IFS(A804&lt;20, "ภาคกลาง", A804&lt;30, "ภาคตะวันออก", A804&lt;50, "ภาคตะวันออกเฉียงเหนือ", A804&lt;60, "ภาคเหนือ", A804&lt;80, "ภาคกลาง/ตะวันตก", A804&gt;=80, "ภาคใต้")</f>
        <v>ภาคตะวันออกเฉียงเหนือ</v>
      </c>
      <c r="D804" s="64">
        <v>3477</v>
      </c>
      <c r="E804" s="10" t="s">
        <v>1138</v>
      </c>
      <c r="F804" s="11">
        <v>13627</v>
      </c>
      <c r="G804" s="11">
        <v>11324</v>
      </c>
      <c r="H804" s="11">
        <v>24951</v>
      </c>
      <c r="I804" s="11">
        <v>11955</v>
      </c>
      <c r="J804" s="66">
        <f t="shared" si="46"/>
        <v>54.615045489158753</v>
      </c>
      <c r="K804" s="66">
        <f t="shared" si="47"/>
        <v>45.384954510841247</v>
      </c>
    </row>
    <row r="805" spans="1:11" ht="41.4" x14ac:dyDescent="0.3">
      <c r="A805" s="10">
        <v>34</v>
      </c>
      <c r="B805" s="10" t="s">
        <v>1098</v>
      </c>
      <c r="C805" s="10" t="str" cm="1">
        <f t="array" ref="C805">_xlfn.IFS(A805&lt;20, "ภาคกลาง", A805&lt;30, "ภาคตะวันออก", A805&lt;50, "ภาคตะวันออกเฉียงเหนือ", A805&lt;60, "ภาคเหนือ", A805&lt;80, "ภาคกลาง/ตะวันตก", A805&gt;=80, "ภาคใต้")</f>
        <v>ภาคตะวันออกเฉียงเหนือ</v>
      </c>
      <c r="D805" s="64">
        <v>3478</v>
      </c>
      <c r="E805" s="10" t="s">
        <v>1139</v>
      </c>
      <c r="F805" s="11">
        <v>3111</v>
      </c>
      <c r="G805" s="11">
        <v>3206</v>
      </c>
      <c r="H805" s="11">
        <v>6317</v>
      </c>
      <c r="I805" s="11">
        <v>1951</v>
      </c>
      <c r="J805" s="66">
        <f t="shared" si="46"/>
        <v>49.248060788348901</v>
      </c>
      <c r="K805" s="66">
        <f t="shared" si="47"/>
        <v>50.751939211651099</v>
      </c>
    </row>
    <row r="806" spans="1:11" ht="41.4" x14ac:dyDescent="0.3">
      <c r="A806" s="10">
        <v>34</v>
      </c>
      <c r="B806" s="10" t="s">
        <v>1098</v>
      </c>
      <c r="C806" s="10" t="str" cm="1">
        <f t="array" ref="C806">_xlfn.IFS(A806&lt;20, "ภาคกลาง", A806&lt;30, "ภาคตะวันออก", A806&lt;50, "ภาคตะวันออกเฉียงเหนือ", A806&lt;60, "ภาคเหนือ", A806&lt;80, "ภาคกลาง/ตะวันตก", A806&gt;=80, "ภาคใต้")</f>
        <v>ภาคตะวันออกเฉียงเหนือ</v>
      </c>
      <c r="D806" s="64">
        <v>3479</v>
      </c>
      <c r="E806" s="10" t="s">
        <v>1140</v>
      </c>
      <c r="F806" s="11">
        <v>1849</v>
      </c>
      <c r="G806" s="11">
        <v>1947</v>
      </c>
      <c r="H806" s="11">
        <v>3796</v>
      </c>
      <c r="I806" s="11">
        <v>1974</v>
      </c>
      <c r="J806" s="66">
        <f t="shared" si="46"/>
        <v>48.70916754478398</v>
      </c>
      <c r="K806" s="66">
        <f t="shared" si="47"/>
        <v>51.29083245521602</v>
      </c>
    </row>
    <row r="807" spans="1:11" ht="41.4" x14ac:dyDescent="0.3">
      <c r="A807" s="10">
        <v>34</v>
      </c>
      <c r="B807" s="10" t="s">
        <v>1098</v>
      </c>
      <c r="C807" s="10" t="str" cm="1">
        <f t="array" ref="C807">_xlfn.IFS(A807&lt;20, "ภาคกลาง", A807&lt;30, "ภาคตะวันออก", A807&lt;50, "ภาคตะวันออกเฉียงเหนือ", A807&lt;60, "ภาคเหนือ", A807&lt;80, "ภาคกลาง/ตะวันตก", A807&gt;=80, "ภาคใต้")</f>
        <v>ภาคตะวันออกเฉียงเหนือ</v>
      </c>
      <c r="D807" s="64">
        <v>3480</v>
      </c>
      <c r="E807" s="10" t="s">
        <v>1141</v>
      </c>
      <c r="F807" s="11">
        <v>1446</v>
      </c>
      <c r="G807" s="11">
        <v>1507</v>
      </c>
      <c r="H807" s="11">
        <v>2953</v>
      </c>
      <c r="I807" s="11">
        <v>1234</v>
      </c>
      <c r="J807" s="66">
        <f t="shared" si="46"/>
        <v>48.967152048763971</v>
      </c>
      <c r="K807" s="66">
        <f t="shared" si="47"/>
        <v>51.032847951236029</v>
      </c>
    </row>
    <row r="808" spans="1:11" ht="41.4" x14ac:dyDescent="0.3">
      <c r="A808" s="10">
        <v>34</v>
      </c>
      <c r="B808" s="10" t="s">
        <v>1098</v>
      </c>
      <c r="C808" s="10" t="str" cm="1">
        <f t="array" ref="C808">_xlfn.IFS(A808&lt;20, "ภาคกลาง", A808&lt;30, "ภาคตะวันออก", A808&lt;50, "ภาคตะวันออกเฉียงเหนือ", A808&lt;60, "ภาคเหนือ", A808&lt;80, "ภาคกลาง/ตะวันตก", A808&gt;=80, "ภาคใต้")</f>
        <v>ภาคตะวันออกเฉียงเหนือ</v>
      </c>
      <c r="D808" s="64">
        <v>3481</v>
      </c>
      <c r="E808" s="10" t="s">
        <v>1142</v>
      </c>
      <c r="F808" s="11">
        <v>1584</v>
      </c>
      <c r="G808" s="11">
        <v>1616</v>
      </c>
      <c r="H808" s="11">
        <v>3200</v>
      </c>
      <c r="I808" s="11">
        <v>1164</v>
      </c>
      <c r="J808" s="66">
        <f t="shared" si="46"/>
        <v>49.5</v>
      </c>
      <c r="K808" s="66">
        <f t="shared" si="47"/>
        <v>50.5</v>
      </c>
    </row>
    <row r="809" spans="1:11" ht="41.4" x14ac:dyDescent="0.3">
      <c r="A809" s="10">
        <v>34</v>
      </c>
      <c r="B809" s="10" t="s">
        <v>1098</v>
      </c>
      <c r="C809" s="10" t="str" cm="1">
        <f t="array" ref="C809">_xlfn.IFS(A809&lt;20, "ภาคกลาง", A809&lt;30, "ภาคตะวันออก", A809&lt;50, "ภาคตะวันออกเฉียงเหนือ", A809&lt;60, "ภาคเหนือ", A809&lt;80, "ภาคกลาง/ตะวันตก", A809&gt;=80, "ภาคใต้")</f>
        <v>ภาคตะวันออกเฉียงเหนือ</v>
      </c>
      <c r="D809" s="64">
        <v>3482</v>
      </c>
      <c r="E809" s="10" t="s">
        <v>1143</v>
      </c>
      <c r="F809" s="11">
        <v>1435</v>
      </c>
      <c r="G809" s="11">
        <v>1568</v>
      </c>
      <c r="H809" s="11">
        <v>3003</v>
      </c>
      <c r="I809" s="11">
        <v>1058</v>
      </c>
      <c r="J809" s="66">
        <f t="shared" si="46"/>
        <v>47.785547785547784</v>
      </c>
      <c r="K809" s="66">
        <f t="shared" si="47"/>
        <v>52.214452214452209</v>
      </c>
    </row>
    <row r="810" spans="1:11" ht="41.4" x14ac:dyDescent="0.3">
      <c r="A810" s="10">
        <v>34</v>
      </c>
      <c r="B810" s="10" t="s">
        <v>1098</v>
      </c>
      <c r="C810" s="10" t="str" cm="1">
        <f t="array" ref="C810">_xlfn.IFS(A810&lt;20, "ภาคกลาง", A810&lt;30, "ภาคตะวันออก", A810&lt;50, "ภาคตะวันออกเฉียงเหนือ", A810&lt;60, "ภาคเหนือ", A810&lt;80, "ภาคกลาง/ตะวันตก", A810&gt;=80, "ภาคใต้")</f>
        <v>ภาคตะวันออกเฉียงเหนือ</v>
      </c>
      <c r="D810" s="64">
        <v>3483</v>
      </c>
      <c r="E810" s="10" t="s">
        <v>1144</v>
      </c>
      <c r="F810" s="11">
        <v>1489</v>
      </c>
      <c r="G810" s="11">
        <v>1566</v>
      </c>
      <c r="H810" s="11">
        <v>3055</v>
      </c>
      <c r="I810" s="11">
        <v>1012</v>
      </c>
      <c r="J810" s="66">
        <f t="shared" si="46"/>
        <v>48.739770867430444</v>
      </c>
      <c r="K810" s="66">
        <f t="shared" si="47"/>
        <v>51.260229132569556</v>
      </c>
    </row>
    <row r="811" spans="1:11" ht="41.4" x14ac:dyDescent="0.3">
      <c r="A811" s="10">
        <v>34</v>
      </c>
      <c r="B811" s="10" t="s">
        <v>1098</v>
      </c>
      <c r="C811" s="10" t="str" cm="1">
        <f t="array" ref="C811">_xlfn.IFS(A811&lt;20, "ภาคกลาง", A811&lt;30, "ภาคตะวันออก", A811&lt;50, "ภาคตะวันออกเฉียงเหนือ", A811&lt;60, "ภาคเหนือ", A811&lt;80, "ภาคกลาง/ตะวันตก", A811&gt;=80, "ภาคใต้")</f>
        <v>ภาคตะวันออกเฉียงเหนือ</v>
      </c>
      <c r="D811" s="64">
        <v>3484</v>
      </c>
      <c r="E811" s="10" t="s">
        <v>1145</v>
      </c>
      <c r="F811" s="11">
        <v>1407</v>
      </c>
      <c r="G811" s="11">
        <v>1543</v>
      </c>
      <c r="H811" s="11">
        <v>2950</v>
      </c>
      <c r="I811" s="11">
        <v>1656</v>
      </c>
      <c r="J811" s="66">
        <f t="shared" si="46"/>
        <v>47.694915254237287</v>
      </c>
      <c r="K811" s="66">
        <f t="shared" si="47"/>
        <v>52.305084745762706</v>
      </c>
    </row>
    <row r="812" spans="1:11" ht="41.4" x14ac:dyDescent="0.3">
      <c r="A812" s="10">
        <v>34</v>
      </c>
      <c r="B812" s="10" t="s">
        <v>1098</v>
      </c>
      <c r="C812" s="10" t="str" cm="1">
        <f t="array" ref="C812">_xlfn.IFS(A812&lt;20, "ภาคกลาง", A812&lt;30, "ภาคตะวันออก", A812&lt;50, "ภาคตะวันออกเฉียงเหนือ", A812&lt;60, "ภาคเหนือ", A812&lt;80, "ภาคกลาง/ตะวันตก", A812&gt;=80, "ภาคใต้")</f>
        <v>ภาคตะวันออกเฉียงเหนือ</v>
      </c>
      <c r="D812" s="64">
        <v>3485</v>
      </c>
      <c r="E812" s="10" t="s">
        <v>1146</v>
      </c>
      <c r="F812" s="11">
        <v>2098</v>
      </c>
      <c r="G812" s="11">
        <v>2060</v>
      </c>
      <c r="H812" s="11">
        <v>4158</v>
      </c>
      <c r="I812" s="11">
        <v>1552</v>
      </c>
      <c r="J812" s="66">
        <f t="shared" si="46"/>
        <v>50.456950456950459</v>
      </c>
      <c r="K812" s="66">
        <f t="shared" si="47"/>
        <v>49.543049543049541</v>
      </c>
    </row>
    <row r="813" spans="1:11" ht="41.4" x14ac:dyDescent="0.3">
      <c r="A813" s="10">
        <v>34</v>
      </c>
      <c r="B813" s="10" t="s">
        <v>1098</v>
      </c>
      <c r="C813" s="10" t="str" cm="1">
        <f t="array" ref="C813">_xlfn.IFS(A813&lt;20, "ภาคกลาง", A813&lt;30, "ภาคตะวันออก", A813&lt;50, "ภาคตะวันออกเฉียงเหนือ", A813&lt;60, "ภาคเหนือ", A813&lt;80, "ภาคกลาง/ตะวันตก", A813&gt;=80, "ภาคใต้")</f>
        <v>ภาคตะวันออกเฉียงเหนือ</v>
      </c>
      <c r="D813" s="64">
        <v>3486</v>
      </c>
      <c r="E813" s="10" t="s">
        <v>1147</v>
      </c>
      <c r="F813" s="11">
        <v>4265</v>
      </c>
      <c r="G813" s="11">
        <v>4522</v>
      </c>
      <c r="H813" s="11">
        <v>8787</v>
      </c>
      <c r="I813" s="11">
        <v>4544</v>
      </c>
      <c r="J813" s="66">
        <f t="shared" si="46"/>
        <v>48.53761238192785</v>
      </c>
      <c r="K813" s="66">
        <f t="shared" si="47"/>
        <v>51.46238761807215</v>
      </c>
    </row>
    <row r="814" spans="1:11" ht="41.4" x14ac:dyDescent="0.3">
      <c r="A814" s="10">
        <v>34</v>
      </c>
      <c r="B814" s="10" t="s">
        <v>1098</v>
      </c>
      <c r="C814" s="10" t="str" cm="1">
        <f t="array" ref="C814">_xlfn.IFS(A814&lt;20, "ภาคกลาง", A814&lt;30, "ภาคตะวันออก", A814&lt;50, "ภาคตะวันออกเฉียงเหนือ", A814&lt;60, "ภาคเหนือ", A814&lt;80, "ภาคกลาง/ตะวันตก", A814&gt;=80, "ภาคใต้")</f>
        <v>ภาคตะวันออกเฉียงเหนือ</v>
      </c>
      <c r="D814" s="64">
        <v>3487</v>
      </c>
      <c r="E814" s="10" t="s">
        <v>1148</v>
      </c>
      <c r="F814" s="11">
        <v>2108</v>
      </c>
      <c r="G814" s="11">
        <v>2235</v>
      </c>
      <c r="H814" s="11">
        <v>4343</v>
      </c>
      <c r="I814" s="11">
        <v>2192</v>
      </c>
      <c r="J814" s="66">
        <f t="shared" si="46"/>
        <v>48.537877043518307</v>
      </c>
      <c r="K814" s="66">
        <f t="shared" si="47"/>
        <v>51.462122956481693</v>
      </c>
    </row>
    <row r="815" spans="1:11" ht="41.4" x14ac:dyDescent="0.3">
      <c r="A815" s="10">
        <v>34</v>
      </c>
      <c r="B815" s="10" t="s">
        <v>1098</v>
      </c>
      <c r="C815" s="10" t="str" cm="1">
        <f t="array" ref="C815">_xlfn.IFS(A815&lt;20, "ภาคกลาง", A815&lt;30, "ภาคตะวันออก", A815&lt;50, "ภาคตะวันออกเฉียงเหนือ", A815&lt;60, "ภาคเหนือ", A815&lt;80, "ภาคกลาง/ตะวันตก", A815&gt;=80, "ภาคใต้")</f>
        <v>ภาคตะวันออกเฉียงเหนือ</v>
      </c>
      <c r="D815" s="64">
        <v>3488</v>
      </c>
      <c r="E815" s="10" t="s">
        <v>1149</v>
      </c>
      <c r="F815" s="11">
        <v>4260</v>
      </c>
      <c r="G815" s="11">
        <v>4382</v>
      </c>
      <c r="H815" s="11">
        <v>8642</v>
      </c>
      <c r="I815" s="11">
        <v>3525</v>
      </c>
      <c r="J815" s="66">
        <f t="shared" si="46"/>
        <v>49.294144873871787</v>
      </c>
      <c r="K815" s="66">
        <f t="shared" si="47"/>
        <v>50.705855126128206</v>
      </c>
    </row>
    <row r="816" spans="1:11" ht="41.4" x14ac:dyDescent="0.3">
      <c r="A816" s="10">
        <v>34</v>
      </c>
      <c r="B816" s="10" t="s">
        <v>1098</v>
      </c>
      <c r="C816" s="10" t="str" cm="1">
        <f t="array" ref="C816">_xlfn.IFS(A816&lt;20, "ภาคกลาง", A816&lt;30, "ภาคตะวันออก", A816&lt;50, "ภาคตะวันออกเฉียงเหนือ", A816&lt;60, "ภาคเหนือ", A816&lt;80, "ภาคกลาง/ตะวันตก", A816&gt;=80, "ภาคใต้")</f>
        <v>ภาคตะวันออกเฉียงเหนือ</v>
      </c>
      <c r="D816" s="64">
        <v>3489</v>
      </c>
      <c r="E816" s="10" t="s">
        <v>1150</v>
      </c>
      <c r="F816" s="11">
        <v>3391</v>
      </c>
      <c r="G816" s="11">
        <v>3423</v>
      </c>
      <c r="H816" s="11">
        <v>6814</v>
      </c>
      <c r="I816" s="11">
        <v>2736</v>
      </c>
      <c r="J816" s="66">
        <f t="shared" si="46"/>
        <v>49.765189316113883</v>
      </c>
      <c r="K816" s="66">
        <f t="shared" si="47"/>
        <v>50.234810683886124</v>
      </c>
    </row>
    <row r="817" spans="1:11" ht="41.4" x14ac:dyDescent="0.3">
      <c r="A817" s="10">
        <v>34</v>
      </c>
      <c r="B817" s="10" t="s">
        <v>1098</v>
      </c>
      <c r="C817" s="10" t="str" cm="1">
        <f t="array" ref="C817">_xlfn.IFS(A817&lt;20, "ภาคกลาง", A817&lt;30, "ภาคตะวันออก", A817&lt;50, "ภาคตะวันออกเฉียงเหนือ", A817&lt;60, "ภาคเหนือ", A817&lt;80, "ภาคกลาง/ตะวันตก", A817&gt;=80, "ภาคใต้")</f>
        <v>ภาคตะวันออกเฉียงเหนือ</v>
      </c>
      <c r="D817" s="64">
        <v>3490</v>
      </c>
      <c r="E817" s="10" t="s">
        <v>1151</v>
      </c>
      <c r="F817" s="11">
        <v>6103</v>
      </c>
      <c r="G817" s="11">
        <v>6644</v>
      </c>
      <c r="H817" s="11">
        <v>12747</v>
      </c>
      <c r="I817" s="11">
        <v>7011</v>
      </c>
      <c r="J817" s="66">
        <f t="shared" si="46"/>
        <v>47.877932062446064</v>
      </c>
      <c r="K817" s="66">
        <f t="shared" si="47"/>
        <v>52.122067937553936</v>
      </c>
    </row>
    <row r="818" spans="1:11" ht="41.4" x14ac:dyDescent="0.3">
      <c r="A818" s="10">
        <v>34</v>
      </c>
      <c r="B818" s="10" t="s">
        <v>1098</v>
      </c>
      <c r="C818" s="10" t="str" cm="1">
        <f t="array" ref="C818">_xlfn.IFS(A818&lt;20, "ภาคกลาง", A818&lt;30, "ภาคตะวันออก", A818&lt;50, "ภาคตะวันออกเฉียงเหนือ", A818&lt;60, "ภาคเหนือ", A818&lt;80, "ภาคกลาง/ตะวันตก", A818&gt;=80, "ภาคใต้")</f>
        <v>ภาคตะวันออกเฉียงเหนือ</v>
      </c>
      <c r="D818" s="64">
        <v>3491</v>
      </c>
      <c r="E818" s="10" t="s">
        <v>1152</v>
      </c>
      <c r="F818" s="11">
        <v>3259</v>
      </c>
      <c r="G818" s="11">
        <v>3278</v>
      </c>
      <c r="H818" s="11">
        <v>6537</v>
      </c>
      <c r="I818" s="11">
        <v>1938</v>
      </c>
      <c r="J818" s="66">
        <f t="shared" si="46"/>
        <v>49.854673397582985</v>
      </c>
      <c r="K818" s="66">
        <f t="shared" si="47"/>
        <v>50.145326602417008</v>
      </c>
    </row>
    <row r="819" spans="1:11" ht="41.4" x14ac:dyDescent="0.3">
      <c r="A819" s="10">
        <v>34</v>
      </c>
      <c r="B819" s="10" t="s">
        <v>1098</v>
      </c>
      <c r="C819" s="10" t="str" cm="1">
        <f t="array" ref="C819">_xlfn.IFS(A819&lt;20, "ภาคกลาง", A819&lt;30, "ภาคตะวันออก", A819&lt;50, "ภาคตะวันออกเฉียงเหนือ", A819&lt;60, "ภาคเหนือ", A819&lt;80, "ภาคกลาง/ตะวันตก", A819&gt;=80, "ภาคใต้")</f>
        <v>ภาคตะวันออกเฉียงเหนือ</v>
      </c>
      <c r="D819" s="64">
        <v>3492</v>
      </c>
      <c r="E819" s="10" t="s">
        <v>1153</v>
      </c>
      <c r="F819" s="11">
        <v>1500</v>
      </c>
      <c r="G819" s="11">
        <v>1603</v>
      </c>
      <c r="H819" s="11">
        <v>3103</v>
      </c>
      <c r="I819" s="11">
        <v>1049</v>
      </c>
      <c r="J819" s="66">
        <f t="shared" si="46"/>
        <v>48.340315823396715</v>
      </c>
      <c r="K819" s="66">
        <f t="shared" si="47"/>
        <v>51.659684176603285</v>
      </c>
    </row>
    <row r="820" spans="1:11" ht="41.4" x14ac:dyDescent="0.3">
      <c r="A820" s="10">
        <v>34</v>
      </c>
      <c r="B820" s="10" t="s">
        <v>1098</v>
      </c>
      <c r="C820" s="10" t="str" cm="1">
        <f t="array" ref="C820">_xlfn.IFS(A820&lt;20, "ภาคกลาง", A820&lt;30, "ภาคตะวันออก", A820&lt;50, "ภาคตะวันออกเฉียงเหนือ", A820&lt;60, "ภาคเหนือ", A820&lt;80, "ภาคกลาง/ตะวันตก", A820&gt;=80, "ภาคใต้")</f>
        <v>ภาคตะวันออกเฉียงเหนือ</v>
      </c>
      <c r="D820" s="64">
        <v>3493</v>
      </c>
      <c r="E820" s="10" t="s">
        <v>1154</v>
      </c>
      <c r="F820" s="11">
        <v>2817</v>
      </c>
      <c r="G820" s="11">
        <v>3121</v>
      </c>
      <c r="H820" s="11">
        <v>5938</v>
      </c>
      <c r="I820" s="11">
        <v>2640</v>
      </c>
      <c r="J820" s="66">
        <f t="shared" si="46"/>
        <v>47.440215560794883</v>
      </c>
      <c r="K820" s="66">
        <f t="shared" si="47"/>
        <v>52.559784439205117</v>
      </c>
    </row>
    <row r="821" spans="1:11" ht="41.4" x14ac:dyDescent="0.3">
      <c r="A821" s="10">
        <v>34</v>
      </c>
      <c r="B821" s="10" t="s">
        <v>1098</v>
      </c>
      <c r="C821" s="10" t="str" cm="1">
        <f t="array" ref="C821">_xlfn.IFS(A821&lt;20, "ภาคกลาง", A821&lt;30, "ภาคตะวันออก", A821&lt;50, "ภาคตะวันออกเฉียงเหนือ", A821&lt;60, "ภาคเหนือ", A821&lt;80, "ภาคกลาง/ตะวันตก", A821&gt;=80, "ภาคใต้")</f>
        <v>ภาคตะวันออกเฉียงเหนือ</v>
      </c>
      <c r="D821" s="64">
        <v>3494</v>
      </c>
      <c r="E821" s="10" t="s">
        <v>1155</v>
      </c>
      <c r="F821" s="11">
        <v>2116</v>
      </c>
      <c r="G821" s="11">
        <v>2261</v>
      </c>
      <c r="H821" s="11">
        <v>4377</v>
      </c>
      <c r="I821" s="11">
        <v>2201</v>
      </c>
      <c r="J821" s="66">
        <f t="shared" si="46"/>
        <v>48.343614347726756</v>
      </c>
      <c r="K821" s="66">
        <f t="shared" si="47"/>
        <v>51.656385652273251</v>
      </c>
    </row>
    <row r="822" spans="1:11" ht="41.4" x14ac:dyDescent="0.3">
      <c r="A822" s="10">
        <v>34</v>
      </c>
      <c r="B822" s="10" t="s">
        <v>1098</v>
      </c>
      <c r="C822" s="10" t="str" cm="1">
        <f t="array" ref="C822">_xlfn.IFS(A822&lt;20, "ภาคกลาง", A822&lt;30, "ภาคตะวันออก", A822&lt;50, "ภาคตะวันออกเฉียงเหนือ", A822&lt;60, "ภาคเหนือ", A822&lt;80, "ภาคกลาง/ตะวันตก", A822&gt;=80, "ภาคใต้")</f>
        <v>ภาคตะวันออกเฉียงเหนือ</v>
      </c>
      <c r="D822" s="64">
        <v>3495</v>
      </c>
      <c r="E822" s="10" t="s">
        <v>1156</v>
      </c>
      <c r="F822" s="11">
        <v>1438</v>
      </c>
      <c r="G822" s="11">
        <v>1459</v>
      </c>
      <c r="H822" s="11">
        <v>2897</v>
      </c>
      <c r="I822" s="11">
        <v>1382</v>
      </c>
      <c r="J822" s="66">
        <f t="shared" si="46"/>
        <v>49.637556092509492</v>
      </c>
      <c r="K822" s="66">
        <f t="shared" si="47"/>
        <v>50.362443907490508</v>
      </c>
    </row>
    <row r="823" spans="1:11" ht="41.4" x14ac:dyDescent="0.3">
      <c r="A823" s="10">
        <v>34</v>
      </c>
      <c r="B823" s="10" t="s">
        <v>1098</v>
      </c>
      <c r="C823" s="10" t="str" cm="1">
        <f t="array" ref="C823">_xlfn.IFS(A823&lt;20, "ภาคกลาง", A823&lt;30, "ภาคตะวันออก", A823&lt;50, "ภาคตะวันออกเฉียงเหนือ", A823&lt;60, "ภาคเหนือ", A823&lt;80, "ภาคกลาง/ตะวันตก", A823&gt;=80, "ภาคใต้")</f>
        <v>ภาคตะวันออกเฉียงเหนือ</v>
      </c>
      <c r="D823" s="64">
        <v>3496</v>
      </c>
      <c r="E823" s="10" t="s">
        <v>1157</v>
      </c>
      <c r="F823" s="11">
        <v>2016</v>
      </c>
      <c r="G823" s="11">
        <v>2009</v>
      </c>
      <c r="H823" s="11">
        <v>4025</v>
      </c>
      <c r="I823" s="11">
        <v>2117</v>
      </c>
      <c r="J823" s="66">
        <f t="shared" si="46"/>
        <v>50.086956521739133</v>
      </c>
      <c r="K823" s="66">
        <f t="shared" si="47"/>
        <v>49.913043478260875</v>
      </c>
    </row>
    <row r="824" spans="1:11" ht="41.4" x14ac:dyDescent="0.3">
      <c r="A824" s="10">
        <v>34</v>
      </c>
      <c r="B824" s="10" t="s">
        <v>1098</v>
      </c>
      <c r="C824" s="10" t="str" cm="1">
        <f t="array" ref="C824">_xlfn.IFS(A824&lt;20, "ภาคกลาง", A824&lt;30, "ภาคตะวันออก", A824&lt;50, "ภาคตะวันออกเฉียงเหนือ", A824&lt;60, "ภาคเหนือ", A824&lt;80, "ภาคกลาง/ตะวันตก", A824&gt;=80, "ภาคใต้")</f>
        <v>ภาคตะวันออกเฉียงเหนือ</v>
      </c>
      <c r="D824" s="64">
        <v>3497</v>
      </c>
      <c r="E824" s="10" t="s">
        <v>1158</v>
      </c>
      <c r="F824" s="11">
        <v>2551</v>
      </c>
      <c r="G824" s="11">
        <v>2998</v>
      </c>
      <c r="H824" s="11">
        <v>5549</v>
      </c>
      <c r="I824" s="11">
        <v>3214</v>
      </c>
      <c r="J824" s="66">
        <f t="shared" si="46"/>
        <v>45.972247251757075</v>
      </c>
      <c r="K824" s="66">
        <f t="shared" si="47"/>
        <v>54.027752748242932</v>
      </c>
    </row>
    <row r="825" spans="1:11" ht="41.4" x14ac:dyDescent="0.3">
      <c r="A825" s="10">
        <v>34</v>
      </c>
      <c r="B825" s="10" t="s">
        <v>1098</v>
      </c>
      <c r="C825" s="10" t="str" cm="1">
        <f t="array" ref="C825">_xlfn.IFS(A825&lt;20, "ภาคกลาง", A825&lt;30, "ภาคตะวันออก", A825&lt;50, "ภาคตะวันออกเฉียงเหนือ", A825&lt;60, "ภาคเหนือ", A825&lt;80, "ภาคกลาง/ตะวันตก", A825&gt;=80, "ภาคใต้")</f>
        <v>ภาคตะวันออกเฉียงเหนือ</v>
      </c>
      <c r="D825" s="64">
        <v>3498</v>
      </c>
      <c r="E825" s="10" t="s">
        <v>1159</v>
      </c>
      <c r="F825" s="11">
        <v>4779</v>
      </c>
      <c r="G825" s="11">
        <v>5066</v>
      </c>
      <c r="H825" s="11">
        <v>9845</v>
      </c>
      <c r="I825" s="11">
        <v>4683</v>
      </c>
      <c r="J825" s="66">
        <f t="shared" si="46"/>
        <v>48.542407313357032</v>
      </c>
      <c r="K825" s="66">
        <f t="shared" si="47"/>
        <v>51.457592686642961</v>
      </c>
    </row>
    <row r="826" spans="1:11" ht="41.4" x14ac:dyDescent="0.3">
      <c r="A826" s="10">
        <v>34</v>
      </c>
      <c r="B826" s="10" t="s">
        <v>1098</v>
      </c>
      <c r="C826" s="10" t="str" cm="1">
        <f t="array" ref="C826">_xlfn.IFS(A826&lt;20, "ภาคกลาง", A826&lt;30, "ภาคตะวันออก", A826&lt;50, "ภาคตะวันออกเฉียงเหนือ", A826&lt;60, "ภาคเหนือ", A826&lt;80, "ภาคกลาง/ตะวันตก", A826&gt;=80, "ภาคใต้")</f>
        <v>ภาคตะวันออกเฉียงเหนือ</v>
      </c>
      <c r="D826" s="64">
        <v>3499</v>
      </c>
      <c r="E826" s="10" t="s">
        <v>1160</v>
      </c>
      <c r="F826" s="11">
        <v>11476</v>
      </c>
      <c r="G826" s="11">
        <v>12990</v>
      </c>
      <c r="H826" s="11">
        <v>24466</v>
      </c>
      <c r="I826" s="11">
        <v>11080</v>
      </c>
      <c r="J826" s="66">
        <f t="shared" si="46"/>
        <v>46.905910242785907</v>
      </c>
      <c r="K826" s="66">
        <f t="shared" si="47"/>
        <v>53.094089757214093</v>
      </c>
    </row>
    <row r="827" spans="1:11" ht="41.4" hidden="1" x14ac:dyDescent="0.3">
      <c r="A827" s="10">
        <v>34</v>
      </c>
      <c r="B827" s="10" t="s">
        <v>1098</v>
      </c>
      <c r="C827" s="10" t="str" cm="1">
        <f t="array" ref="C827">_xlfn.IFS(A827&lt;20, "ภาคกลาง", A827&lt;30, "ภาคตะวันออก", A827&lt;50, "ภาคตะวันออกเฉียงเหนือ", A827&lt;60, "ภาคเหนือ", A827&lt;80, "ภาคกลาง/ตะวันตก", A827&gt;=80, "ภาคใต้")</f>
        <v>ภาคตะวันออกเฉียงเหนือ</v>
      </c>
      <c r="D827" s="10">
        <v>0</v>
      </c>
      <c r="E827" s="10" t="s">
        <v>343</v>
      </c>
      <c r="F827" s="11">
        <v>31533</v>
      </c>
      <c r="G827" s="11">
        <v>37042</v>
      </c>
      <c r="H827" s="11">
        <v>68575</v>
      </c>
      <c r="I827" s="11">
        <v>32743</v>
      </c>
      <c r="J827"/>
      <c r="K827"/>
    </row>
    <row r="828" spans="1:11" ht="41.4" x14ac:dyDescent="0.3">
      <c r="A828" s="10">
        <v>35</v>
      </c>
      <c r="B828" s="10" t="s">
        <v>1161</v>
      </c>
      <c r="C828" s="10" t="str" cm="1">
        <f t="array" ref="C828">_xlfn.IFS(A828&lt;20, "ภาคกลาง", A828&lt;30, "ภาคตะวันออก", A828&lt;50, "ภาคตะวันออกเฉียงเหนือ", A828&lt;60, "ภาคเหนือ", A828&lt;80, "ภาคกลาง/ตะวันตก", A828&gt;=80, "ภาคใต้")</f>
        <v>ภาคตะวันออกเฉียงเหนือ</v>
      </c>
      <c r="D828" s="64">
        <v>3501</v>
      </c>
      <c r="E828" s="10" t="s">
        <v>1162</v>
      </c>
      <c r="F828" s="11">
        <v>261204</v>
      </c>
      <c r="G828" s="11">
        <v>264121</v>
      </c>
      <c r="H828" s="11">
        <v>525325</v>
      </c>
      <c r="I828" s="11">
        <v>189342</v>
      </c>
      <c r="J828" s="66">
        <f t="shared" ref="J828:J845" si="48">F828/H828*100</f>
        <v>49.722362347118448</v>
      </c>
      <c r="K828" s="66">
        <f t="shared" ref="K828:K845" si="49">G828/H828*100</f>
        <v>50.277637652881545</v>
      </c>
    </row>
    <row r="829" spans="1:11" ht="41.4" x14ac:dyDescent="0.3">
      <c r="A829" s="10">
        <v>35</v>
      </c>
      <c r="B829" s="10" t="s">
        <v>1161</v>
      </c>
      <c r="C829" s="10" t="str" cm="1">
        <f t="array" ref="C829">_xlfn.IFS(A829&lt;20, "ภาคกลาง", A829&lt;30, "ภาคตะวันออก", A829&lt;50, "ภาคตะวันออกเฉียงเหนือ", A829&lt;60, "ภาคเหนือ", A829&lt;80, "ภาคกลาง/ตะวันตก", A829&gt;=80, "ภาคใต้")</f>
        <v>ภาคตะวันออกเฉียงเหนือ</v>
      </c>
      <c r="D829" s="64">
        <v>3502</v>
      </c>
      <c r="E829" s="10" t="s">
        <v>1163</v>
      </c>
      <c r="F829" s="11">
        <v>52643</v>
      </c>
      <c r="G829" s="11">
        <v>52992</v>
      </c>
      <c r="H829" s="11">
        <v>105635</v>
      </c>
      <c r="I829" s="11">
        <v>40833</v>
      </c>
      <c r="J829" s="66">
        <f t="shared" si="48"/>
        <v>49.834808538836562</v>
      </c>
      <c r="K829" s="66">
        <f t="shared" si="49"/>
        <v>50.165191461163438</v>
      </c>
    </row>
    <row r="830" spans="1:11" ht="41.4" x14ac:dyDescent="0.3">
      <c r="A830" s="10">
        <v>35</v>
      </c>
      <c r="B830" s="10" t="s">
        <v>1161</v>
      </c>
      <c r="C830" s="10" t="str" cm="1">
        <f t="array" ref="C830">_xlfn.IFS(A830&lt;20, "ภาคกลาง", A830&lt;30, "ภาคตะวันออก", A830&lt;50, "ภาคตะวันออกเฉียงเหนือ", A830&lt;60, "ภาคเหนือ", A830&lt;80, "ภาคกลาง/ตะวันตก", A830&gt;=80, "ภาคใต้")</f>
        <v>ภาคตะวันออกเฉียงเหนือ</v>
      </c>
      <c r="D830" s="64">
        <v>3503</v>
      </c>
      <c r="E830" s="10" t="s">
        <v>1164</v>
      </c>
      <c r="F830" s="11">
        <v>12087</v>
      </c>
      <c r="G830" s="11">
        <v>12071</v>
      </c>
      <c r="H830" s="11">
        <v>24158</v>
      </c>
      <c r="I830" s="11">
        <v>8419</v>
      </c>
      <c r="J830" s="66">
        <f t="shared" si="48"/>
        <v>50.033115324116238</v>
      </c>
      <c r="K830" s="66">
        <f t="shared" si="49"/>
        <v>49.966884675883769</v>
      </c>
    </row>
    <row r="831" spans="1:11" ht="41.4" x14ac:dyDescent="0.3">
      <c r="A831" s="10">
        <v>35</v>
      </c>
      <c r="B831" s="10" t="s">
        <v>1161</v>
      </c>
      <c r="C831" s="10" t="str" cm="1">
        <f t="array" ref="C831">_xlfn.IFS(A831&lt;20, "ภาคกลาง", A831&lt;30, "ภาคตะวันออก", A831&lt;50, "ภาคตะวันออกเฉียงเหนือ", A831&lt;60, "ภาคเหนือ", A831&lt;80, "ภาคกลาง/ตะวันตก", A831&gt;=80, "ภาคใต้")</f>
        <v>ภาคตะวันออกเฉียงเหนือ</v>
      </c>
      <c r="D831" s="64">
        <v>3504</v>
      </c>
      <c r="E831" s="10" t="s">
        <v>1165</v>
      </c>
      <c r="F831" s="11">
        <v>30502</v>
      </c>
      <c r="G831" s="11">
        <v>30192</v>
      </c>
      <c r="H831" s="11">
        <v>60694</v>
      </c>
      <c r="I831" s="11">
        <v>21029</v>
      </c>
      <c r="J831" s="66">
        <f t="shared" si="48"/>
        <v>50.25537944442614</v>
      </c>
      <c r="K831" s="66">
        <f t="shared" si="49"/>
        <v>49.74462055557386</v>
      </c>
    </row>
    <row r="832" spans="1:11" ht="41.4" x14ac:dyDescent="0.3">
      <c r="A832" s="10">
        <v>35</v>
      </c>
      <c r="B832" s="10" t="s">
        <v>1161</v>
      </c>
      <c r="C832" s="10" t="str" cm="1">
        <f t="array" ref="C832">_xlfn.IFS(A832&lt;20, "ภาคกลาง", A832&lt;30, "ภาคตะวันออก", A832&lt;50, "ภาคตะวันออกเฉียงเหนือ", A832&lt;60, "ภาคเหนือ", A832&lt;80, "ภาคกลาง/ตะวันตก", A832&gt;=80, "ภาคใต้")</f>
        <v>ภาคตะวันออกเฉียงเหนือ</v>
      </c>
      <c r="D832" s="64">
        <v>3505</v>
      </c>
      <c r="E832" s="10" t="s">
        <v>1166</v>
      </c>
      <c r="F832" s="11">
        <v>30273</v>
      </c>
      <c r="G832" s="11">
        <v>30438</v>
      </c>
      <c r="H832" s="11">
        <v>60711</v>
      </c>
      <c r="I832" s="11">
        <v>20093</v>
      </c>
      <c r="J832" s="66">
        <f t="shared" si="48"/>
        <v>49.864110293027622</v>
      </c>
      <c r="K832" s="66">
        <f t="shared" si="49"/>
        <v>50.135889706972378</v>
      </c>
    </row>
    <row r="833" spans="1:11" ht="41.4" x14ac:dyDescent="0.3">
      <c r="A833" s="10">
        <v>35</v>
      </c>
      <c r="B833" s="10" t="s">
        <v>1161</v>
      </c>
      <c r="C833" s="10" t="str" cm="1">
        <f t="array" ref="C833">_xlfn.IFS(A833&lt;20, "ภาคกลาง", A833&lt;30, "ภาคตะวันออก", A833&lt;50, "ภาคตะวันออกเฉียงเหนือ", A833&lt;60, "ภาคเหนือ", A833&lt;80, "ภาคกลาง/ตะวันตก", A833&gt;=80, "ภาคใต้")</f>
        <v>ภาคตะวันออกเฉียงเหนือ</v>
      </c>
      <c r="D833" s="64">
        <v>3506</v>
      </c>
      <c r="E833" s="10" t="s">
        <v>1167</v>
      </c>
      <c r="F833" s="11">
        <v>15672</v>
      </c>
      <c r="G833" s="11">
        <v>15856</v>
      </c>
      <c r="H833" s="11">
        <v>31528</v>
      </c>
      <c r="I833" s="11">
        <v>10634</v>
      </c>
      <c r="J833" s="66">
        <f t="shared" si="48"/>
        <v>49.708195889368177</v>
      </c>
      <c r="K833" s="66">
        <f t="shared" si="49"/>
        <v>50.291804110631823</v>
      </c>
    </row>
    <row r="834" spans="1:11" ht="41.4" x14ac:dyDescent="0.3">
      <c r="A834" s="10">
        <v>35</v>
      </c>
      <c r="B834" s="10" t="s">
        <v>1161</v>
      </c>
      <c r="C834" s="10" t="str" cm="1">
        <f t="array" ref="C834">_xlfn.IFS(A834&lt;20, "ภาคกลาง", A834&lt;30, "ภาคตะวันออก", A834&lt;50, "ภาคตะวันออกเฉียงเหนือ", A834&lt;60, "ภาคเหนือ", A834&lt;80, "ภาคกลาง/ตะวันตก", A834&gt;=80, "ภาคใต้")</f>
        <v>ภาคตะวันออกเฉียงเหนือ</v>
      </c>
      <c r="D834" s="64">
        <v>3507</v>
      </c>
      <c r="E834" s="10" t="s">
        <v>1168</v>
      </c>
      <c r="F834" s="11">
        <v>25192</v>
      </c>
      <c r="G834" s="11">
        <v>25220</v>
      </c>
      <c r="H834" s="11">
        <v>50412</v>
      </c>
      <c r="I834" s="11">
        <v>15229</v>
      </c>
      <c r="J834" s="66">
        <f t="shared" si="48"/>
        <v>49.972228834404511</v>
      </c>
      <c r="K834" s="66">
        <f t="shared" si="49"/>
        <v>50.027771165595489</v>
      </c>
    </row>
    <row r="835" spans="1:11" ht="41.4" x14ac:dyDescent="0.3">
      <c r="A835" s="10">
        <v>35</v>
      </c>
      <c r="B835" s="10" t="s">
        <v>1161</v>
      </c>
      <c r="C835" s="10" t="str" cm="1">
        <f t="array" ref="C835">_xlfn.IFS(A835&lt;20, "ภาคกลาง", A835&lt;30, "ภาคตะวันออก", A835&lt;50, "ภาคตะวันออกเฉียงเหนือ", A835&lt;60, "ภาคเหนือ", A835&lt;80, "ภาคกลาง/ตะวันตก", A835&gt;=80, "ภาคใต้")</f>
        <v>ภาคตะวันออกเฉียงเหนือ</v>
      </c>
      <c r="D835" s="64">
        <v>3508</v>
      </c>
      <c r="E835" s="10" t="s">
        <v>1169</v>
      </c>
      <c r="F835" s="11">
        <v>10066</v>
      </c>
      <c r="G835" s="11">
        <v>10280</v>
      </c>
      <c r="H835" s="11">
        <v>20346</v>
      </c>
      <c r="I835" s="11">
        <v>5752</v>
      </c>
      <c r="J835" s="66">
        <f t="shared" si="48"/>
        <v>49.474098102821195</v>
      </c>
      <c r="K835" s="66">
        <f t="shared" si="49"/>
        <v>50.525901897178805</v>
      </c>
    </row>
    <row r="836" spans="1:11" ht="41.4" x14ac:dyDescent="0.3">
      <c r="A836" s="10">
        <v>35</v>
      </c>
      <c r="B836" s="10" t="s">
        <v>1161</v>
      </c>
      <c r="C836" s="10" t="str" cm="1">
        <f t="array" ref="C836">_xlfn.IFS(A836&lt;20, "ภาคกลาง", A836&lt;30, "ภาคตะวันออก", A836&lt;50, "ภาคตะวันออกเฉียงเหนือ", A836&lt;60, "ภาคเหนือ", A836&lt;80, "ภาคกลาง/ตะวันตก", A836&gt;=80, "ภาคใต้")</f>
        <v>ภาคตะวันออกเฉียงเหนือ</v>
      </c>
      <c r="D836" s="64">
        <v>3509</v>
      </c>
      <c r="E836" s="10" t="s">
        <v>1170</v>
      </c>
      <c r="F836" s="11">
        <v>44216</v>
      </c>
      <c r="G836" s="11">
        <v>44657</v>
      </c>
      <c r="H836" s="11">
        <v>88873</v>
      </c>
      <c r="I836" s="11">
        <v>31695</v>
      </c>
      <c r="J836" s="66">
        <f t="shared" si="48"/>
        <v>49.75189315090072</v>
      </c>
      <c r="K836" s="66">
        <f t="shared" si="49"/>
        <v>50.248106849099273</v>
      </c>
    </row>
    <row r="837" spans="1:11" ht="41.4" x14ac:dyDescent="0.3">
      <c r="A837" s="10">
        <v>35</v>
      </c>
      <c r="B837" s="10" t="s">
        <v>1161</v>
      </c>
      <c r="C837" s="10" t="str" cm="1">
        <f t="array" ref="C837">_xlfn.IFS(A837&lt;20, "ภาคกลาง", A837&lt;30, "ภาคตะวันออก", A837&lt;50, "ภาคตะวันออกเฉียงเหนือ", A837&lt;60, "ภาคเหนือ", A837&lt;80, "ภาคกลาง/ตะวันตก", A837&gt;=80, "ภาคใต้")</f>
        <v>ภาคตะวันออกเฉียงเหนือ</v>
      </c>
      <c r="D837" s="64">
        <v>3591</v>
      </c>
      <c r="E837" s="10" t="s">
        <v>1171</v>
      </c>
      <c r="F837" s="11">
        <v>14952</v>
      </c>
      <c r="G837" s="11">
        <v>15167</v>
      </c>
      <c r="H837" s="11">
        <v>30119</v>
      </c>
      <c r="I837" s="11">
        <v>11510</v>
      </c>
      <c r="J837" s="66">
        <f t="shared" si="48"/>
        <v>49.643082439656034</v>
      </c>
      <c r="K837" s="66">
        <f t="shared" si="49"/>
        <v>50.356917560343973</v>
      </c>
    </row>
    <row r="838" spans="1:11" ht="41.4" x14ac:dyDescent="0.3">
      <c r="A838" s="10">
        <v>35</v>
      </c>
      <c r="B838" s="10" t="s">
        <v>1161</v>
      </c>
      <c r="C838" s="10" t="str" cm="1">
        <f t="array" ref="C838">_xlfn.IFS(A838&lt;20, "ภาคกลาง", A838&lt;30, "ภาคตะวันออก", A838&lt;50, "ภาคตะวันออกเฉียงเหนือ", A838&lt;60, "ภาคเหนือ", A838&lt;80, "ภาคกลาง/ตะวันตก", A838&gt;=80, "ภาคใต้")</f>
        <v>ภาคตะวันออกเฉียงเหนือ</v>
      </c>
      <c r="D838" s="64">
        <v>3592</v>
      </c>
      <c r="E838" s="10" t="s">
        <v>1172</v>
      </c>
      <c r="F838" s="11">
        <v>1837</v>
      </c>
      <c r="G838" s="11">
        <v>1954</v>
      </c>
      <c r="H838" s="11">
        <v>3791</v>
      </c>
      <c r="I838" s="11">
        <v>2389</v>
      </c>
      <c r="J838" s="66">
        <f t="shared" si="48"/>
        <v>48.456871537852805</v>
      </c>
      <c r="K838" s="66">
        <f t="shared" si="49"/>
        <v>51.543128462147195</v>
      </c>
    </row>
    <row r="839" spans="1:11" ht="41.4" x14ac:dyDescent="0.3">
      <c r="A839" s="10">
        <v>35</v>
      </c>
      <c r="B839" s="10" t="s">
        <v>1161</v>
      </c>
      <c r="C839" s="10" t="str" cm="1">
        <f t="array" ref="C839">_xlfn.IFS(A839&lt;20, "ภาคกลาง", A839&lt;30, "ภาคตะวันออก", A839&lt;50, "ภาคตะวันออกเฉียงเหนือ", A839&lt;60, "ภาคเหนือ", A839&lt;80, "ภาคกลาง/ตะวันตก", A839&gt;=80, "ภาคใต้")</f>
        <v>ภาคตะวันออกเฉียงเหนือ</v>
      </c>
      <c r="D839" s="64">
        <v>3593</v>
      </c>
      <c r="E839" s="10" t="s">
        <v>1173</v>
      </c>
      <c r="F839" s="11">
        <v>1349</v>
      </c>
      <c r="G839" s="11">
        <v>1444</v>
      </c>
      <c r="H839" s="11">
        <v>2793</v>
      </c>
      <c r="I839" s="11">
        <v>1131</v>
      </c>
      <c r="J839" s="66">
        <f t="shared" si="48"/>
        <v>48.299319727891152</v>
      </c>
      <c r="K839" s="66">
        <f t="shared" si="49"/>
        <v>51.700680272108848</v>
      </c>
    </row>
    <row r="840" spans="1:11" ht="41.4" x14ac:dyDescent="0.3">
      <c r="A840" s="10">
        <v>35</v>
      </c>
      <c r="B840" s="10" t="s">
        <v>1161</v>
      </c>
      <c r="C840" s="10" t="str" cm="1">
        <f t="array" ref="C840">_xlfn.IFS(A840&lt;20, "ภาคกลาง", A840&lt;30, "ภาคตะวันออก", A840&lt;50, "ภาคตะวันออกเฉียงเหนือ", A840&lt;60, "ภาคเหนือ", A840&lt;80, "ภาคกลาง/ตะวันตก", A840&gt;=80, "ภาคใต้")</f>
        <v>ภาคตะวันออกเฉียงเหนือ</v>
      </c>
      <c r="D840" s="64">
        <v>3594</v>
      </c>
      <c r="E840" s="10" t="s">
        <v>1174</v>
      </c>
      <c r="F840" s="11">
        <v>2137</v>
      </c>
      <c r="G840" s="11">
        <v>2271</v>
      </c>
      <c r="H840" s="11">
        <v>4408</v>
      </c>
      <c r="I840" s="11">
        <v>1699</v>
      </c>
      <c r="J840" s="66">
        <f t="shared" si="48"/>
        <v>48.480036297640652</v>
      </c>
      <c r="K840" s="66">
        <f t="shared" si="49"/>
        <v>51.519963702359348</v>
      </c>
    </row>
    <row r="841" spans="1:11" ht="41.4" x14ac:dyDescent="0.3">
      <c r="A841" s="10">
        <v>35</v>
      </c>
      <c r="B841" s="10" t="s">
        <v>1161</v>
      </c>
      <c r="C841" s="10" t="str" cm="1">
        <f t="array" ref="C841">_xlfn.IFS(A841&lt;20, "ภาคกลาง", A841&lt;30, "ภาคตะวันออก", A841&lt;50, "ภาคตะวันออกเฉียงเหนือ", A841&lt;60, "ภาคเหนือ", A841&lt;80, "ภาคกลาง/ตะวันตก", A841&gt;=80, "ภาคใต้")</f>
        <v>ภาคตะวันออกเฉียงเหนือ</v>
      </c>
      <c r="D841" s="64">
        <v>3595</v>
      </c>
      <c r="E841" s="10" t="s">
        <v>1175</v>
      </c>
      <c r="F841" s="11">
        <v>2249</v>
      </c>
      <c r="G841" s="11">
        <v>2298</v>
      </c>
      <c r="H841" s="11">
        <v>4547</v>
      </c>
      <c r="I841" s="11">
        <v>1935</v>
      </c>
      <c r="J841" s="66">
        <f t="shared" si="48"/>
        <v>49.461183197712778</v>
      </c>
      <c r="K841" s="66">
        <f t="shared" si="49"/>
        <v>50.538816802287222</v>
      </c>
    </row>
    <row r="842" spans="1:11" ht="41.4" x14ac:dyDescent="0.3">
      <c r="A842" s="10">
        <v>35</v>
      </c>
      <c r="B842" s="10" t="s">
        <v>1161</v>
      </c>
      <c r="C842" s="10" t="str" cm="1">
        <f t="array" ref="C842">_xlfn.IFS(A842&lt;20, "ภาคกลาง", A842&lt;30, "ภาคตะวันออก", A842&lt;50, "ภาคตะวันออกเฉียงเหนือ", A842&lt;60, "ภาคเหนือ", A842&lt;80, "ภาคกลาง/ตะวันตก", A842&gt;=80, "ภาคใต้")</f>
        <v>ภาคตะวันออกเฉียงเหนือ</v>
      </c>
      <c r="D842" s="64">
        <v>3596</v>
      </c>
      <c r="E842" s="10" t="s">
        <v>1176</v>
      </c>
      <c r="F842" s="11">
        <v>1451</v>
      </c>
      <c r="G842" s="11">
        <v>1486</v>
      </c>
      <c r="H842" s="11">
        <v>2937</v>
      </c>
      <c r="I842" s="11">
        <v>1323</v>
      </c>
      <c r="J842" s="66">
        <f t="shared" si="48"/>
        <v>49.404153898535917</v>
      </c>
      <c r="K842" s="66">
        <f t="shared" si="49"/>
        <v>50.595846101464083</v>
      </c>
    </row>
    <row r="843" spans="1:11" ht="41.4" x14ac:dyDescent="0.3">
      <c r="A843" s="10">
        <v>35</v>
      </c>
      <c r="B843" s="10" t="s">
        <v>1161</v>
      </c>
      <c r="C843" s="10" t="str" cm="1">
        <f t="array" ref="C843">_xlfn.IFS(A843&lt;20, "ภาคกลาง", A843&lt;30, "ภาคตะวันออก", A843&lt;50, "ภาคตะวันออกเฉียงเหนือ", A843&lt;60, "ภาคเหนือ", A843&lt;80, "ภาคกลาง/ตะวันตก", A843&gt;=80, "ภาคใต้")</f>
        <v>ภาคตะวันออกเฉียงเหนือ</v>
      </c>
      <c r="D843" s="64">
        <v>3597</v>
      </c>
      <c r="E843" s="10" t="s">
        <v>1177</v>
      </c>
      <c r="F843" s="11">
        <v>1788</v>
      </c>
      <c r="G843" s="11">
        <v>1857</v>
      </c>
      <c r="H843" s="11">
        <v>3645</v>
      </c>
      <c r="I843" s="11">
        <v>1590</v>
      </c>
      <c r="J843" s="66">
        <f t="shared" si="48"/>
        <v>49.053497942386834</v>
      </c>
      <c r="K843" s="66">
        <f t="shared" si="49"/>
        <v>50.946502057613166</v>
      </c>
    </row>
    <row r="844" spans="1:11" ht="41.4" x14ac:dyDescent="0.3">
      <c r="A844" s="10">
        <v>35</v>
      </c>
      <c r="B844" s="10" t="s">
        <v>1161</v>
      </c>
      <c r="C844" s="10" t="str" cm="1">
        <f t="array" ref="C844">_xlfn.IFS(A844&lt;20, "ภาคกลาง", A844&lt;30, "ภาคตะวันออก", A844&lt;50, "ภาคตะวันออกเฉียงเหนือ", A844&lt;60, "ภาคเหนือ", A844&lt;80, "ภาคกลาง/ตะวันตก", A844&gt;=80, "ภาคใต้")</f>
        <v>ภาคตะวันออกเฉียงเหนือ</v>
      </c>
      <c r="D844" s="64">
        <v>3598</v>
      </c>
      <c r="E844" s="10" t="s">
        <v>1178</v>
      </c>
      <c r="F844" s="11">
        <v>2319</v>
      </c>
      <c r="G844" s="11">
        <v>2437</v>
      </c>
      <c r="H844" s="11">
        <v>4756</v>
      </c>
      <c r="I844" s="11">
        <v>2322</v>
      </c>
      <c r="J844" s="66">
        <f t="shared" si="48"/>
        <v>48.75946173254836</v>
      </c>
      <c r="K844" s="66">
        <f t="shared" si="49"/>
        <v>51.24053826745164</v>
      </c>
    </row>
    <row r="845" spans="1:11" ht="41.4" x14ac:dyDescent="0.3">
      <c r="A845" s="10">
        <v>35</v>
      </c>
      <c r="B845" s="10" t="s">
        <v>1161</v>
      </c>
      <c r="C845" s="10" t="str" cm="1">
        <f t="array" ref="C845">_xlfn.IFS(A845&lt;20, "ภาคกลาง", A845&lt;30, "ภาคตะวันออก", A845&lt;50, "ภาคตะวันออกเฉียงเหนือ", A845&lt;60, "ภาคเหนือ", A845&lt;80, "ภาคกลาง/ตะวันตก", A845&gt;=80, "ภาคใต้")</f>
        <v>ภาคตะวันออกเฉียงเหนือ</v>
      </c>
      <c r="D845" s="64">
        <v>3599</v>
      </c>
      <c r="E845" s="10" t="s">
        <v>1179</v>
      </c>
      <c r="F845" s="11">
        <v>2973</v>
      </c>
      <c r="G845" s="11">
        <v>3223</v>
      </c>
      <c r="H845" s="11">
        <v>6196</v>
      </c>
      <c r="I845" s="11">
        <v>2266</v>
      </c>
      <c r="J845" s="66">
        <f t="shared" si="48"/>
        <v>47.98256939961265</v>
      </c>
      <c r="K845" s="66">
        <f t="shared" si="49"/>
        <v>52.01743060038735</v>
      </c>
    </row>
    <row r="846" spans="1:11" ht="41.4" hidden="1" x14ac:dyDescent="0.3">
      <c r="A846" s="10">
        <v>35</v>
      </c>
      <c r="B846" s="10" t="s">
        <v>1161</v>
      </c>
      <c r="C846" s="10" t="str" cm="1">
        <f t="array" ref="C846">_xlfn.IFS(A846&lt;20, "ภาคกลาง", A846&lt;30, "ภาคตะวันออก", A846&lt;50, "ภาคตะวันออกเฉียงเหนือ", A846&lt;60, "ภาคเหนือ", A846&lt;80, "ภาคกลาง/ตะวันตก", A846&gt;=80, "ภาคใต้")</f>
        <v>ภาคตะวันออกเฉียงเหนือ</v>
      </c>
      <c r="D846" s="10">
        <v>0</v>
      </c>
      <c r="E846" s="10" t="s">
        <v>343</v>
      </c>
      <c r="F846" s="11">
        <v>9498</v>
      </c>
      <c r="G846" s="11">
        <v>10278</v>
      </c>
      <c r="H846" s="11">
        <v>19776</v>
      </c>
      <c r="I846" s="11">
        <v>9493</v>
      </c>
      <c r="J846"/>
      <c r="K846"/>
    </row>
    <row r="847" spans="1:11" ht="41.4" x14ac:dyDescent="0.3">
      <c r="A847" s="10">
        <v>36</v>
      </c>
      <c r="B847" s="10" t="s">
        <v>1180</v>
      </c>
      <c r="C847" s="10" t="str" cm="1">
        <f t="array" ref="C847">_xlfn.IFS(A847&lt;20, "ภาคกลาง", A847&lt;30, "ภาคตะวันออก", A847&lt;50, "ภาคตะวันออกเฉียงเหนือ", A847&lt;60, "ภาคเหนือ", A847&lt;80, "ภาคกลาง/ตะวันตก", A847&gt;=80, "ภาคใต้")</f>
        <v>ภาคตะวันออกเฉียงเหนือ</v>
      </c>
      <c r="D847" s="64">
        <v>3601</v>
      </c>
      <c r="E847" s="10" t="s">
        <v>1181</v>
      </c>
      <c r="F847" s="11">
        <v>544954</v>
      </c>
      <c r="G847" s="11">
        <v>561450</v>
      </c>
      <c r="H847" s="11">
        <v>1106404</v>
      </c>
      <c r="I847" s="11">
        <v>424219</v>
      </c>
      <c r="J847" s="66">
        <f t="shared" ref="J847:J884" si="50">F847/H847*100</f>
        <v>49.254521856392422</v>
      </c>
      <c r="K847" s="66">
        <f t="shared" ref="K847:K884" si="51">G847/H847*100</f>
        <v>50.745478143607578</v>
      </c>
    </row>
    <row r="848" spans="1:11" ht="41.4" x14ac:dyDescent="0.3">
      <c r="A848" s="10">
        <v>36</v>
      </c>
      <c r="B848" s="10" t="s">
        <v>1180</v>
      </c>
      <c r="C848" s="10" t="str" cm="1">
        <f t="array" ref="C848">_xlfn.IFS(A848&lt;20, "ภาคกลาง", A848&lt;30, "ภาคตะวันออก", A848&lt;50, "ภาคตะวันออกเฉียงเหนือ", A848&lt;60, "ภาคเหนือ", A848&lt;80, "ภาคกลาง/ตะวันตก", A848&gt;=80, "ภาคใต้")</f>
        <v>ภาคตะวันออกเฉียงเหนือ</v>
      </c>
      <c r="D848" s="64">
        <v>3602</v>
      </c>
      <c r="E848" s="10" t="s">
        <v>1182</v>
      </c>
      <c r="F848" s="11">
        <v>65937</v>
      </c>
      <c r="G848" s="11">
        <v>69521</v>
      </c>
      <c r="H848" s="11">
        <v>135458</v>
      </c>
      <c r="I848" s="11">
        <v>57980</v>
      </c>
      <c r="J848" s="66">
        <f t="shared" si="50"/>
        <v>48.677080718746765</v>
      </c>
      <c r="K848" s="66">
        <f t="shared" si="51"/>
        <v>51.322919281253235</v>
      </c>
    </row>
    <row r="849" spans="1:11" ht="41.4" x14ac:dyDescent="0.3">
      <c r="A849" s="10">
        <v>36</v>
      </c>
      <c r="B849" s="10" t="s">
        <v>1180</v>
      </c>
      <c r="C849" s="10" t="str" cm="1">
        <f t="array" ref="C849">_xlfn.IFS(A849&lt;20, "ภาคกลาง", A849&lt;30, "ภาคตะวันออก", A849&lt;50, "ภาคตะวันออกเฉียงเหนือ", A849&lt;60, "ภาคเหนือ", A849&lt;80, "ภาคกลาง/ตะวันตก", A849&gt;=80, "ภาคใต้")</f>
        <v>ภาคตะวันออกเฉียงเหนือ</v>
      </c>
      <c r="D849" s="64">
        <v>3603</v>
      </c>
      <c r="E849" s="10" t="s">
        <v>1183</v>
      </c>
      <c r="F849" s="11">
        <v>20529</v>
      </c>
      <c r="G849" s="11">
        <v>21078</v>
      </c>
      <c r="H849" s="11">
        <v>41607</v>
      </c>
      <c r="I849" s="11">
        <v>15324</v>
      </c>
      <c r="J849" s="66">
        <f t="shared" si="50"/>
        <v>49.340255245511571</v>
      </c>
      <c r="K849" s="66">
        <f t="shared" si="51"/>
        <v>50.659744754488422</v>
      </c>
    </row>
    <row r="850" spans="1:11" ht="41.4" x14ac:dyDescent="0.3">
      <c r="A850" s="10">
        <v>36</v>
      </c>
      <c r="B850" s="10" t="s">
        <v>1180</v>
      </c>
      <c r="C850" s="10" t="str" cm="1">
        <f t="array" ref="C850">_xlfn.IFS(A850&lt;20, "ภาคกลาง", A850&lt;30, "ภาคตะวันออก", A850&lt;50, "ภาคตะวันออกเฉียงเหนือ", A850&lt;60, "ภาคเหนือ", A850&lt;80, "ภาคกลาง/ตะวันตก", A850&gt;=80, "ภาคใต้")</f>
        <v>ภาคตะวันออกเฉียงเหนือ</v>
      </c>
      <c r="D850" s="64">
        <v>3604</v>
      </c>
      <c r="E850" s="10" t="s">
        <v>1184</v>
      </c>
      <c r="F850" s="11">
        <v>23221</v>
      </c>
      <c r="G850" s="11">
        <v>23833</v>
      </c>
      <c r="H850" s="11">
        <v>47054</v>
      </c>
      <c r="I850" s="11">
        <v>18679</v>
      </c>
      <c r="J850" s="66">
        <f t="shared" si="50"/>
        <v>49.349683342542612</v>
      </c>
      <c r="K850" s="66">
        <f t="shared" si="51"/>
        <v>50.650316657457395</v>
      </c>
    </row>
    <row r="851" spans="1:11" ht="41.4" x14ac:dyDescent="0.3">
      <c r="A851" s="10">
        <v>36</v>
      </c>
      <c r="B851" s="10" t="s">
        <v>1180</v>
      </c>
      <c r="C851" s="10" t="str" cm="1">
        <f t="array" ref="C851">_xlfn.IFS(A851&lt;20, "ภาคกลาง", A851&lt;30, "ภาคตะวันออก", A851&lt;50, "ภาคตะวันออกเฉียงเหนือ", A851&lt;60, "ภาคเหนือ", A851&lt;80, "ภาคกลาง/ตะวันตก", A851&gt;=80, "ภาคใต้")</f>
        <v>ภาคตะวันออกเฉียงเหนือ</v>
      </c>
      <c r="D851" s="64">
        <v>3605</v>
      </c>
      <c r="E851" s="10" t="s">
        <v>1185</v>
      </c>
      <c r="F851" s="11">
        <v>42087</v>
      </c>
      <c r="G851" s="11">
        <v>42474</v>
      </c>
      <c r="H851" s="11">
        <v>84561</v>
      </c>
      <c r="I851" s="11">
        <v>26275</v>
      </c>
      <c r="J851" s="66">
        <f t="shared" si="50"/>
        <v>49.771171107248023</v>
      </c>
      <c r="K851" s="66">
        <f t="shared" si="51"/>
        <v>50.228828892751977</v>
      </c>
    </row>
    <row r="852" spans="1:11" ht="41.4" x14ac:dyDescent="0.3">
      <c r="A852" s="10">
        <v>36</v>
      </c>
      <c r="B852" s="10" t="s">
        <v>1180</v>
      </c>
      <c r="C852" s="10" t="str" cm="1">
        <f t="array" ref="C852">_xlfn.IFS(A852&lt;20, "ภาคกลาง", A852&lt;30, "ภาคตะวันออก", A852&lt;50, "ภาคตะวันออกเฉียงเหนือ", A852&lt;60, "ภาคเหนือ", A852&lt;80, "ภาคกลาง/ตะวันตก", A852&gt;=80, "ภาคใต้")</f>
        <v>ภาคตะวันออกเฉียงเหนือ</v>
      </c>
      <c r="D852" s="64">
        <v>3606</v>
      </c>
      <c r="E852" s="10" t="s">
        <v>1186</v>
      </c>
      <c r="F852" s="11">
        <v>46415</v>
      </c>
      <c r="G852" s="11">
        <v>46278</v>
      </c>
      <c r="H852" s="11">
        <v>92693</v>
      </c>
      <c r="I852" s="11">
        <v>31368</v>
      </c>
      <c r="J852" s="66">
        <f t="shared" si="50"/>
        <v>50.073899862988583</v>
      </c>
      <c r="K852" s="66">
        <f t="shared" si="51"/>
        <v>49.926100137011424</v>
      </c>
    </row>
    <row r="853" spans="1:11" ht="41.4" x14ac:dyDescent="0.3">
      <c r="A853" s="10">
        <v>36</v>
      </c>
      <c r="B853" s="10" t="s">
        <v>1180</v>
      </c>
      <c r="C853" s="10" t="str" cm="1">
        <f t="array" ref="C853">_xlfn.IFS(A853&lt;20, "ภาคกลาง", A853&lt;30, "ภาคตะวันออก", A853&lt;50, "ภาคตะวันออกเฉียงเหนือ", A853&lt;60, "ภาคเหนือ", A853&lt;80, "ภาคกลาง/ตะวันตก", A853&gt;=80, "ภาคใต้")</f>
        <v>ภาคตะวันออกเฉียงเหนือ</v>
      </c>
      <c r="D853" s="64">
        <v>3607</v>
      </c>
      <c r="E853" s="10" t="s">
        <v>1187</v>
      </c>
      <c r="F853" s="11">
        <v>32128</v>
      </c>
      <c r="G853" s="11">
        <v>34416</v>
      </c>
      <c r="H853" s="11">
        <v>66544</v>
      </c>
      <c r="I853" s="11">
        <v>25942</v>
      </c>
      <c r="J853" s="66">
        <f t="shared" si="50"/>
        <v>48.280836739600865</v>
      </c>
      <c r="K853" s="66">
        <f t="shared" si="51"/>
        <v>51.719163260399135</v>
      </c>
    </row>
    <row r="854" spans="1:11" ht="41.4" x14ac:dyDescent="0.3">
      <c r="A854" s="10">
        <v>36</v>
      </c>
      <c r="B854" s="10" t="s">
        <v>1180</v>
      </c>
      <c r="C854" s="10" t="str" cm="1">
        <f t="array" ref="C854">_xlfn.IFS(A854&lt;20, "ภาคกลาง", A854&lt;30, "ภาคตะวันออก", A854&lt;50, "ภาคตะวันออกเฉียงเหนือ", A854&lt;60, "ภาคเหนือ", A854&lt;80, "ภาคกลาง/ตะวันตก", A854&gt;=80, "ภาคใต้")</f>
        <v>ภาคตะวันออกเฉียงเหนือ</v>
      </c>
      <c r="D854" s="64">
        <v>3608</v>
      </c>
      <c r="E854" s="10" t="s">
        <v>1188</v>
      </c>
      <c r="F854" s="11">
        <v>19790</v>
      </c>
      <c r="G854" s="11">
        <v>20382</v>
      </c>
      <c r="H854" s="11">
        <v>40172</v>
      </c>
      <c r="I854" s="11">
        <v>14274</v>
      </c>
      <c r="J854" s="66">
        <f t="shared" si="50"/>
        <v>49.263168375983277</v>
      </c>
      <c r="K854" s="66">
        <f t="shared" si="51"/>
        <v>50.73683162401673</v>
      </c>
    </row>
    <row r="855" spans="1:11" ht="41.4" x14ac:dyDescent="0.3">
      <c r="A855" s="10">
        <v>36</v>
      </c>
      <c r="B855" s="10" t="s">
        <v>1180</v>
      </c>
      <c r="C855" s="10" t="str" cm="1">
        <f t="array" ref="C855">_xlfn.IFS(A855&lt;20, "ภาคกลาง", A855&lt;30, "ภาคตะวันออก", A855&lt;50, "ภาคตะวันออกเฉียงเหนือ", A855&lt;60, "ภาคเหนือ", A855&lt;80, "ภาคกลาง/ตะวันตก", A855&gt;=80, "ภาคใต้")</f>
        <v>ภาคตะวันออกเฉียงเหนือ</v>
      </c>
      <c r="D855" s="64">
        <v>3609</v>
      </c>
      <c r="E855" s="10" t="s">
        <v>1189</v>
      </c>
      <c r="F855" s="11">
        <v>16277</v>
      </c>
      <c r="G855" s="11">
        <v>16235</v>
      </c>
      <c r="H855" s="11">
        <v>32512</v>
      </c>
      <c r="I855" s="11">
        <v>12131</v>
      </c>
      <c r="J855" s="66">
        <f t="shared" si="50"/>
        <v>50.064591535433067</v>
      </c>
      <c r="K855" s="66">
        <f t="shared" si="51"/>
        <v>49.935408464566926</v>
      </c>
    </row>
    <row r="856" spans="1:11" ht="41.4" x14ac:dyDescent="0.3">
      <c r="A856" s="10">
        <v>36</v>
      </c>
      <c r="B856" s="10" t="s">
        <v>1180</v>
      </c>
      <c r="C856" s="10" t="str" cm="1">
        <f t="array" ref="C856">_xlfn.IFS(A856&lt;20, "ภาคกลาง", A856&lt;30, "ภาคตะวันออก", A856&lt;50, "ภาคตะวันออกเฉียงเหนือ", A856&lt;60, "ภาคเหนือ", A856&lt;80, "ภาคกลาง/ตะวันตก", A856&gt;=80, "ภาคใต้")</f>
        <v>ภาคตะวันออกเฉียงเหนือ</v>
      </c>
      <c r="D856" s="64">
        <v>3610</v>
      </c>
      <c r="E856" s="10" t="s">
        <v>1190</v>
      </c>
      <c r="F856" s="11">
        <v>32855</v>
      </c>
      <c r="G856" s="11">
        <v>32261</v>
      </c>
      <c r="H856" s="11">
        <v>65116</v>
      </c>
      <c r="I856" s="11">
        <v>25075</v>
      </c>
      <c r="J856" s="66">
        <f t="shared" si="50"/>
        <v>50.456109097610415</v>
      </c>
      <c r="K856" s="66">
        <f t="shared" si="51"/>
        <v>49.543890902389585</v>
      </c>
    </row>
    <row r="857" spans="1:11" ht="41.4" x14ac:dyDescent="0.3">
      <c r="A857" s="10">
        <v>36</v>
      </c>
      <c r="B857" s="10" t="s">
        <v>1180</v>
      </c>
      <c r="C857" s="10" t="str" cm="1">
        <f t="array" ref="C857">_xlfn.IFS(A857&lt;20, "ภาคกลาง", A857&lt;30, "ภาคตะวันออก", A857&lt;50, "ภาคตะวันออกเฉียงเหนือ", A857&lt;60, "ภาคเหนือ", A857&lt;80, "ภาคกลาง/ตะวันตก", A857&gt;=80, "ภาคใต้")</f>
        <v>ภาคตะวันออกเฉียงเหนือ</v>
      </c>
      <c r="D857" s="64">
        <v>3611</v>
      </c>
      <c r="E857" s="10" t="s">
        <v>1191</v>
      </c>
      <c r="F857" s="11">
        <v>52601</v>
      </c>
      <c r="G857" s="11">
        <v>54537</v>
      </c>
      <c r="H857" s="11">
        <v>107138</v>
      </c>
      <c r="I857" s="11">
        <v>36788</v>
      </c>
      <c r="J857" s="66">
        <f t="shared" si="50"/>
        <v>49.096492374320974</v>
      </c>
      <c r="K857" s="66">
        <f t="shared" si="51"/>
        <v>50.903507625679033</v>
      </c>
    </row>
    <row r="858" spans="1:11" ht="41.4" x14ac:dyDescent="0.3">
      <c r="A858" s="10">
        <v>36</v>
      </c>
      <c r="B858" s="10" t="s">
        <v>1180</v>
      </c>
      <c r="C858" s="10" t="str" cm="1">
        <f t="array" ref="C858">_xlfn.IFS(A858&lt;20, "ภาคกลาง", A858&lt;30, "ภาคตะวันออก", A858&lt;50, "ภาคตะวันออกเฉียงเหนือ", A858&lt;60, "ภาคเหนือ", A858&lt;80, "ภาคกลาง/ตะวันตก", A858&gt;=80, "ภาคใต้")</f>
        <v>ภาคตะวันออกเฉียงเหนือ</v>
      </c>
      <c r="D858" s="64">
        <v>3612</v>
      </c>
      <c r="E858" s="10" t="s">
        <v>1192</v>
      </c>
      <c r="F858" s="11">
        <v>19920</v>
      </c>
      <c r="G858" s="11">
        <v>20321</v>
      </c>
      <c r="H858" s="11">
        <v>40241</v>
      </c>
      <c r="I858" s="11">
        <v>12139</v>
      </c>
      <c r="J858" s="66">
        <f t="shared" si="50"/>
        <v>49.501751944534185</v>
      </c>
      <c r="K858" s="66">
        <f t="shared" si="51"/>
        <v>50.498248055465822</v>
      </c>
    </row>
    <row r="859" spans="1:11" ht="41.4" x14ac:dyDescent="0.3">
      <c r="A859" s="10">
        <v>36</v>
      </c>
      <c r="B859" s="10" t="s">
        <v>1180</v>
      </c>
      <c r="C859" s="10" t="str" cm="1">
        <f t="array" ref="C859">_xlfn.IFS(A859&lt;20, "ภาคกลาง", A859&lt;30, "ภาคตะวันออก", A859&lt;50, "ภาคตะวันออกเฉียงเหนือ", A859&lt;60, "ภาคเหนือ", A859&lt;80, "ภาคกลาง/ตะวันตก", A859&gt;=80, "ภาคใต้")</f>
        <v>ภาคตะวันออกเฉียงเหนือ</v>
      </c>
      <c r="D859" s="64">
        <v>3613</v>
      </c>
      <c r="E859" s="10" t="s">
        <v>1193</v>
      </c>
      <c r="F859" s="11">
        <v>35963</v>
      </c>
      <c r="G859" s="11">
        <v>36250</v>
      </c>
      <c r="H859" s="11">
        <v>72213</v>
      </c>
      <c r="I859" s="11">
        <v>26397</v>
      </c>
      <c r="J859" s="66">
        <f t="shared" si="50"/>
        <v>49.801282317588246</v>
      </c>
      <c r="K859" s="66">
        <f t="shared" si="51"/>
        <v>50.198717682411754</v>
      </c>
    </row>
    <row r="860" spans="1:11" ht="41.4" x14ac:dyDescent="0.3">
      <c r="A860" s="10">
        <v>36</v>
      </c>
      <c r="B860" s="10" t="s">
        <v>1180</v>
      </c>
      <c r="C860" s="10" t="str" cm="1">
        <f t="array" ref="C860">_xlfn.IFS(A860&lt;20, "ภาคกลาง", A860&lt;30, "ภาคตะวันออก", A860&lt;50, "ภาคตะวันออกเฉียงเหนือ", A860&lt;60, "ภาคเหนือ", A860&lt;80, "ภาคกลาง/ตะวันตก", A860&gt;=80, "ภาคใต้")</f>
        <v>ภาคตะวันออกเฉียงเหนือ</v>
      </c>
      <c r="D860" s="64">
        <v>3614</v>
      </c>
      <c r="E860" s="10" t="s">
        <v>1194</v>
      </c>
      <c r="F860" s="11">
        <v>19865</v>
      </c>
      <c r="G860" s="11">
        <v>20301</v>
      </c>
      <c r="H860" s="11">
        <v>40166</v>
      </c>
      <c r="I860" s="11">
        <v>14662</v>
      </c>
      <c r="J860" s="66">
        <f t="shared" si="50"/>
        <v>49.457252402529498</v>
      </c>
      <c r="K860" s="66">
        <f t="shared" si="51"/>
        <v>50.542747597470495</v>
      </c>
    </row>
    <row r="861" spans="1:11" ht="41.4" x14ac:dyDescent="0.3">
      <c r="A861" s="10">
        <v>36</v>
      </c>
      <c r="B861" s="10" t="s">
        <v>1180</v>
      </c>
      <c r="C861" s="10" t="str" cm="1">
        <f t="array" ref="C861">_xlfn.IFS(A861&lt;20, "ภาคกลาง", A861&lt;30, "ภาคตะวันออก", A861&lt;50, "ภาคตะวันออกเฉียงเหนือ", A861&lt;60, "ภาคเหนือ", A861&lt;80, "ภาคกลาง/ตะวันตก", A861&gt;=80, "ภาคใต้")</f>
        <v>ภาคตะวันออกเฉียงเหนือ</v>
      </c>
      <c r="D861" s="64">
        <v>3615</v>
      </c>
      <c r="E861" s="10" t="s">
        <v>1195</v>
      </c>
      <c r="F861" s="11">
        <v>15250</v>
      </c>
      <c r="G861" s="11">
        <v>15079</v>
      </c>
      <c r="H861" s="11">
        <v>30329</v>
      </c>
      <c r="I861" s="11">
        <v>12863</v>
      </c>
      <c r="J861" s="66">
        <f t="shared" si="50"/>
        <v>50.281908404497344</v>
      </c>
      <c r="K861" s="66">
        <f t="shared" si="51"/>
        <v>49.718091595502656</v>
      </c>
    </row>
    <row r="862" spans="1:11" ht="41.4" x14ac:dyDescent="0.3">
      <c r="A862" s="10">
        <v>36</v>
      </c>
      <c r="B862" s="10" t="s">
        <v>1180</v>
      </c>
      <c r="C862" s="10" t="str" cm="1">
        <f t="array" ref="C862">_xlfn.IFS(A862&lt;20, "ภาคกลาง", A862&lt;30, "ภาคตะวันออก", A862&lt;50, "ภาคตะวันออกเฉียงเหนือ", A862&lt;60, "ภาคเหนือ", A862&lt;80, "ภาคกลาง/ตะวันตก", A862&gt;=80, "ภาคใต้")</f>
        <v>ภาคตะวันออกเฉียงเหนือ</v>
      </c>
      <c r="D862" s="64">
        <v>3616</v>
      </c>
      <c r="E862" s="10" t="s">
        <v>1196</v>
      </c>
      <c r="F862" s="11">
        <v>12492</v>
      </c>
      <c r="G862" s="11">
        <v>12900</v>
      </c>
      <c r="H862" s="11">
        <v>25392</v>
      </c>
      <c r="I862" s="11">
        <v>8876</v>
      </c>
      <c r="J862" s="66">
        <f t="shared" si="50"/>
        <v>49.196597353497161</v>
      </c>
      <c r="K862" s="66">
        <f t="shared" si="51"/>
        <v>50.803402646502839</v>
      </c>
    </row>
    <row r="863" spans="1:11" ht="41.4" x14ac:dyDescent="0.3">
      <c r="A863" s="10">
        <v>36</v>
      </c>
      <c r="B863" s="10" t="s">
        <v>1180</v>
      </c>
      <c r="C863" s="10" t="str" cm="1">
        <f t="array" ref="C863">_xlfn.IFS(A863&lt;20, "ภาคกลาง", A863&lt;30, "ภาคตะวันออก", A863&lt;50, "ภาคตะวันออกเฉียงเหนือ", A863&lt;60, "ภาคเหนือ", A863&lt;80, "ภาคกลาง/ตะวันตก", A863&gt;=80, "ภาคใต้")</f>
        <v>ภาคตะวันออกเฉียงเหนือ</v>
      </c>
      <c r="D863" s="64">
        <v>3676</v>
      </c>
      <c r="E863" s="10" t="s">
        <v>1197</v>
      </c>
      <c r="F863" s="11">
        <v>7833</v>
      </c>
      <c r="G863" s="11">
        <v>7675</v>
      </c>
      <c r="H863" s="11">
        <v>15508</v>
      </c>
      <c r="I863" s="11">
        <v>6044</v>
      </c>
      <c r="J863" s="66">
        <f t="shared" si="50"/>
        <v>50.509414495744132</v>
      </c>
      <c r="K863" s="66">
        <f t="shared" si="51"/>
        <v>49.490585504255868</v>
      </c>
    </row>
    <row r="864" spans="1:11" ht="41.4" x14ac:dyDescent="0.3">
      <c r="A864" s="10">
        <v>36</v>
      </c>
      <c r="B864" s="10" t="s">
        <v>1180</v>
      </c>
      <c r="C864" s="10" t="str" cm="1">
        <f t="array" ref="C864">_xlfn.IFS(A864&lt;20, "ภาคกลาง", A864&lt;30, "ภาคตะวันออก", A864&lt;50, "ภาคตะวันออกเฉียงเหนือ", A864&lt;60, "ภาคเหนือ", A864&lt;80, "ภาคกลาง/ตะวันตก", A864&gt;=80, "ภาคใต้")</f>
        <v>ภาคตะวันออกเฉียงเหนือ</v>
      </c>
      <c r="D864" s="64">
        <v>3677</v>
      </c>
      <c r="E864" s="10" t="s">
        <v>1198</v>
      </c>
      <c r="F864" s="11">
        <v>7630</v>
      </c>
      <c r="G864" s="11">
        <v>7649</v>
      </c>
      <c r="H864" s="11">
        <v>15279</v>
      </c>
      <c r="I864" s="11">
        <v>4788</v>
      </c>
      <c r="J864" s="66">
        <f t="shared" si="50"/>
        <v>49.937823155965702</v>
      </c>
      <c r="K864" s="66">
        <f t="shared" si="51"/>
        <v>50.062176844034298</v>
      </c>
    </row>
    <row r="865" spans="1:11" ht="41.4" x14ac:dyDescent="0.3">
      <c r="A865" s="10">
        <v>36</v>
      </c>
      <c r="B865" s="10" t="s">
        <v>1180</v>
      </c>
      <c r="C865" s="10" t="str" cm="1">
        <f t="array" ref="C865">_xlfn.IFS(A865&lt;20, "ภาคกลาง", A865&lt;30, "ภาคตะวันออก", A865&lt;50, "ภาคตะวันออกเฉียงเหนือ", A865&lt;60, "ภาคเหนือ", A865&lt;80, "ภาคกลาง/ตะวันตก", A865&gt;=80, "ภาคใต้")</f>
        <v>ภาคตะวันออกเฉียงเหนือ</v>
      </c>
      <c r="D865" s="64">
        <v>3680</v>
      </c>
      <c r="E865" s="10" t="s">
        <v>1199</v>
      </c>
      <c r="F865" s="11">
        <v>7659</v>
      </c>
      <c r="G865" s="11">
        <v>7726</v>
      </c>
      <c r="H865" s="11">
        <v>15385</v>
      </c>
      <c r="I865" s="11">
        <v>4784</v>
      </c>
      <c r="J865" s="66">
        <f t="shared" si="50"/>
        <v>49.782255443613913</v>
      </c>
      <c r="K865" s="66">
        <f t="shared" si="51"/>
        <v>50.217744556386087</v>
      </c>
    </row>
    <row r="866" spans="1:11" ht="41.4" x14ac:dyDescent="0.3">
      <c r="A866" s="10">
        <v>36</v>
      </c>
      <c r="B866" s="10" t="s">
        <v>1180</v>
      </c>
      <c r="C866" s="10" t="str" cm="1">
        <f t="array" ref="C866">_xlfn.IFS(A866&lt;20, "ภาคกลาง", A866&lt;30, "ภาคตะวันออก", A866&lt;50, "ภาคตะวันออกเฉียงเหนือ", A866&lt;60, "ภาคเหนือ", A866&lt;80, "ภาคกลาง/ตะวันตก", A866&gt;=80, "ภาคใต้")</f>
        <v>ภาคตะวันออกเฉียงเหนือ</v>
      </c>
      <c r="D866" s="64">
        <v>3681</v>
      </c>
      <c r="E866" s="10" t="s">
        <v>1200</v>
      </c>
      <c r="F866" s="11">
        <v>1900</v>
      </c>
      <c r="G866" s="11">
        <v>2139</v>
      </c>
      <c r="H866" s="11">
        <v>4039</v>
      </c>
      <c r="I866" s="11">
        <v>1515</v>
      </c>
      <c r="J866" s="66">
        <f t="shared" si="50"/>
        <v>47.041346868036641</v>
      </c>
      <c r="K866" s="66">
        <f t="shared" si="51"/>
        <v>52.958653131963359</v>
      </c>
    </row>
    <row r="867" spans="1:11" ht="41.4" x14ac:dyDescent="0.3">
      <c r="A867" s="10">
        <v>36</v>
      </c>
      <c r="B867" s="10" t="s">
        <v>1180</v>
      </c>
      <c r="C867" s="10" t="str" cm="1">
        <f t="array" ref="C867">_xlfn.IFS(A867&lt;20, "ภาคกลาง", A867&lt;30, "ภาคตะวันออก", A867&lt;50, "ภาคตะวันออกเฉียงเหนือ", A867&lt;60, "ภาคเหนือ", A867&lt;80, "ภาคกลาง/ตะวันตก", A867&gt;=80, "ภาคใต้")</f>
        <v>ภาคตะวันออกเฉียงเหนือ</v>
      </c>
      <c r="D867" s="64">
        <v>3682</v>
      </c>
      <c r="E867" s="10" t="s">
        <v>1201</v>
      </c>
      <c r="F867" s="11">
        <v>3789</v>
      </c>
      <c r="G867" s="11">
        <v>4315</v>
      </c>
      <c r="H867" s="11">
        <v>8104</v>
      </c>
      <c r="I867" s="11">
        <v>4824</v>
      </c>
      <c r="J867" s="66">
        <f t="shared" si="50"/>
        <v>46.75468904244817</v>
      </c>
      <c r="K867" s="66">
        <f t="shared" si="51"/>
        <v>53.24531095755183</v>
      </c>
    </row>
    <row r="868" spans="1:11" ht="41.4" x14ac:dyDescent="0.3">
      <c r="A868" s="10">
        <v>36</v>
      </c>
      <c r="B868" s="10" t="s">
        <v>1180</v>
      </c>
      <c r="C868" s="10" t="str" cm="1">
        <f t="array" ref="C868">_xlfn.IFS(A868&lt;20, "ภาคกลาง", A868&lt;30, "ภาคตะวันออก", A868&lt;50, "ภาคตะวันออกเฉียงเหนือ", A868&lt;60, "ภาคเหนือ", A868&lt;80, "ภาคกลาง/ตะวันตก", A868&gt;=80, "ภาคใต้")</f>
        <v>ภาคตะวันออกเฉียงเหนือ</v>
      </c>
      <c r="D868" s="64">
        <v>3683</v>
      </c>
      <c r="E868" s="10" t="s">
        <v>1202</v>
      </c>
      <c r="F868" s="11">
        <v>5090</v>
      </c>
      <c r="G868" s="11">
        <v>5459</v>
      </c>
      <c r="H868" s="11">
        <v>10549</v>
      </c>
      <c r="I868" s="11">
        <v>3399</v>
      </c>
      <c r="J868" s="66">
        <f t="shared" si="50"/>
        <v>48.251019053938762</v>
      </c>
      <c r="K868" s="66">
        <f t="shared" si="51"/>
        <v>51.748980946061238</v>
      </c>
    </row>
    <row r="869" spans="1:11" ht="41.4" x14ac:dyDescent="0.3">
      <c r="A869" s="10">
        <v>36</v>
      </c>
      <c r="B869" s="10" t="s">
        <v>1180</v>
      </c>
      <c r="C869" s="10" t="str" cm="1">
        <f t="array" ref="C869">_xlfn.IFS(A869&lt;20, "ภาคกลาง", A869&lt;30, "ภาคตะวันออก", A869&lt;50, "ภาคตะวันออกเฉียงเหนือ", A869&lt;60, "ภาคเหนือ", A869&lt;80, "ภาคกลาง/ตะวันตก", A869&gt;=80, "ภาคใต้")</f>
        <v>ภาคตะวันออกเฉียงเหนือ</v>
      </c>
      <c r="D869" s="64">
        <v>3684</v>
      </c>
      <c r="E869" s="10" t="s">
        <v>1203</v>
      </c>
      <c r="F869" s="11">
        <v>1908</v>
      </c>
      <c r="G869" s="11">
        <v>2005</v>
      </c>
      <c r="H869" s="11">
        <v>3913</v>
      </c>
      <c r="I869" s="11">
        <v>1697</v>
      </c>
      <c r="J869" s="66">
        <f t="shared" si="50"/>
        <v>48.760541783797592</v>
      </c>
      <c r="K869" s="66">
        <f t="shared" si="51"/>
        <v>51.239458216202408</v>
      </c>
    </row>
    <row r="870" spans="1:11" ht="41.4" x14ac:dyDescent="0.3">
      <c r="A870" s="10">
        <v>36</v>
      </c>
      <c r="B870" s="10" t="s">
        <v>1180</v>
      </c>
      <c r="C870" s="10" t="str" cm="1">
        <f t="array" ref="C870">_xlfn.IFS(A870&lt;20, "ภาคกลาง", A870&lt;30, "ภาคตะวันออก", A870&lt;50, "ภาคตะวันออกเฉียงเหนือ", A870&lt;60, "ภาคเหนือ", A870&lt;80, "ภาคกลาง/ตะวันตก", A870&gt;=80, "ภาคใต้")</f>
        <v>ภาคตะวันออกเฉียงเหนือ</v>
      </c>
      <c r="D870" s="64">
        <v>3685</v>
      </c>
      <c r="E870" s="10" t="s">
        <v>1204</v>
      </c>
      <c r="F870" s="11">
        <v>2691</v>
      </c>
      <c r="G870" s="11">
        <v>3137</v>
      </c>
      <c r="H870" s="11">
        <v>5828</v>
      </c>
      <c r="I870" s="11">
        <v>3122</v>
      </c>
      <c r="J870" s="66">
        <f t="shared" si="50"/>
        <v>46.173644474948524</v>
      </c>
      <c r="K870" s="66">
        <f t="shared" si="51"/>
        <v>53.826355525051476</v>
      </c>
    </row>
    <row r="871" spans="1:11" ht="41.4" x14ac:dyDescent="0.3">
      <c r="A871" s="10">
        <v>36</v>
      </c>
      <c r="B871" s="10" t="s">
        <v>1180</v>
      </c>
      <c r="C871" s="10" t="str" cm="1">
        <f t="array" ref="C871">_xlfn.IFS(A871&lt;20, "ภาคกลาง", A871&lt;30, "ภาคตะวันออก", A871&lt;50, "ภาคตะวันออกเฉียงเหนือ", A871&lt;60, "ภาคเหนือ", A871&lt;80, "ภาคกลาง/ตะวันตก", A871&gt;=80, "ภาคใต้")</f>
        <v>ภาคตะวันออกเฉียงเหนือ</v>
      </c>
      <c r="D871" s="64">
        <v>3686</v>
      </c>
      <c r="E871" s="10" t="s">
        <v>1205</v>
      </c>
      <c r="F871" s="11">
        <v>2686</v>
      </c>
      <c r="G871" s="11">
        <v>2735</v>
      </c>
      <c r="H871" s="11">
        <v>5421</v>
      </c>
      <c r="I871" s="11">
        <v>1810</v>
      </c>
      <c r="J871" s="66">
        <f t="shared" si="50"/>
        <v>49.548053864600625</v>
      </c>
      <c r="K871" s="66">
        <f t="shared" si="51"/>
        <v>50.451946135399375</v>
      </c>
    </row>
    <row r="872" spans="1:11" ht="41.4" x14ac:dyDescent="0.3">
      <c r="A872" s="10">
        <v>36</v>
      </c>
      <c r="B872" s="10" t="s">
        <v>1180</v>
      </c>
      <c r="C872" s="10" t="str" cm="1">
        <f t="array" ref="C872">_xlfn.IFS(A872&lt;20, "ภาคกลาง", A872&lt;30, "ภาคตะวันออก", A872&lt;50, "ภาคตะวันออกเฉียงเหนือ", A872&lt;60, "ภาคเหนือ", A872&lt;80, "ภาคกลาง/ตะวันตก", A872&gt;=80, "ภาคใต้")</f>
        <v>ภาคตะวันออกเฉียงเหนือ</v>
      </c>
      <c r="D872" s="64">
        <v>3687</v>
      </c>
      <c r="E872" s="10" t="s">
        <v>1206</v>
      </c>
      <c r="F872" s="11">
        <v>1864</v>
      </c>
      <c r="G872" s="11">
        <v>1886</v>
      </c>
      <c r="H872" s="11">
        <v>3750</v>
      </c>
      <c r="I872" s="11">
        <v>2384</v>
      </c>
      <c r="J872" s="66">
        <f t="shared" si="50"/>
        <v>49.706666666666663</v>
      </c>
      <c r="K872" s="66">
        <f t="shared" si="51"/>
        <v>50.293333333333337</v>
      </c>
    </row>
    <row r="873" spans="1:11" ht="41.4" x14ac:dyDescent="0.3">
      <c r="A873" s="10">
        <v>36</v>
      </c>
      <c r="B873" s="10" t="s">
        <v>1180</v>
      </c>
      <c r="C873" s="10" t="str" cm="1">
        <f t="array" ref="C873">_xlfn.IFS(A873&lt;20, "ภาคกลาง", A873&lt;30, "ภาคตะวันออก", A873&lt;50, "ภาคตะวันออกเฉียงเหนือ", A873&lt;60, "ภาคเหนือ", A873&lt;80, "ภาคกลาง/ตะวันตก", A873&gt;=80, "ภาคใต้")</f>
        <v>ภาคตะวันออกเฉียงเหนือ</v>
      </c>
      <c r="D873" s="64">
        <v>3688</v>
      </c>
      <c r="E873" s="10" t="s">
        <v>1207</v>
      </c>
      <c r="F873" s="11">
        <v>2838</v>
      </c>
      <c r="G873" s="11">
        <v>2903</v>
      </c>
      <c r="H873" s="11">
        <v>5741</v>
      </c>
      <c r="I873" s="11">
        <v>2816</v>
      </c>
      <c r="J873" s="66">
        <f t="shared" si="50"/>
        <v>49.433896533704932</v>
      </c>
      <c r="K873" s="66">
        <f t="shared" si="51"/>
        <v>50.566103466295075</v>
      </c>
    </row>
    <row r="874" spans="1:11" ht="41.4" x14ac:dyDescent="0.3">
      <c r="A874" s="10">
        <v>36</v>
      </c>
      <c r="B874" s="10" t="s">
        <v>1180</v>
      </c>
      <c r="C874" s="10" t="str" cm="1">
        <f t="array" ref="C874">_xlfn.IFS(A874&lt;20, "ภาคกลาง", A874&lt;30, "ภาคตะวันออก", A874&lt;50, "ภาคตะวันออกเฉียงเหนือ", A874&lt;60, "ภาคเหนือ", A874&lt;80, "ภาคกลาง/ตะวันตก", A874&gt;=80, "ภาคใต้")</f>
        <v>ภาคตะวันออกเฉียงเหนือ</v>
      </c>
      <c r="D874" s="64">
        <v>3689</v>
      </c>
      <c r="E874" s="10" t="s">
        <v>1208</v>
      </c>
      <c r="F874" s="11">
        <v>3170</v>
      </c>
      <c r="G874" s="11">
        <v>3462</v>
      </c>
      <c r="H874" s="11">
        <v>6632</v>
      </c>
      <c r="I874" s="11">
        <v>3139</v>
      </c>
      <c r="J874" s="66">
        <f t="shared" si="50"/>
        <v>47.798552472858866</v>
      </c>
      <c r="K874" s="66">
        <f t="shared" si="51"/>
        <v>52.201447527141134</v>
      </c>
    </row>
    <row r="875" spans="1:11" ht="41.4" x14ac:dyDescent="0.3">
      <c r="A875" s="10">
        <v>36</v>
      </c>
      <c r="B875" s="10" t="s">
        <v>1180</v>
      </c>
      <c r="C875" s="10" t="str" cm="1">
        <f t="array" ref="C875">_xlfn.IFS(A875&lt;20, "ภาคกลาง", A875&lt;30, "ภาคตะวันออก", A875&lt;50, "ภาคตะวันออกเฉียงเหนือ", A875&lt;60, "ภาคเหนือ", A875&lt;80, "ภาคกลาง/ตะวันตก", A875&gt;=80, "ภาคใต้")</f>
        <v>ภาคตะวันออกเฉียงเหนือ</v>
      </c>
      <c r="D875" s="64">
        <v>3690</v>
      </c>
      <c r="E875" s="10" t="s">
        <v>1209</v>
      </c>
      <c r="F875" s="11">
        <v>2258</v>
      </c>
      <c r="G875" s="11">
        <v>2427</v>
      </c>
      <c r="H875" s="11">
        <v>4685</v>
      </c>
      <c r="I875" s="11">
        <v>2289</v>
      </c>
      <c r="J875" s="66">
        <f t="shared" si="50"/>
        <v>48.196371398078973</v>
      </c>
      <c r="K875" s="66">
        <f t="shared" si="51"/>
        <v>51.803628601921027</v>
      </c>
    </row>
    <row r="876" spans="1:11" ht="41.4" x14ac:dyDescent="0.3">
      <c r="A876" s="10">
        <v>36</v>
      </c>
      <c r="B876" s="10" t="s">
        <v>1180</v>
      </c>
      <c r="C876" s="10" t="str" cm="1">
        <f t="array" ref="C876">_xlfn.IFS(A876&lt;20, "ภาคกลาง", A876&lt;30, "ภาคตะวันออก", A876&lt;50, "ภาคตะวันออกเฉียงเหนือ", A876&lt;60, "ภาคเหนือ", A876&lt;80, "ภาคกลาง/ตะวันตก", A876&gt;=80, "ภาคใต้")</f>
        <v>ภาคตะวันออกเฉียงเหนือ</v>
      </c>
      <c r="D876" s="64">
        <v>3691</v>
      </c>
      <c r="E876" s="10" t="s">
        <v>1210</v>
      </c>
      <c r="F876" s="10">
        <v>916</v>
      </c>
      <c r="G876" s="10">
        <v>951</v>
      </c>
      <c r="H876" s="11">
        <v>1867</v>
      </c>
      <c r="I876" s="10">
        <v>840</v>
      </c>
      <c r="J876" s="66">
        <f t="shared" si="50"/>
        <v>49.062667380824855</v>
      </c>
      <c r="K876" s="66">
        <f t="shared" si="51"/>
        <v>50.937332619175145</v>
      </c>
    </row>
    <row r="877" spans="1:11" ht="41.4" x14ac:dyDescent="0.3">
      <c r="A877" s="10">
        <v>36</v>
      </c>
      <c r="B877" s="10" t="s">
        <v>1180</v>
      </c>
      <c r="C877" s="10" t="str" cm="1">
        <f t="array" ref="C877">_xlfn.IFS(A877&lt;20, "ภาคกลาง", A877&lt;30, "ภาคตะวันออก", A877&lt;50, "ภาคตะวันออกเฉียงเหนือ", A877&lt;60, "ภาคเหนือ", A877&lt;80, "ภาคกลาง/ตะวันตก", A877&gt;=80, "ภาคใต้")</f>
        <v>ภาคตะวันออกเฉียงเหนือ</v>
      </c>
      <c r="D877" s="64">
        <v>3692</v>
      </c>
      <c r="E877" s="10" t="s">
        <v>1211</v>
      </c>
      <c r="F877" s="11">
        <v>1909</v>
      </c>
      <c r="G877" s="11">
        <v>2095</v>
      </c>
      <c r="H877" s="11">
        <v>4004</v>
      </c>
      <c r="I877" s="11">
        <v>2285</v>
      </c>
      <c r="J877" s="66">
        <f t="shared" si="50"/>
        <v>47.677322677322678</v>
      </c>
      <c r="K877" s="66">
        <f t="shared" si="51"/>
        <v>52.322677322677322</v>
      </c>
    </row>
    <row r="878" spans="1:11" ht="41.4" x14ac:dyDescent="0.3">
      <c r="A878" s="10">
        <v>36</v>
      </c>
      <c r="B878" s="10" t="s">
        <v>1180</v>
      </c>
      <c r="C878" s="10" t="str" cm="1">
        <f t="array" ref="C878">_xlfn.IFS(A878&lt;20, "ภาคกลาง", A878&lt;30, "ภาคตะวันออก", A878&lt;50, "ภาคตะวันออกเฉียงเหนือ", A878&lt;60, "ภาคเหนือ", A878&lt;80, "ภาคกลาง/ตะวันตก", A878&gt;=80, "ภาคใต้")</f>
        <v>ภาคตะวันออกเฉียงเหนือ</v>
      </c>
      <c r="D878" s="64">
        <v>3693</v>
      </c>
      <c r="E878" s="10" t="s">
        <v>1212</v>
      </c>
      <c r="F878" s="11">
        <v>4148</v>
      </c>
      <c r="G878" s="11">
        <v>4376</v>
      </c>
      <c r="H878" s="11">
        <v>8524</v>
      </c>
      <c r="I878" s="11">
        <v>4600</v>
      </c>
      <c r="J878" s="66">
        <f t="shared" si="50"/>
        <v>48.662599718442046</v>
      </c>
      <c r="K878" s="66">
        <f t="shared" si="51"/>
        <v>51.337400281557954</v>
      </c>
    </row>
    <row r="879" spans="1:11" ht="41.4" x14ac:dyDescent="0.3">
      <c r="A879" s="10">
        <v>36</v>
      </c>
      <c r="B879" s="10" t="s">
        <v>1180</v>
      </c>
      <c r="C879" s="10" t="str" cm="1">
        <f t="array" ref="C879">_xlfn.IFS(A879&lt;20, "ภาคกลาง", A879&lt;30, "ภาคตะวันออก", A879&lt;50, "ภาคตะวันออกเฉียงเหนือ", A879&lt;60, "ภาคเหนือ", A879&lt;80, "ภาคกลาง/ตะวันตก", A879&gt;=80, "ภาคใต้")</f>
        <v>ภาคตะวันออกเฉียงเหนือ</v>
      </c>
      <c r="D879" s="64">
        <v>3694</v>
      </c>
      <c r="E879" s="10" t="s">
        <v>1213</v>
      </c>
      <c r="F879" s="11">
        <v>3642</v>
      </c>
      <c r="G879" s="11">
        <v>3849</v>
      </c>
      <c r="H879" s="11">
        <v>7491</v>
      </c>
      <c r="I879" s="11">
        <v>2442</v>
      </c>
      <c r="J879" s="66">
        <f t="shared" si="50"/>
        <v>48.618342010412498</v>
      </c>
      <c r="K879" s="66">
        <f t="shared" si="51"/>
        <v>51.381657989587502</v>
      </c>
    </row>
    <row r="880" spans="1:11" ht="41.4" x14ac:dyDescent="0.3">
      <c r="A880" s="10">
        <v>36</v>
      </c>
      <c r="B880" s="10" t="s">
        <v>1180</v>
      </c>
      <c r="C880" s="10" t="str" cm="1">
        <f t="array" ref="C880">_xlfn.IFS(A880&lt;20, "ภาคกลาง", A880&lt;30, "ภาคตะวันออก", A880&lt;50, "ภาคตะวันออกเฉียงเหนือ", A880&lt;60, "ภาคเหนือ", A880&lt;80, "ภาคกลาง/ตะวันตก", A880&gt;=80, "ภาคใต้")</f>
        <v>ภาคตะวันออกเฉียงเหนือ</v>
      </c>
      <c r="D880" s="64">
        <v>3695</v>
      </c>
      <c r="E880" s="10" t="s">
        <v>1214</v>
      </c>
      <c r="F880" s="11">
        <v>1344</v>
      </c>
      <c r="G880" s="11">
        <v>1493</v>
      </c>
      <c r="H880" s="11">
        <v>2837</v>
      </c>
      <c r="I880" s="11">
        <v>1353</v>
      </c>
      <c r="J880" s="66">
        <f t="shared" si="50"/>
        <v>47.373986605569264</v>
      </c>
      <c r="K880" s="66">
        <f t="shared" si="51"/>
        <v>52.626013394430736</v>
      </c>
    </row>
    <row r="881" spans="1:11" ht="41.4" x14ac:dyDescent="0.3">
      <c r="A881" s="10">
        <v>36</v>
      </c>
      <c r="B881" s="10" t="s">
        <v>1180</v>
      </c>
      <c r="C881" s="10" t="str" cm="1">
        <f t="array" ref="C881">_xlfn.IFS(A881&lt;20, "ภาคกลาง", A881&lt;30, "ภาคตะวันออก", A881&lt;50, "ภาคตะวันออกเฉียงเหนือ", A881&lt;60, "ภาคเหนือ", A881&lt;80, "ภาคกลาง/ตะวันตก", A881&gt;=80, "ภาคใต้")</f>
        <v>ภาคตะวันออกเฉียงเหนือ</v>
      </c>
      <c r="D881" s="64">
        <v>3696</v>
      </c>
      <c r="E881" s="10" t="s">
        <v>1215</v>
      </c>
      <c r="F881" s="11">
        <v>1918</v>
      </c>
      <c r="G881" s="11">
        <v>2125</v>
      </c>
      <c r="H881" s="11">
        <v>4043</v>
      </c>
      <c r="I881" s="11">
        <v>1938</v>
      </c>
      <c r="J881" s="66">
        <f t="shared" si="50"/>
        <v>47.440019787286673</v>
      </c>
      <c r="K881" s="66">
        <f t="shared" si="51"/>
        <v>52.559980212713327</v>
      </c>
    </row>
    <row r="882" spans="1:11" ht="41.4" x14ac:dyDescent="0.3">
      <c r="A882" s="10">
        <v>36</v>
      </c>
      <c r="B882" s="10" t="s">
        <v>1180</v>
      </c>
      <c r="C882" s="10" t="str" cm="1">
        <f t="array" ref="C882">_xlfn.IFS(A882&lt;20, "ภาคกลาง", A882&lt;30, "ภาคตะวันออก", A882&lt;50, "ภาคตะวันออกเฉียงเหนือ", A882&lt;60, "ภาคเหนือ", A882&lt;80, "ภาคกลาง/ตะวันตก", A882&gt;=80, "ภาคใต้")</f>
        <v>ภาคตะวันออกเฉียงเหนือ</v>
      </c>
      <c r="D882" s="64">
        <v>3697</v>
      </c>
      <c r="E882" s="10" t="s">
        <v>1216</v>
      </c>
      <c r="F882" s="11">
        <v>3674</v>
      </c>
      <c r="G882" s="11">
        <v>4063</v>
      </c>
      <c r="H882" s="11">
        <v>7737</v>
      </c>
      <c r="I882" s="11">
        <v>3567</v>
      </c>
      <c r="J882" s="66">
        <f t="shared" si="50"/>
        <v>47.486105725733488</v>
      </c>
      <c r="K882" s="66">
        <f t="shared" si="51"/>
        <v>52.513894274266512</v>
      </c>
    </row>
    <row r="883" spans="1:11" ht="41.4" x14ac:dyDescent="0.3">
      <c r="A883" s="10">
        <v>36</v>
      </c>
      <c r="B883" s="10" t="s">
        <v>1180</v>
      </c>
      <c r="C883" s="10" t="str" cm="1">
        <f t="array" ref="C883">_xlfn.IFS(A883&lt;20, "ภาคกลาง", A883&lt;30, "ภาคตะวันออก", A883&lt;50, "ภาคตะวันออกเฉียงเหนือ", A883&lt;60, "ภาคเหนือ", A883&lt;80, "ภาคกลาง/ตะวันตก", A883&gt;=80, "ภาคใต้")</f>
        <v>ภาคตะวันออกเฉียงเหนือ</v>
      </c>
      <c r="D883" s="64">
        <v>3698</v>
      </c>
      <c r="E883" s="10" t="s">
        <v>1217</v>
      </c>
      <c r="F883" s="11">
        <v>2085</v>
      </c>
      <c r="G883" s="11">
        <v>2361</v>
      </c>
      <c r="H883" s="11">
        <v>4446</v>
      </c>
      <c r="I883" s="11">
        <v>1813</v>
      </c>
      <c r="J883" s="66">
        <f t="shared" si="50"/>
        <v>46.896086369770579</v>
      </c>
      <c r="K883" s="66">
        <f t="shared" si="51"/>
        <v>53.103913630229414</v>
      </c>
    </row>
    <row r="884" spans="1:11" ht="41.4" x14ac:dyDescent="0.3">
      <c r="A884" s="10">
        <v>36</v>
      </c>
      <c r="B884" s="10" t="s">
        <v>1180</v>
      </c>
      <c r="C884" s="10" t="str" cm="1">
        <f t="array" ref="C884">_xlfn.IFS(A884&lt;20, "ภาคกลาง", A884&lt;30, "ภาคตะวันออก", A884&lt;50, "ภาคตะวันออกเฉียงเหนือ", A884&lt;60, "ภาคเหนือ", A884&lt;80, "ภาคกลาง/ตะวันตก", A884&gt;=80, "ภาคใต้")</f>
        <v>ภาคตะวันออกเฉียงเหนือ</v>
      </c>
      <c r="D884" s="64">
        <v>3699</v>
      </c>
      <c r="E884" s="10" t="s">
        <v>1218</v>
      </c>
      <c r="F884" s="11">
        <v>2303</v>
      </c>
      <c r="G884" s="11">
        <v>2423</v>
      </c>
      <c r="H884" s="11">
        <v>4726</v>
      </c>
      <c r="I884" s="11">
        <v>2001</v>
      </c>
      <c r="J884" s="66">
        <f t="shared" si="50"/>
        <v>48.730427422767669</v>
      </c>
      <c r="K884" s="66">
        <f t="shared" si="51"/>
        <v>51.269572577232339</v>
      </c>
    </row>
    <row r="885" spans="1:11" ht="41.4" hidden="1" x14ac:dyDescent="0.3">
      <c r="A885" s="10">
        <v>36</v>
      </c>
      <c r="B885" s="10" t="s">
        <v>1180</v>
      </c>
      <c r="C885" s="10" t="str" cm="1">
        <f t="array" ref="C885">_xlfn.IFS(A885&lt;20, "ภาคกลาง", A885&lt;30, "ภาคตะวันออก", A885&lt;50, "ภาคตะวันออกเฉียงเหนือ", A885&lt;60, "ภาคเหนือ", A885&lt;80, "ภาคกลาง/ตะวันตก", A885&gt;=80, "ภาคใต้")</f>
        <v>ภาคตะวันออกเฉียงเหนือ</v>
      </c>
      <c r="D885" s="10">
        <v>0</v>
      </c>
      <c r="E885" s="10" t="s">
        <v>343</v>
      </c>
      <c r="F885" s="11">
        <v>16369</v>
      </c>
      <c r="G885" s="11">
        <v>18330</v>
      </c>
      <c r="H885" s="11">
        <v>34699</v>
      </c>
      <c r="I885" s="11">
        <v>21996</v>
      </c>
      <c r="J885"/>
      <c r="K885"/>
    </row>
    <row r="886" spans="1:11" ht="41.4" x14ac:dyDescent="0.3">
      <c r="A886" s="10">
        <v>37</v>
      </c>
      <c r="B886" s="10" t="s">
        <v>1219</v>
      </c>
      <c r="C886" s="10" t="str" cm="1">
        <f t="array" ref="C886">_xlfn.IFS(A886&lt;20, "ภาคกลาง", A886&lt;30, "ภาคตะวันออก", A886&lt;50, "ภาคตะวันออกเฉียงเหนือ", A886&lt;60, "ภาคเหนือ", A886&lt;80, "ภาคกลาง/ตะวันตก", A886&gt;=80, "ภาคใต้")</f>
        <v>ภาคตะวันออกเฉียงเหนือ</v>
      </c>
      <c r="D886" s="64">
        <v>3701</v>
      </c>
      <c r="E886" s="10" t="s">
        <v>1220</v>
      </c>
      <c r="F886" s="11">
        <v>184783</v>
      </c>
      <c r="G886" s="11">
        <v>187400</v>
      </c>
      <c r="H886" s="11">
        <v>372183</v>
      </c>
      <c r="I886" s="11">
        <v>128559</v>
      </c>
      <c r="J886" s="66">
        <f t="shared" ref="J886:J902" si="52">F886/H886*100</f>
        <v>49.648425640074912</v>
      </c>
      <c r="K886" s="66">
        <f t="shared" ref="K886:K902" si="53">G886/H886*100</f>
        <v>50.351574359925088</v>
      </c>
    </row>
    <row r="887" spans="1:11" ht="41.4" x14ac:dyDescent="0.3">
      <c r="A887" s="10">
        <v>37</v>
      </c>
      <c r="B887" s="10" t="s">
        <v>1219</v>
      </c>
      <c r="C887" s="10" t="str" cm="1">
        <f t="array" ref="C887">_xlfn.IFS(A887&lt;20, "ภาคกลาง", A887&lt;30, "ภาคตะวันออก", A887&lt;50, "ภาคตะวันออกเฉียงเหนือ", A887&lt;60, "ภาคเหนือ", A887&lt;80, "ภาคกลาง/ตะวันตก", A887&gt;=80, "ภาคใต้")</f>
        <v>ภาคตะวันออกเฉียงเหนือ</v>
      </c>
      <c r="D887" s="64">
        <v>3702</v>
      </c>
      <c r="E887" s="10" t="s">
        <v>1221</v>
      </c>
      <c r="F887" s="11">
        <v>48313</v>
      </c>
      <c r="G887" s="11">
        <v>48483</v>
      </c>
      <c r="H887" s="11">
        <v>96796</v>
      </c>
      <c r="I887" s="11">
        <v>33111</v>
      </c>
      <c r="J887" s="66">
        <f t="shared" si="52"/>
        <v>49.912186453985704</v>
      </c>
      <c r="K887" s="66">
        <f t="shared" si="53"/>
        <v>50.087813546014296</v>
      </c>
    </row>
    <row r="888" spans="1:11" ht="41.4" x14ac:dyDescent="0.3">
      <c r="A888" s="10">
        <v>37</v>
      </c>
      <c r="B888" s="10" t="s">
        <v>1219</v>
      </c>
      <c r="C888" s="10" t="str" cm="1">
        <f t="array" ref="C888">_xlfn.IFS(A888&lt;20, "ภาคกลาง", A888&lt;30, "ภาคตะวันออก", A888&lt;50, "ภาคตะวันออกเฉียงเหนือ", A888&lt;60, "ภาคเหนือ", A888&lt;80, "ภาคกลาง/ตะวันตก", A888&gt;=80, "ภาคใต้")</f>
        <v>ภาคตะวันออกเฉียงเหนือ</v>
      </c>
      <c r="D888" s="64">
        <v>3703</v>
      </c>
      <c r="E888" s="10" t="s">
        <v>1222</v>
      </c>
      <c r="F888" s="11">
        <v>19403</v>
      </c>
      <c r="G888" s="11">
        <v>19305</v>
      </c>
      <c r="H888" s="11">
        <v>38708</v>
      </c>
      <c r="I888" s="11">
        <v>12404</v>
      </c>
      <c r="J888" s="66">
        <f t="shared" si="52"/>
        <v>50.126588818848816</v>
      </c>
      <c r="K888" s="66">
        <f t="shared" si="53"/>
        <v>49.873411181151184</v>
      </c>
    </row>
    <row r="889" spans="1:11" ht="41.4" x14ac:dyDescent="0.3">
      <c r="A889" s="10">
        <v>37</v>
      </c>
      <c r="B889" s="10" t="s">
        <v>1219</v>
      </c>
      <c r="C889" s="10" t="str" cm="1">
        <f t="array" ref="C889">_xlfn.IFS(A889&lt;20, "ภาคกลาง", A889&lt;30, "ภาคตะวันออก", A889&lt;50, "ภาคตะวันออกเฉียงเหนือ", A889&lt;60, "ภาคเหนือ", A889&lt;80, "ภาคกลาง/ตะวันตก", A889&gt;=80, "ภาคใต้")</f>
        <v>ภาคตะวันออกเฉียงเหนือ</v>
      </c>
      <c r="D889" s="64">
        <v>3704</v>
      </c>
      <c r="E889" s="10" t="s">
        <v>1223</v>
      </c>
      <c r="F889" s="11">
        <v>22916</v>
      </c>
      <c r="G889" s="11">
        <v>22672</v>
      </c>
      <c r="H889" s="11">
        <v>45588</v>
      </c>
      <c r="I889" s="11">
        <v>14242</v>
      </c>
      <c r="J889" s="66">
        <f t="shared" si="52"/>
        <v>50.267614284460826</v>
      </c>
      <c r="K889" s="66">
        <f t="shared" si="53"/>
        <v>49.732385715539181</v>
      </c>
    </row>
    <row r="890" spans="1:11" ht="41.4" x14ac:dyDescent="0.3">
      <c r="A890" s="10">
        <v>37</v>
      </c>
      <c r="B890" s="10" t="s">
        <v>1219</v>
      </c>
      <c r="C890" s="10" t="str" cm="1">
        <f t="array" ref="C890">_xlfn.IFS(A890&lt;20, "ภาคกลาง", A890&lt;30, "ภาคตะวันออก", A890&lt;50, "ภาคตะวันออกเฉียงเหนือ", A890&lt;60, "ภาคเหนือ", A890&lt;80, "ภาคกลาง/ตะวันตก", A890&gt;=80, "ภาคใต้")</f>
        <v>ภาคตะวันออกเฉียงเหนือ</v>
      </c>
      <c r="D890" s="64">
        <v>3705</v>
      </c>
      <c r="E890" s="10" t="s">
        <v>1224</v>
      </c>
      <c r="F890" s="11">
        <v>9511</v>
      </c>
      <c r="G890" s="11">
        <v>9400</v>
      </c>
      <c r="H890" s="11">
        <v>18911</v>
      </c>
      <c r="I890" s="11">
        <v>7079</v>
      </c>
      <c r="J890" s="66">
        <f t="shared" si="52"/>
        <v>50.293479985193798</v>
      </c>
      <c r="K890" s="66">
        <f t="shared" si="53"/>
        <v>49.706520014806202</v>
      </c>
    </row>
    <row r="891" spans="1:11" ht="41.4" x14ac:dyDescent="0.3">
      <c r="A891" s="10">
        <v>37</v>
      </c>
      <c r="B891" s="10" t="s">
        <v>1219</v>
      </c>
      <c r="C891" s="10" t="str" cm="1">
        <f t="array" ref="C891">_xlfn.IFS(A891&lt;20, "ภาคกลาง", A891&lt;30, "ภาคตะวันออก", A891&lt;50, "ภาคตะวันออกเฉียงเหนือ", A891&lt;60, "ภาคเหนือ", A891&lt;80, "ภาคกลาง/ตะวันตก", A891&gt;=80, "ภาคใต้")</f>
        <v>ภาคตะวันออกเฉียงเหนือ</v>
      </c>
      <c r="D891" s="64">
        <v>3706</v>
      </c>
      <c r="E891" s="10" t="s">
        <v>1225</v>
      </c>
      <c r="F891" s="11">
        <v>17247</v>
      </c>
      <c r="G891" s="11">
        <v>17597</v>
      </c>
      <c r="H891" s="11">
        <v>34844</v>
      </c>
      <c r="I891" s="11">
        <v>11519</v>
      </c>
      <c r="J891" s="66">
        <f t="shared" si="52"/>
        <v>49.497761451038919</v>
      </c>
      <c r="K891" s="66">
        <f t="shared" si="53"/>
        <v>50.502238548961088</v>
      </c>
    </row>
    <row r="892" spans="1:11" ht="41.4" x14ac:dyDescent="0.3">
      <c r="A892" s="10">
        <v>37</v>
      </c>
      <c r="B892" s="10" t="s">
        <v>1219</v>
      </c>
      <c r="C892" s="10" t="str" cm="1">
        <f t="array" ref="C892">_xlfn.IFS(A892&lt;20, "ภาคกลาง", A892&lt;30, "ภาคตะวันออก", A892&lt;50, "ภาคตะวันออกเฉียงเหนือ", A892&lt;60, "ภาคเหนือ", A892&lt;80, "ภาคกลาง/ตะวันตก", A892&gt;=80, "ภาคใต้")</f>
        <v>ภาคตะวันออกเฉียงเหนือ</v>
      </c>
      <c r="D892" s="64">
        <v>3707</v>
      </c>
      <c r="E892" s="10" t="s">
        <v>1226</v>
      </c>
      <c r="F892" s="11">
        <v>20612</v>
      </c>
      <c r="G892" s="11">
        <v>20711</v>
      </c>
      <c r="H892" s="11">
        <v>41323</v>
      </c>
      <c r="I892" s="11">
        <v>11474</v>
      </c>
      <c r="J892" s="66">
        <f t="shared" si="52"/>
        <v>49.880211988480994</v>
      </c>
      <c r="K892" s="66">
        <f t="shared" si="53"/>
        <v>50.119788011519006</v>
      </c>
    </row>
    <row r="893" spans="1:11" ht="41.4" x14ac:dyDescent="0.3">
      <c r="A893" s="10">
        <v>37</v>
      </c>
      <c r="B893" s="10" t="s">
        <v>1219</v>
      </c>
      <c r="C893" s="10" t="str" cm="1">
        <f t="array" ref="C893">_xlfn.IFS(A893&lt;20, "ภาคกลาง", A893&lt;30, "ภาคตะวันออก", A893&lt;50, "ภาคตะวันออกเฉียงเหนือ", A893&lt;60, "ภาคเหนือ", A893&lt;80, "ภาคกลาง/ตะวันตก", A893&gt;=80, "ภาคใต้")</f>
        <v>ภาคตะวันออกเฉียงเหนือ</v>
      </c>
      <c r="D893" s="64">
        <v>3790</v>
      </c>
      <c r="E893" s="10" t="s">
        <v>1227</v>
      </c>
      <c r="F893" s="11">
        <v>16722</v>
      </c>
      <c r="G893" s="11">
        <v>16922</v>
      </c>
      <c r="H893" s="11">
        <v>33644</v>
      </c>
      <c r="I893" s="11">
        <v>10315</v>
      </c>
      <c r="J893" s="66">
        <f t="shared" si="52"/>
        <v>49.702770181904647</v>
      </c>
      <c r="K893" s="66">
        <f t="shared" si="53"/>
        <v>50.297229818095346</v>
      </c>
    </row>
    <row r="894" spans="1:11" ht="41.4" x14ac:dyDescent="0.3">
      <c r="A894" s="10">
        <v>37</v>
      </c>
      <c r="B894" s="10" t="s">
        <v>1219</v>
      </c>
      <c r="C894" s="10" t="str" cm="1">
        <f t="array" ref="C894">_xlfn.IFS(A894&lt;20, "ภาคกลาง", A894&lt;30, "ภาคตะวันออก", A894&lt;50, "ภาคตะวันออกเฉียงเหนือ", A894&lt;60, "ภาคเหนือ", A894&lt;80, "ภาคกลาง/ตะวันตก", A894&gt;=80, "ภาคใต้")</f>
        <v>ภาคตะวันออกเฉียงเหนือ</v>
      </c>
      <c r="D894" s="64">
        <v>3791</v>
      </c>
      <c r="E894" s="10" t="s">
        <v>1228</v>
      </c>
      <c r="F894" s="11">
        <v>2557</v>
      </c>
      <c r="G894" s="11">
        <v>2630</v>
      </c>
      <c r="H894" s="11">
        <v>5187</v>
      </c>
      <c r="I894" s="11">
        <v>1597</v>
      </c>
      <c r="J894" s="66">
        <f t="shared" si="52"/>
        <v>49.29631771737035</v>
      </c>
      <c r="K894" s="66">
        <f t="shared" si="53"/>
        <v>50.70368228262965</v>
      </c>
    </row>
    <row r="895" spans="1:11" ht="41.4" x14ac:dyDescent="0.3">
      <c r="A895" s="10">
        <v>37</v>
      </c>
      <c r="B895" s="10" t="s">
        <v>1219</v>
      </c>
      <c r="C895" s="10" t="str" cm="1">
        <f t="array" ref="C895">_xlfn.IFS(A895&lt;20, "ภาคกลาง", A895&lt;30, "ภาคตะวันออก", A895&lt;50, "ภาคตะวันออกเฉียงเหนือ", A895&lt;60, "ภาคเหนือ", A895&lt;80, "ภาคกลาง/ตะวันตก", A895&gt;=80, "ภาคใต้")</f>
        <v>ภาคตะวันออกเฉียงเหนือ</v>
      </c>
      <c r="D895" s="64">
        <v>3792</v>
      </c>
      <c r="E895" s="10" t="s">
        <v>1229</v>
      </c>
      <c r="F895" s="11">
        <v>2956</v>
      </c>
      <c r="G895" s="11">
        <v>2990</v>
      </c>
      <c r="H895" s="11">
        <v>5946</v>
      </c>
      <c r="I895" s="11">
        <v>2341</v>
      </c>
      <c r="J895" s="66">
        <f t="shared" si="52"/>
        <v>49.714093508240836</v>
      </c>
      <c r="K895" s="66">
        <f t="shared" si="53"/>
        <v>50.285906491759171</v>
      </c>
    </row>
    <row r="896" spans="1:11" ht="41.4" x14ac:dyDescent="0.3">
      <c r="A896" s="10">
        <v>37</v>
      </c>
      <c r="B896" s="10" t="s">
        <v>1219</v>
      </c>
      <c r="C896" s="10" t="str" cm="1">
        <f t="array" ref="C896">_xlfn.IFS(A896&lt;20, "ภาคกลาง", A896&lt;30, "ภาคตะวันออก", A896&lt;50, "ภาคตะวันออกเฉียงเหนือ", A896&lt;60, "ภาคเหนือ", A896&lt;80, "ภาคกลาง/ตะวันตก", A896&gt;=80, "ภาคใต้")</f>
        <v>ภาคตะวันออกเฉียงเหนือ</v>
      </c>
      <c r="D896" s="64">
        <v>3793</v>
      </c>
      <c r="E896" s="10" t="s">
        <v>1230</v>
      </c>
      <c r="F896" s="10">
        <v>985</v>
      </c>
      <c r="G896" s="11">
        <v>1128</v>
      </c>
      <c r="H896" s="11">
        <v>2113</v>
      </c>
      <c r="I896" s="11">
        <v>1063</v>
      </c>
      <c r="J896" s="66">
        <f t="shared" si="52"/>
        <v>46.61618551822054</v>
      </c>
      <c r="K896" s="66">
        <f t="shared" si="53"/>
        <v>53.38381448177946</v>
      </c>
    </row>
    <row r="897" spans="1:11" ht="41.4" x14ac:dyDescent="0.3">
      <c r="A897" s="10">
        <v>37</v>
      </c>
      <c r="B897" s="10" t="s">
        <v>1219</v>
      </c>
      <c r="C897" s="10" t="str" cm="1">
        <f t="array" ref="C897">_xlfn.IFS(A897&lt;20, "ภาคกลาง", A897&lt;30, "ภาคตะวันออก", A897&lt;50, "ภาคตะวันออกเฉียงเหนือ", A897&lt;60, "ภาคเหนือ", A897&lt;80, "ภาคกลาง/ตะวันตก", A897&gt;=80, "ภาคใต้")</f>
        <v>ภาคตะวันออกเฉียงเหนือ</v>
      </c>
      <c r="D897" s="64">
        <v>3794</v>
      </c>
      <c r="E897" s="10" t="s">
        <v>1231</v>
      </c>
      <c r="F897" s="11">
        <v>3289</v>
      </c>
      <c r="G897" s="11">
        <v>3441</v>
      </c>
      <c r="H897" s="11">
        <v>6730</v>
      </c>
      <c r="I897" s="11">
        <v>2329</v>
      </c>
      <c r="J897" s="66">
        <f t="shared" si="52"/>
        <v>48.870728083209507</v>
      </c>
      <c r="K897" s="66">
        <f t="shared" si="53"/>
        <v>51.129271916790486</v>
      </c>
    </row>
    <row r="898" spans="1:11" ht="41.4" x14ac:dyDescent="0.3">
      <c r="A898" s="10">
        <v>37</v>
      </c>
      <c r="B898" s="10" t="s">
        <v>1219</v>
      </c>
      <c r="C898" s="10" t="str" cm="1">
        <f t="array" ref="C898">_xlfn.IFS(A898&lt;20, "ภาคกลาง", A898&lt;30, "ภาคตะวันออก", A898&lt;50, "ภาคตะวันออกเฉียงเหนือ", A898&lt;60, "ภาคเหนือ", A898&lt;80, "ภาคกลาง/ตะวันตก", A898&gt;=80, "ภาคใต้")</f>
        <v>ภาคตะวันออกเฉียงเหนือ</v>
      </c>
      <c r="D898" s="64">
        <v>3795</v>
      </c>
      <c r="E898" s="10" t="s">
        <v>1232</v>
      </c>
      <c r="F898" s="11">
        <v>2637</v>
      </c>
      <c r="G898" s="11">
        <v>2893</v>
      </c>
      <c r="H898" s="11">
        <v>5530</v>
      </c>
      <c r="I898" s="11">
        <v>2026</v>
      </c>
      <c r="J898" s="66">
        <f t="shared" si="52"/>
        <v>47.685352622061487</v>
      </c>
      <c r="K898" s="66">
        <f t="shared" si="53"/>
        <v>52.314647377938513</v>
      </c>
    </row>
    <row r="899" spans="1:11" ht="41.4" x14ac:dyDescent="0.3">
      <c r="A899" s="10">
        <v>37</v>
      </c>
      <c r="B899" s="10" t="s">
        <v>1219</v>
      </c>
      <c r="C899" s="10" t="str" cm="1">
        <f t="array" ref="C899">_xlfn.IFS(A899&lt;20, "ภาคกลาง", A899&lt;30, "ภาคตะวันออก", A899&lt;50, "ภาคตะวันออกเฉียงเหนือ", A899&lt;60, "ภาคเหนือ", A899&lt;80, "ภาคกลาง/ตะวันตก", A899&gt;=80, "ภาคใต้")</f>
        <v>ภาคตะวันออกเฉียงเหนือ</v>
      </c>
      <c r="D899" s="64">
        <v>3796</v>
      </c>
      <c r="E899" s="10" t="s">
        <v>1233</v>
      </c>
      <c r="F899" s="11">
        <v>1173</v>
      </c>
      <c r="G899" s="11">
        <v>1346</v>
      </c>
      <c r="H899" s="11">
        <v>2519</v>
      </c>
      <c r="I899" s="11">
        <v>1176</v>
      </c>
      <c r="J899" s="66">
        <f t="shared" si="52"/>
        <v>46.566097657800718</v>
      </c>
      <c r="K899" s="66">
        <f t="shared" si="53"/>
        <v>53.433902342199289</v>
      </c>
    </row>
    <row r="900" spans="1:11" ht="41.4" x14ac:dyDescent="0.3">
      <c r="A900" s="10">
        <v>37</v>
      </c>
      <c r="B900" s="10" t="s">
        <v>1219</v>
      </c>
      <c r="C900" s="10" t="str" cm="1">
        <f t="array" ref="C900">_xlfn.IFS(A900&lt;20, "ภาคกลาง", A900&lt;30, "ภาคตะวันออก", A900&lt;50, "ภาคตะวันออกเฉียงเหนือ", A900&lt;60, "ภาคเหนือ", A900&lt;80, "ภาคกลาง/ตะวันตก", A900&gt;=80, "ภาคใต้")</f>
        <v>ภาคตะวันออกเฉียงเหนือ</v>
      </c>
      <c r="D900" s="64">
        <v>3797</v>
      </c>
      <c r="E900" s="10" t="s">
        <v>1234</v>
      </c>
      <c r="F900" s="11">
        <v>1628</v>
      </c>
      <c r="G900" s="11">
        <v>1688</v>
      </c>
      <c r="H900" s="11">
        <v>3316</v>
      </c>
      <c r="I900" s="11">
        <v>1771</v>
      </c>
      <c r="J900" s="66">
        <f t="shared" si="52"/>
        <v>49.095295536791319</v>
      </c>
      <c r="K900" s="66">
        <f t="shared" si="53"/>
        <v>50.904704463208681</v>
      </c>
    </row>
    <row r="901" spans="1:11" ht="41.4" x14ac:dyDescent="0.3">
      <c r="A901" s="10">
        <v>37</v>
      </c>
      <c r="B901" s="10" t="s">
        <v>1219</v>
      </c>
      <c r="C901" s="10" t="str" cm="1">
        <f t="array" ref="C901">_xlfn.IFS(A901&lt;20, "ภาคกลาง", A901&lt;30, "ภาคตะวันออก", A901&lt;50, "ภาคตะวันออกเฉียงเหนือ", A901&lt;60, "ภาคเหนือ", A901&lt;80, "ภาคกลาง/ตะวันตก", A901&gt;=80, "ภาคใต้")</f>
        <v>ภาคตะวันออกเฉียงเหนือ</v>
      </c>
      <c r="D901" s="64">
        <v>3798</v>
      </c>
      <c r="E901" s="10" t="s">
        <v>1235</v>
      </c>
      <c r="F901" s="11">
        <v>1502</v>
      </c>
      <c r="G901" s="11">
        <v>1647</v>
      </c>
      <c r="H901" s="11">
        <v>3149</v>
      </c>
      <c r="I901" s="11">
        <v>1521</v>
      </c>
      <c r="J901" s="66">
        <f t="shared" si="52"/>
        <v>47.697681803747223</v>
      </c>
      <c r="K901" s="66">
        <f t="shared" si="53"/>
        <v>52.302318196252784</v>
      </c>
    </row>
    <row r="902" spans="1:11" ht="41.4" x14ac:dyDescent="0.3">
      <c r="A902" s="10">
        <v>37</v>
      </c>
      <c r="B902" s="10" t="s">
        <v>1219</v>
      </c>
      <c r="C902" s="10" t="str" cm="1">
        <f t="array" ref="C902">_xlfn.IFS(A902&lt;20, "ภาคกลาง", A902&lt;30, "ภาคตะวันออก", A902&lt;50, "ภาคตะวันออกเฉียงเหนือ", A902&lt;60, "ภาคเหนือ", A902&lt;80, "ภาคกลาง/ตะวันตก", A902&gt;=80, "ภาคใต้")</f>
        <v>ภาคตะวันออกเฉียงเหนือ</v>
      </c>
      <c r="D902" s="64">
        <v>3799</v>
      </c>
      <c r="E902" s="10" t="s">
        <v>1236</v>
      </c>
      <c r="F902" s="11">
        <v>1727</v>
      </c>
      <c r="G902" s="11">
        <v>1889</v>
      </c>
      <c r="H902" s="11">
        <v>3616</v>
      </c>
      <c r="I902" s="11">
        <v>1272</v>
      </c>
      <c r="J902" s="66">
        <f t="shared" si="52"/>
        <v>47.759955752212392</v>
      </c>
      <c r="K902" s="66">
        <f t="shared" si="53"/>
        <v>52.240044247787608</v>
      </c>
    </row>
    <row r="903" spans="1:11" ht="41.4" hidden="1" x14ac:dyDescent="0.3">
      <c r="A903" s="10">
        <v>37</v>
      </c>
      <c r="B903" s="10" t="s">
        <v>1219</v>
      </c>
      <c r="C903" s="10" t="str" cm="1">
        <f t="array" ref="C903">_xlfn.IFS(A903&lt;20, "ภาคกลาง", A903&lt;30, "ภาคตะวันออก", A903&lt;50, "ภาคตะวันออกเฉียงเหนือ", A903&lt;60, "ภาคเหนือ", A903&lt;80, "ภาคกลาง/ตะวันตก", A903&gt;=80, "ภาคใต้")</f>
        <v>ภาคตะวันออกเฉียงเหนือ</v>
      </c>
      <c r="D903" s="10">
        <v>0</v>
      </c>
      <c r="E903" s="10" t="s">
        <v>343</v>
      </c>
      <c r="F903" s="11">
        <v>11605</v>
      </c>
      <c r="G903" s="11">
        <v>12658</v>
      </c>
      <c r="H903" s="11">
        <v>24263</v>
      </c>
      <c r="I903" s="11">
        <v>13319</v>
      </c>
      <c r="J903"/>
      <c r="K903"/>
    </row>
    <row r="904" spans="1:11" ht="41.4" x14ac:dyDescent="0.3">
      <c r="A904" s="10">
        <v>38</v>
      </c>
      <c r="B904" s="10" t="s">
        <v>1237</v>
      </c>
      <c r="C904" s="10" t="str" cm="1">
        <f t="array" ref="C904">_xlfn.IFS(A904&lt;20, "ภาคกลาง", A904&lt;30, "ภาคตะวันออก", A904&lt;50, "ภาคตะวันออกเฉียงเหนือ", A904&lt;60, "ภาคเหนือ", A904&lt;80, "ภาคกลาง/ตะวันตก", A904&gt;=80, "ภาคใต้")</f>
        <v>ภาคตะวันออกเฉียงเหนือ</v>
      </c>
      <c r="D904" s="64">
        <v>3801</v>
      </c>
      <c r="E904" s="10" t="s">
        <v>1238</v>
      </c>
      <c r="F904" s="11">
        <v>209459</v>
      </c>
      <c r="G904" s="11">
        <v>209274</v>
      </c>
      <c r="H904" s="11">
        <v>418733</v>
      </c>
      <c r="I904" s="11">
        <v>147459</v>
      </c>
      <c r="J904" s="66">
        <f t="shared" ref="J904:J922" si="54">F904/H904*100</f>
        <v>50.022090449045095</v>
      </c>
      <c r="K904" s="66">
        <f t="shared" ref="K904:K922" si="55">G904/H904*100</f>
        <v>49.977909550954905</v>
      </c>
    </row>
    <row r="905" spans="1:11" ht="41.4" x14ac:dyDescent="0.3">
      <c r="A905" s="10">
        <v>38</v>
      </c>
      <c r="B905" s="10" t="s">
        <v>1237</v>
      </c>
      <c r="C905" s="10" t="str" cm="1">
        <f t="array" ref="C905">_xlfn.IFS(A905&lt;20, "ภาคกลาง", A905&lt;30, "ภาคตะวันออก", A905&lt;50, "ภาคตะวันออกเฉียงเหนือ", A905&lt;60, "ภาคเหนือ", A905&lt;80, "ภาคกลาง/ตะวันตก", A905&gt;=80, "ภาคใต้")</f>
        <v>ภาคตะวันออกเฉียงเหนือ</v>
      </c>
      <c r="D905" s="64">
        <v>3802</v>
      </c>
      <c r="E905" s="10" t="s">
        <v>1239</v>
      </c>
      <c r="F905" s="11">
        <v>29214</v>
      </c>
      <c r="G905" s="11">
        <v>29166</v>
      </c>
      <c r="H905" s="11">
        <v>58380</v>
      </c>
      <c r="I905" s="11">
        <v>19608</v>
      </c>
      <c r="J905" s="66">
        <f t="shared" si="54"/>
        <v>50.041109969167522</v>
      </c>
      <c r="K905" s="66">
        <f t="shared" si="55"/>
        <v>49.958890030832478</v>
      </c>
    </row>
    <row r="906" spans="1:11" ht="41.4" x14ac:dyDescent="0.3">
      <c r="A906" s="10">
        <v>38</v>
      </c>
      <c r="B906" s="10" t="s">
        <v>1237</v>
      </c>
      <c r="C906" s="10" t="str" cm="1">
        <f t="array" ref="C906">_xlfn.IFS(A906&lt;20, "ภาคกลาง", A906&lt;30, "ภาคตะวันออก", A906&lt;50, "ภาคตะวันออกเฉียงเหนือ", A906&lt;60, "ภาคเหนือ", A906&lt;80, "ภาคกลาง/ตะวันตก", A906&gt;=80, "ภาคใต้")</f>
        <v>ภาคตะวันออกเฉียงเหนือ</v>
      </c>
      <c r="D906" s="64">
        <v>3803</v>
      </c>
      <c r="E906" s="10" t="s">
        <v>1240</v>
      </c>
      <c r="F906" s="11">
        <v>14421</v>
      </c>
      <c r="G906" s="11">
        <v>14277</v>
      </c>
      <c r="H906" s="11">
        <v>28698</v>
      </c>
      <c r="I906" s="11">
        <v>8648</v>
      </c>
      <c r="J906" s="66">
        <f t="shared" si="54"/>
        <v>50.250888563662976</v>
      </c>
      <c r="K906" s="66">
        <f t="shared" si="55"/>
        <v>49.749111436337031</v>
      </c>
    </row>
    <row r="907" spans="1:11" ht="41.4" x14ac:dyDescent="0.3">
      <c r="A907" s="10">
        <v>38</v>
      </c>
      <c r="B907" s="10" t="s">
        <v>1237</v>
      </c>
      <c r="C907" s="10" t="str" cm="1">
        <f t="array" ref="C907">_xlfn.IFS(A907&lt;20, "ภาคกลาง", A907&lt;30, "ภาคตะวันออก", A907&lt;50, "ภาคตะวันออกเฉียงเหนือ", A907&lt;60, "ภาคเหนือ", A907&lt;80, "ภาคกลาง/ตะวันตก", A907&gt;=80, "ภาคใต้")</f>
        <v>ภาคตะวันออกเฉียงเหนือ</v>
      </c>
      <c r="D907" s="64">
        <v>3804</v>
      </c>
      <c r="E907" s="10" t="s">
        <v>1241</v>
      </c>
      <c r="F907" s="11">
        <v>32438</v>
      </c>
      <c r="G907" s="11">
        <v>32079</v>
      </c>
      <c r="H907" s="11">
        <v>64517</v>
      </c>
      <c r="I907" s="11">
        <v>20112</v>
      </c>
      <c r="J907" s="66">
        <f t="shared" si="54"/>
        <v>50.27822124401321</v>
      </c>
      <c r="K907" s="66">
        <f t="shared" si="55"/>
        <v>49.721778755986797</v>
      </c>
    </row>
    <row r="908" spans="1:11" ht="41.4" x14ac:dyDescent="0.3">
      <c r="A908" s="10">
        <v>38</v>
      </c>
      <c r="B908" s="10" t="s">
        <v>1237</v>
      </c>
      <c r="C908" s="10" t="str" cm="1">
        <f t="array" ref="C908">_xlfn.IFS(A908&lt;20, "ภาคกลาง", A908&lt;30, "ภาคตะวันออก", A908&lt;50, "ภาคตะวันออกเฉียงเหนือ", A908&lt;60, "ภาคเหนือ", A908&lt;80, "ภาคกลาง/ตะวันตก", A908&gt;=80, "ภาคใต้")</f>
        <v>ภาคตะวันออกเฉียงเหนือ</v>
      </c>
      <c r="D908" s="64">
        <v>3805</v>
      </c>
      <c r="E908" s="10" t="s">
        <v>1242</v>
      </c>
      <c r="F908" s="11">
        <v>36646</v>
      </c>
      <c r="G908" s="11">
        <v>36361</v>
      </c>
      <c r="H908" s="11">
        <v>73007</v>
      </c>
      <c r="I908" s="11">
        <v>24745</v>
      </c>
      <c r="J908" s="66">
        <f t="shared" si="54"/>
        <v>50.195186762913146</v>
      </c>
      <c r="K908" s="66">
        <f t="shared" si="55"/>
        <v>49.804813237086854</v>
      </c>
    </row>
    <row r="909" spans="1:11" ht="41.4" x14ac:dyDescent="0.3">
      <c r="A909" s="10">
        <v>38</v>
      </c>
      <c r="B909" s="10" t="s">
        <v>1237</v>
      </c>
      <c r="C909" s="10" t="str" cm="1">
        <f t="array" ref="C909">_xlfn.IFS(A909&lt;20, "ภาคกลาง", A909&lt;30, "ภาคตะวันออก", A909&lt;50, "ภาคตะวันออกเฉียงเหนือ", A909&lt;60, "ภาคเหนือ", A909&lt;80, "ภาคกลาง/ตะวันตก", A909&gt;=80, "ภาคใต้")</f>
        <v>ภาคตะวันออกเฉียงเหนือ</v>
      </c>
      <c r="D909" s="64">
        <v>3806</v>
      </c>
      <c r="E909" s="10" t="s">
        <v>1243</v>
      </c>
      <c r="F909" s="11">
        <v>14046</v>
      </c>
      <c r="G909" s="11">
        <v>13962</v>
      </c>
      <c r="H909" s="11">
        <v>28008</v>
      </c>
      <c r="I909" s="11">
        <v>10192</v>
      </c>
      <c r="J909" s="66">
        <f t="shared" si="54"/>
        <v>50.149957155098548</v>
      </c>
      <c r="K909" s="66">
        <f t="shared" si="55"/>
        <v>49.850042844901452</v>
      </c>
    </row>
    <row r="910" spans="1:11" ht="41.4" x14ac:dyDescent="0.3">
      <c r="A910" s="10">
        <v>38</v>
      </c>
      <c r="B910" s="10" t="s">
        <v>1237</v>
      </c>
      <c r="C910" s="10" t="str" cm="1">
        <f t="array" ref="C910">_xlfn.IFS(A910&lt;20, "ภาคกลาง", A910&lt;30, "ภาคตะวันออก", A910&lt;50, "ภาคตะวันออกเฉียงเหนือ", A910&lt;60, "ภาคเหนือ", A910&lt;80, "ภาคกลาง/ตะวันตก", A910&gt;=80, "ภาคใต้")</f>
        <v>ภาคตะวันออกเฉียงเหนือ</v>
      </c>
      <c r="D910" s="64">
        <v>3807</v>
      </c>
      <c r="E910" s="10" t="s">
        <v>1244</v>
      </c>
      <c r="F910" s="11">
        <v>14116</v>
      </c>
      <c r="G910" s="11">
        <v>13887</v>
      </c>
      <c r="H910" s="11">
        <v>28003</v>
      </c>
      <c r="I910" s="11">
        <v>9521</v>
      </c>
      <c r="J910" s="66">
        <f t="shared" si="54"/>
        <v>50.408884762346894</v>
      </c>
      <c r="K910" s="66">
        <f t="shared" si="55"/>
        <v>49.591115237653113</v>
      </c>
    </row>
    <row r="911" spans="1:11" ht="41.4" x14ac:dyDescent="0.3">
      <c r="A911" s="10">
        <v>38</v>
      </c>
      <c r="B911" s="10" t="s">
        <v>1237</v>
      </c>
      <c r="C911" s="10" t="str" cm="1">
        <f t="array" ref="C911">_xlfn.IFS(A911&lt;20, "ภาคกลาง", A911&lt;30, "ภาคตะวันออก", A911&lt;50, "ภาคตะวันออกเฉียงเหนือ", A911&lt;60, "ภาคเหนือ", A911&lt;80, "ภาคกลาง/ตะวันตก", A911&gt;=80, "ภาคใต้")</f>
        <v>ภาคตะวันออกเฉียงเหนือ</v>
      </c>
      <c r="D911" s="64">
        <v>3808</v>
      </c>
      <c r="E911" s="10" t="s">
        <v>1245</v>
      </c>
      <c r="F911" s="11">
        <v>14246</v>
      </c>
      <c r="G911" s="11">
        <v>14105</v>
      </c>
      <c r="H911" s="11">
        <v>28351</v>
      </c>
      <c r="I911" s="11">
        <v>9819</v>
      </c>
      <c r="J911" s="66">
        <f t="shared" si="54"/>
        <v>50.248668477302381</v>
      </c>
      <c r="K911" s="66">
        <f t="shared" si="55"/>
        <v>49.751331522697612</v>
      </c>
    </row>
    <row r="912" spans="1:11" ht="41.4" x14ac:dyDescent="0.3">
      <c r="A912" s="10">
        <v>38</v>
      </c>
      <c r="B912" s="10" t="s">
        <v>1237</v>
      </c>
      <c r="C912" s="10" t="str" cm="1">
        <f t="array" ref="C912">_xlfn.IFS(A912&lt;20, "ภาคกลาง", A912&lt;30, "ภาคตะวันออก", A912&lt;50, "ภาคตะวันออกเฉียงเหนือ", A912&lt;60, "ภาคเหนือ", A912&lt;80, "ภาคกลาง/ตะวันตก", A912&gt;=80, "ภาคใต้")</f>
        <v>ภาคตะวันออกเฉียงเหนือ</v>
      </c>
      <c r="D912" s="64">
        <v>3887</v>
      </c>
      <c r="E912" s="10" t="s">
        <v>1246</v>
      </c>
      <c r="F912" s="11">
        <v>6956</v>
      </c>
      <c r="G912" s="11">
        <v>6987</v>
      </c>
      <c r="H912" s="11">
        <v>13943</v>
      </c>
      <c r="I912" s="11">
        <v>4455</v>
      </c>
      <c r="J912" s="66">
        <f t="shared" si="54"/>
        <v>49.888833106218172</v>
      </c>
      <c r="K912" s="66">
        <f t="shared" si="55"/>
        <v>50.111166893781821</v>
      </c>
    </row>
    <row r="913" spans="1:11" ht="41.4" x14ac:dyDescent="0.3">
      <c r="A913" s="10">
        <v>38</v>
      </c>
      <c r="B913" s="10" t="s">
        <v>1237</v>
      </c>
      <c r="C913" s="10" t="str" cm="1">
        <f t="array" ref="C913">_xlfn.IFS(A913&lt;20, "ภาคกลาง", A913&lt;30, "ภาคตะวันออก", A913&lt;50, "ภาคตะวันออกเฉียงเหนือ", A913&lt;60, "ภาคเหนือ", A913&lt;80, "ภาคกลาง/ตะวันตก", A913&gt;=80, "ภาคใต้")</f>
        <v>ภาคตะวันออกเฉียงเหนือ</v>
      </c>
      <c r="D913" s="64">
        <v>3888</v>
      </c>
      <c r="E913" s="10" t="s">
        <v>1247</v>
      </c>
      <c r="F913" s="11">
        <v>3612</v>
      </c>
      <c r="G913" s="11">
        <v>3620</v>
      </c>
      <c r="H913" s="11">
        <v>7232</v>
      </c>
      <c r="I913" s="11">
        <v>2453</v>
      </c>
      <c r="J913" s="66">
        <f t="shared" si="54"/>
        <v>49.944690265486727</v>
      </c>
      <c r="K913" s="66">
        <f t="shared" si="55"/>
        <v>50.055309734513273</v>
      </c>
    </row>
    <row r="914" spans="1:11" ht="41.4" x14ac:dyDescent="0.3">
      <c r="A914" s="10">
        <v>38</v>
      </c>
      <c r="B914" s="10" t="s">
        <v>1237</v>
      </c>
      <c r="C914" s="10" t="str" cm="1">
        <f t="array" ref="C914">_xlfn.IFS(A914&lt;20, "ภาคกลาง", A914&lt;30, "ภาคตะวันออก", A914&lt;50, "ภาคตะวันออกเฉียงเหนือ", A914&lt;60, "ภาคเหนือ", A914&lt;80, "ภาคกลาง/ตะวันตก", A914&gt;=80, "ภาคใต้")</f>
        <v>ภาคตะวันออกเฉียงเหนือ</v>
      </c>
      <c r="D914" s="64">
        <v>3890</v>
      </c>
      <c r="E914" s="10" t="s">
        <v>1248</v>
      </c>
      <c r="F914" s="11">
        <v>3409</v>
      </c>
      <c r="G914" s="11">
        <v>3432</v>
      </c>
      <c r="H914" s="11">
        <v>6841</v>
      </c>
      <c r="I914" s="11">
        <v>2485</v>
      </c>
      <c r="J914" s="66">
        <f t="shared" si="54"/>
        <v>49.831895921648886</v>
      </c>
      <c r="K914" s="66">
        <f t="shared" si="55"/>
        <v>50.168104078351114</v>
      </c>
    </row>
    <row r="915" spans="1:11" ht="41.4" x14ac:dyDescent="0.3">
      <c r="A915" s="10">
        <v>38</v>
      </c>
      <c r="B915" s="10" t="s">
        <v>1237</v>
      </c>
      <c r="C915" s="10" t="str" cm="1">
        <f t="array" ref="C915">_xlfn.IFS(A915&lt;20, "ภาคกลาง", A915&lt;30, "ภาคตะวันออก", A915&lt;50, "ภาคตะวันออกเฉียงเหนือ", A915&lt;60, "ภาคเหนือ", A915&lt;80, "ภาคกลาง/ตะวันตก", A915&gt;=80, "ภาคใต้")</f>
        <v>ภาคตะวันออกเฉียงเหนือ</v>
      </c>
      <c r="D915" s="64">
        <v>3891</v>
      </c>
      <c r="E915" s="10" t="s">
        <v>1249</v>
      </c>
      <c r="F915" s="11">
        <v>5397</v>
      </c>
      <c r="G915" s="11">
        <v>5484</v>
      </c>
      <c r="H915" s="11">
        <v>10881</v>
      </c>
      <c r="I915" s="11">
        <v>4125</v>
      </c>
      <c r="J915" s="66">
        <f t="shared" si="54"/>
        <v>49.600220567962502</v>
      </c>
      <c r="K915" s="66">
        <f t="shared" si="55"/>
        <v>50.399779432037498</v>
      </c>
    </row>
    <row r="916" spans="1:11" ht="41.4" x14ac:dyDescent="0.3">
      <c r="A916" s="10">
        <v>38</v>
      </c>
      <c r="B916" s="10" t="s">
        <v>1237</v>
      </c>
      <c r="C916" s="10" t="str" cm="1">
        <f t="array" ref="C916">_xlfn.IFS(A916&lt;20, "ภาคกลาง", A916&lt;30, "ภาคตะวันออก", A916&lt;50, "ภาคตะวันออกเฉียงเหนือ", A916&lt;60, "ภาคเหนือ", A916&lt;80, "ภาคกลาง/ตะวันตก", A916&gt;=80, "ภาคใต้")</f>
        <v>ภาคตะวันออกเฉียงเหนือ</v>
      </c>
      <c r="D916" s="64">
        <v>3892</v>
      </c>
      <c r="E916" s="10" t="s">
        <v>1250</v>
      </c>
      <c r="F916" s="11">
        <v>4749</v>
      </c>
      <c r="G916" s="11">
        <v>4900</v>
      </c>
      <c r="H916" s="11">
        <v>9649</v>
      </c>
      <c r="I916" s="11">
        <v>3717</v>
      </c>
      <c r="J916" s="66">
        <f t="shared" si="54"/>
        <v>49.217535495906311</v>
      </c>
      <c r="K916" s="66">
        <f t="shared" si="55"/>
        <v>50.782464504093696</v>
      </c>
    </row>
    <row r="917" spans="1:11" ht="41.4" x14ac:dyDescent="0.3">
      <c r="A917" s="10">
        <v>38</v>
      </c>
      <c r="B917" s="10" t="s">
        <v>1237</v>
      </c>
      <c r="C917" s="10" t="str" cm="1">
        <f t="array" ref="C917">_xlfn.IFS(A917&lt;20, "ภาคกลาง", A917&lt;30, "ภาคตะวันออก", A917&lt;50, "ภาคตะวันออกเฉียงเหนือ", A917&lt;60, "ภาคเหนือ", A917&lt;80, "ภาคกลาง/ตะวันตก", A917&gt;=80, "ภาคใต้")</f>
        <v>ภาคตะวันออกเฉียงเหนือ</v>
      </c>
      <c r="D917" s="64">
        <v>3893</v>
      </c>
      <c r="E917" s="10" t="s">
        <v>1251</v>
      </c>
      <c r="F917" s="11">
        <v>3190</v>
      </c>
      <c r="G917" s="11">
        <v>3174</v>
      </c>
      <c r="H917" s="11">
        <v>6364</v>
      </c>
      <c r="I917" s="11">
        <v>2800</v>
      </c>
      <c r="J917" s="66">
        <f t="shared" si="54"/>
        <v>50.125707102451287</v>
      </c>
      <c r="K917" s="66">
        <f t="shared" si="55"/>
        <v>49.874292897548713</v>
      </c>
    </row>
    <row r="918" spans="1:11" ht="41.4" x14ac:dyDescent="0.3">
      <c r="A918" s="10">
        <v>38</v>
      </c>
      <c r="B918" s="10" t="s">
        <v>1237</v>
      </c>
      <c r="C918" s="10" t="str" cm="1">
        <f t="array" ref="C918">_xlfn.IFS(A918&lt;20, "ภาคกลาง", A918&lt;30, "ภาคตะวันออก", A918&lt;50, "ภาคตะวันออกเฉียงเหนือ", A918&lt;60, "ภาคเหนือ", A918&lt;80, "ภาคกลาง/ตะวันตก", A918&gt;=80, "ภาคใต้")</f>
        <v>ภาคตะวันออกเฉียงเหนือ</v>
      </c>
      <c r="D918" s="64">
        <v>3894</v>
      </c>
      <c r="E918" s="10" t="s">
        <v>1252</v>
      </c>
      <c r="F918" s="11">
        <v>3190</v>
      </c>
      <c r="G918" s="11">
        <v>3249</v>
      </c>
      <c r="H918" s="11">
        <v>6439</v>
      </c>
      <c r="I918" s="11">
        <v>2815</v>
      </c>
      <c r="J918" s="66">
        <f t="shared" si="54"/>
        <v>49.541854325205776</v>
      </c>
      <c r="K918" s="66">
        <f t="shared" si="55"/>
        <v>50.458145674794217</v>
      </c>
    </row>
    <row r="919" spans="1:11" ht="41.4" x14ac:dyDescent="0.3">
      <c r="A919" s="10">
        <v>38</v>
      </c>
      <c r="B919" s="10" t="s">
        <v>1237</v>
      </c>
      <c r="C919" s="10" t="str" cm="1">
        <f t="array" ref="C919">_xlfn.IFS(A919&lt;20, "ภาคกลาง", A919&lt;30, "ภาคตะวันออก", A919&lt;50, "ภาคตะวันออกเฉียงเหนือ", A919&lt;60, "ภาคเหนือ", A919&lt;80, "ภาคกลาง/ตะวันตก", A919&gt;=80, "ภาคใต้")</f>
        <v>ภาคตะวันออกเฉียงเหนือ</v>
      </c>
      <c r="D919" s="64">
        <v>3895</v>
      </c>
      <c r="E919" s="10" t="s">
        <v>1253</v>
      </c>
      <c r="F919" s="11">
        <v>3309</v>
      </c>
      <c r="G919" s="11">
        <v>3480</v>
      </c>
      <c r="H919" s="11">
        <v>6789</v>
      </c>
      <c r="I919" s="11">
        <v>2053</v>
      </c>
      <c r="J919" s="66">
        <f t="shared" si="54"/>
        <v>48.740609809986744</v>
      </c>
      <c r="K919" s="66">
        <f t="shared" si="55"/>
        <v>51.259390190013256</v>
      </c>
    </row>
    <row r="920" spans="1:11" ht="41.4" x14ac:dyDescent="0.3">
      <c r="A920" s="10">
        <v>38</v>
      </c>
      <c r="B920" s="10" t="s">
        <v>1237</v>
      </c>
      <c r="C920" s="10" t="str" cm="1">
        <f t="array" ref="C920">_xlfn.IFS(A920&lt;20, "ภาคกลาง", A920&lt;30, "ภาคตะวันออก", A920&lt;50, "ภาคตะวันออกเฉียงเหนือ", A920&lt;60, "ภาคเหนือ", A920&lt;80, "ภาคกลาง/ตะวันตก", A920&gt;=80, "ภาคใต้")</f>
        <v>ภาคตะวันออกเฉียงเหนือ</v>
      </c>
      <c r="D920" s="64">
        <v>3896</v>
      </c>
      <c r="E920" s="10" t="s">
        <v>1254</v>
      </c>
      <c r="F920" s="11">
        <v>3187</v>
      </c>
      <c r="G920" s="11">
        <v>3204</v>
      </c>
      <c r="H920" s="11">
        <v>6391</v>
      </c>
      <c r="I920" s="11">
        <v>2734</v>
      </c>
      <c r="J920" s="66">
        <f t="shared" si="54"/>
        <v>49.867000469410108</v>
      </c>
      <c r="K920" s="66">
        <f t="shared" si="55"/>
        <v>50.132999530589892</v>
      </c>
    </row>
    <row r="921" spans="1:11" ht="41.4" x14ac:dyDescent="0.3">
      <c r="A921" s="10">
        <v>38</v>
      </c>
      <c r="B921" s="10" t="s">
        <v>1237</v>
      </c>
      <c r="C921" s="10" t="str" cm="1">
        <f t="array" ref="C921">_xlfn.IFS(A921&lt;20, "ภาคกลาง", A921&lt;30, "ภาคตะวันออก", A921&lt;50, "ภาคตะวันออกเฉียงเหนือ", A921&lt;60, "ภาคเหนือ", A921&lt;80, "ภาคกลาง/ตะวันตก", A921&gt;=80, "ภาคใต้")</f>
        <v>ภาคตะวันออกเฉียงเหนือ</v>
      </c>
      <c r="D921" s="64">
        <v>3897</v>
      </c>
      <c r="E921" s="10" t="s">
        <v>1255</v>
      </c>
      <c r="F921" s="11">
        <v>4931</v>
      </c>
      <c r="G921" s="11">
        <v>5201</v>
      </c>
      <c r="H921" s="11">
        <v>10132</v>
      </c>
      <c r="I921" s="11">
        <v>3719</v>
      </c>
      <c r="J921" s="66">
        <f t="shared" si="54"/>
        <v>48.667587840505327</v>
      </c>
      <c r="K921" s="66">
        <f t="shared" si="55"/>
        <v>51.332412159494666</v>
      </c>
    </row>
    <row r="922" spans="1:11" ht="41.4" x14ac:dyDescent="0.3">
      <c r="A922" s="10">
        <v>38</v>
      </c>
      <c r="B922" s="10" t="s">
        <v>1237</v>
      </c>
      <c r="C922" s="10" t="str" cm="1">
        <f t="array" ref="C922">_xlfn.IFS(A922&lt;20, "ภาคกลาง", A922&lt;30, "ภาคตะวันออก", A922&lt;50, "ภาคตะวันออกเฉียงเหนือ", A922&lt;60, "ภาคเหนือ", A922&lt;80, "ภาคกลาง/ตะวันตก", A922&gt;=80, "ภาคใต้")</f>
        <v>ภาคตะวันออกเฉียงเหนือ</v>
      </c>
      <c r="D922" s="64">
        <v>3898</v>
      </c>
      <c r="E922" s="10" t="s">
        <v>1256</v>
      </c>
      <c r="F922" s="11">
        <v>2465</v>
      </c>
      <c r="G922" s="11">
        <v>2504</v>
      </c>
      <c r="H922" s="11">
        <v>4969</v>
      </c>
      <c r="I922" s="11">
        <v>1584</v>
      </c>
      <c r="J922" s="66">
        <f t="shared" si="54"/>
        <v>49.607566914872208</v>
      </c>
      <c r="K922" s="66">
        <f t="shared" si="55"/>
        <v>50.392433085127799</v>
      </c>
    </row>
    <row r="923" spans="1:11" ht="41.4" hidden="1" x14ac:dyDescent="0.3">
      <c r="A923" s="10">
        <v>38</v>
      </c>
      <c r="B923" s="10" t="s">
        <v>1237</v>
      </c>
      <c r="C923" s="10" t="str" cm="1">
        <f t="array" ref="C923">_xlfn.IFS(A923&lt;20, "ภาคกลาง", A923&lt;30, "ภาคตะวันออก", A923&lt;50, "ภาคตะวันออกเฉียงเหนือ", A923&lt;60, "ภาคเหนือ", A923&lt;80, "ภาคกลาง/ตะวันตก", A923&gt;=80, "ภาคใต้")</f>
        <v>ภาคตะวันออกเฉียงเหนือ</v>
      </c>
      <c r="D923" s="10">
        <v>0</v>
      </c>
      <c r="E923" s="10" t="s">
        <v>343</v>
      </c>
      <c r="F923" s="11">
        <v>9937</v>
      </c>
      <c r="G923" s="11">
        <v>10202</v>
      </c>
      <c r="H923" s="11">
        <v>20139</v>
      </c>
      <c r="I923" s="11">
        <v>11874</v>
      </c>
      <c r="J923"/>
      <c r="K923"/>
    </row>
    <row r="924" spans="1:11" ht="41.4" x14ac:dyDescent="0.3">
      <c r="A924" s="10">
        <v>39</v>
      </c>
      <c r="B924" s="10" t="s">
        <v>1257</v>
      </c>
      <c r="C924" s="10" t="str" cm="1">
        <f t="array" ref="C924">_xlfn.IFS(A924&lt;20, "ภาคกลาง", A924&lt;30, "ภาคตะวันออก", A924&lt;50, "ภาคตะวันออกเฉียงเหนือ", A924&lt;60, "ภาคเหนือ", A924&lt;80, "ภาคกลาง/ตะวันตก", A924&gt;=80, "ภาคใต้")</f>
        <v>ภาคตะวันออกเฉียงเหนือ</v>
      </c>
      <c r="D924" s="64">
        <v>3901</v>
      </c>
      <c r="E924" s="10" t="s">
        <v>1258</v>
      </c>
      <c r="F924" s="11">
        <v>250862</v>
      </c>
      <c r="G924" s="11">
        <v>253517</v>
      </c>
      <c r="H924" s="11">
        <v>504379</v>
      </c>
      <c r="I924" s="11">
        <v>161989</v>
      </c>
      <c r="J924" s="66">
        <f t="shared" ref="J924:J943" si="56">F924/H924*100</f>
        <v>49.736805061273373</v>
      </c>
      <c r="K924" s="66">
        <f t="shared" ref="K924:K943" si="57">G924/H924*100</f>
        <v>50.263194938726627</v>
      </c>
    </row>
    <row r="925" spans="1:11" ht="41.4" x14ac:dyDescent="0.3">
      <c r="A925" s="10">
        <v>39</v>
      </c>
      <c r="B925" s="10" t="s">
        <v>1257</v>
      </c>
      <c r="C925" s="10" t="str" cm="1">
        <f t="array" ref="C925">_xlfn.IFS(A925&lt;20, "ภาคกลาง", A925&lt;30, "ภาคตะวันออก", A925&lt;50, "ภาคตะวันออกเฉียงเหนือ", A925&lt;60, "ภาคเหนือ", A925&lt;80, "ภาคกลาง/ตะวันตก", A925&gt;=80, "ภาคใต้")</f>
        <v>ภาคตะวันออกเฉียงเหนือ</v>
      </c>
      <c r="D925" s="64">
        <v>3902</v>
      </c>
      <c r="E925" s="10" t="s">
        <v>1259</v>
      </c>
      <c r="F925" s="11">
        <v>50613</v>
      </c>
      <c r="G925" s="11">
        <v>50890</v>
      </c>
      <c r="H925" s="11">
        <v>101503</v>
      </c>
      <c r="I925" s="11">
        <v>33364</v>
      </c>
      <c r="J925" s="66">
        <f t="shared" si="56"/>
        <v>49.863550831009924</v>
      </c>
      <c r="K925" s="66">
        <f t="shared" si="57"/>
        <v>50.136449168990083</v>
      </c>
    </row>
    <row r="926" spans="1:11" ht="41.4" x14ac:dyDescent="0.3">
      <c r="A926" s="10">
        <v>39</v>
      </c>
      <c r="B926" s="10" t="s">
        <v>1257</v>
      </c>
      <c r="C926" s="10" t="str" cm="1">
        <f t="array" ref="C926">_xlfn.IFS(A926&lt;20, "ภาคกลาง", A926&lt;30, "ภาคตะวันออก", A926&lt;50, "ภาคตะวันออกเฉียงเหนือ", A926&lt;60, "ภาคเหนือ", A926&lt;80, "ภาคกลาง/ตะวันตก", A926&gt;=80, "ภาคใต้")</f>
        <v>ภาคตะวันออกเฉียงเหนือ</v>
      </c>
      <c r="D926" s="64">
        <v>3903</v>
      </c>
      <c r="E926" s="10" t="s">
        <v>1260</v>
      </c>
      <c r="F926" s="11">
        <v>33352</v>
      </c>
      <c r="G926" s="11">
        <v>33053</v>
      </c>
      <c r="H926" s="11">
        <v>66405</v>
      </c>
      <c r="I926" s="11">
        <v>19618</v>
      </c>
      <c r="J926" s="66">
        <f t="shared" si="56"/>
        <v>50.22513364957458</v>
      </c>
      <c r="K926" s="66">
        <f t="shared" si="57"/>
        <v>49.77486635042542</v>
      </c>
    </row>
    <row r="927" spans="1:11" ht="41.4" x14ac:dyDescent="0.3">
      <c r="A927" s="10">
        <v>39</v>
      </c>
      <c r="B927" s="10" t="s">
        <v>1257</v>
      </c>
      <c r="C927" s="10" t="str" cm="1">
        <f t="array" ref="C927">_xlfn.IFS(A927&lt;20, "ภาคกลาง", A927&lt;30, "ภาคตะวันออก", A927&lt;50, "ภาคตะวันออกเฉียงเหนือ", A927&lt;60, "ภาคเหนือ", A927&lt;80, "ภาคกลาง/ตะวันตก", A927&gt;=80, "ภาคใต้")</f>
        <v>ภาคตะวันออกเฉียงเหนือ</v>
      </c>
      <c r="D927" s="64">
        <v>3904</v>
      </c>
      <c r="E927" s="10" t="s">
        <v>1261</v>
      </c>
      <c r="F927" s="11">
        <v>26446</v>
      </c>
      <c r="G927" s="11">
        <v>26878</v>
      </c>
      <c r="H927" s="11">
        <v>53324</v>
      </c>
      <c r="I927" s="11">
        <v>14379</v>
      </c>
      <c r="J927" s="66">
        <f t="shared" si="56"/>
        <v>49.594929112594706</v>
      </c>
      <c r="K927" s="66">
        <f t="shared" si="57"/>
        <v>50.405070887405302</v>
      </c>
    </row>
    <row r="928" spans="1:11" ht="41.4" x14ac:dyDescent="0.3">
      <c r="A928" s="10">
        <v>39</v>
      </c>
      <c r="B928" s="10" t="s">
        <v>1257</v>
      </c>
      <c r="C928" s="10" t="str" cm="1">
        <f t="array" ref="C928">_xlfn.IFS(A928&lt;20, "ภาคกลาง", A928&lt;30, "ภาคตะวันออก", A928&lt;50, "ภาคตะวันออกเฉียงเหนือ", A928&lt;60, "ภาคเหนือ", A928&lt;80, "ภาคกลาง/ตะวันตก", A928&gt;=80, "ภาคใต้")</f>
        <v>ภาคตะวันออกเฉียงเหนือ</v>
      </c>
      <c r="D928" s="64">
        <v>3905</v>
      </c>
      <c r="E928" s="10" t="s">
        <v>1262</v>
      </c>
      <c r="F928" s="11">
        <v>45168</v>
      </c>
      <c r="G928" s="11">
        <v>44632</v>
      </c>
      <c r="H928" s="11">
        <v>89800</v>
      </c>
      <c r="I928" s="11">
        <v>26271</v>
      </c>
      <c r="J928" s="66">
        <f t="shared" si="56"/>
        <v>50.298440979955458</v>
      </c>
      <c r="K928" s="66">
        <f t="shared" si="57"/>
        <v>49.701559020044542</v>
      </c>
    </row>
    <row r="929" spans="1:11" ht="41.4" x14ac:dyDescent="0.3">
      <c r="A929" s="10">
        <v>39</v>
      </c>
      <c r="B929" s="10" t="s">
        <v>1257</v>
      </c>
      <c r="C929" s="10" t="str" cm="1">
        <f t="array" ref="C929">_xlfn.IFS(A929&lt;20, "ภาคกลาง", A929&lt;30, "ภาคตะวันออก", A929&lt;50, "ภาคตะวันออกเฉียงเหนือ", A929&lt;60, "ภาคเหนือ", A929&lt;80, "ภาคกลาง/ตะวันตก", A929&gt;=80, "ภาคใต้")</f>
        <v>ภาคตะวันออกเฉียงเหนือ</v>
      </c>
      <c r="D929" s="64">
        <v>3906</v>
      </c>
      <c r="E929" s="10" t="s">
        <v>1263</v>
      </c>
      <c r="F929" s="11">
        <v>26799</v>
      </c>
      <c r="G929" s="11">
        <v>26737</v>
      </c>
      <c r="H929" s="11">
        <v>53536</v>
      </c>
      <c r="I929" s="11">
        <v>15816</v>
      </c>
      <c r="J929" s="66">
        <f t="shared" si="56"/>
        <v>50.057904961147635</v>
      </c>
      <c r="K929" s="66">
        <f t="shared" si="57"/>
        <v>49.942095038852365</v>
      </c>
    </row>
    <row r="930" spans="1:11" ht="41.4" x14ac:dyDescent="0.3">
      <c r="A930" s="10">
        <v>39</v>
      </c>
      <c r="B930" s="10" t="s">
        <v>1257</v>
      </c>
      <c r="C930" s="10" t="str" cm="1">
        <f t="array" ref="C930">_xlfn.IFS(A930&lt;20, "ภาคกลาง", A930&lt;30, "ภาคตะวันออก", A930&lt;50, "ภาคตะวันออกเฉียงเหนือ", A930&lt;60, "ภาคเหนือ", A930&lt;80, "ภาคกลาง/ตะวันตก", A930&gt;=80, "ภาคใต้")</f>
        <v>ภาคตะวันออกเฉียงเหนือ</v>
      </c>
      <c r="D930" s="64">
        <v>3986</v>
      </c>
      <c r="E930" s="10" t="s">
        <v>1264</v>
      </c>
      <c r="F930" s="11">
        <v>15008</v>
      </c>
      <c r="G930" s="11">
        <v>14988</v>
      </c>
      <c r="H930" s="11">
        <v>29996</v>
      </c>
      <c r="I930" s="11">
        <v>9081</v>
      </c>
      <c r="J930" s="66">
        <f t="shared" si="56"/>
        <v>50.033337778370445</v>
      </c>
      <c r="K930" s="66">
        <f t="shared" si="57"/>
        <v>49.966662221629548</v>
      </c>
    </row>
    <row r="931" spans="1:11" ht="41.4" x14ac:dyDescent="0.3">
      <c r="A931" s="10">
        <v>39</v>
      </c>
      <c r="B931" s="10" t="s">
        <v>1257</v>
      </c>
      <c r="C931" s="10" t="str" cm="1">
        <f t="array" ref="C931">_xlfn.IFS(A931&lt;20, "ภาคกลาง", A931&lt;30, "ภาคตะวันออก", A931&lt;50, "ภาคตะวันออกเฉียงเหนือ", A931&lt;60, "ภาคเหนือ", A931&lt;80, "ภาคกลาง/ตะวันตก", A931&gt;=80, "ภาคใต้")</f>
        <v>ภาคตะวันออกเฉียงเหนือ</v>
      </c>
      <c r="D931" s="64">
        <v>3987</v>
      </c>
      <c r="E931" s="10" t="s">
        <v>1265</v>
      </c>
      <c r="F931" s="11">
        <v>4566</v>
      </c>
      <c r="G931" s="11">
        <v>4688</v>
      </c>
      <c r="H931" s="11">
        <v>9254</v>
      </c>
      <c r="I931" s="11">
        <v>2700</v>
      </c>
      <c r="J931" s="66">
        <f t="shared" si="56"/>
        <v>49.340825588934514</v>
      </c>
      <c r="K931" s="66">
        <f t="shared" si="57"/>
        <v>50.659174411065486</v>
      </c>
    </row>
    <row r="932" spans="1:11" ht="41.4" x14ac:dyDescent="0.3">
      <c r="A932" s="10">
        <v>39</v>
      </c>
      <c r="B932" s="10" t="s">
        <v>1257</v>
      </c>
      <c r="C932" s="10" t="str" cm="1">
        <f t="array" ref="C932">_xlfn.IFS(A932&lt;20, "ภาคกลาง", A932&lt;30, "ภาคตะวันออก", A932&lt;50, "ภาคตะวันออกเฉียงเหนือ", A932&lt;60, "ภาคเหนือ", A932&lt;80, "ภาคกลาง/ตะวันตก", A932&gt;=80, "ภาคใต้")</f>
        <v>ภาคตะวันออกเฉียงเหนือ</v>
      </c>
      <c r="D932" s="64">
        <v>3988</v>
      </c>
      <c r="E932" s="10" t="s">
        <v>1266</v>
      </c>
      <c r="F932" s="11">
        <v>3319</v>
      </c>
      <c r="G932" s="11">
        <v>3513</v>
      </c>
      <c r="H932" s="11">
        <v>6832</v>
      </c>
      <c r="I932" s="11">
        <v>2504</v>
      </c>
      <c r="J932" s="66">
        <f t="shared" si="56"/>
        <v>48.580210772833723</v>
      </c>
      <c r="K932" s="66">
        <f t="shared" si="57"/>
        <v>51.419789227166277</v>
      </c>
    </row>
    <row r="933" spans="1:11" ht="41.4" x14ac:dyDescent="0.3">
      <c r="A933" s="10">
        <v>39</v>
      </c>
      <c r="B933" s="10" t="s">
        <v>1257</v>
      </c>
      <c r="C933" s="10" t="str" cm="1">
        <f t="array" ref="C933">_xlfn.IFS(A933&lt;20, "ภาคกลาง", A933&lt;30, "ภาคตะวันออก", A933&lt;50, "ภาคตะวันออกเฉียงเหนือ", A933&lt;60, "ภาคเหนือ", A933&lt;80, "ภาคกลาง/ตะวันตก", A933&gt;=80, "ภาคใต้")</f>
        <v>ภาคตะวันออกเฉียงเหนือ</v>
      </c>
      <c r="D933" s="64">
        <v>3989</v>
      </c>
      <c r="E933" s="10" t="s">
        <v>1267</v>
      </c>
      <c r="F933" s="11">
        <v>3742</v>
      </c>
      <c r="G933" s="11">
        <v>3929</v>
      </c>
      <c r="H933" s="11">
        <v>7671</v>
      </c>
      <c r="I933" s="11">
        <v>2999</v>
      </c>
      <c r="J933" s="66">
        <f t="shared" si="56"/>
        <v>48.781123712684135</v>
      </c>
      <c r="K933" s="66">
        <f t="shared" si="57"/>
        <v>51.218876287315865</v>
      </c>
    </row>
    <row r="934" spans="1:11" ht="41.4" x14ac:dyDescent="0.3">
      <c r="A934" s="10">
        <v>39</v>
      </c>
      <c r="B934" s="10" t="s">
        <v>1257</v>
      </c>
      <c r="C934" s="10" t="str" cm="1">
        <f t="array" ref="C934">_xlfn.IFS(A934&lt;20, "ภาคกลาง", A934&lt;30, "ภาคตะวันออก", A934&lt;50, "ภาคตะวันออกเฉียงเหนือ", A934&lt;60, "ภาคเหนือ", A934&lt;80, "ภาคกลาง/ตะวันตก", A934&gt;=80, "ภาคใต้")</f>
        <v>ภาคตะวันออกเฉียงเหนือ</v>
      </c>
      <c r="D934" s="64">
        <v>3990</v>
      </c>
      <c r="E934" s="10" t="s">
        <v>1268</v>
      </c>
      <c r="F934" s="11">
        <v>2928</v>
      </c>
      <c r="G934" s="11">
        <v>3226</v>
      </c>
      <c r="H934" s="11">
        <v>6154</v>
      </c>
      <c r="I934" s="11">
        <v>1958</v>
      </c>
      <c r="J934" s="66">
        <f t="shared" si="56"/>
        <v>47.578810529736757</v>
      </c>
      <c r="K934" s="66">
        <f t="shared" si="57"/>
        <v>52.421189470263243</v>
      </c>
    </row>
    <row r="935" spans="1:11" ht="41.4" x14ac:dyDescent="0.3">
      <c r="A935" s="10">
        <v>39</v>
      </c>
      <c r="B935" s="10" t="s">
        <v>1257</v>
      </c>
      <c r="C935" s="10" t="str" cm="1">
        <f t="array" ref="C935">_xlfn.IFS(A935&lt;20, "ภาคกลาง", A935&lt;30, "ภาคตะวันออก", A935&lt;50, "ภาคตะวันออกเฉียงเหนือ", A935&lt;60, "ภาคเหนือ", A935&lt;80, "ภาคกลาง/ตะวันตก", A935&gt;=80, "ภาคใต้")</f>
        <v>ภาคตะวันออกเฉียงเหนือ</v>
      </c>
      <c r="D935" s="64">
        <v>3991</v>
      </c>
      <c r="E935" s="10" t="s">
        <v>1269</v>
      </c>
      <c r="F935" s="11">
        <v>2141</v>
      </c>
      <c r="G935" s="11">
        <v>2382</v>
      </c>
      <c r="H935" s="11">
        <v>4523</v>
      </c>
      <c r="I935" s="11">
        <v>2721</v>
      </c>
      <c r="J935" s="66">
        <f t="shared" si="56"/>
        <v>47.335839044881716</v>
      </c>
      <c r="K935" s="66">
        <f t="shared" si="57"/>
        <v>52.664160955118291</v>
      </c>
    </row>
    <row r="936" spans="1:11" ht="41.4" x14ac:dyDescent="0.3">
      <c r="A936" s="10">
        <v>39</v>
      </c>
      <c r="B936" s="10" t="s">
        <v>1257</v>
      </c>
      <c r="C936" s="10" t="str" cm="1">
        <f t="array" ref="C936">_xlfn.IFS(A936&lt;20, "ภาคกลาง", A936&lt;30, "ภาคตะวันออก", A936&lt;50, "ภาคตะวันออกเฉียงเหนือ", A936&lt;60, "ภาคเหนือ", A936&lt;80, "ภาคกลาง/ตะวันตก", A936&gt;=80, "ภาคใต้")</f>
        <v>ภาคตะวันออกเฉียงเหนือ</v>
      </c>
      <c r="D936" s="64">
        <v>3992</v>
      </c>
      <c r="E936" s="10" t="s">
        <v>1270</v>
      </c>
      <c r="F936" s="11">
        <v>2500</v>
      </c>
      <c r="G936" s="11">
        <v>2421</v>
      </c>
      <c r="H936" s="11">
        <v>4921</v>
      </c>
      <c r="I936" s="11">
        <v>1551</v>
      </c>
      <c r="J936" s="66">
        <f t="shared" si="56"/>
        <v>50.802682381629751</v>
      </c>
      <c r="K936" s="66">
        <f t="shared" si="57"/>
        <v>49.197317618370249</v>
      </c>
    </row>
    <row r="937" spans="1:11" ht="41.4" x14ac:dyDescent="0.3">
      <c r="A937" s="10">
        <v>39</v>
      </c>
      <c r="B937" s="10" t="s">
        <v>1257</v>
      </c>
      <c r="C937" s="10" t="str" cm="1">
        <f t="array" ref="C937">_xlfn.IFS(A937&lt;20, "ภาคกลาง", A937&lt;30, "ภาคตะวันออก", A937&lt;50, "ภาคตะวันออกเฉียงเหนือ", A937&lt;60, "ภาคเหนือ", A937&lt;80, "ภาคกลาง/ตะวันตก", A937&gt;=80, "ภาคใต้")</f>
        <v>ภาคตะวันออกเฉียงเหนือ</v>
      </c>
      <c r="D937" s="64">
        <v>3993</v>
      </c>
      <c r="E937" s="10" t="s">
        <v>1271</v>
      </c>
      <c r="F937" s="11">
        <v>4038</v>
      </c>
      <c r="G937" s="11">
        <v>4193</v>
      </c>
      <c r="H937" s="11">
        <v>8231</v>
      </c>
      <c r="I937" s="11">
        <v>3030</v>
      </c>
      <c r="J937" s="66">
        <f t="shared" si="56"/>
        <v>49.058437613898676</v>
      </c>
      <c r="K937" s="66">
        <f t="shared" si="57"/>
        <v>50.941562386101324</v>
      </c>
    </row>
    <row r="938" spans="1:11" ht="41.4" x14ac:dyDescent="0.3">
      <c r="A938" s="10">
        <v>39</v>
      </c>
      <c r="B938" s="10" t="s">
        <v>1257</v>
      </c>
      <c r="C938" s="10" t="str" cm="1">
        <f t="array" ref="C938">_xlfn.IFS(A938&lt;20, "ภาคกลาง", A938&lt;30, "ภาคตะวันออก", A938&lt;50, "ภาคตะวันออกเฉียงเหนือ", A938&lt;60, "ภาคเหนือ", A938&lt;80, "ภาคกลาง/ตะวันตก", A938&gt;=80, "ภาคใต้")</f>
        <v>ภาคตะวันออกเฉียงเหนือ</v>
      </c>
      <c r="D938" s="64">
        <v>3994</v>
      </c>
      <c r="E938" s="10" t="s">
        <v>1272</v>
      </c>
      <c r="F938" s="11">
        <v>1358</v>
      </c>
      <c r="G938" s="11">
        <v>1367</v>
      </c>
      <c r="H938" s="11">
        <v>2725</v>
      </c>
      <c r="I938" s="10">
        <v>783</v>
      </c>
      <c r="J938" s="66">
        <f t="shared" si="56"/>
        <v>49.834862385321102</v>
      </c>
      <c r="K938" s="66">
        <f t="shared" si="57"/>
        <v>50.165137614678898</v>
      </c>
    </row>
    <row r="939" spans="1:11" ht="41.4" x14ac:dyDescent="0.3">
      <c r="A939" s="10">
        <v>39</v>
      </c>
      <c r="B939" s="10" t="s">
        <v>1257</v>
      </c>
      <c r="C939" s="10" t="str" cm="1">
        <f t="array" ref="C939">_xlfn.IFS(A939&lt;20, "ภาคกลาง", A939&lt;30, "ภาคตะวันออก", A939&lt;50, "ภาคตะวันออกเฉียงเหนือ", A939&lt;60, "ภาคเหนือ", A939&lt;80, "ภาคกลาง/ตะวันตก", A939&gt;=80, "ภาคใต้")</f>
        <v>ภาคตะวันออกเฉียงเหนือ</v>
      </c>
      <c r="D939" s="64">
        <v>3995</v>
      </c>
      <c r="E939" s="10" t="s">
        <v>1273</v>
      </c>
      <c r="F939" s="11">
        <v>9540</v>
      </c>
      <c r="G939" s="11">
        <v>10055</v>
      </c>
      <c r="H939" s="11">
        <v>19595</v>
      </c>
      <c r="I939" s="11">
        <v>6896</v>
      </c>
      <c r="J939" s="66">
        <f t="shared" si="56"/>
        <v>48.685889257463636</v>
      </c>
      <c r="K939" s="66">
        <f t="shared" si="57"/>
        <v>51.314110742536357</v>
      </c>
    </row>
    <row r="940" spans="1:11" ht="41.4" x14ac:dyDescent="0.3">
      <c r="A940" s="10">
        <v>39</v>
      </c>
      <c r="B940" s="10" t="s">
        <v>1257</v>
      </c>
      <c r="C940" s="10" t="str" cm="1">
        <f t="array" ref="C940">_xlfn.IFS(A940&lt;20, "ภาคกลาง", A940&lt;30, "ภาคตะวันออก", A940&lt;50, "ภาคตะวันออกเฉียงเหนือ", A940&lt;60, "ภาคเหนือ", A940&lt;80, "ภาคกลาง/ตะวันตก", A940&gt;=80, "ภาคใต้")</f>
        <v>ภาคตะวันออกเฉียงเหนือ</v>
      </c>
      <c r="D940" s="64">
        <v>3996</v>
      </c>
      <c r="E940" s="10" t="s">
        <v>1126</v>
      </c>
      <c r="F940" s="11">
        <v>2693</v>
      </c>
      <c r="G940" s="11">
        <v>2837</v>
      </c>
      <c r="H940" s="11">
        <v>5530</v>
      </c>
      <c r="I940" s="11">
        <v>1895</v>
      </c>
      <c r="J940" s="66">
        <f t="shared" si="56"/>
        <v>48.698010849909586</v>
      </c>
      <c r="K940" s="66">
        <f t="shared" si="57"/>
        <v>51.301989150090421</v>
      </c>
    </row>
    <row r="941" spans="1:11" ht="41.4" x14ac:dyDescent="0.3">
      <c r="A941" s="10">
        <v>39</v>
      </c>
      <c r="B941" s="10" t="s">
        <v>1257</v>
      </c>
      <c r="C941" s="10" t="str" cm="1">
        <f t="array" ref="C941">_xlfn.IFS(A941&lt;20, "ภาคกลาง", A941&lt;30, "ภาคตะวันออก", A941&lt;50, "ภาคตะวันออกเฉียงเหนือ", A941&lt;60, "ภาคเหนือ", A941&lt;80, "ภาคกลาง/ตะวันตก", A941&gt;=80, "ภาคใต้")</f>
        <v>ภาคตะวันออกเฉียงเหนือ</v>
      </c>
      <c r="D941" s="64">
        <v>3997</v>
      </c>
      <c r="E941" s="10" t="s">
        <v>1274</v>
      </c>
      <c r="F941" s="11">
        <v>1779</v>
      </c>
      <c r="G941" s="11">
        <v>1758</v>
      </c>
      <c r="H941" s="11">
        <v>3537</v>
      </c>
      <c r="I941" s="11">
        <v>1090</v>
      </c>
      <c r="J941" s="66">
        <f t="shared" si="56"/>
        <v>50.296861747243426</v>
      </c>
      <c r="K941" s="66">
        <f t="shared" si="57"/>
        <v>49.703138252756574</v>
      </c>
    </row>
    <row r="942" spans="1:11" ht="41.4" x14ac:dyDescent="0.3">
      <c r="A942" s="10">
        <v>39</v>
      </c>
      <c r="B942" s="10" t="s">
        <v>1257</v>
      </c>
      <c r="C942" s="10" t="str" cm="1">
        <f t="array" ref="C942">_xlfn.IFS(A942&lt;20, "ภาคกลาง", A942&lt;30, "ภาคตะวันออก", A942&lt;50, "ภาคตะวันออกเฉียงเหนือ", A942&lt;60, "ภาคเหนือ", A942&lt;80, "ภาคกลาง/ตะวันตก", A942&gt;=80, "ภาคใต้")</f>
        <v>ภาคตะวันออกเฉียงเหนือ</v>
      </c>
      <c r="D942" s="64">
        <v>3998</v>
      </c>
      <c r="E942" s="10" t="s">
        <v>1275</v>
      </c>
      <c r="F942" s="11">
        <v>2010</v>
      </c>
      <c r="G942" s="11">
        <v>2145</v>
      </c>
      <c r="H942" s="11">
        <v>4155</v>
      </c>
      <c r="I942" s="11">
        <v>1135</v>
      </c>
      <c r="J942" s="66">
        <f t="shared" si="56"/>
        <v>48.375451263537904</v>
      </c>
      <c r="K942" s="66">
        <f t="shared" si="57"/>
        <v>51.624548736462096</v>
      </c>
    </row>
    <row r="943" spans="1:11" ht="41.4" x14ac:dyDescent="0.3">
      <c r="A943" s="10">
        <v>39</v>
      </c>
      <c r="B943" s="10" t="s">
        <v>1257</v>
      </c>
      <c r="C943" s="10" t="str" cm="1">
        <f t="array" ref="C943">_xlfn.IFS(A943&lt;20, "ภาคกลาง", A943&lt;30, "ภาคตะวันออก", A943&lt;50, "ภาคตะวันออกเฉียงเหนือ", A943&lt;60, "ภาคเหนือ", A943&lt;80, "ภาคกลาง/ตะวันตก", A943&gt;=80, "ภาคใต้")</f>
        <v>ภาคตะวันออกเฉียงเหนือ</v>
      </c>
      <c r="D943" s="64">
        <v>3999</v>
      </c>
      <c r="E943" s="10" t="s">
        <v>1276</v>
      </c>
      <c r="F943" s="11">
        <v>2408</v>
      </c>
      <c r="G943" s="11">
        <v>2464</v>
      </c>
      <c r="H943" s="11">
        <v>4872</v>
      </c>
      <c r="I943" s="11">
        <v>1466</v>
      </c>
      <c r="J943" s="66">
        <f t="shared" si="56"/>
        <v>49.425287356321839</v>
      </c>
      <c r="K943" s="66">
        <f t="shared" si="57"/>
        <v>50.574712643678168</v>
      </c>
    </row>
    <row r="944" spans="1:11" ht="41.4" hidden="1" x14ac:dyDescent="0.3">
      <c r="A944" s="10">
        <v>39</v>
      </c>
      <c r="B944" s="10" t="s">
        <v>1257</v>
      </c>
      <c r="C944" s="10" t="str" cm="1">
        <f t="array" ref="C944">_xlfn.IFS(A944&lt;20, "ภาคกลาง", A944&lt;30, "ภาคตะวันออก", A944&lt;50, "ภาคตะวันออกเฉียงเหนือ", A944&lt;60, "ภาคเหนือ", A944&lt;80, "ภาคกลาง/ตะวันตก", A944&gt;=80, "ภาคใต้")</f>
        <v>ภาคตะวันออกเฉียงเหนือ</v>
      </c>
      <c r="D944" s="10">
        <v>0</v>
      </c>
      <c r="E944" s="10" t="s">
        <v>343</v>
      </c>
      <c r="F944" s="11">
        <v>10454</v>
      </c>
      <c r="G944" s="11">
        <v>11361</v>
      </c>
      <c r="H944" s="11">
        <v>21815</v>
      </c>
      <c r="I944" s="11">
        <v>12732</v>
      </c>
      <c r="J944"/>
      <c r="K944"/>
    </row>
    <row r="945" spans="1:11" ht="41.4" x14ac:dyDescent="0.3">
      <c r="A945" s="10">
        <v>40</v>
      </c>
      <c r="B945" s="10" t="s">
        <v>1277</v>
      </c>
      <c r="C945" s="10" t="str" cm="1">
        <f t="array" ref="C945">_xlfn.IFS(A945&lt;20, "ภาคกลาง", A945&lt;30, "ภาคตะวันออก", A945&lt;50, "ภาคตะวันออกเฉียงเหนือ", A945&lt;60, "ภาคเหนือ", A945&lt;80, "ภาคกลาง/ตะวันตก", A945&gt;=80, "ภาคใต้")</f>
        <v>ภาคตะวันออกเฉียงเหนือ</v>
      </c>
      <c r="D945" s="64">
        <v>4001</v>
      </c>
      <c r="E945" s="10" t="s">
        <v>1278</v>
      </c>
      <c r="F945" s="11">
        <v>868299</v>
      </c>
      <c r="G945" s="11">
        <v>904082</v>
      </c>
      <c r="H945" s="11">
        <v>1772381</v>
      </c>
      <c r="I945" s="11">
        <v>692088</v>
      </c>
      <c r="J945" s="66">
        <f t="shared" ref="J945:J1008" si="58">F945/H945*100</f>
        <v>48.990538715998419</v>
      </c>
      <c r="K945" s="66">
        <f t="shared" ref="K945:K1008" si="59">G945/H945*100</f>
        <v>51.009461284001581</v>
      </c>
    </row>
    <row r="946" spans="1:11" ht="41.4" x14ac:dyDescent="0.3">
      <c r="A946" s="10">
        <v>40</v>
      </c>
      <c r="B946" s="10" t="s">
        <v>1277</v>
      </c>
      <c r="C946" s="10" t="str" cm="1">
        <f t="array" ref="C946">_xlfn.IFS(A946&lt;20, "ภาคกลาง", A946&lt;30, "ภาคตะวันออก", A946&lt;50, "ภาคตะวันออกเฉียงเหนือ", A946&lt;60, "ภาคเหนือ", A946&lt;80, "ภาคกลาง/ตะวันตก", A946&gt;=80, "ภาคใต้")</f>
        <v>ภาคตะวันออกเฉียงเหนือ</v>
      </c>
      <c r="D946" s="64">
        <v>4002</v>
      </c>
      <c r="E946" s="10" t="s">
        <v>1279</v>
      </c>
      <c r="F946" s="11">
        <v>48020</v>
      </c>
      <c r="G946" s="11">
        <v>51475</v>
      </c>
      <c r="H946" s="11">
        <v>99495</v>
      </c>
      <c r="I946" s="11">
        <v>43676</v>
      </c>
      <c r="J946" s="66">
        <f t="shared" si="58"/>
        <v>48.263731845821397</v>
      </c>
      <c r="K946" s="66">
        <f t="shared" si="59"/>
        <v>51.736268154178603</v>
      </c>
    </row>
    <row r="947" spans="1:11" ht="41.4" x14ac:dyDescent="0.3">
      <c r="A947" s="10">
        <v>40</v>
      </c>
      <c r="B947" s="10" t="s">
        <v>1277</v>
      </c>
      <c r="C947" s="10" t="str" cm="1">
        <f t="array" ref="C947">_xlfn.IFS(A947&lt;20, "ภาคกลาง", A947&lt;30, "ภาคตะวันออก", A947&lt;50, "ภาคตะวันออกเฉียงเหนือ", A947&lt;60, "ภาคเหนือ", A947&lt;80, "ภาคกลาง/ตะวันตก", A947&gt;=80, "ภาคใต้")</f>
        <v>ภาคตะวันออกเฉียงเหนือ</v>
      </c>
      <c r="D947" s="64">
        <v>4003</v>
      </c>
      <c r="E947" s="10" t="s">
        <v>1280</v>
      </c>
      <c r="F947" s="11">
        <v>24745</v>
      </c>
      <c r="G947" s="11">
        <v>25046</v>
      </c>
      <c r="H947" s="11">
        <v>49791</v>
      </c>
      <c r="I947" s="11">
        <v>18297</v>
      </c>
      <c r="J947" s="66">
        <f t="shared" si="58"/>
        <v>49.697736538731903</v>
      </c>
      <c r="K947" s="66">
        <f t="shared" si="59"/>
        <v>50.302263461268105</v>
      </c>
    </row>
    <row r="948" spans="1:11" ht="41.4" x14ac:dyDescent="0.3">
      <c r="A948" s="10">
        <v>40</v>
      </c>
      <c r="B948" s="10" t="s">
        <v>1277</v>
      </c>
      <c r="C948" s="10" t="str" cm="1">
        <f t="array" ref="C948">_xlfn.IFS(A948&lt;20, "ภาคกลาง", A948&lt;30, "ภาคตะวันออก", A948&lt;50, "ภาคตะวันออกเฉียงเหนือ", A948&lt;60, "ภาคเหนือ", A948&lt;80, "ภาคกลาง/ตะวันตก", A948&gt;=80, "ภาคใต้")</f>
        <v>ภาคตะวันออกเฉียงเหนือ</v>
      </c>
      <c r="D948" s="64">
        <v>4004</v>
      </c>
      <c r="E948" s="10" t="s">
        <v>1281</v>
      </c>
      <c r="F948" s="11">
        <v>12046</v>
      </c>
      <c r="G948" s="11">
        <v>12540</v>
      </c>
      <c r="H948" s="11">
        <v>24586</v>
      </c>
      <c r="I948" s="11">
        <v>8286</v>
      </c>
      <c r="J948" s="66">
        <f t="shared" si="58"/>
        <v>48.99536321483771</v>
      </c>
      <c r="K948" s="66">
        <f t="shared" si="59"/>
        <v>51.004636785162283</v>
      </c>
    </row>
    <row r="949" spans="1:11" ht="41.4" x14ac:dyDescent="0.3">
      <c r="A949" s="10">
        <v>40</v>
      </c>
      <c r="B949" s="10" t="s">
        <v>1277</v>
      </c>
      <c r="C949" s="10" t="str" cm="1">
        <f t="array" ref="C949">_xlfn.IFS(A949&lt;20, "ภาคกลาง", A949&lt;30, "ภาคตะวันออก", A949&lt;50, "ภาคตะวันออกเฉียงเหนือ", A949&lt;60, "ภาคเหนือ", A949&lt;80, "ภาคกลาง/ตะวันตก", A949&gt;=80, "ภาคใต้")</f>
        <v>ภาคตะวันออกเฉียงเหนือ</v>
      </c>
      <c r="D949" s="64">
        <v>4005</v>
      </c>
      <c r="E949" s="10" t="s">
        <v>1282</v>
      </c>
      <c r="F949" s="11">
        <v>40685</v>
      </c>
      <c r="G949" s="11">
        <v>41824</v>
      </c>
      <c r="H949" s="11">
        <v>82509</v>
      </c>
      <c r="I949" s="11">
        <v>24212</v>
      </c>
      <c r="J949" s="66">
        <f t="shared" si="58"/>
        <v>49.309772267267817</v>
      </c>
      <c r="K949" s="66">
        <f t="shared" si="59"/>
        <v>50.690227732732183</v>
      </c>
    </row>
    <row r="950" spans="1:11" ht="41.4" x14ac:dyDescent="0.3">
      <c r="A950" s="10">
        <v>40</v>
      </c>
      <c r="B950" s="10" t="s">
        <v>1277</v>
      </c>
      <c r="C950" s="10" t="str" cm="1">
        <f t="array" ref="C950">_xlfn.IFS(A950&lt;20, "ภาคกลาง", A950&lt;30, "ภาคตะวันออก", A950&lt;50, "ภาคตะวันออกเฉียงเหนือ", A950&lt;60, "ภาคเหนือ", A950&lt;80, "ภาคกลาง/ตะวันตก", A950&gt;=80, "ภาคใต้")</f>
        <v>ภาคตะวันออกเฉียงเหนือ</v>
      </c>
      <c r="D950" s="64">
        <v>4006</v>
      </c>
      <c r="E950" s="10" t="s">
        <v>1283</v>
      </c>
      <c r="F950" s="11">
        <v>41023</v>
      </c>
      <c r="G950" s="11">
        <v>41484</v>
      </c>
      <c r="H950" s="11">
        <v>82507</v>
      </c>
      <c r="I950" s="11">
        <v>27365</v>
      </c>
      <c r="J950" s="66">
        <f t="shared" si="58"/>
        <v>49.72062976474723</v>
      </c>
      <c r="K950" s="66">
        <f t="shared" si="59"/>
        <v>50.279370235252763</v>
      </c>
    </row>
    <row r="951" spans="1:11" ht="41.4" x14ac:dyDescent="0.3">
      <c r="A951" s="10">
        <v>40</v>
      </c>
      <c r="B951" s="10" t="s">
        <v>1277</v>
      </c>
      <c r="C951" s="10" t="str" cm="1">
        <f t="array" ref="C951">_xlfn.IFS(A951&lt;20, "ภาคกลาง", A951&lt;30, "ภาคตะวันออก", A951&lt;50, "ภาคตะวันออกเฉียงเหนือ", A951&lt;60, "ภาคเหนือ", A951&lt;80, "ภาคกลาง/ตะวันตก", A951&gt;=80, "ภาคใต้")</f>
        <v>ภาคตะวันออกเฉียงเหนือ</v>
      </c>
      <c r="D951" s="64">
        <v>4007</v>
      </c>
      <c r="E951" s="10" t="s">
        <v>1284</v>
      </c>
      <c r="F951" s="11">
        <v>36148</v>
      </c>
      <c r="G951" s="11">
        <v>36720</v>
      </c>
      <c r="H951" s="11">
        <v>72868</v>
      </c>
      <c r="I951" s="11">
        <v>23437</v>
      </c>
      <c r="J951" s="66">
        <f t="shared" si="58"/>
        <v>49.607509469177138</v>
      </c>
      <c r="K951" s="66">
        <f t="shared" si="59"/>
        <v>50.392490530822855</v>
      </c>
    </row>
    <row r="952" spans="1:11" ht="41.4" x14ac:dyDescent="0.3">
      <c r="A952" s="10">
        <v>40</v>
      </c>
      <c r="B952" s="10" t="s">
        <v>1277</v>
      </c>
      <c r="C952" s="10" t="str" cm="1">
        <f t="array" ref="C952">_xlfn.IFS(A952&lt;20, "ภาคกลาง", A952&lt;30, "ภาคตะวันออก", A952&lt;50, "ภาคตะวันออกเฉียงเหนือ", A952&lt;60, "ภาคเหนือ", A952&lt;80, "ภาคกลาง/ตะวันตก", A952&gt;=80, "ภาคใต้")</f>
        <v>ภาคตะวันออกเฉียงเหนือ</v>
      </c>
      <c r="D952" s="64">
        <v>4008</v>
      </c>
      <c r="E952" s="10" t="s">
        <v>1285</v>
      </c>
      <c r="F952" s="11">
        <v>35444</v>
      </c>
      <c r="G952" s="11">
        <v>36275</v>
      </c>
      <c r="H952" s="11">
        <v>71719</v>
      </c>
      <c r="I952" s="11">
        <v>23023</v>
      </c>
      <c r="J952" s="66">
        <f t="shared" si="58"/>
        <v>49.42065561427237</v>
      </c>
      <c r="K952" s="66">
        <f t="shared" si="59"/>
        <v>50.57934438572763</v>
      </c>
    </row>
    <row r="953" spans="1:11" ht="41.4" x14ac:dyDescent="0.3">
      <c r="A953" s="10">
        <v>40</v>
      </c>
      <c r="B953" s="10" t="s">
        <v>1277</v>
      </c>
      <c r="C953" s="10" t="str" cm="1">
        <f t="array" ref="C953">_xlfn.IFS(A953&lt;20, "ภาคกลาง", A953&lt;30, "ภาคตะวันออก", A953&lt;50, "ภาคตะวันออกเฉียงเหนือ", A953&lt;60, "ภาคเหนือ", A953&lt;80, "ภาคกลาง/ตะวันตก", A953&gt;=80, "ภาคใต้")</f>
        <v>ภาคตะวันออกเฉียงเหนือ</v>
      </c>
      <c r="D953" s="64">
        <v>4009</v>
      </c>
      <c r="E953" s="10" t="s">
        <v>1286</v>
      </c>
      <c r="F953" s="11">
        <v>15322</v>
      </c>
      <c r="G953" s="11">
        <v>15719</v>
      </c>
      <c r="H953" s="11">
        <v>31041</v>
      </c>
      <c r="I953" s="11">
        <v>8723</v>
      </c>
      <c r="J953" s="66">
        <f t="shared" si="58"/>
        <v>49.360523179021293</v>
      </c>
      <c r="K953" s="66">
        <f t="shared" si="59"/>
        <v>50.6394768209787</v>
      </c>
    </row>
    <row r="954" spans="1:11" ht="41.4" x14ac:dyDescent="0.3">
      <c r="A954" s="10">
        <v>40</v>
      </c>
      <c r="B954" s="10" t="s">
        <v>1277</v>
      </c>
      <c r="C954" s="10" t="str" cm="1">
        <f t="array" ref="C954">_xlfn.IFS(A954&lt;20, "ภาคกลาง", A954&lt;30, "ภาคตะวันออก", A954&lt;50, "ภาคตะวันออกเฉียงเหนือ", A954&lt;60, "ภาคเหนือ", A954&lt;80, "ภาคกลาง/ตะวันตก", A954&gt;=80, "ภาคใต้")</f>
        <v>ภาคตะวันออกเฉียงเหนือ</v>
      </c>
      <c r="D954" s="64">
        <v>4010</v>
      </c>
      <c r="E954" s="10" t="s">
        <v>1287</v>
      </c>
      <c r="F954" s="11">
        <v>33727</v>
      </c>
      <c r="G954" s="11">
        <v>34219</v>
      </c>
      <c r="H954" s="11">
        <v>67946</v>
      </c>
      <c r="I954" s="11">
        <v>21248</v>
      </c>
      <c r="J954" s="66">
        <f t="shared" si="58"/>
        <v>49.637947782062227</v>
      </c>
      <c r="K954" s="66">
        <f t="shared" si="59"/>
        <v>50.362052217937773</v>
      </c>
    </row>
    <row r="955" spans="1:11" ht="41.4" x14ac:dyDescent="0.3">
      <c r="A955" s="10">
        <v>40</v>
      </c>
      <c r="B955" s="10" t="s">
        <v>1277</v>
      </c>
      <c r="C955" s="10" t="str" cm="1">
        <f t="array" ref="C955">_xlfn.IFS(A955&lt;20, "ภาคกลาง", A955&lt;30, "ภาคตะวันออก", A955&lt;50, "ภาคตะวันออกเฉียงเหนือ", A955&lt;60, "ภาคเหนือ", A955&lt;80, "ภาคกลาง/ตะวันตก", A955&gt;=80, "ภาคใต้")</f>
        <v>ภาคตะวันออกเฉียงเหนือ</v>
      </c>
      <c r="D955" s="64">
        <v>4011</v>
      </c>
      <c r="E955" s="10" t="s">
        <v>1288</v>
      </c>
      <c r="F955" s="11">
        <v>35278</v>
      </c>
      <c r="G955" s="11">
        <v>36289</v>
      </c>
      <c r="H955" s="11">
        <v>71567</v>
      </c>
      <c r="I955" s="11">
        <v>24663</v>
      </c>
      <c r="J955" s="66">
        <f t="shared" si="58"/>
        <v>49.29366886973046</v>
      </c>
      <c r="K955" s="66">
        <f t="shared" si="59"/>
        <v>50.706331130269533</v>
      </c>
    </row>
    <row r="956" spans="1:11" ht="41.4" x14ac:dyDescent="0.3">
      <c r="A956" s="10">
        <v>40</v>
      </c>
      <c r="B956" s="10" t="s">
        <v>1277</v>
      </c>
      <c r="C956" s="10" t="str" cm="1">
        <f t="array" ref="C956">_xlfn.IFS(A956&lt;20, "ภาคกลาง", A956&lt;30, "ภาคตะวันออก", A956&lt;50, "ภาคตะวันออกเฉียงเหนือ", A956&lt;60, "ภาคเหนือ", A956&lt;80, "ภาคกลาง/ตะวันตก", A956&gt;=80, "ภาคใต้")</f>
        <v>ภาคตะวันออกเฉียงเหนือ</v>
      </c>
      <c r="D956" s="64">
        <v>4012</v>
      </c>
      <c r="E956" s="10" t="s">
        <v>1289</v>
      </c>
      <c r="F956" s="11">
        <v>7139</v>
      </c>
      <c r="G956" s="11">
        <v>7037</v>
      </c>
      <c r="H956" s="11">
        <v>14176</v>
      </c>
      <c r="I956" s="11">
        <v>4165</v>
      </c>
      <c r="J956" s="66">
        <f t="shared" si="58"/>
        <v>50.359762979683978</v>
      </c>
      <c r="K956" s="66">
        <f t="shared" si="59"/>
        <v>49.640237020316022</v>
      </c>
    </row>
    <row r="957" spans="1:11" ht="41.4" x14ac:dyDescent="0.3">
      <c r="A957" s="10">
        <v>40</v>
      </c>
      <c r="B957" s="10" t="s">
        <v>1277</v>
      </c>
      <c r="C957" s="10" t="str" cm="1">
        <f t="array" ref="C957">_xlfn.IFS(A957&lt;20, "ภาคกลาง", A957&lt;30, "ภาคตะวันออก", A957&lt;50, "ภาคตะวันออกเฉียงเหนือ", A957&lt;60, "ภาคเหนือ", A957&lt;80, "ภาคกลาง/ตะวันตก", A957&gt;=80, "ภาคใต้")</f>
        <v>ภาคตะวันออกเฉียงเหนือ</v>
      </c>
      <c r="D957" s="64">
        <v>4013</v>
      </c>
      <c r="E957" s="10" t="s">
        <v>1290</v>
      </c>
      <c r="F957" s="11">
        <v>36928</v>
      </c>
      <c r="G957" s="11">
        <v>37946</v>
      </c>
      <c r="H957" s="11">
        <v>74874</v>
      </c>
      <c r="I957" s="11">
        <v>24469</v>
      </c>
      <c r="J957" s="66">
        <f t="shared" si="58"/>
        <v>49.320191254641131</v>
      </c>
      <c r="K957" s="66">
        <f t="shared" si="59"/>
        <v>50.679808745358869</v>
      </c>
    </row>
    <row r="958" spans="1:11" ht="41.4" x14ac:dyDescent="0.3">
      <c r="A958" s="10">
        <v>40</v>
      </c>
      <c r="B958" s="10" t="s">
        <v>1277</v>
      </c>
      <c r="C958" s="10" t="str" cm="1">
        <f t="array" ref="C958">_xlfn.IFS(A958&lt;20, "ภาคกลาง", A958&lt;30, "ภาคตะวันออก", A958&lt;50, "ภาคตะวันออกเฉียงเหนือ", A958&lt;60, "ภาคเหนือ", A958&lt;80, "ภาคกลาง/ตะวันตก", A958&gt;=80, "ภาคใต้")</f>
        <v>ภาคตะวันออกเฉียงเหนือ</v>
      </c>
      <c r="D958" s="64">
        <v>4014</v>
      </c>
      <c r="E958" s="10" t="s">
        <v>1291</v>
      </c>
      <c r="F958" s="11">
        <v>11718</v>
      </c>
      <c r="G958" s="11">
        <v>12054</v>
      </c>
      <c r="H958" s="11">
        <v>23772</v>
      </c>
      <c r="I958" s="11">
        <v>6685</v>
      </c>
      <c r="J958" s="66">
        <f t="shared" si="58"/>
        <v>49.293286219081274</v>
      </c>
      <c r="K958" s="66">
        <f t="shared" si="59"/>
        <v>50.706713780918733</v>
      </c>
    </row>
    <row r="959" spans="1:11" ht="41.4" x14ac:dyDescent="0.3">
      <c r="A959" s="10">
        <v>40</v>
      </c>
      <c r="B959" s="10" t="s">
        <v>1277</v>
      </c>
      <c r="C959" s="10" t="str" cm="1">
        <f t="array" ref="C959">_xlfn.IFS(A959&lt;20, "ภาคกลาง", A959&lt;30, "ภาคตะวันออก", A959&lt;50, "ภาคตะวันออกเฉียงเหนือ", A959&lt;60, "ภาคเหนือ", A959&lt;80, "ภาคกลาง/ตะวันตก", A959&gt;=80, "ภาคใต้")</f>
        <v>ภาคตะวันออกเฉียงเหนือ</v>
      </c>
      <c r="D959" s="64">
        <v>4015</v>
      </c>
      <c r="E959" s="10" t="s">
        <v>1292</v>
      </c>
      <c r="F959" s="11">
        <v>18986</v>
      </c>
      <c r="G959" s="11">
        <v>19101</v>
      </c>
      <c r="H959" s="11">
        <v>38087</v>
      </c>
      <c r="I959" s="11">
        <v>11903</v>
      </c>
      <c r="J959" s="66">
        <f t="shared" si="58"/>
        <v>49.849029852705648</v>
      </c>
      <c r="K959" s="66">
        <f t="shared" si="59"/>
        <v>50.150970147294352</v>
      </c>
    </row>
    <row r="960" spans="1:11" ht="41.4" x14ac:dyDescent="0.3">
      <c r="A960" s="10">
        <v>40</v>
      </c>
      <c r="B960" s="10" t="s">
        <v>1277</v>
      </c>
      <c r="C960" s="10" t="str" cm="1">
        <f t="array" ref="C960">_xlfn.IFS(A960&lt;20, "ภาคกลาง", A960&lt;30, "ภาคตะวันออก", A960&lt;50, "ภาคตะวันออกเฉียงเหนือ", A960&lt;60, "ภาคเหนือ", A960&lt;80, "ภาคกลาง/ตะวันตก", A960&gt;=80, "ภาคใต้")</f>
        <v>ภาคตะวันออกเฉียงเหนือ</v>
      </c>
      <c r="D960" s="64">
        <v>4016</v>
      </c>
      <c r="E960" s="10" t="s">
        <v>1293</v>
      </c>
      <c r="F960" s="11">
        <v>35017</v>
      </c>
      <c r="G960" s="11">
        <v>35506</v>
      </c>
      <c r="H960" s="11">
        <v>70523</v>
      </c>
      <c r="I960" s="11">
        <v>21915</v>
      </c>
      <c r="J960" s="66">
        <f t="shared" si="58"/>
        <v>49.653304595663826</v>
      </c>
      <c r="K960" s="66">
        <f t="shared" si="59"/>
        <v>50.346695404336174</v>
      </c>
    </row>
    <row r="961" spans="1:11" ht="41.4" x14ac:dyDescent="0.3">
      <c r="A961" s="10">
        <v>40</v>
      </c>
      <c r="B961" s="10" t="s">
        <v>1277</v>
      </c>
      <c r="C961" s="10" t="str" cm="1">
        <f t="array" ref="C961">_xlfn.IFS(A961&lt;20, "ภาคกลาง", A961&lt;30, "ภาคตะวันออก", A961&lt;50, "ภาคตะวันออกเฉียงเหนือ", A961&lt;60, "ภาคเหนือ", A961&lt;80, "ภาคกลาง/ตะวันตก", A961&gt;=80, "ภาคใต้")</f>
        <v>ภาคตะวันออกเฉียงเหนือ</v>
      </c>
      <c r="D961" s="64">
        <v>4017</v>
      </c>
      <c r="E961" s="10" t="s">
        <v>1294</v>
      </c>
      <c r="F961" s="11">
        <v>33867</v>
      </c>
      <c r="G961" s="11">
        <v>34334</v>
      </c>
      <c r="H961" s="11">
        <v>68201</v>
      </c>
      <c r="I961" s="11">
        <v>21470</v>
      </c>
      <c r="J961" s="66">
        <f t="shared" si="58"/>
        <v>49.657629653524147</v>
      </c>
      <c r="K961" s="66">
        <f t="shared" si="59"/>
        <v>50.34237034647586</v>
      </c>
    </row>
    <row r="962" spans="1:11" ht="41.4" x14ac:dyDescent="0.3">
      <c r="A962" s="10">
        <v>40</v>
      </c>
      <c r="B962" s="10" t="s">
        <v>1277</v>
      </c>
      <c r="C962" s="10" t="str" cm="1">
        <f t="array" ref="C962">_xlfn.IFS(A962&lt;20, "ภาคกลาง", A962&lt;30, "ภาคตะวันออก", A962&lt;50, "ภาคตะวันออกเฉียงเหนือ", A962&lt;60, "ภาคเหนือ", A962&lt;80, "ภาคกลาง/ตะวันตก", A962&gt;=80, "ภาคใต้")</f>
        <v>ภาคตะวันออกเฉียงเหนือ</v>
      </c>
      <c r="D962" s="64">
        <v>4018</v>
      </c>
      <c r="E962" s="10" t="s">
        <v>1295</v>
      </c>
      <c r="F962" s="11">
        <v>32441</v>
      </c>
      <c r="G962" s="11">
        <v>33152</v>
      </c>
      <c r="H962" s="11">
        <v>65593</v>
      </c>
      <c r="I962" s="11">
        <v>22831</v>
      </c>
      <c r="J962" s="66">
        <f t="shared" si="58"/>
        <v>49.458021435214121</v>
      </c>
      <c r="K962" s="66">
        <f t="shared" si="59"/>
        <v>50.541978564785872</v>
      </c>
    </row>
    <row r="963" spans="1:11" ht="41.4" x14ac:dyDescent="0.3">
      <c r="A963" s="10">
        <v>40</v>
      </c>
      <c r="B963" s="10" t="s">
        <v>1277</v>
      </c>
      <c r="C963" s="10" t="str" cm="1">
        <f t="array" ref="C963">_xlfn.IFS(A963&lt;20, "ภาคกลาง", A963&lt;30, "ภาคตะวันออก", A963&lt;50, "ภาคตะวันออกเฉียงเหนือ", A963&lt;60, "ภาคเหนือ", A963&lt;80, "ภาคกลาง/ตะวันตก", A963&gt;=80, "ภาคใต้")</f>
        <v>ภาคตะวันออกเฉียงเหนือ</v>
      </c>
      <c r="D963" s="64">
        <v>4019</v>
      </c>
      <c r="E963" s="10" t="s">
        <v>1296</v>
      </c>
      <c r="F963" s="11">
        <v>19112</v>
      </c>
      <c r="G963" s="11">
        <v>19905</v>
      </c>
      <c r="H963" s="11">
        <v>39017</v>
      </c>
      <c r="I963" s="11">
        <v>12191</v>
      </c>
      <c r="J963" s="66">
        <f t="shared" si="58"/>
        <v>48.98377630263731</v>
      </c>
      <c r="K963" s="66">
        <f t="shared" si="59"/>
        <v>51.016223697362683</v>
      </c>
    </row>
    <row r="964" spans="1:11" ht="41.4" x14ac:dyDescent="0.3">
      <c r="A964" s="10">
        <v>40</v>
      </c>
      <c r="B964" s="10" t="s">
        <v>1277</v>
      </c>
      <c r="C964" s="10" t="str" cm="1">
        <f t="array" ref="C964">_xlfn.IFS(A964&lt;20, "ภาคกลาง", A964&lt;30, "ภาคตะวันออก", A964&lt;50, "ภาคตะวันออกเฉียงเหนือ", A964&lt;60, "ภาคเหนือ", A964&lt;80, "ภาคกลาง/ตะวันตก", A964&gt;=80, "ภาคใต้")</f>
        <v>ภาคตะวันออกเฉียงเหนือ</v>
      </c>
      <c r="D964" s="64">
        <v>4020</v>
      </c>
      <c r="E964" s="10" t="s">
        <v>1297</v>
      </c>
      <c r="F964" s="11">
        <v>10572</v>
      </c>
      <c r="G964" s="11">
        <v>10681</v>
      </c>
      <c r="H964" s="11">
        <v>21253</v>
      </c>
      <c r="I964" s="11">
        <v>6661</v>
      </c>
      <c r="J964" s="66">
        <f t="shared" si="58"/>
        <v>49.743565614266224</v>
      </c>
      <c r="K964" s="66">
        <f t="shared" si="59"/>
        <v>50.256434385733783</v>
      </c>
    </row>
    <row r="965" spans="1:11" ht="41.4" x14ac:dyDescent="0.3">
      <c r="A965" s="10">
        <v>40</v>
      </c>
      <c r="B965" s="10" t="s">
        <v>1277</v>
      </c>
      <c r="C965" s="10" t="str" cm="1">
        <f t="array" ref="C965">_xlfn.IFS(A965&lt;20, "ภาคกลาง", A965&lt;30, "ภาคตะวันออก", A965&lt;50, "ภาคตะวันออกเฉียงเหนือ", A965&lt;60, "ภาคเหนือ", A965&lt;80, "ภาคกลาง/ตะวันตก", A965&gt;=80, "ภาคใต้")</f>
        <v>ภาคตะวันออกเฉียงเหนือ</v>
      </c>
      <c r="D965" s="64">
        <v>4021</v>
      </c>
      <c r="E965" s="10" t="s">
        <v>1298</v>
      </c>
      <c r="F965" s="11">
        <v>9728</v>
      </c>
      <c r="G965" s="11">
        <v>9710</v>
      </c>
      <c r="H965" s="11">
        <v>19438</v>
      </c>
      <c r="I965" s="11">
        <v>6098</v>
      </c>
      <c r="J965" s="66">
        <f t="shared" si="58"/>
        <v>50.046301059779807</v>
      </c>
      <c r="K965" s="66">
        <f t="shared" si="59"/>
        <v>49.953698940220185</v>
      </c>
    </row>
    <row r="966" spans="1:11" ht="41.4" x14ac:dyDescent="0.3">
      <c r="A966" s="10">
        <v>40</v>
      </c>
      <c r="B966" s="10" t="s">
        <v>1277</v>
      </c>
      <c r="C966" s="10" t="str" cm="1">
        <f t="array" ref="C966">_xlfn.IFS(A966&lt;20, "ภาคกลาง", A966&lt;30, "ภาคตะวันออก", A966&lt;50, "ภาคตะวันออกเฉียงเหนือ", A966&lt;60, "ภาคเหนือ", A966&lt;80, "ภาคกลาง/ตะวันตก", A966&gt;=80, "ภาคใต้")</f>
        <v>ภาคตะวันออกเฉียงเหนือ</v>
      </c>
      <c r="D966" s="64">
        <v>4022</v>
      </c>
      <c r="E966" s="10" t="s">
        <v>1299</v>
      </c>
      <c r="F966" s="11">
        <v>8819</v>
      </c>
      <c r="G966" s="11">
        <v>9120</v>
      </c>
      <c r="H966" s="11">
        <v>17939</v>
      </c>
      <c r="I966" s="11">
        <v>5504</v>
      </c>
      <c r="J966" s="66">
        <f t="shared" si="58"/>
        <v>49.161045766207707</v>
      </c>
      <c r="K966" s="66">
        <f t="shared" si="59"/>
        <v>50.8389542337923</v>
      </c>
    </row>
    <row r="967" spans="1:11" ht="41.4" x14ac:dyDescent="0.3">
      <c r="A967" s="10">
        <v>40</v>
      </c>
      <c r="B967" s="10" t="s">
        <v>1277</v>
      </c>
      <c r="C967" s="10" t="str" cm="1">
        <f t="array" ref="C967">_xlfn.IFS(A967&lt;20, "ภาคกลาง", A967&lt;30, "ภาคตะวันออก", A967&lt;50, "ภาคตะวันออกเฉียงเหนือ", A967&lt;60, "ภาคเหนือ", A967&lt;80, "ภาคกลาง/ตะวันตก", A967&gt;=80, "ภาคใต้")</f>
        <v>ภาคตะวันออกเฉียงเหนือ</v>
      </c>
      <c r="D967" s="64">
        <v>4023</v>
      </c>
      <c r="E967" s="10" t="s">
        <v>1300</v>
      </c>
      <c r="F967" s="11">
        <v>10382</v>
      </c>
      <c r="G967" s="11">
        <v>10437</v>
      </c>
      <c r="H967" s="11">
        <v>20819</v>
      </c>
      <c r="I967" s="11">
        <v>6935</v>
      </c>
      <c r="J967" s="66">
        <f t="shared" si="58"/>
        <v>49.86790912147557</v>
      </c>
      <c r="K967" s="66">
        <f t="shared" si="59"/>
        <v>50.13209087852443</v>
      </c>
    </row>
    <row r="968" spans="1:11" ht="41.4" x14ac:dyDescent="0.3">
      <c r="A968" s="10">
        <v>40</v>
      </c>
      <c r="B968" s="10" t="s">
        <v>1277</v>
      </c>
      <c r="C968" s="10" t="str" cm="1">
        <f t="array" ref="C968">_xlfn.IFS(A968&lt;20, "ภาคกลาง", A968&lt;30, "ภาคตะวันออก", A968&lt;50, "ภาคตะวันออกเฉียงเหนือ", A968&lt;60, "ภาคเหนือ", A968&lt;80, "ภาคกลาง/ตะวันตก", A968&gt;=80, "ภาคใต้")</f>
        <v>ภาคตะวันออกเฉียงเหนือ</v>
      </c>
      <c r="D968" s="64">
        <v>4024</v>
      </c>
      <c r="E968" s="10" t="s">
        <v>1301</v>
      </c>
      <c r="F968" s="11">
        <v>11613</v>
      </c>
      <c r="G968" s="11">
        <v>11782</v>
      </c>
      <c r="H968" s="11">
        <v>23395</v>
      </c>
      <c r="I968" s="11">
        <v>7104</v>
      </c>
      <c r="J968" s="66">
        <f t="shared" si="58"/>
        <v>49.638811711904253</v>
      </c>
      <c r="K968" s="66">
        <f t="shared" si="59"/>
        <v>50.361188288095747</v>
      </c>
    </row>
    <row r="969" spans="1:11" ht="41.4" x14ac:dyDescent="0.3">
      <c r="A969" s="10">
        <v>40</v>
      </c>
      <c r="B969" s="10" t="s">
        <v>1277</v>
      </c>
      <c r="C969" s="10" t="str" cm="1">
        <f t="array" ref="C969">_xlfn.IFS(A969&lt;20, "ภาคกลาง", A969&lt;30, "ภาคตะวันออก", A969&lt;50, "ภาคตะวันออกเฉียงเหนือ", A969&lt;60, "ภาคเหนือ", A969&lt;80, "ภาคกลาง/ตะวันตก", A969&gt;=80, "ภาคใต้")</f>
        <v>ภาคตะวันออกเฉียงเหนือ</v>
      </c>
      <c r="D969" s="64">
        <v>4025</v>
      </c>
      <c r="E969" s="10" t="s">
        <v>1302</v>
      </c>
      <c r="F969" s="11">
        <v>12829</v>
      </c>
      <c r="G969" s="11">
        <v>13151</v>
      </c>
      <c r="H969" s="11">
        <v>25980</v>
      </c>
      <c r="I969" s="11">
        <v>8738</v>
      </c>
      <c r="J969" s="66">
        <f t="shared" si="58"/>
        <v>49.380292532717476</v>
      </c>
      <c r="K969" s="66">
        <f t="shared" si="59"/>
        <v>50.619707467282524</v>
      </c>
    </row>
    <row r="970" spans="1:11" ht="41.4" x14ac:dyDescent="0.3">
      <c r="A970" s="10">
        <v>40</v>
      </c>
      <c r="B970" s="10" t="s">
        <v>1277</v>
      </c>
      <c r="C970" s="10" t="str" cm="1">
        <f t="array" ref="C970">_xlfn.IFS(A970&lt;20, "ภาคกลาง", A970&lt;30, "ภาคตะวันออก", A970&lt;50, "ภาคตะวันออกเฉียงเหนือ", A970&lt;60, "ภาคเหนือ", A970&lt;80, "ภาคกลาง/ตะวันตก", A970&gt;=80, "ภาคใต้")</f>
        <v>ภาคตะวันออกเฉียงเหนือ</v>
      </c>
      <c r="D970" s="64">
        <v>4029</v>
      </c>
      <c r="E970" s="10" t="s">
        <v>1303</v>
      </c>
      <c r="F970" s="11">
        <v>10387</v>
      </c>
      <c r="G970" s="11">
        <v>10504</v>
      </c>
      <c r="H970" s="11">
        <v>20891</v>
      </c>
      <c r="I970" s="11">
        <v>6801</v>
      </c>
      <c r="J970" s="66">
        <f t="shared" si="58"/>
        <v>49.719975108898566</v>
      </c>
      <c r="K970" s="66">
        <f t="shared" si="59"/>
        <v>50.280024891101426</v>
      </c>
    </row>
    <row r="971" spans="1:11" ht="41.4" x14ac:dyDescent="0.3">
      <c r="A971" s="10">
        <v>40</v>
      </c>
      <c r="B971" s="10" t="s">
        <v>1277</v>
      </c>
      <c r="C971" s="10" t="str" cm="1">
        <f t="array" ref="C971">_xlfn.IFS(A971&lt;20, "ภาคกลาง", A971&lt;30, "ภาคตะวันออก", A971&lt;50, "ภาคตะวันออกเฉียงเหนือ", A971&lt;60, "ภาคเหนือ", A971&lt;80, "ภาคกลาง/ตะวันตก", A971&gt;=80, "ภาคใต้")</f>
        <v>ภาคตะวันออกเฉียงเหนือ</v>
      </c>
      <c r="D971" s="64">
        <v>4054</v>
      </c>
      <c r="E971" s="10" t="s">
        <v>1304</v>
      </c>
      <c r="F971" s="11">
        <v>9750</v>
      </c>
      <c r="G971" s="11">
        <v>9954</v>
      </c>
      <c r="H971" s="11">
        <v>19704</v>
      </c>
      <c r="I971" s="11">
        <v>5977</v>
      </c>
      <c r="J971" s="66">
        <f t="shared" si="58"/>
        <v>49.48233861144945</v>
      </c>
      <c r="K971" s="66">
        <f t="shared" si="59"/>
        <v>50.51766138855055</v>
      </c>
    </row>
    <row r="972" spans="1:11" ht="41.4" x14ac:dyDescent="0.3">
      <c r="A972" s="10">
        <v>40</v>
      </c>
      <c r="B972" s="10" t="s">
        <v>1277</v>
      </c>
      <c r="C972" s="10" t="str" cm="1">
        <f t="array" ref="C972">_xlfn.IFS(A972&lt;20, "ภาคกลาง", A972&lt;30, "ภาคตะวันออก", A972&lt;50, "ภาคตะวันออกเฉียงเหนือ", A972&lt;60, "ภาคเหนือ", A972&lt;80, "ภาคกลาง/ตะวันตก", A972&gt;=80, "ภาคใต้")</f>
        <v>ภาคตะวันออกเฉียงเหนือ</v>
      </c>
      <c r="D972" s="64">
        <v>4055</v>
      </c>
      <c r="E972" s="10" t="s">
        <v>1305</v>
      </c>
      <c r="F972" s="11">
        <v>27265</v>
      </c>
      <c r="G972" s="11">
        <v>28075</v>
      </c>
      <c r="H972" s="11">
        <v>55340</v>
      </c>
      <c r="I972" s="11">
        <v>32137</v>
      </c>
      <c r="J972" s="66">
        <f t="shared" si="58"/>
        <v>49.268160462594871</v>
      </c>
      <c r="K972" s="66">
        <f t="shared" si="59"/>
        <v>50.731839537405129</v>
      </c>
    </row>
    <row r="973" spans="1:11" ht="41.4" x14ac:dyDescent="0.3">
      <c r="A973" s="10">
        <v>40</v>
      </c>
      <c r="B973" s="10" t="s">
        <v>1277</v>
      </c>
      <c r="C973" s="10" t="str" cm="1">
        <f t="array" ref="C973">_xlfn.IFS(A973&lt;20, "ภาคกลาง", A973&lt;30, "ภาคตะวันออก", A973&lt;50, "ภาคตะวันออกเฉียงเหนือ", A973&lt;60, "ภาคเหนือ", A973&lt;80, "ภาคกลาง/ตะวันตก", A973&gt;=80, "ภาคใต้")</f>
        <v>ภาคตะวันออกเฉียงเหนือ</v>
      </c>
      <c r="D973" s="64">
        <v>4056</v>
      </c>
      <c r="E973" s="10" t="s">
        <v>1306</v>
      </c>
      <c r="F973" s="11">
        <v>4409</v>
      </c>
      <c r="G973" s="11">
        <v>4330</v>
      </c>
      <c r="H973" s="11">
        <v>8739</v>
      </c>
      <c r="I973" s="11">
        <v>2606</v>
      </c>
      <c r="J973" s="66">
        <f t="shared" si="58"/>
        <v>50.451996795972079</v>
      </c>
      <c r="K973" s="66">
        <f t="shared" si="59"/>
        <v>49.548003204027921</v>
      </c>
    </row>
    <row r="974" spans="1:11" ht="41.4" x14ac:dyDescent="0.3">
      <c r="A974" s="10">
        <v>40</v>
      </c>
      <c r="B974" s="10" t="s">
        <v>1277</v>
      </c>
      <c r="C974" s="10" t="str" cm="1">
        <f t="array" ref="C974">_xlfn.IFS(A974&lt;20, "ภาคกลาง", A974&lt;30, "ภาคตะวันออก", A974&lt;50, "ภาคตะวันออกเฉียงเหนือ", A974&lt;60, "ภาคเหนือ", A974&lt;80, "ภาคกลาง/ตะวันตก", A974&gt;=80, "ภาคใต้")</f>
        <v>ภาคตะวันออกเฉียงเหนือ</v>
      </c>
      <c r="D974" s="64">
        <v>4057</v>
      </c>
      <c r="E974" s="10" t="s">
        <v>1307</v>
      </c>
      <c r="F974" s="11">
        <v>4892</v>
      </c>
      <c r="G974" s="11">
        <v>4965</v>
      </c>
      <c r="H974" s="11">
        <v>9857</v>
      </c>
      <c r="I974" s="11">
        <v>2803</v>
      </c>
      <c r="J974" s="66">
        <f t="shared" si="58"/>
        <v>49.629704778330122</v>
      </c>
      <c r="K974" s="66">
        <f t="shared" si="59"/>
        <v>50.370295221669878</v>
      </c>
    </row>
    <row r="975" spans="1:11" ht="41.4" x14ac:dyDescent="0.3">
      <c r="A975" s="10">
        <v>40</v>
      </c>
      <c r="B975" s="10" t="s">
        <v>1277</v>
      </c>
      <c r="C975" s="10" t="str" cm="1">
        <f t="array" ref="C975">_xlfn.IFS(A975&lt;20, "ภาคกลาง", A975&lt;30, "ภาคตะวันออก", A975&lt;50, "ภาคตะวันออกเฉียงเหนือ", A975&lt;60, "ภาคเหนือ", A975&lt;80, "ภาคกลาง/ตะวันตก", A975&gt;=80, "ภาคใต้")</f>
        <v>ภาคตะวันออกเฉียงเหนือ</v>
      </c>
      <c r="D975" s="64">
        <v>4058</v>
      </c>
      <c r="E975" s="10" t="s">
        <v>956</v>
      </c>
      <c r="F975" s="11">
        <v>9333</v>
      </c>
      <c r="G975" s="11">
        <v>10049</v>
      </c>
      <c r="H975" s="11">
        <v>19382</v>
      </c>
      <c r="I975" s="11">
        <v>9638</v>
      </c>
      <c r="J975" s="66">
        <f t="shared" si="58"/>
        <v>48.152925394696112</v>
      </c>
      <c r="K975" s="66">
        <f t="shared" si="59"/>
        <v>51.847074605303888</v>
      </c>
    </row>
    <row r="976" spans="1:11" ht="41.4" x14ac:dyDescent="0.3">
      <c r="A976" s="10">
        <v>40</v>
      </c>
      <c r="B976" s="10" t="s">
        <v>1277</v>
      </c>
      <c r="C976" s="10" t="str" cm="1">
        <f t="array" ref="C976">_xlfn.IFS(A976&lt;20, "ภาคกลาง", A976&lt;30, "ภาคตะวันออก", A976&lt;50, "ภาคตะวันออกเฉียงเหนือ", A976&lt;60, "ภาคเหนือ", A976&lt;80, "ภาคกลาง/ตะวันตก", A976&gt;=80, "ภาคใต้")</f>
        <v>ภาคตะวันออกเฉียงเหนือ</v>
      </c>
      <c r="D976" s="64">
        <v>4060</v>
      </c>
      <c r="E976" s="10" t="s">
        <v>1308</v>
      </c>
      <c r="F976" s="11">
        <v>2914</v>
      </c>
      <c r="G976" s="11">
        <v>2929</v>
      </c>
      <c r="H976" s="11">
        <v>5843</v>
      </c>
      <c r="I976" s="11">
        <v>1863</v>
      </c>
      <c r="J976" s="66">
        <f t="shared" si="58"/>
        <v>49.871641280164297</v>
      </c>
      <c r="K976" s="66">
        <f t="shared" si="59"/>
        <v>50.128358719835695</v>
      </c>
    </row>
    <row r="977" spans="1:11" ht="41.4" x14ac:dyDescent="0.3">
      <c r="A977" s="10">
        <v>40</v>
      </c>
      <c r="B977" s="10" t="s">
        <v>1277</v>
      </c>
      <c r="C977" s="10" t="str" cm="1">
        <f t="array" ref="C977">_xlfn.IFS(A977&lt;20, "ภาคกลาง", A977&lt;30, "ภาคตะวันออก", A977&lt;50, "ภาคตะวันออกเฉียงเหนือ", A977&lt;60, "ภาคเหนือ", A977&lt;80, "ภาคกลาง/ตะวันตก", A977&gt;=80, "ภาคใต้")</f>
        <v>ภาคตะวันออกเฉียงเหนือ</v>
      </c>
      <c r="D977" s="64">
        <v>4061</v>
      </c>
      <c r="E977" s="10" t="s">
        <v>1309</v>
      </c>
      <c r="F977" s="11">
        <v>4924</v>
      </c>
      <c r="G977" s="11">
        <v>5158</v>
      </c>
      <c r="H977" s="11">
        <v>10082</v>
      </c>
      <c r="I977" s="11">
        <v>3684</v>
      </c>
      <c r="J977" s="66">
        <f t="shared" si="58"/>
        <v>48.839515969053757</v>
      </c>
      <c r="K977" s="66">
        <f t="shared" si="59"/>
        <v>51.160484030946243</v>
      </c>
    </row>
    <row r="978" spans="1:11" ht="41.4" x14ac:dyDescent="0.3">
      <c r="A978" s="10">
        <v>40</v>
      </c>
      <c r="B978" s="10" t="s">
        <v>1277</v>
      </c>
      <c r="C978" s="10" t="str" cm="1">
        <f t="array" ref="C978">_xlfn.IFS(A978&lt;20, "ภาคกลาง", A978&lt;30, "ภาคตะวันออก", A978&lt;50, "ภาคตะวันออกเฉียงเหนือ", A978&lt;60, "ภาคเหนือ", A978&lt;80, "ภาคกลาง/ตะวันตก", A978&gt;=80, "ภาคใต้")</f>
        <v>ภาคตะวันออกเฉียงเหนือ</v>
      </c>
      <c r="D978" s="64">
        <v>4062</v>
      </c>
      <c r="E978" s="10" t="s">
        <v>839</v>
      </c>
      <c r="F978" s="11">
        <v>3624</v>
      </c>
      <c r="G978" s="11">
        <v>3964</v>
      </c>
      <c r="H978" s="11">
        <v>7588</v>
      </c>
      <c r="I978" s="11">
        <v>2339</v>
      </c>
      <c r="J978" s="66">
        <f t="shared" si="58"/>
        <v>47.759620453347388</v>
      </c>
      <c r="K978" s="66">
        <f t="shared" si="59"/>
        <v>52.240379546652605</v>
      </c>
    </row>
    <row r="979" spans="1:11" ht="41.4" x14ac:dyDescent="0.3">
      <c r="A979" s="10">
        <v>40</v>
      </c>
      <c r="B979" s="10" t="s">
        <v>1277</v>
      </c>
      <c r="C979" s="10" t="str" cm="1">
        <f t="array" ref="C979">_xlfn.IFS(A979&lt;20, "ภาคกลาง", A979&lt;30, "ภาคตะวันออก", A979&lt;50, "ภาคตะวันออกเฉียงเหนือ", A979&lt;60, "ภาคเหนือ", A979&lt;80, "ภาคกลาง/ตะวันตก", A979&gt;=80, "ภาคใต้")</f>
        <v>ภาคตะวันออกเฉียงเหนือ</v>
      </c>
      <c r="D979" s="64">
        <v>4063</v>
      </c>
      <c r="E979" s="10" t="s">
        <v>1310</v>
      </c>
      <c r="F979" s="11">
        <v>15303</v>
      </c>
      <c r="G979" s="11">
        <v>17691</v>
      </c>
      <c r="H979" s="11">
        <v>32994</v>
      </c>
      <c r="I979" s="11">
        <v>19056</v>
      </c>
      <c r="J979" s="66">
        <f t="shared" si="58"/>
        <v>46.381160210947449</v>
      </c>
      <c r="K979" s="66">
        <f t="shared" si="59"/>
        <v>53.618839789052551</v>
      </c>
    </row>
    <row r="980" spans="1:11" ht="41.4" x14ac:dyDescent="0.3">
      <c r="A980" s="10">
        <v>40</v>
      </c>
      <c r="B980" s="10" t="s">
        <v>1277</v>
      </c>
      <c r="C980" s="10" t="str" cm="1">
        <f t="array" ref="C980">_xlfn.IFS(A980&lt;20, "ภาคกลาง", A980&lt;30, "ภาคตะวันออก", A980&lt;50, "ภาคตะวันออกเฉียงเหนือ", A980&lt;60, "ภาคเหนือ", A980&lt;80, "ภาคกลาง/ตะวันตก", A980&gt;=80, "ภาคใต้")</f>
        <v>ภาคตะวันออกเฉียงเหนือ</v>
      </c>
      <c r="D980" s="64">
        <v>4064</v>
      </c>
      <c r="E980" s="10" t="s">
        <v>1311</v>
      </c>
      <c r="F980" s="11">
        <v>4762</v>
      </c>
      <c r="G980" s="11">
        <v>4965</v>
      </c>
      <c r="H980" s="11">
        <v>9727</v>
      </c>
      <c r="I980" s="11">
        <v>3351</v>
      </c>
      <c r="J980" s="66">
        <f t="shared" si="58"/>
        <v>48.956512799424281</v>
      </c>
      <c r="K980" s="66">
        <f t="shared" si="59"/>
        <v>51.043487200575719</v>
      </c>
    </row>
    <row r="981" spans="1:11" ht="41.4" x14ac:dyDescent="0.3">
      <c r="A981" s="10">
        <v>40</v>
      </c>
      <c r="B981" s="10" t="s">
        <v>1277</v>
      </c>
      <c r="C981" s="10" t="str" cm="1">
        <f t="array" ref="C981">_xlfn.IFS(A981&lt;20, "ภาคกลาง", A981&lt;30, "ภาคตะวันออก", A981&lt;50, "ภาคตะวันออกเฉียงเหนือ", A981&lt;60, "ภาคเหนือ", A981&lt;80, "ภาคกลาง/ตะวันตก", A981&gt;=80, "ภาคใต้")</f>
        <v>ภาคตะวันออกเฉียงเหนือ</v>
      </c>
      <c r="D981" s="64">
        <v>4065</v>
      </c>
      <c r="E981" s="10" t="s">
        <v>1312</v>
      </c>
      <c r="F981" s="11">
        <v>8536</v>
      </c>
      <c r="G981" s="11">
        <v>8944</v>
      </c>
      <c r="H981" s="11">
        <v>17480</v>
      </c>
      <c r="I981" s="11">
        <v>7548</v>
      </c>
      <c r="J981" s="66">
        <f t="shared" si="58"/>
        <v>48.832951945080097</v>
      </c>
      <c r="K981" s="66">
        <f t="shared" si="59"/>
        <v>51.167048054919903</v>
      </c>
    </row>
    <row r="982" spans="1:11" ht="41.4" x14ac:dyDescent="0.3">
      <c r="A982" s="10">
        <v>40</v>
      </c>
      <c r="B982" s="10" t="s">
        <v>1277</v>
      </c>
      <c r="C982" s="10" t="str" cm="1">
        <f t="array" ref="C982">_xlfn.IFS(A982&lt;20, "ภาคกลาง", A982&lt;30, "ภาคตะวันออก", A982&lt;50, "ภาคตะวันออกเฉียงเหนือ", A982&lt;60, "ภาคเหนือ", A982&lt;80, "ภาคกลาง/ตะวันตก", A982&gt;=80, "ภาคใต้")</f>
        <v>ภาคตะวันออกเฉียงเหนือ</v>
      </c>
      <c r="D982" s="64">
        <v>4067</v>
      </c>
      <c r="E982" s="10" t="s">
        <v>1313</v>
      </c>
      <c r="F982" s="11">
        <v>4149</v>
      </c>
      <c r="G982" s="11">
        <v>4334</v>
      </c>
      <c r="H982" s="11">
        <v>8483</v>
      </c>
      <c r="I982" s="11">
        <v>2848</v>
      </c>
      <c r="J982" s="66">
        <f t="shared" si="58"/>
        <v>48.909583873629614</v>
      </c>
      <c r="K982" s="66">
        <f t="shared" si="59"/>
        <v>51.090416126370386</v>
      </c>
    </row>
    <row r="983" spans="1:11" ht="41.4" x14ac:dyDescent="0.3">
      <c r="A983" s="10">
        <v>40</v>
      </c>
      <c r="B983" s="10" t="s">
        <v>1277</v>
      </c>
      <c r="C983" s="10" t="str" cm="1">
        <f t="array" ref="C983">_xlfn.IFS(A983&lt;20, "ภาคกลาง", A983&lt;30, "ภาคตะวันออก", A983&lt;50, "ภาคตะวันออกเฉียงเหนือ", A983&lt;60, "ภาคเหนือ", A983&lt;80, "ภาคกลาง/ตะวันตก", A983&gt;=80, "ภาคใต้")</f>
        <v>ภาคตะวันออกเฉียงเหนือ</v>
      </c>
      <c r="D983" s="64">
        <v>4068</v>
      </c>
      <c r="E983" s="10" t="s">
        <v>1314</v>
      </c>
      <c r="F983" s="11">
        <v>8857</v>
      </c>
      <c r="G983" s="11">
        <v>9046</v>
      </c>
      <c r="H983" s="11">
        <v>17903</v>
      </c>
      <c r="I983" s="11">
        <v>6137</v>
      </c>
      <c r="J983" s="66">
        <f t="shared" si="58"/>
        <v>49.472155504664023</v>
      </c>
      <c r="K983" s="66">
        <f t="shared" si="59"/>
        <v>50.52784449533597</v>
      </c>
    </row>
    <row r="984" spans="1:11" ht="41.4" x14ac:dyDescent="0.3">
      <c r="A984" s="10">
        <v>40</v>
      </c>
      <c r="B984" s="10" t="s">
        <v>1277</v>
      </c>
      <c r="C984" s="10" t="str" cm="1">
        <f t="array" ref="C984">_xlfn.IFS(A984&lt;20, "ภาคกลาง", A984&lt;30, "ภาคตะวันออก", A984&lt;50, "ภาคตะวันออกเฉียงเหนือ", A984&lt;60, "ภาคเหนือ", A984&lt;80, "ภาคกลาง/ตะวันตก", A984&gt;=80, "ภาคใต้")</f>
        <v>ภาคตะวันออกเฉียงเหนือ</v>
      </c>
      <c r="D984" s="64">
        <v>4069</v>
      </c>
      <c r="E984" s="10" t="s">
        <v>1315</v>
      </c>
      <c r="F984" s="11">
        <v>22409</v>
      </c>
      <c r="G984" s="11">
        <v>26213</v>
      </c>
      <c r="H984" s="11">
        <v>48622</v>
      </c>
      <c r="I984" s="11">
        <v>30471</v>
      </c>
      <c r="J984" s="66">
        <f t="shared" si="58"/>
        <v>46.08819053103533</v>
      </c>
      <c r="K984" s="66">
        <f t="shared" si="59"/>
        <v>53.91180946896467</v>
      </c>
    </row>
    <row r="985" spans="1:11" ht="41.4" x14ac:dyDescent="0.3">
      <c r="A985" s="10">
        <v>40</v>
      </c>
      <c r="B985" s="10" t="s">
        <v>1277</v>
      </c>
      <c r="C985" s="10" t="str" cm="1">
        <f t="array" ref="C985">_xlfn.IFS(A985&lt;20, "ภาคกลาง", A985&lt;30, "ภาคตะวันออก", A985&lt;50, "ภาคตะวันออกเฉียงเหนือ", A985&lt;60, "ภาคเหนือ", A985&lt;80, "ภาคกลาง/ตะวันตก", A985&gt;=80, "ภาคใต้")</f>
        <v>ภาคตะวันออกเฉียงเหนือ</v>
      </c>
      <c r="D985" s="64">
        <v>4070</v>
      </c>
      <c r="E985" s="10" t="s">
        <v>1316</v>
      </c>
      <c r="F985" s="11">
        <v>2724</v>
      </c>
      <c r="G985" s="11">
        <v>2768</v>
      </c>
      <c r="H985" s="11">
        <v>5492</v>
      </c>
      <c r="I985" s="11">
        <v>1965</v>
      </c>
      <c r="J985" s="66">
        <f t="shared" si="58"/>
        <v>49.599417334304441</v>
      </c>
      <c r="K985" s="66">
        <f t="shared" si="59"/>
        <v>50.400582665695559</v>
      </c>
    </row>
    <row r="986" spans="1:11" ht="41.4" x14ac:dyDescent="0.3">
      <c r="A986" s="10">
        <v>40</v>
      </c>
      <c r="B986" s="10" t="s">
        <v>1277</v>
      </c>
      <c r="C986" s="10" t="str" cm="1">
        <f t="array" ref="C986">_xlfn.IFS(A986&lt;20, "ภาคกลาง", A986&lt;30, "ภาคตะวันออก", A986&lt;50, "ภาคตะวันออกเฉียงเหนือ", A986&lt;60, "ภาคเหนือ", A986&lt;80, "ภาคกลาง/ตะวันตก", A986&gt;=80, "ภาคใต้")</f>
        <v>ภาคตะวันออกเฉียงเหนือ</v>
      </c>
      <c r="D986" s="64">
        <v>4071</v>
      </c>
      <c r="E986" s="10" t="s">
        <v>1267</v>
      </c>
      <c r="F986" s="11">
        <v>3249</v>
      </c>
      <c r="G986" s="11">
        <v>3340</v>
      </c>
      <c r="H986" s="11">
        <v>6589</v>
      </c>
      <c r="I986" s="11">
        <v>2369</v>
      </c>
      <c r="J986" s="66">
        <f t="shared" si="58"/>
        <v>49.309455152526937</v>
      </c>
      <c r="K986" s="66">
        <f t="shared" si="59"/>
        <v>50.690544847473063</v>
      </c>
    </row>
    <row r="987" spans="1:11" ht="41.4" x14ac:dyDescent="0.3">
      <c r="A987" s="10">
        <v>40</v>
      </c>
      <c r="B987" s="10" t="s">
        <v>1277</v>
      </c>
      <c r="C987" s="10" t="str" cm="1">
        <f t="array" ref="C987">_xlfn.IFS(A987&lt;20, "ภาคกลาง", A987&lt;30, "ภาคตะวันออก", A987&lt;50, "ภาคตะวันออกเฉียงเหนือ", A987&lt;60, "ภาคเหนือ", A987&lt;80, "ภาคกลาง/ตะวันตก", A987&gt;=80, "ภาคใต้")</f>
        <v>ภาคตะวันออกเฉียงเหนือ</v>
      </c>
      <c r="D987" s="64">
        <v>4072</v>
      </c>
      <c r="E987" s="10" t="s">
        <v>1317</v>
      </c>
      <c r="F987" s="11">
        <v>1926</v>
      </c>
      <c r="G987" s="11">
        <v>2099</v>
      </c>
      <c r="H987" s="11">
        <v>4025</v>
      </c>
      <c r="I987" s="11">
        <v>1568</v>
      </c>
      <c r="J987" s="66">
        <f t="shared" si="58"/>
        <v>47.850931677018629</v>
      </c>
      <c r="K987" s="66">
        <f t="shared" si="59"/>
        <v>52.149068322981364</v>
      </c>
    </row>
    <row r="988" spans="1:11" ht="41.4" x14ac:dyDescent="0.3">
      <c r="A988" s="10">
        <v>40</v>
      </c>
      <c r="B988" s="10" t="s">
        <v>1277</v>
      </c>
      <c r="C988" s="10" t="str" cm="1">
        <f t="array" ref="C988">_xlfn.IFS(A988&lt;20, "ภาคกลาง", A988&lt;30, "ภาคตะวันออก", A988&lt;50, "ภาคตะวันออกเฉียงเหนือ", A988&lt;60, "ภาคเหนือ", A988&lt;80, "ภาคกลาง/ตะวันตก", A988&gt;=80, "ภาคใต้")</f>
        <v>ภาคตะวันออกเฉียงเหนือ</v>
      </c>
      <c r="D988" s="64">
        <v>4073</v>
      </c>
      <c r="E988" s="10" t="s">
        <v>1318</v>
      </c>
      <c r="F988" s="11">
        <v>2531</v>
      </c>
      <c r="G988" s="11">
        <v>2648</v>
      </c>
      <c r="H988" s="11">
        <v>5179</v>
      </c>
      <c r="I988" s="11">
        <v>2044</v>
      </c>
      <c r="J988" s="66">
        <f t="shared" si="58"/>
        <v>48.870438308553773</v>
      </c>
      <c r="K988" s="66">
        <f t="shared" si="59"/>
        <v>51.129561691446227</v>
      </c>
    </row>
    <row r="989" spans="1:11" ht="41.4" x14ac:dyDescent="0.3">
      <c r="A989" s="10">
        <v>40</v>
      </c>
      <c r="B989" s="10" t="s">
        <v>1277</v>
      </c>
      <c r="C989" s="10" t="str" cm="1">
        <f t="array" ref="C989">_xlfn.IFS(A989&lt;20, "ภาคกลาง", A989&lt;30, "ภาคตะวันออก", A989&lt;50, "ภาคตะวันออกเฉียงเหนือ", A989&lt;60, "ภาคเหนือ", A989&lt;80, "ภาคกลาง/ตะวันตก", A989&gt;=80, "ภาคใต้")</f>
        <v>ภาคตะวันออกเฉียงเหนือ</v>
      </c>
      <c r="D989" s="64">
        <v>4074</v>
      </c>
      <c r="E989" s="10" t="s">
        <v>1319</v>
      </c>
      <c r="F989" s="11">
        <v>1644</v>
      </c>
      <c r="G989" s="11">
        <v>1750</v>
      </c>
      <c r="H989" s="11">
        <v>3394</v>
      </c>
      <c r="I989" s="11">
        <v>1352</v>
      </c>
      <c r="J989" s="66">
        <f t="shared" si="58"/>
        <v>48.438420742486741</v>
      </c>
      <c r="K989" s="66">
        <f t="shared" si="59"/>
        <v>51.561579257513259</v>
      </c>
    </row>
    <row r="990" spans="1:11" ht="41.4" x14ac:dyDescent="0.3">
      <c r="A990" s="10">
        <v>40</v>
      </c>
      <c r="B990" s="10" t="s">
        <v>1277</v>
      </c>
      <c r="C990" s="10" t="str" cm="1">
        <f t="array" ref="C990">_xlfn.IFS(A990&lt;20, "ภาคกลาง", A990&lt;30, "ภาคตะวันออก", A990&lt;50, "ภาคตะวันออกเฉียงเหนือ", A990&lt;60, "ภาคเหนือ", A990&lt;80, "ภาคกลาง/ตะวันตก", A990&gt;=80, "ภาคใต้")</f>
        <v>ภาคตะวันออกเฉียงเหนือ</v>
      </c>
      <c r="D990" s="64">
        <v>4075</v>
      </c>
      <c r="E990" s="10" t="s">
        <v>1320</v>
      </c>
      <c r="F990" s="11">
        <v>5200</v>
      </c>
      <c r="G990" s="11">
        <v>5336</v>
      </c>
      <c r="H990" s="11">
        <v>10536</v>
      </c>
      <c r="I990" s="11">
        <v>3952</v>
      </c>
      <c r="J990" s="66">
        <f t="shared" si="58"/>
        <v>49.354593773728169</v>
      </c>
      <c r="K990" s="66">
        <f t="shared" si="59"/>
        <v>50.645406226271831</v>
      </c>
    </row>
    <row r="991" spans="1:11" ht="41.4" x14ac:dyDescent="0.3">
      <c r="A991" s="10">
        <v>40</v>
      </c>
      <c r="B991" s="10" t="s">
        <v>1277</v>
      </c>
      <c r="C991" s="10" t="str" cm="1">
        <f t="array" ref="C991">_xlfn.IFS(A991&lt;20, "ภาคกลาง", A991&lt;30, "ภาคตะวันออก", A991&lt;50, "ภาคตะวันออกเฉียงเหนือ", A991&lt;60, "ภาคเหนือ", A991&lt;80, "ภาคกลาง/ตะวันตก", A991&gt;=80, "ภาคใต้")</f>
        <v>ภาคตะวันออกเฉียงเหนือ</v>
      </c>
      <c r="D991" s="64">
        <v>4076</v>
      </c>
      <c r="E991" s="10" t="s">
        <v>1321</v>
      </c>
      <c r="F991" s="11">
        <v>3566</v>
      </c>
      <c r="G991" s="11">
        <v>4017</v>
      </c>
      <c r="H991" s="11">
        <v>7583</v>
      </c>
      <c r="I991" s="11">
        <v>3461</v>
      </c>
      <c r="J991" s="66">
        <f t="shared" si="58"/>
        <v>47.026242911776336</v>
      </c>
      <c r="K991" s="66">
        <f t="shared" si="59"/>
        <v>52.973757088223664</v>
      </c>
    </row>
    <row r="992" spans="1:11" ht="41.4" x14ac:dyDescent="0.3">
      <c r="A992" s="10">
        <v>40</v>
      </c>
      <c r="B992" s="10" t="s">
        <v>1277</v>
      </c>
      <c r="C992" s="10" t="str" cm="1">
        <f t="array" ref="C992">_xlfn.IFS(A992&lt;20, "ภาคกลาง", A992&lt;30, "ภาคตะวันออก", A992&lt;50, "ภาคตะวันออกเฉียงเหนือ", A992&lt;60, "ภาคเหนือ", A992&lt;80, "ภาคกลาง/ตะวันตก", A992&gt;=80, "ภาคใต้")</f>
        <v>ภาคตะวันออกเฉียงเหนือ</v>
      </c>
      <c r="D992" s="64">
        <v>4077</v>
      </c>
      <c r="E992" s="10" t="s">
        <v>1322</v>
      </c>
      <c r="F992" s="11">
        <v>1600</v>
      </c>
      <c r="G992" s="11">
        <v>1771</v>
      </c>
      <c r="H992" s="11">
        <v>3371</v>
      </c>
      <c r="I992" s="11">
        <v>2003</v>
      </c>
      <c r="J992" s="66">
        <f t="shared" si="58"/>
        <v>47.463660634826461</v>
      </c>
      <c r="K992" s="66">
        <f t="shared" si="59"/>
        <v>52.536339365173532</v>
      </c>
    </row>
    <row r="993" spans="1:11" ht="41.4" x14ac:dyDescent="0.3">
      <c r="A993" s="10">
        <v>40</v>
      </c>
      <c r="B993" s="10" t="s">
        <v>1277</v>
      </c>
      <c r="C993" s="10" t="str" cm="1">
        <f t="array" ref="C993">_xlfn.IFS(A993&lt;20, "ภาคกลาง", A993&lt;30, "ภาคตะวันออก", A993&lt;50, "ภาคตะวันออกเฉียงเหนือ", A993&lt;60, "ภาคเหนือ", A993&lt;80, "ภาคกลาง/ตะวันตก", A993&gt;=80, "ภาคใต้")</f>
        <v>ภาคตะวันออกเฉียงเหนือ</v>
      </c>
      <c r="D993" s="64">
        <v>4078</v>
      </c>
      <c r="E993" s="10" t="s">
        <v>1323</v>
      </c>
      <c r="F993" s="11">
        <v>1287</v>
      </c>
      <c r="G993" s="11">
        <v>1459</v>
      </c>
      <c r="H993" s="11">
        <v>2746</v>
      </c>
      <c r="I993" s="11">
        <v>1780</v>
      </c>
      <c r="J993" s="66">
        <f t="shared" si="58"/>
        <v>46.868171886380189</v>
      </c>
      <c r="K993" s="66">
        <f t="shared" si="59"/>
        <v>53.131828113619804</v>
      </c>
    </row>
    <row r="994" spans="1:11" ht="41.4" x14ac:dyDescent="0.3">
      <c r="A994" s="10">
        <v>40</v>
      </c>
      <c r="B994" s="10" t="s">
        <v>1277</v>
      </c>
      <c r="C994" s="10" t="str" cm="1">
        <f t="array" ref="C994">_xlfn.IFS(A994&lt;20, "ภาคกลาง", A994&lt;30, "ภาคตะวันออก", A994&lt;50, "ภาคตะวันออกเฉียงเหนือ", A994&lt;60, "ภาคเหนือ", A994&lt;80, "ภาคกลาง/ตะวันตก", A994&gt;=80, "ภาคใต้")</f>
        <v>ภาคตะวันออกเฉียงเหนือ</v>
      </c>
      <c r="D994" s="64">
        <v>4079</v>
      </c>
      <c r="E994" s="10" t="s">
        <v>1324</v>
      </c>
      <c r="F994" s="11">
        <v>2648</v>
      </c>
      <c r="G994" s="11">
        <v>2814</v>
      </c>
      <c r="H994" s="11">
        <v>5462</v>
      </c>
      <c r="I994" s="11">
        <v>2849</v>
      </c>
      <c r="J994" s="66">
        <f t="shared" si="58"/>
        <v>48.480410106188209</v>
      </c>
      <c r="K994" s="66">
        <f t="shared" si="59"/>
        <v>51.519589893811791</v>
      </c>
    </row>
    <row r="995" spans="1:11" ht="41.4" x14ac:dyDescent="0.3">
      <c r="A995" s="10">
        <v>40</v>
      </c>
      <c r="B995" s="10" t="s">
        <v>1277</v>
      </c>
      <c r="C995" s="10" t="str" cm="1">
        <f t="array" ref="C995">_xlfn.IFS(A995&lt;20, "ภาคกลาง", A995&lt;30, "ภาคตะวันออก", A995&lt;50, "ภาคตะวันออกเฉียงเหนือ", A995&lt;60, "ภาคเหนือ", A995&lt;80, "ภาคกลาง/ตะวันตก", A995&gt;=80, "ภาคใต้")</f>
        <v>ภาคตะวันออกเฉียงเหนือ</v>
      </c>
      <c r="D995" s="64">
        <v>4080</v>
      </c>
      <c r="E995" s="10" t="s">
        <v>1325</v>
      </c>
      <c r="F995" s="11">
        <v>1412</v>
      </c>
      <c r="G995" s="11">
        <v>1570</v>
      </c>
      <c r="H995" s="11">
        <v>2982</v>
      </c>
      <c r="I995" s="11">
        <v>1393</v>
      </c>
      <c r="J995" s="66">
        <f t="shared" si="58"/>
        <v>47.350771294433265</v>
      </c>
      <c r="K995" s="66">
        <f t="shared" si="59"/>
        <v>52.649228705566728</v>
      </c>
    </row>
    <row r="996" spans="1:11" ht="41.4" x14ac:dyDescent="0.3">
      <c r="A996" s="10">
        <v>40</v>
      </c>
      <c r="B996" s="10" t="s">
        <v>1277</v>
      </c>
      <c r="C996" s="10" t="str" cm="1">
        <f t="array" ref="C996">_xlfn.IFS(A996&lt;20, "ภาคกลาง", A996&lt;30, "ภาคตะวันออก", A996&lt;50, "ภาคตะวันออกเฉียงเหนือ", A996&lt;60, "ภาคเหนือ", A996&lt;80, "ภาคกลาง/ตะวันตก", A996&gt;=80, "ภาคใต้")</f>
        <v>ภาคตะวันออกเฉียงเหนือ</v>
      </c>
      <c r="D996" s="64">
        <v>4081</v>
      </c>
      <c r="E996" s="10" t="s">
        <v>1326</v>
      </c>
      <c r="F996" s="11">
        <v>2441</v>
      </c>
      <c r="G996" s="11">
        <v>2627</v>
      </c>
      <c r="H996" s="11">
        <v>5068</v>
      </c>
      <c r="I996" s="11">
        <v>1874</v>
      </c>
      <c r="J996" s="66">
        <f t="shared" si="58"/>
        <v>48.164956590370956</v>
      </c>
      <c r="K996" s="66">
        <f t="shared" si="59"/>
        <v>51.835043409629044</v>
      </c>
    </row>
    <row r="997" spans="1:11" ht="41.4" x14ac:dyDescent="0.3">
      <c r="A997" s="10">
        <v>40</v>
      </c>
      <c r="B997" s="10" t="s">
        <v>1277</v>
      </c>
      <c r="C997" s="10" t="str" cm="1">
        <f t="array" ref="C997">_xlfn.IFS(A997&lt;20, "ภาคกลาง", A997&lt;30, "ภาคตะวันออก", A997&lt;50, "ภาคตะวันออกเฉียงเหนือ", A997&lt;60, "ภาคเหนือ", A997&lt;80, "ภาคกลาง/ตะวันตก", A997&gt;=80, "ภาคใต้")</f>
        <v>ภาคตะวันออกเฉียงเหนือ</v>
      </c>
      <c r="D997" s="64">
        <v>4082</v>
      </c>
      <c r="E997" s="10" t="s">
        <v>1327</v>
      </c>
      <c r="F997" s="11">
        <v>2827</v>
      </c>
      <c r="G997" s="11">
        <v>2951</v>
      </c>
      <c r="H997" s="11">
        <v>5778</v>
      </c>
      <c r="I997" s="11">
        <v>2089</v>
      </c>
      <c r="J997" s="66">
        <f t="shared" si="58"/>
        <v>48.926964347525093</v>
      </c>
      <c r="K997" s="66">
        <f t="shared" si="59"/>
        <v>51.073035652474907</v>
      </c>
    </row>
    <row r="998" spans="1:11" ht="41.4" x14ac:dyDescent="0.3">
      <c r="A998" s="10">
        <v>40</v>
      </c>
      <c r="B998" s="10" t="s">
        <v>1277</v>
      </c>
      <c r="C998" s="10" t="str" cm="1">
        <f t="array" ref="C998">_xlfn.IFS(A998&lt;20, "ภาคกลาง", A998&lt;30, "ภาคตะวันออก", A998&lt;50, "ภาคตะวันออกเฉียงเหนือ", A998&lt;60, "ภาคเหนือ", A998&lt;80, "ภาคกลาง/ตะวันตก", A998&gt;=80, "ภาคใต้")</f>
        <v>ภาคตะวันออกเฉียงเหนือ</v>
      </c>
      <c r="D998" s="64">
        <v>4083</v>
      </c>
      <c r="E998" s="10" t="s">
        <v>1328</v>
      </c>
      <c r="F998" s="11">
        <v>4555</v>
      </c>
      <c r="G998" s="11">
        <v>5022</v>
      </c>
      <c r="H998" s="11">
        <v>9577</v>
      </c>
      <c r="I998" s="11">
        <v>4677</v>
      </c>
      <c r="J998" s="66">
        <f t="shared" si="58"/>
        <v>47.561866972956039</v>
      </c>
      <c r="K998" s="66">
        <f t="shared" si="59"/>
        <v>52.438133027043968</v>
      </c>
    </row>
    <row r="999" spans="1:11" ht="41.4" x14ac:dyDescent="0.3">
      <c r="A999" s="10">
        <v>40</v>
      </c>
      <c r="B999" s="10" t="s">
        <v>1277</v>
      </c>
      <c r="C999" s="10" t="str" cm="1">
        <f t="array" ref="C999">_xlfn.IFS(A999&lt;20, "ภาคกลาง", A999&lt;30, "ภาคตะวันออก", A999&lt;50, "ภาคตะวันออกเฉียงเหนือ", A999&lt;60, "ภาคเหนือ", A999&lt;80, "ภาคกลาง/ตะวันตก", A999&gt;=80, "ภาคใต้")</f>
        <v>ภาคตะวันออกเฉียงเหนือ</v>
      </c>
      <c r="D999" s="64">
        <v>4084</v>
      </c>
      <c r="E999" s="10" t="s">
        <v>1329</v>
      </c>
      <c r="F999" s="11">
        <v>1860</v>
      </c>
      <c r="G999" s="11">
        <v>1966</v>
      </c>
      <c r="H999" s="11">
        <v>3826</v>
      </c>
      <c r="I999" s="11">
        <v>2138</v>
      </c>
      <c r="J999" s="66">
        <f t="shared" si="58"/>
        <v>48.614741244119188</v>
      </c>
      <c r="K999" s="66">
        <f t="shared" si="59"/>
        <v>51.385258755880812</v>
      </c>
    </row>
    <row r="1000" spans="1:11" ht="41.4" x14ac:dyDescent="0.3">
      <c r="A1000" s="10">
        <v>40</v>
      </c>
      <c r="B1000" s="10" t="s">
        <v>1277</v>
      </c>
      <c r="C1000" s="10" t="str" cm="1">
        <f t="array" ref="C1000">_xlfn.IFS(A1000&lt;20, "ภาคกลาง", A1000&lt;30, "ภาคตะวันออก", A1000&lt;50, "ภาคตะวันออกเฉียงเหนือ", A1000&lt;60, "ภาคเหนือ", A1000&lt;80, "ภาคกลาง/ตะวันตก", A1000&gt;=80, "ภาคใต้")</f>
        <v>ภาคตะวันออกเฉียงเหนือ</v>
      </c>
      <c r="D1000" s="64">
        <v>4085</v>
      </c>
      <c r="E1000" s="10" t="s">
        <v>1330</v>
      </c>
      <c r="F1000" s="11">
        <v>2994</v>
      </c>
      <c r="G1000" s="11">
        <v>3253</v>
      </c>
      <c r="H1000" s="11">
        <v>6247</v>
      </c>
      <c r="I1000" s="11">
        <v>3029</v>
      </c>
      <c r="J1000" s="66">
        <f t="shared" si="58"/>
        <v>47.927004962381943</v>
      </c>
      <c r="K1000" s="66">
        <f t="shared" si="59"/>
        <v>52.07299503761805</v>
      </c>
    </row>
    <row r="1001" spans="1:11" ht="41.4" x14ac:dyDescent="0.3">
      <c r="A1001" s="10">
        <v>40</v>
      </c>
      <c r="B1001" s="10" t="s">
        <v>1277</v>
      </c>
      <c r="C1001" s="10" t="str" cm="1">
        <f t="array" ref="C1001">_xlfn.IFS(A1001&lt;20, "ภาคกลาง", A1001&lt;30, "ภาคตะวันออก", A1001&lt;50, "ภาคตะวันออกเฉียงเหนือ", A1001&lt;60, "ภาคเหนือ", A1001&lt;80, "ภาคกลาง/ตะวันตก", A1001&gt;=80, "ภาคใต้")</f>
        <v>ภาคตะวันออกเฉียงเหนือ</v>
      </c>
      <c r="D1001" s="64">
        <v>4086</v>
      </c>
      <c r="E1001" s="10" t="s">
        <v>1331</v>
      </c>
      <c r="F1001" s="11">
        <v>2225</v>
      </c>
      <c r="G1001" s="11">
        <v>2456</v>
      </c>
      <c r="H1001" s="11">
        <v>4681</v>
      </c>
      <c r="I1001" s="11">
        <v>2489</v>
      </c>
      <c r="J1001" s="66">
        <f t="shared" si="58"/>
        <v>47.532578508865626</v>
      </c>
      <c r="K1001" s="66">
        <f t="shared" si="59"/>
        <v>52.467421491134367</v>
      </c>
    </row>
    <row r="1002" spans="1:11" ht="41.4" x14ac:dyDescent="0.3">
      <c r="A1002" s="10">
        <v>40</v>
      </c>
      <c r="B1002" s="10" t="s">
        <v>1277</v>
      </c>
      <c r="C1002" s="10" t="str" cm="1">
        <f t="array" ref="C1002">_xlfn.IFS(A1002&lt;20, "ภาคกลาง", A1002&lt;30, "ภาคตะวันออก", A1002&lt;50, "ภาคตะวันออกเฉียงเหนือ", A1002&lt;60, "ภาคเหนือ", A1002&lt;80, "ภาคกลาง/ตะวันตก", A1002&gt;=80, "ภาคใต้")</f>
        <v>ภาคตะวันออกเฉียงเหนือ</v>
      </c>
      <c r="D1002" s="64">
        <v>4087</v>
      </c>
      <c r="E1002" s="10" t="s">
        <v>1332</v>
      </c>
      <c r="F1002" s="11">
        <v>1609</v>
      </c>
      <c r="G1002" s="11">
        <v>1660</v>
      </c>
      <c r="H1002" s="11">
        <v>3269</v>
      </c>
      <c r="I1002" s="11">
        <v>1603</v>
      </c>
      <c r="J1002" s="66">
        <f t="shared" si="58"/>
        <v>49.219944937289689</v>
      </c>
      <c r="K1002" s="66">
        <f t="shared" si="59"/>
        <v>50.780055062710304</v>
      </c>
    </row>
    <row r="1003" spans="1:11" ht="41.4" x14ac:dyDescent="0.3">
      <c r="A1003" s="10">
        <v>40</v>
      </c>
      <c r="B1003" s="10" t="s">
        <v>1277</v>
      </c>
      <c r="C1003" s="10" t="str" cm="1">
        <f t="array" ref="C1003">_xlfn.IFS(A1003&lt;20, "ภาคกลาง", A1003&lt;30, "ภาคตะวันออก", A1003&lt;50, "ภาคตะวันออกเฉียงเหนือ", A1003&lt;60, "ภาคเหนือ", A1003&lt;80, "ภาคกลาง/ตะวันตก", A1003&gt;=80, "ภาคใต้")</f>
        <v>ภาคตะวันออกเฉียงเหนือ</v>
      </c>
      <c r="D1003" s="64">
        <v>4088</v>
      </c>
      <c r="E1003" s="10" t="s">
        <v>1333</v>
      </c>
      <c r="F1003" s="11">
        <v>2133</v>
      </c>
      <c r="G1003" s="11">
        <v>2362</v>
      </c>
      <c r="H1003" s="11">
        <v>4495</v>
      </c>
      <c r="I1003" s="11">
        <v>1571</v>
      </c>
      <c r="J1003" s="66">
        <f t="shared" si="58"/>
        <v>47.452725250278085</v>
      </c>
      <c r="K1003" s="66">
        <f t="shared" si="59"/>
        <v>52.547274749721915</v>
      </c>
    </row>
    <row r="1004" spans="1:11" ht="41.4" x14ac:dyDescent="0.3">
      <c r="A1004" s="10">
        <v>40</v>
      </c>
      <c r="B1004" s="10" t="s">
        <v>1277</v>
      </c>
      <c r="C1004" s="10" t="str" cm="1">
        <f t="array" ref="C1004">_xlfn.IFS(A1004&lt;20, "ภาคกลาง", A1004&lt;30, "ภาคตะวันออก", A1004&lt;50, "ภาคตะวันออกเฉียงเหนือ", A1004&lt;60, "ภาคเหนือ", A1004&lt;80, "ภาคกลาง/ตะวันตก", A1004&gt;=80, "ภาคใต้")</f>
        <v>ภาคตะวันออกเฉียงเหนือ</v>
      </c>
      <c r="D1004" s="64">
        <v>4089</v>
      </c>
      <c r="E1004" s="10" t="s">
        <v>1334</v>
      </c>
      <c r="F1004" s="11">
        <v>2059</v>
      </c>
      <c r="G1004" s="11">
        <v>2274</v>
      </c>
      <c r="H1004" s="11">
        <v>4333</v>
      </c>
      <c r="I1004" s="11">
        <v>1370</v>
      </c>
      <c r="J1004" s="66">
        <f t="shared" si="58"/>
        <v>47.519039926148167</v>
      </c>
      <c r="K1004" s="66">
        <f t="shared" si="59"/>
        <v>52.480960073851833</v>
      </c>
    </row>
    <row r="1005" spans="1:11" ht="41.4" x14ac:dyDescent="0.3">
      <c r="A1005" s="10">
        <v>40</v>
      </c>
      <c r="B1005" s="10" t="s">
        <v>1277</v>
      </c>
      <c r="C1005" s="10" t="str" cm="1">
        <f t="array" ref="C1005">_xlfn.IFS(A1005&lt;20, "ภาคกลาง", A1005&lt;30, "ภาคตะวันออก", A1005&lt;50, "ภาคตะวันออกเฉียงเหนือ", A1005&lt;60, "ภาคเหนือ", A1005&lt;80, "ภาคกลาง/ตะวันตก", A1005&gt;=80, "ภาคใต้")</f>
        <v>ภาคตะวันออกเฉียงเหนือ</v>
      </c>
      <c r="D1005" s="64">
        <v>4090</v>
      </c>
      <c r="E1005" s="10" t="s">
        <v>1335</v>
      </c>
      <c r="F1005" s="11">
        <v>2090</v>
      </c>
      <c r="G1005" s="11">
        <v>2057</v>
      </c>
      <c r="H1005" s="11">
        <v>4147</v>
      </c>
      <c r="I1005" s="11">
        <v>2287</v>
      </c>
      <c r="J1005" s="66">
        <f t="shared" si="58"/>
        <v>50.397877984084886</v>
      </c>
      <c r="K1005" s="66">
        <f t="shared" si="59"/>
        <v>49.602122015915114</v>
      </c>
    </row>
    <row r="1006" spans="1:11" ht="41.4" x14ac:dyDescent="0.3">
      <c r="A1006" s="10">
        <v>40</v>
      </c>
      <c r="B1006" s="10" t="s">
        <v>1277</v>
      </c>
      <c r="C1006" s="10" t="str" cm="1">
        <f t="array" ref="C1006">_xlfn.IFS(A1006&lt;20, "ภาคกลาง", A1006&lt;30, "ภาคตะวันออก", A1006&lt;50, "ภาคตะวันออกเฉียงเหนือ", A1006&lt;60, "ภาคเหนือ", A1006&lt;80, "ภาคกลาง/ตะวันตก", A1006&gt;=80, "ภาคใต้")</f>
        <v>ภาคตะวันออกเฉียงเหนือ</v>
      </c>
      <c r="D1006" s="64">
        <v>4091</v>
      </c>
      <c r="E1006" s="10" t="s">
        <v>1336</v>
      </c>
      <c r="F1006" s="10">
        <v>680</v>
      </c>
      <c r="G1006" s="10">
        <v>675</v>
      </c>
      <c r="H1006" s="11">
        <v>1355</v>
      </c>
      <c r="I1006" s="10">
        <v>723</v>
      </c>
      <c r="J1006" s="66">
        <f t="shared" si="58"/>
        <v>50.184501845018445</v>
      </c>
      <c r="K1006" s="66">
        <f t="shared" si="59"/>
        <v>49.815498154981555</v>
      </c>
    </row>
    <row r="1007" spans="1:11" ht="41.4" x14ac:dyDescent="0.3">
      <c r="A1007" s="10">
        <v>40</v>
      </c>
      <c r="B1007" s="10" t="s">
        <v>1277</v>
      </c>
      <c r="C1007" s="10" t="str" cm="1">
        <f t="array" ref="C1007">_xlfn.IFS(A1007&lt;20, "ภาคกลาง", A1007&lt;30, "ภาคตะวันออก", A1007&lt;50, "ภาคตะวันออกเฉียงเหนือ", A1007&lt;60, "ภาคเหนือ", A1007&lt;80, "ภาคกลาง/ตะวันตก", A1007&gt;=80, "ภาคใต้")</f>
        <v>ภาคตะวันออกเฉียงเหนือ</v>
      </c>
      <c r="D1007" s="64">
        <v>4092</v>
      </c>
      <c r="E1007" s="10" t="s">
        <v>1337</v>
      </c>
      <c r="F1007" s="11">
        <v>1622</v>
      </c>
      <c r="G1007" s="11">
        <v>1720</v>
      </c>
      <c r="H1007" s="11">
        <v>3342</v>
      </c>
      <c r="I1007" s="11">
        <v>1959</v>
      </c>
      <c r="J1007" s="66">
        <f t="shared" si="58"/>
        <v>48.533812088569718</v>
      </c>
      <c r="K1007" s="66">
        <f t="shared" si="59"/>
        <v>51.466187911430282</v>
      </c>
    </row>
    <row r="1008" spans="1:11" ht="41.4" x14ac:dyDescent="0.3">
      <c r="A1008" s="10">
        <v>40</v>
      </c>
      <c r="B1008" s="10" t="s">
        <v>1277</v>
      </c>
      <c r="C1008" s="10" t="str" cm="1">
        <f t="array" ref="C1008">_xlfn.IFS(A1008&lt;20, "ภาคกลาง", A1008&lt;30, "ภาคตะวันออก", A1008&lt;50, "ภาคตะวันออกเฉียงเหนือ", A1008&lt;60, "ภาคเหนือ", A1008&lt;80, "ภาคกลาง/ตะวันตก", A1008&gt;=80, "ภาคใต้")</f>
        <v>ภาคตะวันออกเฉียงเหนือ</v>
      </c>
      <c r="D1008" s="64">
        <v>4093</v>
      </c>
      <c r="E1008" s="10" t="s">
        <v>1338</v>
      </c>
      <c r="F1008" s="11">
        <v>1549</v>
      </c>
      <c r="G1008" s="11">
        <v>1739</v>
      </c>
      <c r="H1008" s="11">
        <v>3288</v>
      </c>
      <c r="I1008" s="11">
        <v>1574</v>
      </c>
      <c r="J1008" s="66">
        <f t="shared" si="58"/>
        <v>47.110705596107053</v>
      </c>
      <c r="K1008" s="66">
        <f t="shared" si="59"/>
        <v>52.88929440389294</v>
      </c>
    </row>
    <row r="1009" spans="1:11" ht="41.4" x14ac:dyDescent="0.3">
      <c r="A1009" s="10">
        <v>40</v>
      </c>
      <c r="B1009" s="10" t="s">
        <v>1277</v>
      </c>
      <c r="C1009" s="10" t="str" cm="1">
        <f t="array" ref="C1009">_xlfn.IFS(A1009&lt;20, "ภาคกลาง", A1009&lt;30, "ภาคตะวันออก", A1009&lt;50, "ภาคตะวันออกเฉียงเหนือ", A1009&lt;60, "ภาคเหนือ", A1009&lt;80, "ภาคกลาง/ตะวันตก", A1009&gt;=80, "ภาคใต้")</f>
        <v>ภาคตะวันออกเฉียงเหนือ</v>
      </c>
      <c r="D1009" s="64">
        <v>4094</v>
      </c>
      <c r="E1009" s="10" t="s">
        <v>1339</v>
      </c>
      <c r="F1009" s="11">
        <v>3075</v>
      </c>
      <c r="G1009" s="11">
        <v>3311</v>
      </c>
      <c r="H1009" s="11">
        <v>6386</v>
      </c>
      <c r="I1009" s="11">
        <v>2142</v>
      </c>
      <c r="J1009" s="66">
        <f t="shared" ref="J1009:J1014" si="60">F1009/H1009*100</f>
        <v>48.15220795490135</v>
      </c>
      <c r="K1009" s="66">
        <f t="shared" ref="K1009:K1014" si="61">G1009/H1009*100</f>
        <v>51.84779204509865</v>
      </c>
    </row>
    <row r="1010" spans="1:11" ht="41.4" x14ac:dyDescent="0.3">
      <c r="A1010" s="10">
        <v>40</v>
      </c>
      <c r="B1010" s="10" t="s">
        <v>1277</v>
      </c>
      <c r="C1010" s="10" t="str" cm="1">
        <f t="array" ref="C1010">_xlfn.IFS(A1010&lt;20, "ภาคกลาง", A1010&lt;30, "ภาคตะวันออก", A1010&lt;50, "ภาคตะวันออกเฉียงเหนือ", A1010&lt;60, "ภาคเหนือ", A1010&lt;80, "ภาคกลาง/ตะวันตก", A1010&gt;=80, "ภาคใต้")</f>
        <v>ภาคตะวันออกเฉียงเหนือ</v>
      </c>
      <c r="D1010" s="64">
        <v>4095</v>
      </c>
      <c r="E1010" s="10" t="s">
        <v>1340</v>
      </c>
      <c r="F1010" s="11">
        <v>2170</v>
      </c>
      <c r="G1010" s="11">
        <v>2333</v>
      </c>
      <c r="H1010" s="11">
        <v>4503</v>
      </c>
      <c r="I1010" s="11">
        <v>1970</v>
      </c>
      <c r="J1010" s="66">
        <f t="shared" si="60"/>
        <v>48.19009549189429</v>
      </c>
      <c r="K1010" s="66">
        <f t="shared" si="61"/>
        <v>51.80990450810571</v>
      </c>
    </row>
    <row r="1011" spans="1:11" ht="41.4" x14ac:dyDescent="0.3">
      <c r="A1011" s="10">
        <v>40</v>
      </c>
      <c r="B1011" s="10" t="s">
        <v>1277</v>
      </c>
      <c r="C1011" s="10" t="str" cm="1">
        <f t="array" ref="C1011">_xlfn.IFS(A1011&lt;20, "ภาคกลาง", A1011&lt;30, "ภาคตะวันออก", A1011&lt;50, "ภาคตะวันออกเฉียงเหนือ", A1011&lt;60, "ภาคเหนือ", A1011&lt;80, "ภาคกลาง/ตะวันตก", A1011&gt;=80, "ภาคใต้")</f>
        <v>ภาคตะวันออกเฉียงเหนือ</v>
      </c>
      <c r="D1011" s="64">
        <v>4096</v>
      </c>
      <c r="E1011" s="10" t="s">
        <v>1341</v>
      </c>
      <c r="F1011" s="11">
        <v>4062</v>
      </c>
      <c r="G1011" s="11">
        <v>4478</v>
      </c>
      <c r="H1011" s="11">
        <v>8540</v>
      </c>
      <c r="I1011" s="11">
        <v>4257</v>
      </c>
      <c r="J1011" s="66">
        <f t="shared" si="60"/>
        <v>47.56440281030445</v>
      </c>
      <c r="K1011" s="66">
        <f t="shared" si="61"/>
        <v>52.43559718969555</v>
      </c>
    </row>
    <row r="1012" spans="1:11" ht="41.4" x14ac:dyDescent="0.3">
      <c r="A1012" s="10">
        <v>40</v>
      </c>
      <c r="B1012" s="10" t="s">
        <v>1277</v>
      </c>
      <c r="C1012" s="10" t="str" cm="1">
        <f t="array" ref="C1012">_xlfn.IFS(A1012&lt;20, "ภาคกลาง", A1012&lt;30, "ภาคตะวันออก", A1012&lt;50, "ภาคตะวันออกเฉียงเหนือ", A1012&lt;60, "ภาคเหนือ", A1012&lt;80, "ภาคกลาง/ตะวันตก", A1012&gt;=80, "ภาคใต้")</f>
        <v>ภาคตะวันออกเฉียงเหนือ</v>
      </c>
      <c r="D1012" s="64">
        <v>4097</v>
      </c>
      <c r="E1012" s="10" t="s">
        <v>1342</v>
      </c>
      <c r="F1012" s="11">
        <v>14642</v>
      </c>
      <c r="G1012" s="11">
        <v>15810</v>
      </c>
      <c r="H1012" s="11">
        <v>30452</v>
      </c>
      <c r="I1012" s="11">
        <v>16479</v>
      </c>
      <c r="J1012" s="66">
        <f t="shared" si="60"/>
        <v>48.082227768291084</v>
      </c>
      <c r="K1012" s="66">
        <f t="shared" si="61"/>
        <v>51.917772231708916</v>
      </c>
    </row>
    <row r="1013" spans="1:11" ht="41.4" x14ac:dyDescent="0.3">
      <c r="A1013" s="10">
        <v>40</v>
      </c>
      <c r="B1013" s="10" t="s">
        <v>1277</v>
      </c>
      <c r="C1013" s="10" t="str" cm="1">
        <f t="array" ref="C1013">_xlfn.IFS(A1013&lt;20, "ภาคกลาง", A1013&lt;30, "ภาคตะวันออก", A1013&lt;50, "ภาคตะวันออกเฉียงเหนือ", A1013&lt;60, "ภาคเหนือ", A1013&lt;80, "ภาคกลาง/ตะวันตก", A1013&gt;=80, "ภาคใต้")</f>
        <v>ภาคตะวันออกเฉียงเหนือ</v>
      </c>
      <c r="D1013" s="64">
        <v>4098</v>
      </c>
      <c r="E1013" s="10" t="s">
        <v>1343</v>
      </c>
      <c r="F1013" s="11">
        <v>12454</v>
      </c>
      <c r="G1013" s="11">
        <v>13734</v>
      </c>
      <c r="H1013" s="11">
        <v>26188</v>
      </c>
      <c r="I1013" s="11">
        <v>13198</v>
      </c>
      <c r="J1013" s="66">
        <f t="shared" si="60"/>
        <v>47.556132579807546</v>
      </c>
      <c r="K1013" s="66">
        <f t="shared" si="61"/>
        <v>52.443867420192461</v>
      </c>
    </row>
    <row r="1014" spans="1:11" ht="41.4" x14ac:dyDescent="0.3">
      <c r="A1014" s="10">
        <v>40</v>
      </c>
      <c r="B1014" s="10" t="s">
        <v>1277</v>
      </c>
      <c r="C1014" s="10" t="str" cm="1">
        <f t="array" ref="C1014">_xlfn.IFS(A1014&lt;20, "ภาคกลาง", A1014&lt;30, "ภาคตะวันออก", A1014&lt;50, "ภาคตะวันออกเฉียงเหนือ", A1014&lt;60, "ภาคเหนือ", A1014&lt;80, "ภาคกลาง/ตะวันตก", A1014&gt;=80, "ภาคใต้")</f>
        <v>ภาคตะวันออกเฉียงเหนือ</v>
      </c>
      <c r="D1014" s="64">
        <v>4099</v>
      </c>
      <c r="E1014" s="10" t="s">
        <v>1344</v>
      </c>
      <c r="F1014" s="11">
        <v>4689</v>
      </c>
      <c r="G1014" s="11">
        <v>5210</v>
      </c>
      <c r="H1014" s="11">
        <v>9899</v>
      </c>
      <c r="I1014" s="11">
        <v>5505</v>
      </c>
      <c r="J1014" s="66">
        <f t="shared" si="60"/>
        <v>47.368421052631575</v>
      </c>
      <c r="K1014" s="66">
        <f t="shared" si="61"/>
        <v>52.631578947368418</v>
      </c>
    </row>
    <row r="1015" spans="1:11" ht="41.4" hidden="1" x14ac:dyDescent="0.3">
      <c r="A1015" s="10">
        <v>40</v>
      </c>
      <c r="B1015" s="10" t="s">
        <v>1277</v>
      </c>
      <c r="C1015" s="10" t="str" cm="1">
        <f t="array" ref="C1015">_xlfn.IFS(A1015&lt;20, "ภาคกลาง", A1015&lt;30, "ภาคตะวันออก", A1015&lt;50, "ภาคตะวันออกเฉียงเหนือ", A1015&lt;60, "ภาคเหนือ", A1015&lt;80, "ภาคกลาง/ตะวันตก", A1015&gt;=80, "ภาคใต้")</f>
        <v>ภาคตะวันออกเฉียงเหนือ</v>
      </c>
      <c r="D1015" s="10">
        <v>0</v>
      </c>
      <c r="E1015" s="10" t="s">
        <v>343</v>
      </c>
      <c r="F1015" s="11">
        <v>47673</v>
      </c>
      <c r="G1015" s="11">
        <v>52244</v>
      </c>
      <c r="H1015" s="11">
        <v>99917</v>
      </c>
      <c r="I1015" s="11">
        <v>69560</v>
      </c>
      <c r="J1015"/>
      <c r="K1015"/>
    </row>
    <row r="1016" spans="1:11" ht="41.4" x14ac:dyDescent="0.3">
      <c r="A1016" s="10">
        <v>41</v>
      </c>
      <c r="B1016" s="10" t="s">
        <v>1345</v>
      </c>
      <c r="C1016" s="10" t="str" cm="1">
        <f t="array" ref="C1016">_xlfn.IFS(A1016&lt;20, "ภาคกลาง", A1016&lt;30, "ภาคตะวันออก", A1016&lt;50, "ภาคตะวันออกเฉียงเหนือ", A1016&lt;60, "ภาคเหนือ", A1016&lt;80, "ภาคกลาง/ตะวันตก", A1016&gt;=80, "ภาคใต้")</f>
        <v>ภาคตะวันออกเฉียงเหนือ</v>
      </c>
      <c r="D1016" s="64">
        <v>4101</v>
      </c>
      <c r="E1016" s="10" t="s">
        <v>1346</v>
      </c>
      <c r="F1016" s="11">
        <v>765475</v>
      </c>
      <c r="G1016" s="11">
        <v>786660</v>
      </c>
      <c r="H1016" s="11">
        <v>1552135</v>
      </c>
      <c r="I1016" s="11">
        <v>565876</v>
      </c>
      <c r="J1016" s="66">
        <f t="shared" ref="J1016:J1077" si="62">F1016/H1016*100</f>
        <v>49.31755291904377</v>
      </c>
      <c r="K1016" s="66">
        <f t="shared" ref="K1016:K1077" si="63">G1016/H1016*100</f>
        <v>50.68244708095623</v>
      </c>
    </row>
    <row r="1017" spans="1:11" ht="41.4" x14ac:dyDescent="0.3">
      <c r="A1017" s="10">
        <v>41</v>
      </c>
      <c r="B1017" s="10" t="s">
        <v>1345</v>
      </c>
      <c r="C1017" s="10" t="str" cm="1">
        <f t="array" ref="C1017">_xlfn.IFS(A1017&lt;20, "ภาคกลาง", A1017&lt;30, "ภาคตะวันออก", A1017&lt;50, "ภาคตะวันออกเฉียงเหนือ", A1017&lt;60, "ภาคเหนือ", A1017&lt;80, "ภาคกลาง/ตะวันตก", A1017&gt;=80, "ภาคใต้")</f>
        <v>ภาคตะวันออกเฉียงเหนือ</v>
      </c>
      <c r="D1017" s="64">
        <v>4102</v>
      </c>
      <c r="E1017" s="10" t="s">
        <v>1347</v>
      </c>
      <c r="F1017" s="11">
        <v>90893</v>
      </c>
      <c r="G1017" s="11">
        <v>96008</v>
      </c>
      <c r="H1017" s="11">
        <v>186901</v>
      </c>
      <c r="I1017" s="11">
        <v>78300</v>
      </c>
      <c r="J1017" s="66">
        <f t="shared" si="62"/>
        <v>48.631628509210756</v>
      </c>
      <c r="K1017" s="66">
        <f t="shared" si="63"/>
        <v>51.368371490789244</v>
      </c>
    </row>
    <row r="1018" spans="1:11" ht="41.4" x14ac:dyDescent="0.3">
      <c r="A1018" s="10">
        <v>41</v>
      </c>
      <c r="B1018" s="10" t="s">
        <v>1345</v>
      </c>
      <c r="C1018" s="10" t="str" cm="1">
        <f t="array" ref="C1018">_xlfn.IFS(A1018&lt;20, "ภาคกลาง", A1018&lt;30, "ภาคตะวันออก", A1018&lt;50, "ภาคตะวันออกเฉียงเหนือ", A1018&lt;60, "ภาคเหนือ", A1018&lt;80, "ภาคกลาง/ตะวันตก", A1018&gt;=80, "ภาคใต้")</f>
        <v>ภาคตะวันออกเฉียงเหนือ</v>
      </c>
      <c r="D1018" s="64">
        <v>4103</v>
      </c>
      <c r="E1018" s="10" t="s">
        <v>1348</v>
      </c>
      <c r="F1018" s="11">
        <v>21646</v>
      </c>
      <c r="G1018" s="11">
        <v>21642</v>
      </c>
      <c r="H1018" s="11">
        <v>43288</v>
      </c>
      <c r="I1018" s="11">
        <v>13871</v>
      </c>
      <c r="J1018" s="66">
        <f t="shared" si="62"/>
        <v>50.004620218074294</v>
      </c>
      <c r="K1018" s="66">
        <f t="shared" si="63"/>
        <v>49.995379781925706</v>
      </c>
    </row>
    <row r="1019" spans="1:11" ht="41.4" x14ac:dyDescent="0.3">
      <c r="A1019" s="10">
        <v>41</v>
      </c>
      <c r="B1019" s="10" t="s">
        <v>1345</v>
      </c>
      <c r="C1019" s="10" t="str" cm="1">
        <f t="array" ref="C1019">_xlfn.IFS(A1019&lt;20, "ภาคกลาง", A1019&lt;30, "ภาคตะวันออก", A1019&lt;50, "ภาคตะวันออกเฉียงเหนือ", A1019&lt;60, "ภาคเหนือ", A1019&lt;80, "ภาคกลาง/ตะวันตก", A1019&gt;=80, "ภาคใต้")</f>
        <v>ภาคตะวันออกเฉียงเหนือ</v>
      </c>
      <c r="D1019" s="64">
        <v>4104</v>
      </c>
      <c r="E1019" s="10" t="s">
        <v>1349</v>
      </c>
      <c r="F1019" s="11">
        <v>22276</v>
      </c>
      <c r="G1019" s="11">
        <v>22333</v>
      </c>
      <c r="H1019" s="11">
        <v>44609</v>
      </c>
      <c r="I1019" s="11">
        <v>12386</v>
      </c>
      <c r="J1019" s="66">
        <f t="shared" si="62"/>
        <v>49.936111546997239</v>
      </c>
      <c r="K1019" s="66">
        <f t="shared" si="63"/>
        <v>50.063888453002761</v>
      </c>
    </row>
    <row r="1020" spans="1:11" ht="41.4" x14ac:dyDescent="0.3">
      <c r="A1020" s="10">
        <v>41</v>
      </c>
      <c r="B1020" s="10" t="s">
        <v>1345</v>
      </c>
      <c r="C1020" s="10" t="str" cm="1">
        <f t="array" ref="C1020">_xlfn.IFS(A1020&lt;20, "ภาคกลาง", A1020&lt;30, "ภาคตะวันออก", A1020&lt;50, "ภาคตะวันออกเฉียงเหนือ", A1020&lt;60, "ภาคเหนือ", A1020&lt;80, "ภาคกลาง/ตะวันตก", A1020&gt;=80, "ภาคใต้")</f>
        <v>ภาคตะวันออกเฉียงเหนือ</v>
      </c>
      <c r="D1020" s="64">
        <v>4105</v>
      </c>
      <c r="E1020" s="10" t="s">
        <v>1350</v>
      </c>
      <c r="F1020" s="11">
        <v>36089</v>
      </c>
      <c r="G1020" s="11">
        <v>36963</v>
      </c>
      <c r="H1020" s="11">
        <v>73052</v>
      </c>
      <c r="I1020" s="11">
        <v>22764</v>
      </c>
      <c r="J1020" s="66">
        <f t="shared" si="62"/>
        <v>49.401795980945082</v>
      </c>
      <c r="K1020" s="66">
        <f t="shared" si="63"/>
        <v>50.598204019054918</v>
      </c>
    </row>
    <row r="1021" spans="1:11" ht="41.4" x14ac:dyDescent="0.3">
      <c r="A1021" s="10">
        <v>41</v>
      </c>
      <c r="B1021" s="10" t="s">
        <v>1345</v>
      </c>
      <c r="C1021" s="10" t="str" cm="1">
        <f t="array" ref="C1021">_xlfn.IFS(A1021&lt;20, "ภาคกลาง", A1021&lt;30, "ภาคตะวันออก", A1021&lt;50, "ภาคตะวันออกเฉียงเหนือ", A1021&lt;60, "ภาคเหนือ", A1021&lt;80, "ภาคกลาง/ตะวันตก", A1021&gt;=80, "ภาคใต้")</f>
        <v>ภาคตะวันออกเฉียงเหนือ</v>
      </c>
      <c r="D1021" s="64">
        <v>4106</v>
      </c>
      <c r="E1021" s="10" t="s">
        <v>1351</v>
      </c>
      <c r="F1021" s="11">
        <v>22230</v>
      </c>
      <c r="G1021" s="11">
        <v>22477</v>
      </c>
      <c r="H1021" s="11">
        <v>44707</v>
      </c>
      <c r="I1021" s="11">
        <v>12530</v>
      </c>
      <c r="J1021" s="66">
        <f t="shared" si="62"/>
        <v>49.723756906077348</v>
      </c>
      <c r="K1021" s="66">
        <f t="shared" si="63"/>
        <v>50.276243093922659</v>
      </c>
    </row>
    <row r="1022" spans="1:11" ht="41.4" x14ac:dyDescent="0.3">
      <c r="A1022" s="10">
        <v>41</v>
      </c>
      <c r="B1022" s="10" t="s">
        <v>1345</v>
      </c>
      <c r="C1022" s="10" t="str" cm="1">
        <f t="array" ref="C1022">_xlfn.IFS(A1022&lt;20, "ภาคกลาง", A1022&lt;30, "ภาคตะวันออก", A1022&lt;50, "ภาคตะวันออกเฉียงเหนือ", A1022&lt;60, "ภาคเหนือ", A1022&lt;80, "ภาคกลาง/ตะวันตก", A1022&gt;=80, "ภาคใต้")</f>
        <v>ภาคตะวันออกเฉียงเหนือ</v>
      </c>
      <c r="D1022" s="64">
        <v>4107</v>
      </c>
      <c r="E1022" s="10" t="s">
        <v>1352</v>
      </c>
      <c r="F1022" s="11">
        <v>43918</v>
      </c>
      <c r="G1022" s="11">
        <v>44211</v>
      </c>
      <c r="H1022" s="11">
        <v>88129</v>
      </c>
      <c r="I1022" s="11">
        <v>29081</v>
      </c>
      <c r="J1022" s="66">
        <f t="shared" si="62"/>
        <v>49.833766410602635</v>
      </c>
      <c r="K1022" s="66">
        <f t="shared" si="63"/>
        <v>50.166233589397358</v>
      </c>
    </row>
    <row r="1023" spans="1:11" ht="41.4" x14ac:dyDescent="0.3">
      <c r="A1023" s="10">
        <v>41</v>
      </c>
      <c r="B1023" s="10" t="s">
        <v>1345</v>
      </c>
      <c r="C1023" s="10" t="str" cm="1">
        <f t="array" ref="C1023">_xlfn.IFS(A1023&lt;20, "ภาคกลาง", A1023&lt;30, "ภาคตะวันออก", A1023&lt;50, "ภาคตะวันออกเฉียงเหนือ", A1023&lt;60, "ภาคเหนือ", A1023&lt;80, "ภาคกลาง/ตะวันตก", A1023&gt;=80, "ภาคใต้")</f>
        <v>ภาคตะวันออกเฉียงเหนือ</v>
      </c>
      <c r="D1023" s="64">
        <v>4108</v>
      </c>
      <c r="E1023" s="10" t="s">
        <v>1353</v>
      </c>
      <c r="F1023" s="11">
        <v>12500</v>
      </c>
      <c r="G1023" s="11">
        <v>12383</v>
      </c>
      <c r="H1023" s="11">
        <v>24883</v>
      </c>
      <c r="I1023" s="11">
        <v>7636</v>
      </c>
      <c r="J1023" s="66">
        <f t="shared" si="62"/>
        <v>50.235100269260137</v>
      </c>
      <c r="K1023" s="66">
        <f t="shared" si="63"/>
        <v>49.764899730739863</v>
      </c>
    </row>
    <row r="1024" spans="1:11" ht="41.4" x14ac:dyDescent="0.3">
      <c r="A1024" s="10">
        <v>41</v>
      </c>
      <c r="B1024" s="10" t="s">
        <v>1345</v>
      </c>
      <c r="C1024" s="10" t="str" cm="1">
        <f t="array" ref="C1024">_xlfn.IFS(A1024&lt;20, "ภาคกลาง", A1024&lt;30, "ภาคตะวันออก", A1024&lt;50, "ภาคตะวันออกเฉียงเหนือ", A1024&lt;60, "ภาคเหนือ", A1024&lt;80, "ภาคกลาง/ตะวันตก", A1024&gt;=80, "ภาคใต้")</f>
        <v>ภาคตะวันออกเฉียงเหนือ</v>
      </c>
      <c r="D1024" s="64">
        <v>4109</v>
      </c>
      <c r="E1024" s="10" t="s">
        <v>1354</v>
      </c>
      <c r="F1024" s="11">
        <v>11937</v>
      </c>
      <c r="G1024" s="11">
        <v>11652</v>
      </c>
      <c r="H1024" s="11">
        <v>23589</v>
      </c>
      <c r="I1024" s="11">
        <v>6573</v>
      </c>
      <c r="J1024" s="66">
        <f t="shared" si="62"/>
        <v>50.604095129085593</v>
      </c>
      <c r="K1024" s="66">
        <f t="shared" si="63"/>
        <v>49.395904870914407</v>
      </c>
    </row>
    <row r="1025" spans="1:11" ht="41.4" x14ac:dyDescent="0.3">
      <c r="A1025" s="10">
        <v>41</v>
      </c>
      <c r="B1025" s="10" t="s">
        <v>1345</v>
      </c>
      <c r="C1025" s="10" t="str" cm="1">
        <f t="array" ref="C1025">_xlfn.IFS(A1025&lt;20, "ภาคกลาง", A1025&lt;30, "ภาคตะวันออก", A1025&lt;50, "ภาคตะวันออกเฉียงเหนือ", A1025&lt;60, "ภาคเหนือ", A1025&lt;80, "ภาคกลาง/ตะวันตก", A1025&gt;=80, "ภาคใต้")</f>
        <v>ภาคตะวันออกเฉียงเหนือ</v>
      </c>
      <c r="D1025" s="64">
        <v>4110</v>
      </c>
      <c r="E1025" s="10" t="s">
        <v>1355</v>
      </c>
      <c r="F1025" s="11">
        <v>11671</v>
      </c>
      <c r="G1025" s="11">
        <v>11769</v>
      </c>
      <c r="H1025" s="11">
        <v>23440</v>
      </c>
      <c r="I1025" s="11">
        <v>6905</v>
      </c>
      <c r="J1025" s="66">
        <f t="shared" si="62"/>
        <v>49.790955631399321</v>
      </c>
      <c r="K1025" s="66">
        <f t="shared" si="63"/>
        <v>50.209044368600686</v>
      </c>
    </row>
    <row r="1026" spans="1:11" ht="41.4" x14ac:dyDescent="0.3">
      <c r="A1026" s="10">
        <v>41</v>
      </c>
      <c r="B1026" s="10" t="s">
        <v>1345</v>
      </c>
      <c r="C1026" s="10" t="str" cm="1">
        <f t="array" ref="C1026">_xlfn.IFS(A1026&lt;20, "ภาคกลาง", A1026&lt;30, "ภาคตะวันออก", A1026&lt;50, "ภาคตะวันออกเฉียงเหนือ", A1026&lt;60, "ภาคเหนือ", A1026&lt;80, "ภาคกลาง/ตะวันตก", A1026&gt;=80, "ภาคใต้")</f>
        <v>ภาคตะวันออกเฉียงเหนือ</v>
      </c>
      <c r="D1026" s="64">
        <v>4111</v>
      </c>
      <c r="E1026" s="10" t="s">
        <v>1356</v>
      </c>
      <c r="F1026" s="11">
        <v>15513</v>
      </c>
      <c r="G1026" s="11">
        <v>15405</v>
      </c>
      <c r="H1026" s="11">
        <v>30918</v>
      </c>
      <c r="I1026" s="11">
        <v>9183</v>
      </c>
      <c r="J1026" s="66">
        <f t="shared" si="62"/>
        <v>50.174655540461863</v>
      </c>
      <c r="K1026" s="66">
        <f t="shared" si="63"/>
        <v>49.825344459538137</v>
      </c>
    </row>
    <row r="1027" spans="1:11" ht="41.4" x14ac:dyDescent="0.3">
      <c r="A1027" s="10">
        <v>41</v>
      </c>
      <c r="B1027" s="10" t="s">
        <v>1345</v>
      </c>
      <c r="C1027" s="10" t="str" cm="1">
        <f t="array" ref="C1027">_xlfn.IFS(A1027&lt;20, "ภาคกลาง", A1027&lt;30, "ภาคตะวันออก", A1027&lt;50, "ภาคตะวันออกเฉียงเหนือ", A1027&lt;60, "ภาคเหนือ", A1027&lt;80, "ภาคกลาง/ตะวันตก", A1027&gt;=80, "ภาคใต้")</f>
        <v>ภาคตะวันออกเฉียงเหนือ</v>
      </c>
      <c r="D1027" s="64">
        <v>4117</v>
      </c>
      <c r="E1027" s="10" t="s">
        <v>1357</v>
      </c>
      <c r="F1027" s="11">
        <v>55234</v>
      </c>
      <c r="G1027" s="11">
        <v>55660</v>
      </c>
      <c r="H1027" s="11">
        <v>110894</v>
      </c>
      <c r="I1027" s="11">
        <v>33997</v>
      </c>
      <c r="J1027" s="66">
        <f t="shared" si="62"/>
        <v>49.807924684834163</v>
      </c>
      <c r="K1027" s="66">
        <f t="shared" si="63"/>
        <v>50.19207531516583</v>
      </c>
    </row>
    <row r="1028" spans="1:11" ht="41.4" x14ac:dyDescent="0.3">
      <c r="A1028" s="10">
        <v>41</v>
      </c>
      <c r="B1028" s="10" t="s">
        <v>1345</v>
      </c>
      <c r="C1028" s="10" t="str" cm="1">
        <f t="array" ref="C1028">_xlfn.IFS(A1028&lt;20, "ภาคกลาง", A1028&lt;30, "ภาคตะวันออก", A1028&lt;50, "ภาคตะวันออกเฉียงเหนือ", A1028&lt;60, "ภาคเหนือ", A1028&lt;80, "ภาคกลาง/ตะวันตก", A1028&gt;=80, "ภาคใต้")</f>
        <v>ภาคตะวันออกเฉียงเหนือ</v>
      </c>
      <c r="D1028" s="64">
        <v>4118</v>
      </c>
      <c r="E1028" s="10" t="s">
        <v>1358</v>
      </c>
      <c r="F1028" s="11">
        <v>50636</v>
      </c>
      <c r="G1028" s="11">
        <v>50711</v>
      </c>
      <c r="H1028" s="11">
        <v>101347</v>
      </c>
      <c r="I1028" s="11">
        <v>32736</v>
      </c>
      <c r="J1028" s="66">
        <f t="shared" si="62"/>
        <v>49.962998411398459</v>
      </c>
      <c r="K1028" s="66">
        <f t="shared" si="63"/>
        <v>50.037001588601541</v>
      </c>
    </row>
    <row r="1029" spans="1:11" ht="41.4" x14ac:dyDescent="0.3">
      <c r="A1029" s="10">
        <v>41</v>
      </c>
      <c r="B1029" s="10" t="s">
        <v>1345</v>
      </c>
      <c r="C1029" s="10" t="str" cm="1">
        <f t="array" ref="C1029">_xlfn.IFS(A1029&lt;20, "ภาคกลาง", A1029&lt;30, "ภาคตะวันออก", A1029&lt;50, "ภาคตะวันออกเฉียงเหนือ", A1029&lt;60, "ภาคเหนือ", A1029&lt;80, "ภาคกลาง/ตะวันตก", A1029&gt;=80, "ภาคใต้")</f>
        <v>ภาคตะวันออกเฉียงเหนือ</v>
      </c>
      <c r="D1029" s="64">
        <v>4119</v>
      </c>
      <c r="E1029" s="10" t="s">
        <v>1359</v>
      </c>
      <c r="F1029" s="11">
        <v>20680</v>
      </c>
      <c r="G1029" s="11">
        <v>20347</v>
      </c>
      <c r="H1029" s="11">
        <v>41027</v>
      </c>
      <c r="I1029" s="11">
        <v>14033</v>
      </c>
      <c r="J1029" s="66">
        <f t="shared" si="62"/>
        <v>50.405830306871081</v>
      </c>
      <c r="K1029" s="66">
        <f t="shared" si="63"/>
        <v>49.594169693128912</v>
      </c>
    </row>
    <row r="1030" spans="1:11" ht="41.4" x14ac:dyDescent="0.3">
      <c r="A1030" s="10">
        <v>41</v>
      </c>
      <c r="B1030" s="10" t="s">
        <v>1345</v>
      </c>
      <c r="C1030" s="10" t="str" cm="1">
        <f t="array" ref="C1030">_xlfn.IFS(A1030&lt;20, "ภาคกลาง", A1030&lt;30, "ภาคตะวันออก", A1030&lt;50, "ภาคตะวันออกเฉียงเหนือ", A1030&lt;60, "ภาคเหนือ", A1030&lt;80, "ภาคกลาง/ตะวันตก", A1030&gt;=80, "ภาคใต้")</f>
        <v>ภาคตะวันออกเฉียงเหนือ</v>
      </c>
      <c r="D1030" s="64">
        <v>4120</v>
      </c>
      <c r="E1030" s="10" t="s">
        <v>1360</v>
      </c>
      <c r="F1030" s="11">
        <v>48140</v>
      </c>
      <c r="G1030" s="11">
        <v>48216</v>
      </c>
      <c r="H1030" s="11">
        <v>96356</v>
      </c>
      <c r="I1030" s="11">
        <v>31107</v>
      </c>
      <c r="J1030" s="66">
        <f t="shared" si="62"/>
        <v>49.960562912532694</v>
      </c>
      <c r="K1030" s="66">
        <f t="shared" si="63"/>
        <v>50.039437087467306</v>
      </c>
    </row>
    <row r="1031" spans="1:11" ht="41.4" x14ac:dyDescent="0.3">
      <c r="A1031" s="10">
        <v>41</v>
      </c>
      <c r="B1031" s="10" t="s">
        <v>1345</v>
      </c>
      <c r="C1031" s="10" t="str" cm="1">
        <f t="array" ref="C1031">_xlfn.IFS(A1031&lt;20, "ภาคกลาง", A1031&lt;30, "ภาคตะวันออก", A1031&lt;50, "ภาคตะวันออกเฉียงเหนือ", A1031&lt;60, "ภาคเหนือ", A1031&lt;80, "ภาคกลาง/ตะวันตก", A1031&gt;=80, "ภาคใต้")</f>
        <v>ภาคตะวันออกเฉียงเหนือ</v>
      </c>
      <c r="D1031" s="64">
        <v>4121</v>
      </c>
      <c r="E1031" s="10" t="s">
        <v>1361</v>
      </c>
      <c r="F1031" s="11">
        <v>10935</v>
      </c>
      <c r="G1031" s="11">
        <v>10916</v>
      </c>
      <c r="H1031" s="11">
        <v>21851</v>
      </c>
      <c r="I1031" s="11">
        <v>7010</v>
      </c>
      <c r="J1031" s="66">
        <f t="shared" si="62"/>
        <v>50.043476271108879</v>
      </c>
      <c r="K1031" s="66">
        <f t="shared" si="63"/>
        <v>49.956523728891128</v>
      </c>
    </row>
    <row r="1032" spans="1:11" ht="41.4" x14ac:dyDescent="0.3">
      <c r="A1032" s="10">
        <v>41</v>
      </c>
      <c r="B1032" s="10" t="s">
        <v>1345</v>
      </c>
      <c r="C1032" s="10" t="str" cm="1">
        <f t="array" ref="C1032">_xlfn.IFS(A1032&lt;20, "ภาคกลาง", A1032&lt;30, "ภาคตะวันออก", A1032&lt;50, "ภาคตะวันออกเฉียงเหนือ", A1032&lt;60, "ภาคเหนือ", A1032&lt;80, "ภาคกลาง/ตะวันตก", A1032&gt;=80, "ภาคใต้")</f>
        <v>ภาคตะวันออกเฉียงเหนือ</v>
      </c>
      <c r="D1032" s="64">
        <v>4122</v>
      </c>
      <c r="E1032" s="10" t="s">
        <v>1362</v>
      </c>
      <c r="F1032" s="11">
        <v>11471</v>
      </c>
      <c r="G1032" s="11">
        <v>11463</v>
      </c>
      <c r="H1032" s="11">
        <v>22934</v>
      </c>
      <c r="I1032" s="11">
        <v>7203</v>
      </c>
      <c r="J1032" s="66">
        <f t="shared" si="62"/>
        <v>50.01744135344903</v>
      </c>
      <c r="K1032" s="66">
        <f t="shared" si="63"/>
        <v>49.98255864655097</v>
      </c>
    </row>
    <row r="1033" spans="1:11" ht="41.4" x14ac:dyDescent="0.3">
      <c r="A1033" s="10">
        <v>41</v>
      </c>
      <c r="B1033" s="10" t="s">
        <v>1345</v>
      </c>
      <c r="C1033" s="10" t="str" cm="1">
        <f t="array" ref="C1033">_xlfn.IFS(A1033&lt;20, "ภาคกลาง", A1033&lt;30, "ภาคตะวันออก", A1033&lt;50, "ภาคตะวันออกเฉียงเหนือ", A1033&lt;60, "ภาคเหนือ", A1033&lt;80, "ภาคกลาง/ตะวันตก", A1033&gt;=80, "ภาคใต้")</f>
        <v>ภาคตะวันออกเฉียงเหนือ</v>
      </c>
      <c r="D1033" s="64">
        <v>4123</v>
      </c>
      <c r="E1033" s="10" t="s">
        <v>1363</v>
      </c>
      <c r="F1033" s="11">
        <v>14344</v>
      </c>
      <c r="G1033" s="11">
        <v>14049</v>
      </c>
      <c r="H1033" s="11">
        <v>28393</v>
      </c>
      <c r="I1033" s="11">
        <v>10205</v>
      </c>
      <c r="J1033" s="66">
        <f t="shared" si="62"/>
        <v>50.519494241538411</v>
      </c>
      <c r="K1033" s="66">
        <f t="shared" si="63"/>
        <v>49.480505758461589</v>
      </c>
    </row>
    <row r="1034" spans="1:11" ht="41.4" x14ac:dyDescent="0.3">
      <c r="A1034" s="10">
        <v>41</v>
      </c>
      <c r="B1034" s="10" t="s">
        <v>1345</v>
      </c>
      <c r="C1034" s="10" t="str" cm="1">
        <f t="array" ref="C1034">_xlfn.IFS(A1034&lt;20, "ภาคกลาง", A1034&lt;30, "ภาคตะวันออก", A1034&lt;50, "ภาคตะวันออกเฉียงเหนือ", A1034&lt;60, "ภาคเหนือ", A1034&lt;80, "ภาคกลาง/ตะวันตก", A1034&gt;=80, "ภาคใต้")</f>
        <v>ภาคตะวันออกเฉียงเหนือ</v>
      </c>
      <c r="D1034" s="64">
        <v>4124</v>
      </c>
      <c r="E1034" s="10" t="s">
        <v>1364</v>
      </c>
      <c r="F1034" s="11">
        <v>12155</v>
      </c>
      <c r="G1034" s="11">
        <v>12443</v>
      </c>
      <c r="H1034" s="11">
        <v>24598</v>
      </c>
      <c r="I1034" s="11">
        <v>8991</v>
      </c>
      <c r="J1034" s="66">
        <f t="shared" si="62"/>
        <v>49.41458655175218</v>
      </c>
      <c r="K1034" s="66">
        <f t="shared" si="63"/>
        <v>50.585413448247827</v>
      </c>
    </row>
    <row r="1035" spans="1:11" ht="41.4" x14ac:dyDescent="0.3">
      <c r="A1035" s="10">
        <v>41</v>
      </c>
      <c r="B1035" s="10" t="s">
        <v>1345</v>
      </c>
      <c r="C1035" s="10" t="str" cm="1">
        <f t="array" ref="C1035">_xlfn.IFS(A1035&lt;20, "ภาคกลาง", A1035&lt;30, "ภาคตะวันออก", A1035&lt;50, "ภาคตะวันออกเฉียงเหนือ", A1035&lt;60, "ภาคเหนือ", A1035&lt;80, "ภาคกลาง/ตะวันตก", A1035&gt;=80, "ภาคใต้")</f>
        <v>ภาคตะวันออกเฉียงเหนือ</v>
      </c>
      <c r="D1035" s="64">
        <v>4125</v>
      </c>
      <c r="E1035" s="10" t="s">
        <v>1365</v>
      </c>
      <c r="F1035" s="11">
        <v>10963</v>
      </c>
      <c r="G1035" s="11">
        <v>10929</v>
      </c>
      <c r="H1035" s="11">
        <v>21892</v>
      </c>
      <c r="I1035" s="11">
        <v>7293</v>
      </c>
      <c r="J1035" s="66">
        <f t="shared" si="62"/>
        <v>50.077653937511421</v>
      </c>
      <c r="K1035" s="66">
        <f t="shared" si="63"/>
        <v>49.922346062488579</v>
      </c>
    </row>
    <row r="1036" spans="1:11" ht="41.4" x14ac:dyDescent="0.3">
      <c r="A1036" s="10">
        <v>41</v>
      </c>
      <c r="B1036" s="10" t="s">
        <v>1345</v>
      </c>
      <c r="C1036" s="10" t="str" cm="1">
        <f t="array" ref="C1036">_xlfn.IFS(A1036&lt;20, "ภาคกลาง", A1036&lt;30, "ภาคตะวันออก", A1036&lt;50, "ภาคตะวันออกเฉียงเหนือ", A1036&lt;60, "ภาคเหนือ", A1036&lt;80, "ภาคกลาง/ตะวันตก", A1036&gt;=80, "ภาคใต้")</f>
        <v>ภาคตะวันออกเฉียงเหนือ</v>
      </c>
      <c r="D1036" s="64">
        <v>4158</v>
      </c>
      <c r="E1036" s="10" t="s">
        <v>1366</v>
      </c>
      <c r="F1036" s="11">
        <v>12596</v>
      </c>
      <c r="G1036" s="11">
        <v>12638</v>
      </c>
      <c r="H1036" s="11">
        <v>25234</v>
      </c>
      <c r="I1036" s="11">
        <v>7710</v>
      </c>
      <c r="J1036" s="66">
        <f t="shared" si="62"/>
        <v>49.916778949037017</v>
      </c>
      <c r="K1036" s="66">
        <f t="shared" si="63"/>
        <v>50.08322105096299</v>
      </c>
    </row>
    <row r="1037" spans="1:11" ht="41.4" x14ac:dyDescent="0.3">
      <c r="A1037" s="10">
        <v>41</v>
      </c>
      <c r="B1037" s="10" t="s">
        <v>1345</v>
      </c>
      <c r="C1037" s="10" t="str" cm="1">
        <f t="array" ref="C1037">_xlfn.IFS(A1037&lt;20, "ภาคกลาง", A1037&lt;30, "ภาคตะวันออก", A1037&lt;50, "ภาคตะวันออกเฉียงเหนือ", A1037&lt;60, "ภาคเหนือ", A1037&lt;80, "ภาคกลาง/ตะวันตก", A1037&gt;=80, "ภาคใต้")</f>
        <v>ภาคตะวันออกเฉียงเหนือ</v>
      </c>
      <c r="D1037" s="64">
        <v>4159</v>
      </c>
      <c r="E1037" s="10" t="s">
        <v>1367</v>
      </c>
      <c r="F1037" s="11">
        <v>4097</v>
      </c>
      <c r="G1037" s="11">
        <v>4116</v>
      </c>
      <c r="H1037" s="11">
        <v>8213</v>
      </c>
      <c r="I1037" s="11">
        <v>2112</v>
      </c>
      <c r="J1037" s="66">
        <f t="shared" si="62"/>
        <v>49.884329721173749</v>
      </c>
      <c r="K1037" s="66">
        <f t="shared" si="63"/>
        <v>50.115670278826251</v>
      </c>
    </row>
    <row r="1038" spans="1:11" ht="41.4" x14ac:dyDescent="0.3">
      <c r="A1038" s="10">
        <v>41</v>
      </c>
      <c r="B1038" s="10" t="s">
        <v>1345</v>
      </c>
      <c r="C1038" s="10" t="str" cm="1">
        <f t="array" ref="C1038">_xlfn.IFS(A1038&lt;20, "ภาคกลาง", A1038&lt;30, "ภาคตะวันออก", A1038&lt;50, "ภาคตะวันออกเฉียงเหนือ", A1038&lt;60, "ภาคเหนือ", A1038&lt;80, "ภาคกลาง/ตะวันตก", A1038&gt;=80, "ภาคใต้")</f>
        <v>ภาคตะวันออกเฉียงเหนือ</v>
      </c>
      <c r="D1038" s="64">
        <v>4160</v>
      </c>
      <c r="E1038" s="10" t="s">
        <v>1368</v>
      </c>
      <c r="F1038" s="11">
        <v>5663</v>
      </c>
      <c r="G1038" s="11">
        <v>5546</v>
      </c>
      <c r="H1038" s="11">
        <v>11209</v>
      </c>
      <c r="I1038" s="11">
        <v>3311</v>
      </c>
      <c r="J1038" s="66">
        <f t="shared" si="62"/>
        <v>50.521902043001155</v>
      </c>
      <c r="K1038" s="66">
        <f t="shared" si="63"/>
        <v>49.478097956998838</v>
      </c>
    </row>
    <row r="1039" spans="1:11" ht="41.4" x14ac:dyDescent="0.3">
      <c r="A1039" s="10">
        <v>41</v>
      </c>
      <c r="B1039" s="10" t="s">
        <v>1345</v>
      </c>
      <c r="C1039" s="10" t="str" cm="1">
        <f t="array" ref="C1039">_xlfn.IFS(A1039&lt;20, "ภาคกลาง", A1039&lt;30, "ภาคตะวันออก", A1039&lt;50, "ภาคตะวันออกเฉียงเหนือ", A1039&lt;60, "ภาคเหนือ", A1039&lt;80, "ภาคกลาง/ตะวันตก", A1039&gt;=80, "ภาคใต้")</f>
        <v>ภาคตะวันออกเฉียงเหนือ</v>
      </c>
      <c r="D1039" s="64">
        <v>4161</v>
      </c>
      <c r="E1039" s="10" t="s">
        <v>1369</v>
      </c>
      <c r="F1039" s="11">
        <v>7894</v>
      </c>
      <c r="G1039" s="11">
        <v>7724</v>
      </c>
      <c r="H1039" s="11">
        <v>15618</v>
      </c>
      <c r="I1039" s="11">
        <v>4926</v>
      </c>
      <c r="J1039" s="66">
        <f t="shared" si="62"/>
        <v>50.544243821231916</v>
      </c>
      <c r="K1039" s="66">
        <f t="shared" si="63"/>
        <v>49.455756178768091</v>
      </c>
    </row>
    <row r="1040" spans="1:11" ht="41.4" x14ac:dyDescent="0.3">
      <c r="A1040" s="10">
        <v>41</v>
      </c>
      <c r="B1040" s="10" t="s">
        <v>1345</v>
      </c>
      <c r="C1040" s="10" t="str" cm="1">
        <f t="array" ref="C1040">_xlfn.IFS(A1040&lt;20, "ภาคกลาง", A1040&lt;30, "ภาคตะวันออก", A1040&lt;50, "ภาคตะวันออกเฉียงเหนือ", A1040&lt;60, "ภาคเหนือ", A1040&lt;80, "ภาคกลาง/ตะวันตก", A1040&gt;=80, "ภาคใต้")</f>
        <v>ภาคตะวันออกเฉียงเหนือ</v>
      </c>
      <c r="D1040" s="64">
        <v>4162</v>
      </c>
      <c r="E1040" s="10" t="s">
        <v>1370</v>
      </c>
      <c r="F1040" s="11">
        <v>3757</v>
      </c>
      <c r="G1040" s="11">
        <v>3722</v>
      </c>
      <c r="H1040" s="11">
        <v>7479</v>
      </c>
      <c r="I1040" s="11">
        <v>2002</v>
      </c>
      <c r="J1040" s="66">
        <f t="shared" si="62"/>
        <v>50.233988501136515</v>
      </c>
      <c r="K1040" s="66">
        <f t="shared" si="63"/>
        <v>49.766011498863485</v>
      </c>
    </row>
    <row r="1041" spans="1:11" ht="41.4" x14ac:dyDescent="0.3">
      <c r="A1041" s="10">
        <v>41</v>
      </c>
      <c r="B1041" s="10" t="s">
        <v>1345</v>
      </c>
      <c r="C1041" s="10" t="str" cm="1">
        <f t="array" ref="C1041">_xlfn.IFS(A1041&lt;20, "ภาคกลาง", A1041&lt;30, "ภาคตะวันออก", A1041&lt;50, "ภาคตะวันออกเฉียงเหนือ", A1041&lt;60, "ภาคเหนือ", A1041&lt;80, "ภาคกลาง/ตะวันตก", A1041&gt;=80, "ภาคใต้")</f>
        <v>ภาคตะวันออกเฉียงเหนือ</v>
      </c>
      <c r="D1041" s="64">
        <v>4163</v>
      </c>
      <c r="E1041" s="10" t="s">
        <v>1371</v>
      </c>
      <c r="F1041" s="11">
        <v>4074</v>
      </c>
      <c r="G1041" s="11">
        <v>4018</v>
      </c>
      <c r="H1041" s="11">
        <v>8092</v>
      </c>
      <c r="I1041" s="11">
        <v>2235</v>
      </c>
      <c r="J1041" s="66">
        <f t="shared" si="62"/>
        <v>50.346020761245683</v>
      </c>
      <c r="K1041" s="66">
        <f t="shared" si="63"/>
        <v>49.653979238754324</v>
      </c>
    </row>
    <row r="1042" spans="1:11" ht="41.4" x14ac:dyDescent="0.3">
      <c r="A1042" s="10">
        <v>41</v>
      </c>
      <c r="B1042" s="10" t="s">
        <v>1345</v>
      </c>
      <c r="C1042" s="10" t="str" cm="1">
        <f t="array" ref="C1042">_xlfn.IFS(A1042&lt;20, "ภาคกลาง", A1042&lt;30, "ภาคตะวันออก", A1042&lt;50, "ภาคตะวันออกเฉียงเหนือ", A1042&lt;60, "ภาคเหนือ", A1042&lt;80, "ภาคกลาง/ตะวันตก", A1042&gt;=80, "ภาคใต้")</f>
        <v>ภาคตะวันออกเฉียงเหนือ</v>
      </c>
      <c r="D1042" s="64">
        <v>4164</v>
      </c>
      <c r="E1042" s="10" t="s">
        <v>1372</v>
      </c>
      <c r="F1042" s="11">
        <v>3514</v>
      </c>
      <c r="G1042" s="11">
        <v>3673</v>
      </c>
      <c r="H1042" s="11">
        <v>7187</v>
      </c>
      <c r="I1042" s="11">
        <v>2842</v>
      </c>
      <c r="J1042" s="66">
        <f t="shared" si="62"/>
        <v>48.893836092945598</v>
      </c>
      <c r="K1042" s="66">
        <f t="shared" si="63"/>
        <v>51.106163907054402</v>
      </c>
    </row>
    <row r="1043" spans="1:11" ht="41.4" x14ac:dyDescent="0.3">
      <c r="A1043" s="10">
        <v>41</v>
      </c>
      <c r="B1043" s="10" t="s">
        <v>1345</v>
      </c>
      <c r="C1043" s="10" t="str" cm="1">
        <f t="array" ref="C1043">_xlfn.IFS(A1043&lt;20, "ภาคกลาง", A1043&lt;30, "ภาคตะวันออก", A1043&lt;50, "ภาคตะวันออกเฉียงเหนือ", A1043&lt;60, "ภาคเหนือ", A1043&lt;80, "ภาคกลาง/ตะวันตก", A1043&gt;=80, "ภาคใต้")</f>
        <v>ภาคตะวันออกเฉียงเหนือ</v>
      </c>
      <c r="D1043" s="64">
        <v>4165</v>
      </c>
      <c r="E1043" s="10" t="s">
        <v>1373</v>
      </c>
      <c r="F1043" s="11">
        <v>8201</v>
      </c>
      <c r="G1043" s="11">
        <v>8566</v>
      </c>
      <c r="H1043" s="11">
        <v>16767</v>
      </c>
      <c r="I1043" s="11">
        <v>5405</v>
      </c>
      <c r="J1043" s="66">
        <f t="shared" si="62"/>
        <v>48.911552454225557</v>
      </c>
      <c r="K1043" s="66">
        <f t="shared" si="63"/>
        <v>51.088447545774443</v>
      </c>
    </row>
    <row r="1044" spans="1:11" ht="41.4" x14ac:dyDescent="0.3">
      <c r="A1044" s="10">
        <v>41</v>
      </c>
      <c r="B1044" s="10" t="s">
        <v>1345</v>
      </c>
      <c r="C1044" s="10" t="str" cm="1">
        <f t="array" ref="C1044">_xlfn.IFS(A1044&lt;20, "ภาคกลาง", A1044&lt;30, "ภาคตะวันออก", A1044&lt;50, "ภาคตะวันออกเฉียงเหนือ", A1044&lt;60, "ภาคเหนือ", A1044&lt;80, "ภาคกลาง/ตะวันตก", A1044&gt;=80, "ภาคใต้")</f>
        <v>ภาคตะวันออกเฉียงเหนือ</v>
      </c>
      <c r="D1044" s="64">
        <v>4166</v>
      </c>
      <c r="E1044" s="10" t="s">
        <v>1374</v>
      </c>
      <c r="F1044" s="11">
        <v>5157</v>
      </c>
      <c r="G1044" s="11">
        <v>5290</v>
      </c>
      <c r="H1044" s="11">
        <v>10447</v>
      </c>
      <c r="I1044" s="11">
        <v>3361</v>
      </c>
      <c r="J1044" s="66">
        <f t="shared" si="62"/>
        <v>49.363453623049679</v>
      </c>
      <c r="K1044" s="66">
        <f t="shared" si="63"/>
        <v>50.636546376950321</v>
      </c>
    </row>
    <row r="1045" spans="1:11" ht="41.4" x14ac:dyDescent="0.3">
      <c r="A1045" s="10">
        <v>41</v>
      </c>
      <c r="B1045" s="10" t="s">
        <v>1345</v>
      </c>
      <c r="C1045" s="10" t="str" cm="1">
        <f t="array" ref="C1045">_xlfn.IFS(A1045&lt;20, "ภาคกลาง", A1045&lt;30, "ภาคตะวันออก", A1045&lt;50, "ภาคตะวันออกเฉียงเหนือ", A1045&lt;60, "ภาคเหนือ", A1045&lt;80, "ภาคกลาง/ตะวันตก", A1045&gt;=80, "ภาคใต้")</f>
        <v>ภาคตะวันออกเฉียงเหนือ</v>
      </c>
      <c r="D1045" s="64">
        <v>4167</v>
      </c>
      <c r="E1045" s="10" t="s">
        <v>1375</v>
      </c>
      <c r="F1045" s="11">
        <v>2798</v>
      </c>
      <c r="G1045" s="11">
        <v>2814</v>
      </c>
      <c r="H1045" s="11">
        <v>5612</v>
      </c>
      <c r="I1045" s="11">
        <v>2173</v>
      </c>
      <c r="J1045" s="66">
        <f t="shared" si="62"/>
        <v>49.857448325017813</v>
      </c>
      <c r="K1045" s="66">
        <f t="shared" si="63"/>
        <v>50.142551674982187</v>
      </c>
    </row>
    <row r="1046" spans="1:11" ht="41.4" x14ac:dyDescent="0.3">
      <c r="A1046" s="10">
        <v>41</v>
      </c>
      <c r="B1046" s="10" t="s">
        <v>1345</v>
      </c>
      <c r="C1046" s="10" t="str" cm="1">
        <f t="array" ref="C1046">_xlfn.IFS(A1046&lt;20, "ภาคกลาง", A1046&lt;30, "ภาคตะวันออก", A1046&lt;50, "ภาคตะวันออกเฉียงเหนือ", A1046&lt;60, "ภาคเหนือ", A1046&lt;80, "ภาคกลาง/ตะวันตก", A1046&gt;=80, "ภาคใต้")</f>
        <v>ภาคตะวันออกเฉียงเหนือ</v>
      </c>
      <c r="D1046" s="64">
        <v>4168</v>
      </c>
      <c r="E1046" s="10" t="s">
        <v>1375</v>
      </c>
      <c r="F1046" s="11">
        <v>4602</v>
      </c>
      <c r="G1046" s="11">
        <v>4785</v>
      </c>
      <c r="H1046" s="11">
        <v>9387</v>
      </c>
      <c r="I1046" s="11">
        <v>2879</v>
      </c>
      <c r="J1046" s="66">
        <f t="shared" si="62"/>
        <v>49.025247682965805</v>
      </c>
      <c r="K1046" s="66">
        <f t="shared" si="63"/>
        <v>50.974752317034202</v>
      </c>
    </row>
    <row r="1047" spans="1:11" ht="41.4" x14ac:dyDescent="0.3">
      <c r="A1047" s="10">
        <v>41</v>
      </c>
      <c r="B1047" s="10" t="s">
        <v>1345</v>
      </c>
      <c r="C1047" s="10" t="str" cm="1">
        <f t="array" ref="C1047">_xlfn.IFS(A1047&lt;20, "ภาคกลาง", A1047&lt;30, "ภาคตะวันออก", A1047&lt;50, "ภาคตะวันออกเฉียงเหนือ", A1047&lt;60, "ภาคเหนือ", A1047&lt;80, "ภาคกลาง/ตะวันตก", A1047&gt;=80, "ภาคใต้")</f>
        <v>ภาคตะวันออกเฉียงเหนือ</v>
      </c>
      <c r="D1047" s="64">
        <v>4169</v>
      </c>
      <c r="E1047" s="10" t="s">
        <v>1376</v>
      </c>
      <c r="F1047" s="11">
        <v>4034</v>
      </c>
      <c r="G1047" s="11">
        <v>4812</v>
      </c>
      <c r="H1047" s="11">
        <v>8846</v>
      </c>
      <c r="I1047" s="11">
        <v>2909</v>
      </c>
      <c r="J1047" s="66">
        <f t="shared" si="62"/>
        <v>45.602532217951619</v>
      </c>
      <c r="K1047" s="66">
        <f t="shared" si="63"/>
        <v>54.397467782048381</v>
      </c>
    </row>
    <row r="1048" spans="1:11" ht="41.4" x14ac:dyDescent="0.3">
      <c r="A1048" s="10">
        <v>41</v>
      </c>
      <c r="B1048" s="10" t="s">
        <v>1345</v>
      </c>
      <c r="C1048" s="10" t="str" cm="1">
        <f t="array" ref="C1048">_xlfn.IFS(A1048&lt;20, "ภาคกลาง", A1048&lt;30, "ภาคตะวันออก", A1048&lt;50, "ภาคตะวันออกเฉียงเหนือ", A1048&lt;60, "ภาคเหนือ", A1048&lt;80, "ภาคกลาง/ตะวันตก", A1048&gt;=80, "ภาคใต้")</f>
        <v>ภาคตะวันออกเฉียงเหนือ</v>
      </c>
      <c r="D1048" s="64">
        <v>4170</v>
      </c>
      <c r="E1048" s="10" t="s">
        <v>1377</v>
      </c>
      <c r="F1048" s="11">
        <v>5431</v>
      </c>
      <c r="G1048" s="11">
        <v>5583</v>
      </c>
      <c r="H1048" s="11">
        <v>11014</v>
      </c>
      <c r="I1048" s="11">
        <v>3558</v>
      </c>
      <c r="J1048" s="66">
        <f t="shared" si="62"/>
        <v>49.309969130197928</v>
      </c>
      <c r="K1048" s="66">
        <f t="shared" si="63"/>
        <v>50.690030869802072</v>
      </c>
    </row>
    <row r="1049" spans="1:11" ht="41.4" x14ac:dyDescent="0.3">
      <c r="A1049" s="10">
        <v>41</v>
      </c>
      <c r="B1049" s="10" t="s">
        <v>1345</v>
      </c>
      <c r="C1049" s="10" t="str" cm="1">
        <f t="array" ref="C1049">_xlfn.IFS(A1049&lt;20, "ภาคกลาง", A1049&lt;30, "ภาคตะวันออก", A1049&lt;50, "ภาคตะวันออกเฉียงเหนือ", A1049&lt;60, "ภาคเหนือ", A1049&lt;80, "ภาคกลาง/ตะวันตก", A1049&gt;=80, "ภาคใต้")</f>
        <v>ภาคตะวันออกเฉียงเหนือ</v>
      </c>
      <c r="D1049" s="64">
        <v>4171</v>
      </c>
      <c r="E1049" s="10" t="s">
        <v>1378</v>
      </c>
      <c r="F1049" s="11">
        <v>1973</v>
      </c>
      <c r="G1049" s="11">
        <v>1981</v>
      </c>
      <c r="H1049" s="11">
        <v>3954</v>
      </c>
      <c r="I1049" s="11">
        <v>1007</v>
      </c>
      <c r="J1049" s="66">
        <f t="shared" si="62"/>
        <v>49.898836621143147</v>
      </c>
      <c r="K1049" s="66">
        <f t="shared" si="63"/>
        <v>50.101163378856853</v>
      </c>
    </row>
    <row r="1050" spans="1:11" ht="41.4" x14ac:dyDescent="0.3">
      <c r="A1050" s="10">
        <v>41</v>
      </c>
      <c r="B1050" s="10" t="s">
        <v>1345</v>
      </c>
      <c r="C1050" s="10" t="str" cm="1">
        <f t="array" ref="C1050">_xlfn.IFS(A1050&lt;20, "ภาคกลาง", A1050&lt;30, "ภาคตะวันออก", A1050&lt;50, "ภาคตะวันออกเฉียงเหนือ", A1050&lt;60, "ภาคเหนือ", A1050&lt;80, "ภาคกลาง/ตะวันตก", A1050&gt;=80, "ภาคใต้")</f>
        <v>ภาคตะวันออกเฉียงเหนือ</v>
      </c>
      <c r="D1050" s="64">
        <v>4172</v>
      </c>
      <c r="E1050" s="10" t="s">
        <v>1379</v>
      </c>
      <c r="F1050" s="11">
        <v>1292</v>
      </c>
      <c r="G1050" s="11">
        <v>1340</v>
      </c>
      <c r="H1050" s="11">
        <v>2632</v>
      </c>
      <c r="I1050" s="11">
        <v>1674</v>
      </c>
      <c r="J1050" s="66">
        <f t="shared" si="62"/>
        <v>49.088145896656535</v>
      </c>
      <c r="K1050" s="66">
        <f t="shared" si="63"/>
        <v>50.911854103343465</v>
      </c>
    </row>
    <row r="1051" spans="1:11" ht="41.4" x14ac:dyDescent="0.3">
      <c r="A1051" s="10">
        <v>41</v>
      </c>
      <c r="B1051" s="10" t="s">
        <v>1345</v>
      </c>
      <c r="C1051" s="10" t="str" cm="1">
        <f t="array" ref="C1051">_xlfn.IFS(A1051&lt;20, "ภาคกลาง", A1051&lt;30, "ภาคตะวันออก", A1051&lt;50, "ภาคตะวันออกเฉียงเหนือ", A1051&lt;60, "ภาคเหนือ", A1051&lt;80, "ภาคกลาง/ตะวันตก", A1051&gt;=80, "ภาคใต้")</f>
        <v>ภาคตะวันออกเฉียงเหนือ</v>
      </c>
      <c r="D1051" s="64">
        <v>4173</v>
      </c>
      <c r="E1051" s="10" t="s">
        <v>1380</v>
      </c>
      <c r="F1051" s="11">
        <v>4198</v>
      </c>
      <c r="G1051" s="11">
        <v>4406</v>
      </c>
      <c r="H1051" s="11">
        <v>8604</v>
      </c>
      <c r="I1051" s="11">
        <v>2673</v>
      </c>
      <c r="J1051" s="66">
        <f t="shared" si="62"/>
        <v>48.791259879125988</v>
      </c>
      <c r="K1051" s="66">
        <f t="shared" si="63"/>
        <v>51.208740120874005</v>
      </c>
    </row>
    <row r="1052" spans="1:11" ht="41.4" x14ac:dyDescent="0.3">
      <c r="A1052" s="10">
        <v>41</v>
      </c>
      <c r="B1052" s="10" t="s">
        <v>1345</v>
      </c>
      <c r="C1052" s="10" t="str" cm="1">
        <f t="array" ref="C1052">_xlfn.IFS(A1052&lt;20, "ภาคกลาง", A1052&lt;30, "ภาคตะวันออก", A1052&lt;50, "ภาคตะวันออกเฉียงเหนือ", A1052&lt;60, "ภาคเหนือ", A1052&lt;80, "ภาคกลาง/ตะวันตก", A1052&gt;=80, "ภาคใต้")</f>
        <v>ภาคตะวันออกเฉียงเหนือ</v>
      </c>
      <c r="D1052" s="64">
        <v>4174</v>
      </c>
      <c r="E1052" s="10" t="s">
        <v>1381</v>
      </c>
      <c r="F1052" s="11">
        <v>4338</v>
      </c>
      <c r="G1052" s="11">
        <v>4415</v>
      </c>
      <c r="H1052" s="11">
        <v>8753</v>
      </c>
      <c r="I1052" s="11">
        <v>3569</v>
      </c>
      <c r="J1052" s="66">
        <f t="shared" si="62"/>
        <v>49.560150805438134</v>
      </c>
      <c r="K1052" s="66">
        <f t="shared" si="63"/>
        <v>50.439849194561873</v>
      </c>
    </row>
    <row r="1053" spans="1:11" ht="41.4" x14ac:dyDescent="0.3">
      <c r="A1053" s="10">
        <v>41</v>
      </c>
      <c r="B1053" s="10" t="s">
        <v>1345</v>
      </c>
      <c r="C1053" s="10" t="str" cm="1">
        <f t="array" ref="C1053">_xlfn.IFS(A1053&lt;20, "ภาคกลาง", A1053&lt;30, "ภาคตะวันออก", A1053&lt;50, "ภาคตะวันออกเฉียงเหนือ", A1053&lt;60, "ภาคเหนือ", A1053&lt;80, "ภาคกลาง/ตะวันตก", A1053&gt;=80, "ภาคใต้")</f>
        <v>ภาคตะวันออกเฉียงเหนือ</v>
      </c>
      <c r="D1053" s="64">
        <v>4175</v>
      </c>
      <c r="E1053" s="10" t="s">
        <v>1382</v>
      </c>
      <c r="F1053" s="11">
        <v>3615</v>
      </c>
      <c r="G1053" s="11">
        <v>3910</v>
      </c>
      <c r="H1053" s="11">
        <v>7525</v>
      </c>
      <c r="I1053" s="11">
        <v>4343</v>
      </c>
      <c r="J1053" s="66">
        <f t="shared" si="62"/>
        <v>48.039867109634557</v>
      </c>
      <c r="K1053" s="66">
        <f t="shared" si="63"/>
        <v>51.96013289036545</v>
      </c>
    </row>
    <row r="1054" spans="1:11" ht="41.4" x14ac:dyDescent="0.3">
      <c r="A1054" s="10">
        <v>41</v>
      </c>
      <c r="B1054" s="10" t="s">
        <v>1345</v>
      </c>
      <c r="C1054" s="10" t="str" cm="1">
        <f t="array" ref="C1054">_xlfn.IFS(A1054&lt;20, "ภาคกลาง", A1054&lt;30, "ภาคตะวันออก", A1054&lt;50, "ภาคตะวันออกเฉียงเหนือ", A1054&lt;60, "ภาคเหนือ", A1054&lt;80, "ภาคกลาง/ตะวันตก", A1054&gt;=80, "ภาคใต้")</f>
        <v>ภาคตะวันออกเฉียงเหนือ</v>
      </c>
      <c r="D1054" s="64">
        <v>4176</v>
      </c>
      <c r="E1054" s="10" t="s">
        <v>1383</v>
      </c>
      <c r="F1054" s="11">
        <v>7114</v>
      </c>
      <c r="G1054" s="11">
        <v>7678</v>
      </c>
      <c r="H1054" s="11">
        <v>14792</v>
      </c>
      <c r="I1054" s="11">
        <v>6671</v>
      </c>
      <c r="J1054" s="66">
        <f t="shared" si="62"/>
        <v>48.093564088696596</v>
      </c>
      <c r="K1054" s="66">
        <f t="shared" si="63"/>
        <v>51.906435911303404</v>
      </c>
    </row>
    <row r="1055" spans="1:11" ht="41.4" x14ac:dyDescent="0.3">
      <c r="A1055" s="10">
        <v>41</v>
      </c>
      <c r="B1055" s="10" t="s">
        <v>1345</v>
      </c>
      <c r="C1055" s="10" t="str" cm="1">
        <f t="array" ref="C1055">_xlfn.IFS(A1055&lt;20, "ภาคกลาง", A1055&lt;30, "ภาคตะวันออก", A1055&lt;50, "ภาคตะวันออกเฉียงเหนือ", A1055&lt;60, "ภาคเหนือ", A1055&lt;80, "ภาคกลาง/ตะวันตก", A1055&gt;=80, "ภาคใต้")</f>
        <v>ภาคตะวันออกเฉียงเหนือ</v>
      </c>
      <c r="D1055" s="64">
        <v>4177</v>
      </c>
      <c r="E1055" s="10" t="s">
        <v>1384</v>
      </c>
      <c r="F1055" s="11">
        <v>2814</v>
      </c>
      <c r="G1055" s="11">
        <v>2993</v>
      </c>
      <c r="H1055" s="11">
        <v>5807</v>
      </c>
      <c r="I1055" s="11">
        <v>2958</v>
      </c>
      <c r="J1055" s="66">
        <f t="shared" si="62"/>
        <v>48.458756672980883</v>
      </c>
      <c r="K1055" s="66">
        <f t="shared" si="63"/>
        <v>51.541243327019117</v>
      </c>
    </row>
    <row r="1056" spans="1:11" ht="41.4" x14ac:dyDescent="0.3">
      <c r="A1056" s="10">
        <v>41</v>
      </c>
      <c r="B1056" s="10" t="s">
        <v>1345</v>
      </c>
      <c r="C1056" s="10" t="str" cm="1">
        <f t="array" ref="C1056">_xlfn.IFS(A1056&lt;20, "ภาคกลาง", A1056&lt;30, "ภาคตะวันออก", A1056&lt;50, "ภาคตะวันออกเฉียงเหนือ", A1056&lt;60, "ภาคเหนือ", A1056&lt;80, "ภาคกลาง/ตะวันตก", A1056&gt;=80, "ภาคใต้")</f>
        <v>ภาคตะวันออกเฉียงเหนือ</v>
      </c>
      <c r="D1056" s="64">
        <v>4178</v>
      </c>
      <c r="E1056" s="10" t="s">
        <v>1385</v>
      </c>
      <c r="F1056" s="11">
        <v>2624</v>
      </c>
      <c r="G1056" s="11">
        <v>2711</v>
      </c>
      <c r="H1056" s="11">
        <v>5335</v>
      </c>
      <c r="I1056" s="11">
        <v>1970</v>
      </c>
      <c r="J1056" s="66">
        <f t="shared" si="62"/>
        <v>49.184629803186503</v>
      </c>
      <c r="K1056" s="66">
        <f t="shared" si="63"/>
        <v>50.81537019681349</v>
      </c>
    </row>
    <row r="1057" spans="1:11" ht="41.4" x14ac:dyDescent="0.3">
      <c r="A1057" s="10">
        <v>41</v>
      </c>
      <c r="B1057" s="10" t="s">
        <v>1345</v>
      </c>
      <c r="C1057" s="10" t="str" cm="1">
        <f t="array" ref="C1057">_xlfn.IFS(A1057&lt;20, "ภาคกลาง", A1057&lt;30, "ภาคตะวันออก", A1057&lt;50, "ภาคตะวันออกเฉียงเหนือ", A1057&lt;60, "ภาคเหนือ", A1057&lt;80, "ภาคกลาง/ตะวันตก", A1057&gt;=80, "ภาคใต้")</f>
        <v>ภาคตะวันออกเฉียงเหนือ</v>
      </c>
      <c r="D1057" s="64">
        <v>4179</v>
      </c>
      <c r="E1057" s="10" t="s">
        <v>1386</v>
      </c>
      <c r="F1057" s="11">
        <v>3913</v>
      </c>
      <c r="G1057" s="11">
        <v>4146</v>
      </c>
      <c r="H1057" s="11">
        <v>8059</v>
      </c>
      <c r="I1057" s="11">
        <v>2575</v>
      </c>
      <c r="J1057" s="66">
        <f t="shared" si="62"/>
        <v>48.554411217272616</v>
      </c>
      <c r="K1057" s="66">
        <f t="shared" si="63"/>
        <v>51.445588782727384</v>
      </c>
    </row>
    <row r="1058" spans="1:11" ht="41.4" x14ac:dyDescent="0.3">
      <c r="A1058" s="10">
        <v>41</v>
      </c>
      <c r="B1058" s="10" t="s">
        <v>1345</v>
      </c>
      <c r="C1058" s="10" t="str" cm="1">
        <f t="array" ref="C1058">_xlfn.IFS(A1058&lt;20, "ภาคกลาง", A1058&lt;30, "ภาคตะวันออก", A1058&lt;50, "ภาคตะวันออกเฉียงเหนือ", A1058&lt;60, "ภาคเหนือ", A1058&lt;80, "ภาคกลาง/ตะวันตก", A1058&gt;=80, "ภาคใต้")</f>
        <v>ภาคตะวันออกเฉียงเหนือ</v>
      </c>
      <c r="D1058" s="64">
        <v>4180</v>
      </c>
      <c r="E1058" s="10" t="s">
        <v>1387</v>
      </c>
      <c r="F1058" s="11">
        <v>3332</v>
      </c>
      <c r="G1058" s="11">
        <v>3628</v>
      </c>
      <c r="H1058" s="11">
        <v>6960</v>
      </c>
      <c r="I1058" s="11">
        <v>2308</v>
      </c>
      <c r="J1058" s="66">
        <f t="shared" si="62"/>
        <v>47.8735632183908</v>
      </c>
      <c r="K1058" s="66">
        <f t="shared" si="63"/>
        <v>52.1264367816092</v>
      </c>
    </row>
    <row r="1059" spans="1:11" ht="41.4" x14ac:dyDescent="0.3">
      <c r="A1059" s="10">
        <v>41</v>
      </c>
      <c r="B1059" s="10" t="s">
        <v>1345</v>
      </c>
      <c r="C1059" s="10" t="str" cm="1">
        <f t="array" ref="C1059">_xlfn.IFS(A1059&lt;20, "ภาคกลาง", A1059&lt;30, "ภาคตะวันออก", A1059&lt;50, "ภาคตะวันออกเฉียงเหนือ", A1059&lt;60, "ภาคเหนือ", A1059&lt;80, "ภาคกลาง/ตะวันตก", A1059&gt;=80, "ภาคใต้")</f>
        <v>ภาคตะวันออกเฉียงเหนือ</v>
      </c>
      <c r="D1059" s="64">
        <v>4181</v>
      </c>
      <c r="E1059" s="10" t="s">
        <v>1388</v>
      </c>
      <c r="F1059" s="11">
        <v>1888</v>
      </c>
      <c r="G1059" s="11">
        <v>2108</v>
      </c>
      <c r="H1059" s="11">
        <v>3996</v>
      </c>
      <c r="I1059" s="11">
        <v>1926</v>
      </c>
      <c r="J1059" s="66">
        <f t="shared" si="62"/>
        <v>47.247247247247245</v>
      </c>
      <c r="K1059" s="66">
        <f t="shared" si="63"/>
        <v>52.752752752752755</v>
      </c>
    </row>
    <row r="1060" spans="1:11" ht="41.4" x14ac:dyDescent="0.3">
      <c r="A1060" s="10">
        <v>41</v>
      </c>
      <c r="B1060" s="10" t="s">
        <v>1345</v>
      </c>
      <c r="C1060" s="10" t="str" cm="1">
        <f t="array" ref="C1060">_xlfn.IFS(A1060&lt;20, "ภาคกลาง", A1060&lt;30, "ภาคตะวันออก", A1060&lt;50, "ภาคตะวันออกเฉียงเหนือ", A1060&lt;60, "ภาคเหนือ", A1060&lt;80, "ภาคกลาง/ตะวันตก", A1060&gt;=80, "ภาคใต้")</f>
        <v>ภาคตะวันออกเฉียงเหนือ</v>
      </c>
      <c r="D1060" s="64">
        <v>4182</v>
      </c>
      <c r="E1060" s="10" t="s">
        <v>1389</v>
      </c>
      <c r="F1060" s="11">
        <v>4010</v>
      </c>
      <c r="G1060" s="11">
        <v>4020</v>
      </c>
      <c r="H1060" s="11">
        <v>8030</v>
      </c>
      <c r="I1060" s="11">
        <v>2371</v>
      </c>
      <c r="J1060" s="66">
        <f t="shared" si="62"/>
        <v>49.937733499377337</v>
      </c>
      <c r="K1060" s="66">
        <f t="shared" si="63"/>
        <v>50.062266500622663</v>
      </c>
    </row>
    <row r="1061" spans="1:11" ht="41.4" x14ac:dyDescent="0.3">
      <c r="A1061" s="10">
        <v>41</v>
      </c>
      <c r="B1061" s="10" t="s">
        <v>1345</v>
      </c>
      <c r="C1061" s="10" t="str" cm="1">
        <f t="array" ref="C1061">_xlfn.IFS(A1061&lt;20, "ภาคกลาง", A1061&lt;30, "ภาคตะวันออก", A1061&lt;50, "ภาคตะวันออกเฉียงเหนือ", A1061&lt;60, "ภาคเหนือ", A1061&lt;80, "ภาคกลาง/ตะวันตก", A1061&gt;=80, "ภาคใต้")</f>
        <v>ภาคตะวันออกเฉียงเหนือ</v>
      </c>
      <c r="D1061" s="64">
        <v>4183</v>
      </c>
      <c r="E1061" s="10" t="s">
        <v>1390</v>
      </c>
      <c r="F1061" s="11">
        <v>2779</v>
      </c>
      <c r="G1061" s="11">
        <v>2823</v>
      </c>
      <c r="H1061" s="11">
        <v>5602</v>
      </c>
      <c r="I1061" s="11">
        <v>2047</v>
      </c>
      <c r="J1061" s="66">
        <f t="shared" si="62"/>
        <v>49.607283113173864</v>
      </c>
      <c r="K1061" s="66">
        <f t="shared" si="63"/>
        <v>50.392716886826136</v>
      </c>
    </row>
    <row r="1062" spans="1:11" ht="41.4" x14ac:dyDescent="0.3">
      <c r="A1062" s="10">
        <v>41</v>
      </c>
      <c r="B1062" s="10" t="s">
        <v>1345</v>
      </c>
      <c r="C1062" s="10" t="str" cm="1">
        <f t="array" ref="C1062">_xlfn.IFS(A1062&lt;20, "ภาคกลาง", A1062&lt;30, "ภาคตะวันออก", A1062&lt;50, "ภาคตะวันออกเฉียงเหนือ", A1062&lt;60, "ภาคเหนือ", A1062&lt;80, "ภาคกลาง/ตะวันตก", A1062&gt;=80, "ภาคใต้")</f>
        <v>ภาคตะวันออกเฉียงเหนือ</v>
      </c>
      <c r="D1062" s="64">
        <v>4184</v>
      </c>
      <c r="E1062" s="10" t="s">
        <v>1391</v>
      </c>
      <c r="F1062" s="11">
        <v>2065</v>
      </c>
      <c r="G1062" s="11">
        <v>2198</v>
      </c>
      <c r="H1062" s="11">
        <v>4263</v>
      </c>
      <c r="I1062" s="11">
        <v>1801</v>
      </c>
      <c r="J1062" s="66">
        <f t="shared" si="62"/>
        <v>48.440065681444992</v>
      </c>
      <c r="K1062" s="66">
        <f t="shared" si="63"/>
        <v>51.559934318555008</v>
      </c>
    </row>
    <row r="1063" spans="1:11" ht="41.4" x14ac:dyDescent="0.3">
      <c r="A1063" s="10">
        <v>41</v>
      </c>
      <c r="B1063" s="10" t="s">
        <v>1345</v>
      </c>
      <c r="C1063" s="10" t="str" cm="1">
        <f t="array" ref="C1063">_xlfn.IFS(A1063&lt;20, "ภาคกลาง", A1063&lt;30, "ภาคตะวันออก", A1063&lt;50, "ภาคตะวันออกเฉียงเหนือ", A1063&lt;60, "ภาคเหนือ", A1063&lt;80, "ภาคกลาง/ตะวันตก", A1063&gt;=80, "ภาคใต้")</f>
        <v>ภาคตะวันออกเฉียงเหนือ</v>
      </c>
      <c r="D1063" s="64">
        <v>4185</v>
      </c>
      <c r="E1063" s="10" t="s">
        <v>1392</v>
      </c>
      <c r="F1063" s="11">
        <v>2468</v>
      </c>
      <c r="G1063" s="11">
        <v>2578</v>
      </c>
      <c r="H1063" s="11">
        <v>5046</v>
      </c>
      <c r="I1063" s="11">
        <v>1760</v>
      </c>
      <c r="J1063" s="66">
        <f t="shared" si="62"/>
        <v>48.910027744748312</v>
      </c>
      <c r="K1063" s="66">
        <f t="shared" si="63"/>
        <v>51.089972255251681</v>
      </c>
    </row>
    <row r="1064" spans="1:11" ht="41.4" x14ac:dyDescent="0.3">
      <c r="A1064" s="10">
        <v>41</v>
      </c>
      <c r="B1064" s="10" t="s">
        <v>1345</v>
      </c>
      <c r="C1064" s="10" t="str" cm="1">
        <f t="array" ref="C1064">_xlfn.IFS(A1064&lt;20, "ภาคกลาง", A1064&lt;30, "ภาคตะวันออก", A1064&lt;50, "ภาคตะวันออกเฉียงเหนือ", A1064&lt;60, "ภาคเหนือ", A1064&lt;80, "ภาคกลาง/ตะวันตก", A1064&gt;=80, "ภาคใต้")</f>
        <v>ภาคตะวันออกเฉียงเหนือ</v>
      </c>
      <c r="D1064" s="64">
        <v>4186</v>
      </c>
      <c r="E1064" s="10" t="s">
        <v>1393</v>
      </c>
      <c r="F1064" s="11">
        <v>2517</v>
      </c>
      <c r="G1064" s="11">
        <v>2787</v>
      </c>
      <c r="H1064" s="11">
        <v>5304</v>
      </c>
      <c r="I1064" s="11">
        <v>2752</v>
      </c>
      <c r="J1064" s="66">
        <f t="shared" si="62"/>
        <v>47.45475113122172</v>
      </c>
      <c r="K1064" s="66">
        <f t="shared" si="63"/>
        <v>52.54524886877828</v>
      </c>
    </row>
    <row r="1065" spans="1:11" ht="41.4" x14ac:dyDescent="0.3">
      <c r="A1065" s="10">
        <v>41</v>
      </c>
      <c r="B1065" s="10" t="s">
        <v>1345</v>
      </c>
      <c r="C1065" s="10" t="str" cm="1">
        <f t="array" ref="C1065">_xlfn.IFS(A1065&lt;20, "ภาคกลาง", A1065&lt;30, "ภาคตะวันออก", A1065&lt;50, "ภาคตะวันออกเฉียงเหนือ", A1065&lt;60, "ภาคเหนือ", A1065&lt;80, "ภาคกลาง/ตะวันตก", A1065&gt;=80, "ภาคใต้")</f>
        <v>ภาคตะวันออกเฉียงเหนือ</v>
      </c>
      <c r="D1065" s="64">
        <v>4187</v>
      </c>
      <c r="E1065" s="10" t="s">
        <v>1394</v>
      </c>
      <c r="F1065" s="11">
        <v>3703</v>
      </c>
      <c r="G1065" s="11">
        <v>4026</v>
      </c>
      <c r="H1065" s="11">
        <v>7729</v>
      </c>
      <c r="I1065" s="11">
        <v>4609</v>
      </c>
      <c r="J1065" s="66">
        <f t="shared" si="62"/>
        <v>47.91046707206624</v>
      </c>
      <c r="K1065" s="66">
        <f t="shared" si="63"/>
        <v>52.08953292793376</v>
      </c>
    </row>
    <row r="1066" spans="1:11" ht="41.4" x14ac:dyDescent="0.3">
      <c r="A1066" s="10">
        <v>41</v>
      </c>
      <c r="B1066" s="10" t="s">
        <v>1345</v>
      </c>
      <c r="C1066" s="10" t="str" cm="1">
        <f t="array" ref="C1066">_xlfn.IFS(A1066&lt;20, "ภาคกลาง", A1066&lt;30, "ภาคตะวันออก", A1066&lt;50, "ภาคตะวันออกเฉียงเหนือ", A1066&lt;60, "ภาคเหนือ", A1066&lt;80, "ภาคกลาง/ตะวันตก", A1066&gt;=80, "ภาคใต้")</f>
        <v>ภาคตะวันออกเฉียงเหนือ</v>
      </c>
      <c r="D1066" s="64">
        <v>4188</v>
      </c>
      <c r="E1066" s="10" t="s">
        <v>1395</v>
      </c>
      <c r="F1066" s="11">
        <v>3713</v>
      </c>
      <c r="G1066" s="11">
        <v>3942</v>
      </c>
      <c r="H1066" s="11">
        <v>7655</v>
      </c>
      <c r="I1066" s="11">
        <v>2421</v>
      </c>
      <c r="J1066" s="66">
        <f t="shared" si="62"/>
        <v>48.50424559111692</v>
      </c>
      <c r="K1066" s="66">
        <f t="shared" si="63"/>
        <v>51.495754408883087</v>
      </c>
    </row>
    <row r="1067" spans="1:11" ht="41.4" x14ac:dyDescent="0.3">
      <c r="A1067" s="10">
        <v>41</v>
      </c>
      <c r="B1067" s="10" t="s">
        <v>1345</v>
      </c>
      <c r="C1067" s="10" t="str" cm="1">
        <f t="array" ref="C1067">_xlfn.IFS(A1067&lt;20, "ภาคกลาง", A1067&lt;30, "ภาคตะวันออก", A1067&lt;50, "ภาคตะวันออกเฉียงเหนือ", A1067&lt;60, "ภาคเหนือ", A1067&lt;80, "ภาคกลาง/ตะวันตก", A1067&gt;=80, "ภาคใต้")</f>
        <v>ภาคตะวันออกเฉียงเหนือ</v>
      </c>
      <c r="D1067" s="64">
        <v>4189</v>
      </c>
      <c r="E1067" s="10" t="s">
        <v>1396</v>
      </c>
      <c r="F1067" s="11">
        <v>4569</v>
      </c>
      <c r="G1067" s="11">
        <v>4803</v>
      </c>
      <c r="H1067" s="11">
        <v>9372</v>
      </c>
      <c r="I1067" s="11">
        <v>3045</v>
      </c>
      <c r="J1067" s="66">
        <f t="shared" si="62"/>
        <v>48.751600512163897</v>
      </c>
      <c r="K1067" s="66">
        <f t="shared" si="63"/>
        <v>51.248399487836103</v>
      </c>
    </row>
    <row r="1068" spans="1:11" ht="41.4" x14ac:dyDescent="0.3">
      <c r="A1068" s="10">
        <v>41</v>
      </c>
      <c r="B1068" s="10" t="s">
        <v>1345</v>
      </c>
      <c r="C1068" s="10" t="str" cm="1">
        <f t="array" ref="C1068">_xlfn.IFS(A1068&lt;20, "ภาคกลาง", A1068&lt;30, "ภาคตะวันออก", A1068&lt;50, "ภาคตะวันออกเฉียงเหนือ", A1068&lt;60, "ภาคเหนือ", A1068&lt;80, "ภาคกลาง/ตะวันตก", A1068&gt;=80, "ภาคใต้")</f>
        <v>ภาคตะวันออกเฉียงเหนือ</v>
      </c>
      <c r="D1068" s="64">
        <v>4190</v>
      </c>
      <c r="E1068" s="10" t="s">
        <v>1397</v>
      </c>
      <c r="F1068" s="11">
        <v>1918</v>
      </c>
      <c r="G1068" s="11">
        <v>1944</v>
      </c>
      <c r="H1068" s="11">
        <v>3862</v>
      </c>
      <c r="I1068" s="11">
        <v>1121</v>
      </c>
      <c r="J1068" s="66">
        <f t="shared" si="62"/>
        <v>49.663386846193681</v>
      </c>
      <c r="K1068" s="66">
        <f t="shared" si="63"/>
        <v>50.336613153806319</v>
      </c>
    </row>
    <row r="1069" spans="1:11" ht="41.4" x14ac:dyDescent="0.3">
      <c r="A1069" s="10">
        <v>41</v>
      </c>
      <c r="B1069" s="10" t="s">
        <v>1345</v>
      </c>
      <c r="C1069" s="10" t="str" cm="1">
        <f t="array" ref="C1069">_xlfn.IFS(A1069&lt;20, "ภาคกลาง", A1069&lt;30, "ภาคตะวันออก", A1069&lt;50, "ภาคตะวันออกเฉียงเหนือ", A1069&lt;60, "ภาคเหนือ", A1069&lt;80, "ภาคกลาง/ตะวันตก", A1069&gt;=80, "ภาคใต้")</f>
        <v>ภาคตะวันออกเฉียงเหนือ</v>
      </c>
      <c r="D1069" s="64">
        <v>4191</v>
      </c>
      <c r="E1069" s="10" t="s">
        <v>1398</v>
      </c>
      <c r="F1069" s="11">
        <v>1819</v>
      </c>
      <c r="G1069" s="11">
        <v>1843</v>
      </c>
      <c r="H1069" s="11">
        <v>3662</v>
      </c>
      <c r="I1069" s="10">
        <v>917</v>
      </c>
      <c r="J1069" s="66">
        <f t="shared" si="62"/>
        <v>49.672310212998362</v>
      </c>
      <c r="K1069" s="66">
        <f t="shared" si="63"/>
        <v>50.327689787001638</v>
      </c>
    </row>
    <row r="1070" spans="1:11" ht="41.4" x14ac:dyDescent="0.3">
      <c r="A1070" s="10">
        <v>41</v>
      </c>
      <c r="B1070" s="10" t="s">
        <v>1345</v>
      </c>
      <c r="C1070" s="10" t="str" cm="1">
        <f t="array" ref="C1070">_xlfn.IFS(A1070&lt;20, "ภาคกลาง", A1070&lt;30, "ภาคตะวันออก", A1070&lt;50, "ภาคตะวันออกเฉียงเหนือ", A1070&lt;60, "ภาคเหนือ", A1070&lt;80, "ภาคกลาง/ตะวันตก", A1070&gt;=80, "ภาคใต้")</f>
        <v>ภาคตะวันออกเฉียงเหนือ</v>
      </c>
      <c r="D1070" s="64">
        <v>4192</v>
      </c>
      <c r="E1070" s="10" t="s">
        <v>1399</v>
      </c>
      <c r="F1070" s="11">
        <v>1968</v>
      </c>
      <c r="G1070" s="11">
        <v>2013</v>
      </c>
      <c r="H1070" s="11">
        <v>3981</v>
      </c>
      <c r="I1070" s="11">
        <v>1235</v>
      </c>
      <c r="J1070" s="66">
        <f t="shared" si="62"/>
        <v>49.434815373021856</v>
      </c>
      <c r="K1070" s="66">
        <f t="shared" si="63"/>
        <v>50.565184626978144</v>
      </c>
    </row>
    <row r="1071" spans="1:11" ht="41.4" x14ac:dyDescent="0.3">
      <c r="A1071" s="10">
        <v>41</v>
      </c>
      <c r="B1071" s="10" t="s">
        <v>1345</v>
      </c>
      <c r="C1071" s="10" t="str" cm="1">
        <f t="array" ref="C1071">_xlfn.IFS(A1071&lt;20, "ภาคกลาง", A1071&lt;30, "ภาคตะวันออก", A1071&lt;50, "ภาคตะวันออกเฉียงเหนือ", A1071&lt;60, "ภาคเหนือ", A1071&lt;80, "ภาคกลาง/ตะวันตก", A1071&gt;=80, "ภาคใต้")</f>
        <v>ภาคตะวันออกเฉียงเหนือ</v>
      </c>
      <c r="D1071" s="64">
        <v>4193</v>
      </c>
      <c r="E1071" s="10" t="s">
        <v>760</v>
      </c>
      <c r="F1071" s="11">
        <v>4797</v>
      </c>
      <c r="G1071" s="11">
        <v>5135</v>
      </c>
      <c r="H1071" s="11">
        <v>9932</v>
      </c>
      <c r="I1071" s="11">
        <v>4132</v>
      </c>
      <c r="J1071" s="66">
        <f t="shared" si="62"/>
        <v>48.298429319371728</v>
      </c>
      <c r="K1071" s="66">
        <f t="shared" si="63"/>
        <v>51.701570680628272</v>
      </c>
    </row>
    <row r="1072" spans="1:11" ht="41.4" x14ac:dyDescent="0.3">
      <c r="A1072" s="10">
        <v>41</v>
      </c>
      <c r="B1072" s="10" t="s">
        <v>1345</v>
      </c>
      <c r="C1072" s="10" t="str" cm="1">
        <f t="array" ref="C1072">_xlfn.IFS(A1072&lt;20, "ภาคกลาง", A1072&lt;30, "ภาคตะวันออก", A1072&lt;50, "ภาคตะวันออกเฉียงเหนือ", A1072&lt;60, "ภาคเหนือ", A1072&lt;80, "ภาคกลาง/ตะวันตก", A1072&gt;=80, "ภาคใต้")</f>
        <v>ภาคตะวันออกเฉียงเหนือ</v>
      </c>
      <c r="D1072" s="64">
        <v>4194</v>
      </c>
      <c r="E1072" s="10" t="s">
        <v>1400</v>
      </c>
      <c r="F1072" s="11">
        <v>15766</v>
      </c>
      <c r="G1072" s="11">
        <v>17646</v>
      </c>
      <c r="H1072" s="11">
        <v>33412</v>
      </c>
      <c r="I1072" s="11">
        <v>17663</v>
      </c>
      <c r="J1072" s="66">
        <f t="shared" si="62"/>
        <v>47.186639530707531</v>
      </c>
      <c r="K1072" s="66">
        <f t="shared" si="63"/>
        <v>52.813360469292469</v>
      </c>
    </row>
    <row r="1073" spans="1:11" ht="41.4" x14ac:dyDescent="0.3">
      <c r="A1073" s="10">
        <v>41</v>
      </c>
      <c r="B1073" s="10" t="s">
        <v>1345</v>
      </c>
      <c r="C1073" s="10" t="str" cm="1">
        <f t="array" ref="C1073">_xlfn.IFS(A1073&lt;20, "ภาคกลาง", A1073&lt;30, "ภาคตะวันออก", A1073&lt;50, "ภาคตะวันออกเฉียงเหนือ", A1073&lt;60, "ภาคเหนือ", A1073&lt;80, "ภาคกลาง/ตะวันตก", A1073&gt;=80, "ภาคใต้")</f>
        <v>ภาคตะวันออกเฉียงเหนือ</v>
      </c>
      <c r="D1073" s="64">
        <v>4195</v>
      </c>
      <c r="E1073" s="10" t="s">
        <v>1401</v>
      </c>
      <c r="F1073" s="11">
        <v>14551</v>
      </c>
      <c r="G1073" s="11">
        <v>15928</v>
      </c>
      <c r="H1073" s="11">
        <v>30479</v>
      </c>
      <c r="I1073" s="11">
        <v>16400</v>
      </c>
      <c r="J1073" s="66">
        <f t="shared" si="62"/>
        <v>47.741067620328757</v>
      </c>
      <c r="K1073" s="66">
        <f t="shared" si="63"/>
        <v>52.258932379671251</v>
      </c>
    </row>
    <row r="1074" spans="1:11" ht="41.4" x14ac:dyDescent="0.3">
      <c r="A1074" s="10">
        <v>41</v>
      </c>
      <c r="B1074" s="10" t="s">
        <v>1345</v>
      </c>
      <c r="C1074" s="10" t="str" cm="1">
        <f t="array" ref="C1074">_xlfn.IFS(A1074&lt;20, "ภาคกลาง", A1074&lt;30, "ภาคตะวันออก", A1074&lt;50, "ภาคตะวันออกเฉียงเหนือ", A1074&lt;60, "ภาคเหนือ", A1074&lt;80, "ภาคกลาง/ตะวันตก", A1074&gt;=80, "ภาคใต้")</f>
        <v>ภาคตะวันออกเฉียงเหนือ</v>
      </c>
      <c r="D1074" s="64">
        <v>4196</v>
      </c>
      <c r="E1074" s="10" t="s">
        <v>1402</v>
      </c>
      <c r="F1074" s="11">
        <v>3245</v>
      </c>
      <c r="G1074" s="11">
        <v>3901</v>
      </c>
      <c r="H1074" s="11">
        <v>7146</v>
      </c>
      <c r="I1074" s="11">
        <v>3719</v>
      </c>
      <c r="J1074" s="66">
        <f t="shared" si="62"/>
        <v>45.410019591379793</v>
      </c>
      <c r="K1074" s="66">
        <f t="shared" si="63"/>
        <v>54.589980408620207</v>
      </c>
    </row>
    <row r="1075" spans="1:11" ht="41.4" x14ac:dyDescent="0.3">
      <c r="A1075" s="10">
        <v>41</v>
      </c>
      <c r="B1075" s="10" t="s">
        <v>1345</v>
      </c>
      <c r="C1075" s="10" t="str" cm="1">
        <f t="array" ref="C1075">_xlfn.IFS(A1075&lt;20, "ภาคกลาง", A1075&lt;30, "ภาคตะวันออก", A1075&lt;50, "ภาคตะวันออกเฉียงเหนือ", A1075&lt;60, "ภาคเหนือ", A1075&lt;80, "ภาคกลาง/ตะวันตก", A1075&gt;=80, "ภาคใต้")</f>
        <v>ภาคตะวันออกเฉียงเหนือ</v>
      </c>
      <c r="D1075" s="64">
        <v>4197</v>
      </c>
      <c r="E1075" s="10" t="s">
        <v>1403</v>
      </c>
      <c r="F1075" s="11">
        <v>4521</v>
      </c>
      <c r="G1075" s="11">
        <v>3866</v>
      </c>
      <c r="H1075" s="11">
        <v>8387</v>
      </c>
      <c r="I1075" s="11">
        <v>3678</v>
      </c>
      <c r="J1075" s="66">
        <f t="shared" si="62"/>
        <v>53.904852748300947</v>
      </c>
      <c r="K1075" s="66">
        <f t="shared" si="63"/>
        <v>46.095147251699061</v>
      </c>
    </row>
    <row r="1076" spans="1:11" ht="41.4" x14ac:dyDescent="0.3">
      <c r="A1076" s="10">
        <v>41</v>
      </c>
      <c r="B1076" s="10" t="s">
        <v>1345</v>
      </c>
      <c r="C1076" s="10" t="str" cm="1">
        <f t="array" ref="C1076">_xlfn.IFS(A1076&lt;20, "ภาคกลาง", A1076&lt;30, "ภาคตะวันออก", A1076&lt;50, "ภาคตะวันออกเฉียงเหนือ", A1076&lt;60, "ภาคเหนือ", A1076&lt;80, "ภาคกลาง/ตะวันตก", A1076&gt;=80, "ภาคใต้")</f>
        <v>ภาคตะวันออกเฉียงเหนือ</v>
      </c>
      <c r="D1076" s="64">
        <v>4198</v>
      </c>
      <c r="E1076" s="10" t="s">
        <v>1404</v>
      </c>
      <c r="F1076" s="11">
        <v>1762</v>
      </c>
      <c r="G1076" s="11">
        <v>1895</v>
      </c>
      <c r="H1076" s="11">
        <v>3657</v>
      </c>
      <c r="I1076" s="11">
        <v>1382</v>
      </c>
      <c r="J1076" s="66">
        <f t="shared" si="62"/>
        <v>48.181569592562205</v>
      </c>
      <c r="K1076" s="66">
        <f t="shared" si="63"/>
        <v>51.818430407437788</v>
      </c>
    </row>
    <row r="1077" spans="1:11" ht="41.4" x14ac:dyDescent="0.3">
      <c r="A1077" s="10">
        <v>41</v>
      </c>
      <c r="B1077" s="10" t="s">
        <v>1345</v>
      </c>
      <c r="C1077" s="10" t="str" cm="1">
        <f t="array" ref="C1077">_xlfn.IFS(A1077&lt;20, "ภาคกลาง", A1077&lt;30, "ภาคตะวันออก", A1077&lt;50, "ภาคตะวันออกเฉียงเหนือ", A1077&lt;60, "ภาคเหนือ", A1077&lt;80, "ภาคกลาง/ตะวันตก", A1077&gt;=80, "ภาคใต้")</f>
        <v>ภาคตะวันออกเฉียงเหนือ</v>
      </c>
      <c r="D1077" s="64">
        <v>4199</v>
      </c>
      <c r="E1077" s="10" t="s">
        <v>1405</v>
      </c>
      <c r="F1077" s="11">
        <v>3055</v>
      </c>
      <c r="G1077" s="11">
        <v>3271</v>
      </c>
      <c r="H1077" s="11">
        <v>6326</v>
      </c>
      <c r="I1077" s="11">
        <v>2759</v>
      </c>
      <c r="J1077" s="66">
        <f t="shared" si="62"/>
        <v>48.292760037938663</v>
      </c>
      <c r="K1077" s="66">
        <f t="shared" si="63"/>
        <v>51.707239962061337</v>
      </c>
    </row>
    <row r="1078" spans="1:11" ht="41.4" hidden="1" x14ac:dyDescent="0.3">
      <c r="A1078" s="10">
        <v>41</v>
      </c>
      <c r="B1078" s="10" t="s">
        <v>1345</v>
      </c>
      <c r="C1078" s="10" t="str" cm="1">
        <f t="array" ref="C1078">_xlfn.IFS(A1078&lt;20, "ภาคกลาง", A1078&lt;30, "ภาคตะวันออก", A1078&lt;50, "ภาคตะวันออกเฉียงเหนือ", A1078&lt;60, "ภาคเหนือ", A1078&lt;80, "ภาคกลาง/ตะวันตก", A1078&gt;=80, "ภาคใต้")</f>
        <v>ภาคตะวันออกเฉียงเหนือ</v>
      </c>
      <c r="D1078" s="10">
        <v>0</v>
      </c>
      <c r="E1078" s="10" t="s">
        <v>343</v>
      </c>
      <c r="F1078" s="11">
        <v>54099</v>
      </c>
      <c r="G1078" s="11">
        <v>59861</v>
      </c>
      <c r="H1078" s="11">
        <v>113960</v>
      </c>
      <c r="I1078" s="11">
        <v>63163</v>
      </c>
      <c r="J1078"/>
      <c r="K1078"/>
    </row>
    <row r="1079" spans="1:11" ht="41.4" x14ac:dyDescent="0.3">
      <c r="A1079" s="10">
        <v>42</v>
      </c>
      <c r="B1079" s="10" t="s">
        <v>1406</v>
      </c>
      <c r="C1079" s="10" t="str" cm="1">
        <f t="array" ref="C1079">_xlfn.IFS(A1079&lt;20, "ภาคกลาง", A1079&lt;30, "ภาคตะวันออก", A1079&lt;50, "ภาคตะวันออกเฉียงเหนือ", A1079&lt;60, "ภาคเหนือ", A1079&lt;80, "ภาคกลาง/ตะวันตก", A1079&gt;=80, "ภาคใต้")</f>
        <v>ภาคตะวันออกเฉียงเหนือ</v>
      </c>
      <c r="D1079" s="64">
        <v>4201</v>
      </c>
      <c r="E1079" s="10" t="s">
        <v>1407</v>
      </c>
      <c r="F1079" s="11">
        <v>315871</v>
      </c>
      <c r="G1079" s="11">
        <v>316316</v>
      </c>
      <c r="H1079" s="11">
        <v>632187</v>
      </c>
      <c r="I1079" s="11">
        <v>240382</v>
      </c>
      <c r="J1079" s="66">
        <f t="shared" ref="J1079:J1113" si="64">F1079/H1079*100</f>
        <v>49.96480471759147</v>
      </c>
      <c r="K1079" s="66">
        <f t="shared" ref="K1079:K1113" si="65">G1079/H1079*100</f>
        <v>50.03519528240853</v>
      </c>
    </row>
    <row r="1080" spans="1:11" ht="41.4" x14ac:dyDescent="0.3">
      <c r="A1080" s="10">
        <v>42</v>
      </c>
      <c r="B1080" s="10" t="s">
        <v>1406</v>
      </c>
      <c r="C1080" s="10" t="str" cm="1">
        <f t="array" ref="C1080">_xlfn.IFS(A1080&lt;20, "ภาคกลาง", A1080&lt;30, "ภาคตะวันออก", A1080&lt;50, "ภาคตะวันออกเฉียงเหนือ", A1080&lt;60, "ภาคเหนือ", A1080&lt;80, "ภาคกลาง/ตะวันตก", A1080&gt;=80, "ภาคใต้")</f>
        <v>ภาคตะวันออกเฉียงเหนือ</v>
      </c>
      <c r="D1080" s="64">
        <v>4202</v>
      </c>
      <c r="E1080" s="10" t="s">
        <v>1408</v>
      </c>
      <c r="F1080" s="11">
        <v>29973</v>
      </c>
      <c r="G1080" s="11">
        <v>29366</v>
      </c>
      <c r="H1080" s="11">
        <v>59339</v>
      </c>
      <c r="I1080" s="11">
        <v>25177</v>
      </c>
      <c r="J1080" s="66">
        <f t="shared" si="64"/>
        <v>50.511468005864614</v>
      </c>
      <c r="K1080" s="66">
        <f t="shared" si="65"/>
        <v>49.488531994135393</v>
      </c>
    </row>
    <row r="1081" spans="1:11" ht="41.4" x14ac:dyDescent="0.3">
      <c r="A1081" s="10">
        <v>42</v>
      </c>
      <c r="B1081" s="10" t="s">
        <v>1406</v>
      </c>
      <c r="C1081" s="10" t="str" cm="1">
        <f t="array" ref="C1081">_xlfn.IFS(A1081&lt;20, "ภาคกลาง", A1081&lt;30, "ภาคตะวันออก", A1081&lt;50, "ภาคตะวันออกเฉียงเหนือ", A1081&lt;60, "ภาคเหนือ", A1081&lt;80, "ภาคกลาง/ตะวันตก", A1081&gt;=80, "ภาคใต้")</f>
        <v>ภาคตะวันออกเฉียงเหนือ</v>
      </c>
      <c r="D1081" s="64">
        <v>4203</v>
      </c>
      <c r="E1081" s="10" t="s">
        <v>1409</v>
      </c>
      <c r="F1081" s="11">
        <v>4940</v>
      </c>
      <c r="G1081" s="11">
        <v>4864</v>
      </c>
      <c r="H1081" s="11">
        <v>9804</v>
      </c>
      <c r="I1081" s="11">
        <v>3846</v>
      </c>
      <c r="J1081" s="66">
        <f t="shared" si="64"/>
        <v>50.387596899224803</v>
      </c>
      <c r="K1081" s="66">
        <f t="shared" si="65"/>
        <v>49.612403100775197</v>
      </c>
    </row>
    <row r="1082" spans="1:11" ht="41.4" x14ac:dyDescent="0.3">
      <c r="A1082" s="10">
        <v>42</v>
      </c>
      <c r="B1082" s="10" t="s">
        <v>1406</v>
      </c>
      <c r="C1082" s="10" t="str" cm="1">
        <f t="array" ref="C1082">_xlfn.IFS(A1082&lt;20, "ภาคกลาง", A1082&lt;30, "ภาคตะวันออก", A1082&lt;50, "ภาคตะวันออกเฉียงเหนือ", A1082&lt;60, "ภาคเหนือ", A1082&lt;80, "ภาคกลาง/ตะวันตก", A1082&gt;=80, "ภาคใต้")</f>
        <v>ภาคตะวันออกเฉียงเหนือ</v>
      </c>
      <c r="D1082" s="64">
        <v>4204</v>
      </c>
      <c r="E1082" s="10" t="s">
        <v>1410</v>
      </c>
      <c r="F1082" s="11">
        <v>18803</v>
      </c>
      <c r="G1082" s="11">
        <v>19059</v>
      </c>
      <c r="H1082" s="11">
        <v>37862</v>
      </c>
      <c r="I1082" s="11">
        <v>14890</v>
      </c>
      <c r="J1082" s="66">
        <f t="shared" si="64"/>
        <v>49.661930167450215</v>
      </c>
      <c r="K1082" s="66">
        <f t="shared" si="65"/>
        <v>50.338069832549778</v>
      </c>
    </row>
    <row r="1083" spans="1:11" ht="41.4" x14ac:dyDescent="0.3">
      <c r="A1083" s="10">
        <v>42</v>
      </c>
      <c r="B1083" s="10" t="s">
        <v>1406</v>
      </c>
      <c r="C1083" s="10" t="str" cm="1">
        <f t="array" ref="C1083">_xlfn.IFS(A1083&lt;20, "ภาคกลาง", A1083&lt;30, "ภาคตะวันออก", A1083&lt;50, "ภาคตะวันออกเฉียงเหนือ", A1083&lt;60, "ภาคเหนือ", A1083&lt;80, "ภาคกลาง/ตะวันตก", A1083&gt;=80, "ภาคใต้")</f>
        <v>ภาคตะวันออกเฉียงเหนือ</v>
      </c>
      <c r="D1083" s="64">
        <v>4205</v>
      </c>
      <c r="E1083" s="10" t="s">
        <v>1411</v>
      </c>
      <c r="F1083" s="11">
        <v>17023</v>
      </c>
      <c r="G1083" s="11">
        <v>16527</v>
      </c>
      <c r="H1083" s="11">
        <v>33550</v>
      </c>
      <c r="I1083" s="11">
        <v>11815</v>
      </c>
      <c r="J1083" s="66">
        <f t="shared" si="64"/>
        <v>50.739195230998511</v>
      </c>
      <c r="K1083" s="66">
        <f t="shared" si="65"/>
        <v>49.260804769001496</v>
      </c>
    </row>
    <row r="1084" spans="1:11" ht="41.4" x14ac:dyDescent="0.3">
      <c r="A1084" s="10">
        <v>42</v>
      </c>
      <c r="B1084" s="10" t="s">
        <v>1406</v>
      </c>
      <c r="C1084" s="10" t="str" cm="1">
        <f t="array" ref="C1084">_xlfn.IFS(A1084&lt;20, "ภาคกลาง", A1084&lt;30, "ภาคตะวันออก", A1084&lt;50, "ภาคตะวันออกเฉียงเหนือ", A1084&lt;60, "ภาคเหนือ", A1084&lt;80, "ภาคกลาง/ตะวันตก", A1084&gt;=80, "ภาคใต้")</f>
        <v>ภาคตะวันออกเฉียงเหนือ</v>
      </c>
      <c r="D1084" s="64">
        <v>4206</v>
      </c>
      <c r="E1084" s="10" t="s">
        <v>1412</v>
      </c>
      <c r="F1084" s="11">
        <v>24326</v>
      </c>
      <c r="G1084" s="11">
        <v>23797</v>
      </c>
      <c r="H1084" s="11">
        <v>48123</v>
      </c>
      <c r="I1084" s="11">
        <v>16959</v>
      </c>
      <c r="J1084" s="66">
        <f t="shared" si="64"/>
        <v>50.549633231510917</v>
      </c>
      <c r="K1084" s="66">
        <f t="shared" si="65"/>
        <v>49.450366768489076</v>
      </c>
    </row>
    <row r="1085" spans="1:11" ht="41.4" x14ac:dyDescent="0.3">
      <c r="A1085" s="10">
        <v>42</v>
      </c>
      <c r="B1085" s="10" t="s">
        <v>1406</v>
      </c>
      <c r="C1085" s="10" t="str" cm="1">
        <f t="array" ref="C1085">_xlfn.IFS(A1085&lt;20, "ภาคกลาง", A1085&lt;30, "ภาคตะวันออก", A1085&lt;50, "ภาคตะวันออกเฉียงเหนือ", A1085&lt;60, "ภาคเหนือ", A1085&lt;80, "ภาคกลาง/ตะวันตก", A1085&gt;=80, "ภาคใต้")</f>
        <v>ภาคตะวันออกเฉียงเหนือ</v>
      </c>
      <c r="D1085" s="64">
        <v>4207</v>
      </c>
      <c r="E1085" s="10" t="s">
        <v>1413</v>
      </c>
      <c r="F1085" s="11">
        <v>4847</v>
      </c>
      <c r="G1085" s="11">
        <v>4802</v>
      </c>
      <c r="H1085" s="11">
        <v>9649</v>
      </c>
      <c r="I1085" s="11">
        <v>3255</v>
      </c>
      <c r="J1085" s="66">
        <f t="shared" si="64"/>
        <v>50.233184785988186</v>
      </c>
      <c r="K1085" s="66">
        <f t="shared" si="65"/>
        <v>49.766815214011814</v>
      </c>
    </row>
    <row r="1086" spans="1:11" ht="41.4" x14ac:dyDescent="0.3">
      <c r="A1086" s="10">
        <v>42</v>
      </c>
      <c r="B1086" s="10" t="s">
        <v>1406</v>
      </c>
      <c r="C1086" s="10" t="str" cm="1">
        <f t="array" ref="C1086">_xlfn.IFS(A1086&lt;20, "ภาคกลาง", A1086&lt;30, "ภาคตะวันออก", A1086&lt;50, "ภาคตะวันออกเฉียงเหนือ", A1086&lt;60, "ภาคเหนือ", A1086&lt;80, "ภาคกลาง/ตะวันตก", A1086&gt;=80, "ภาคใต้")</f>
        <v>ภาคตะวันออกเฉียงเหนือ</v>
      </c>
      <c r="D1086" s="64">
        <v>4208</v>
      </c>
      <c r="E1086" s="10" t="s">
        <v>1414</v>
      </c>
      <c r="F1086" s="11">
        <v>10028</v>
      </c>
      <c r="G1086" s="11">
        <v>9674</v>
      </c>
      <c r="H1086" s="11">
        <v>19702</v>
      </c>
      <c r="I1086" s="11">
        <v>7713</v>
      </c>
      <c r="J1086" s="66">
        <f t="shared" si="64"/>
        <v>50.898385950664903</v>
      </c>
      <c r="K1086" s="66">
        <f t="shared" si="65"/>
        <v>49.10161404933509</v>
      </c>
    </row>
    <row r="1087" spans="1:11" ht="41.4" x14ac:dyDescent="0.3">
      <c r="A1087" s="10">
        <v>42</v>
      </c>
      <c r="B1087" s="10" t="s">
        <v>1406</v>
      </c>
      <c r="C1087" s="10" t="str" cm="1">
        <f t="array" ref="C1087">_xlfn.IFS(A1087&lt;20, "ภาคกลาง", A1087&lt;30, "ภาคตะวันออก", A1087&lt;50, "ภาคตะวันออกเฉียงเหนือ", A1087&lt;60, "ภาคเหนือ", A1087&lt;80, "ภาคกลาง/ตะวันตก", A1087&gt;=80, "ภาคใต้")</f>
        <v>ภาคตะวันออกเฉียงเหนือ</v>
      </c>
      <c r="D1087" s="64">
        <v>4209</v>
      </c>
      <c r="E1087" s="10" t="s">
        <v>1415</v>
      </c>
      <c r="F1087" s="11">
        <v>12829</v>
      </c>
      <c r="G1087" s="11">
        <v>12861</v>
      </c>
      <c r="H1087" s="11">
        <v>25690</v>
      </c>
      <c r="I1087" s="11">
        <v>10443</v>
      </c>
      <c r="J1087" s="66">
        <f t="shared" si="64"/>
        <v>49.937718956792523</v>
      </c>
      <c r="K1087" s="66">
        <f t="shared" si="65"/>
        <v>50.06228104320747</v>
      </c>
    </row>
    <row r="1088" spans="1:11" ht="41.4" x14ac:dyDescent="0.3">
      <c r="A1088" s="10">
        <v>42</v>
      </c>
      <c r="B1088" s="10" t="s">
        <v>1406</v>
      </c>
      <c r="C1088" s="10" t="str" cm="1">
        <f t="array" ref="C1088">_xlfn.IFS(A1088&lt;20, "ภาคกลาง", A1088&lt;30, "ภาคตะวันออก", A1088&lt;50, "ภาคตะวันออกเฉียงเหนือ", A1088&lt;60, "ภาคเหนือ", A1088&lt;80, "ภาคกลาง/ตะวันตก", A1088&gt;=80, "ภาคใต้")</f>
        <v>ภาคตะวันออกเฉียงเหนือ</v>
      </c>
      <c r="D1088" s="64">
        <v>4210</v>
      </c>
      <c r="E1088" s="10" t="s">
        <v>1416</v>
      </c>
      <c r="F1088" s="11">
        <v>49244</v>
      </c>
      <c r="G1088" s="11">
        <v>49928</v>
      </c>
      <c r="H1088" s="11">
        <v>99172</v>
      </c>
      <c r="I1088" s="11">
        <v>35939</v>
      </c>
      <c r="J1088" s="66">
        <f t="shared" si="64"/>
        <v>49.655144597265355</v>
      </c>
      <c r="K1088" s="66">
        <f t="shared" si="65"/>
        <v>50.344855402734645</v>
      </c>
    </row>
    <row r="1089" spans="1:11" ht="41.4" x14ac:dyDescent="0.3">
      <c r="A1089" s="10">
        <v>42</v>
      </c>
      <c r="B1089" s="10" t="s">
        <v>1406</v>
      </c>
      <c r="C1089" s="10" t="str" cm="1">
        <f t="array" ref="C1089">_xlfn.IFS(A1089&lt;20, "ภาคกลาง", A1089&lt;30, "ภาคตะวันออก", A1089&lt;50, "ภาคตะวันออกเฉียงเหนือ", A1089&lt;60, "ภาคเหนือ", A1089&lt;80, "ภาคกลาง/ตะวันตก", A1089&gt;=80, "ภาคใต้")</f>
        <v>ภาคตะวันออกเฉียงเหนือ</v>
      </c>
      <c r="D1089" s="64">
        <v>4211</v>
      </c>
      <c r="E1089" s="10" t="s">
        <v>1417</v>
      </c>
      <c r="F1089" s="11">
        <v>13638</v>
      </c>
      <c r="G1089" s="11">
        <v>13526</v>
      </c>
      <c r="H1089" s="11">
        <v>27164</v>
      </c>
      <c r="I1089" s="11">
        <v>9273</v>
      </c>
      <c r="J1089" s="66">
        <f t="shared" si="64"/>
        <v>50.206155205418938</v>
      </c>
      <c r="K1089" s="66">
        <f t="shared" si="65"/>
        <v>49.793844794581062</v>
      </c>
    </row>
    <row r="1090" spans="1:11" ht="41.4" x14ac:dyDescent="0.3">
      <c r="A1090" s="10">
        <v>42</v>
      </c>
      <c r="B1090" s="10" t="s">
        <v>1406</v>
      </c>
      <c r="C1090" s="10" t="str" cm="1">
        <f t="array" ref="C1090">_xlfn.IFS(A1090&lt;20, "ภาคกลาง", A1090&lt;30, "ภาคตะวันออก", A1090&lt;50, "ภาคตะวันออกเฉียงเหนือ", A1090&lt;60, "ภาคเหนือ", A1090&lt;80, "ภาคกลาง/ตะวันตก", A1090&gt;=80, "ภาคใต้")</f>
        <v>ภาคตะวันออกเฉียงเหนือ</v>
      </c>
      <c r="D1090" s="64">
        <v>4212</v>
      </c>
      <c r="E1090" s="10" t="s">
        <v>1418</v>
      </c>
      <c r="F1090" s="11">
        <v>12513</v>
      </c>
      <c r="G1090" s="11">
        <v>12285</v>
      </c>
      <c r="H1090" s="11">
        <v>24798</v>
      </c>
      <c r="I1090" s="11">
        <v>8147</v>
      </c>
      <c r="J1090" s="66">
        <f t="shared" si="64"/>
        <v>50.459714493104279</v>
      </c>
      <c r="K1090" s="66">
        <f t="shared" si="65"/>
        <v>49.540285506895714</v>
      </c>
    </row>
    <row r="1091" spans="1:11" ht="41.4" x14ac:dyDescent="0.3">
      <c r="A1091" s="10">
        <v>42</v>
      </c>
      <c r="B1091" s="10" t="s">
        <v>1406</v>
      </c>
      <c r="C1091" s="10" t="str" cm="1">
        <f t="array" ref="C1091">_xlfn.IFS(A1091&lt;20, "ภาคกลาง", A1091&lt;30, "ภาคตะวันออก", A1091&lt;50, "ภาคตะวันออกเฉียงเหนือ", A1091&lt;60, "ภาคเหนือ", A1091&lt;80, "ภาคกลาง/ตะวันตก", A1091&gt;=80, "ภาคใต้")</f>
        <v>ภาคตะวันออกเฉียงเหนือ</v>
      </c>
      <c r="D1091" s="64">
        <v>4213</v>
      </c>
      <c r="E1091" s="10" t="s">
        <v>1419</v>
      </c>
      <c r="F1091" s="11">
        <v>15313</v>
      </c>
      <c r="G1091" s="11">
        <v>15285</v>
      </c>
      <c r="H1091" s="11">
        <v>30598</v>
      </c>
      <c r="I1091" s="11">
        <v>8801</v>
      </c>
      <c r="J1091" s="66">
        <f t="shared" si="64"/>
        <v>50.045754624485262</v>
      </c>
      <c r="K1091" s="66">
        <f t="shared" si="65"/>
        <v>49.954245375514738</v>
      </c>
    </row>
    <row r="1092" spans="1:11" ht="41.4" x14ac:dyDescent="0.3">
      <c r="A1092" s="10">
        <v>42</v>
      </c>
      <c r="B1092" s="10" t="s">
        <v>1406</v>
      </c>
      <c r="C1092" s="10" t="str" cm="1">
        <f t="array" ref="C1092">_xlfn.IFS(A1092&lt;20, "ภาคกลาง", A1092&lt;30, "ภาคตะวันออก", A1092&lt;50, "ภาคตะวันออกเฉียงเหนือ", A1092&lt;60, "ภาคเหนือ", A1092&lt;80, "ภาคกลาง/ตะวันตก", A1092&gt;=80, "ภาคใต้")</f>
        <v>ภาคตะวันออกเฉียงเหนือ</v>
      </c>
      <c r="D1092" s="64">
        <v>4214</v>
      </c>
      <c r="E1092" s="10" t="s">
        <v>1420</v>
      </c>
      <c r="F1092" s="11">
        <v>16771</v>
      </c>
      <c r="G1092" s="11">
        <v>16881</v>
      </c>
      <c r="H1092" s="11">
        <v>33652</v>
      </c>
      <c r="I1092" s="11">
        <v>11926</v>
      </c>
      <c r="J1092" s="66">
        <f t="shared" si="64"/>
        <v>49.836562462855106</v>
      </c>
      <c r="K1092" s="66">
        <f t="shared" si="65"/>
        <v>50.163437537144894</v>
      </c>
    </row>
    <row r="1093" spans="1:11" ht="41.4" x14ac:dyDescent="0.3">
      <c r="A1093" s="10">
        <v>42</v>
      </c>
      <c r="B1093" s="10" t="s">
        <v>1406</v>
      </c>
      <c r="C1093" s="10" t="str" cm="1">
        <f t="array" ref="C1093">_xlfn.IFS(A1093&lt;20, "ภาคกลาง", A1093&lt;30, "ภาคตะวันออก", A1093&lt;50, "ภาคตะวันออกเฉียงเหนือ", A1093&lt;60, "ภาคเหนือ", A1093&lt;80, "ภาคกลาง/ตะวันตก", A1093&gt;=80, "ภาคใต้")</f>
        <v>ภาคตะวันออกเฉียงเหนือ</v>
      </c>
      <c r="D1093" s="64">
        <v>4279</v>
      </c>
      <c r="E1093" s="10" t="s">
        <v>1421</v>
      </c>
      <c r="F1093" s="11">
        <v>10352</v>
      </c>
      <c r="G1093" s="11">
        <v>10192</v>
      </c>
      <c r="H1093" s="11">
        <v>20544</v>
      </c>
      <c r="I1093" s="11">
        <v>6434</v>
      </c>
      <c r="J1093" s="66">
        <f t="shared" si="64"/>
        <v>50.389408099688474</v>
      </c>
      <c r="K1093" s="66">
        <f t="shared" si="65"/>
        <v>49.610591900311526</v>
      </c>
    </row>
    <row r="1094" spans="1:11" ht="41.4" x14ac:dyDescent="0.3">
      <c r="A1094" s="10">
        <v>42</v>
      </c>
      <c r="B1094" s="10" t="s">
        <v>1406</v>
      </c>
      <c r="C1094" s="10" t="str" cm="1">
        <f t="array" ref="C1094">_xlfn.IFS(A1094&lt;20, "ภาคกลาง", A1094&lt;30, "ภาคตะวันออก", A1094&lt;50, "ภาคตะวันออกเฉียงเหนือ", A1094&lt;60, "ภาคเหนือ", A1094&lt;80, "ภาคกลาง/ตะวันตก", A1094&gt;=80, "ภาคใต้")</f>
        <v>ภาคตะวันออกเฉียงเหนือ</v>
      </c>
      <c r="D1094" s="64">
        <v>4280</v>
      </c>
      <c r="E1094" s="10" t="s">
        <v>1422</v>
      </c>
      <c r="F1094" s="11">
        <v>5495</v>
      </c>
      <c r="G1094" s="11">
        <v>5486</v>
      </c>
      <c r="H1094" s="11">
        <v>10981</v>
      </c>
      <c r="I1094" s="11">
        <v>3630</v>
      </c>
      <c r="J1094" s="66">
        <f t="shared" si="64"/>
        <v>50.040979874328386</v>
      </c>
      <c r="K1094" s="66">
        <f t="shared" si="65"/>
        <v>49.959020125671614</v>
      </c>
    </row>
    <row r="1095" spans="1:11" ht="41.4" x14ac:dyDescent="0.3">
      <c r="A1095" s="10">
        <v>42</v>
      </c>
      <c r="B1095" s="10" t="s">
        <v>1406</v>
      </c>
      <c r="C1095" s="10" t="str" cm="1">
        <f t="array" ref="C1095">_xlfn.IFS(A1095&lt;20, "ภาคกลาง", A1095&lt;30, "ภาคตะวันออก", A1095&lt;50, "ภาคตะวันออกเฉียงเหนือ", A1095&lt;60, "ภาคเหนือ", A1095&lt;80, "ภาคกลาง/ตะวันตก", A1095&gt;=80, "ภาคใต้")</f>
        <v>ภาคตะวันออกเฉียงเหนือ</v>
      </c>
      <c r="D1095" s="64">
        <v>4281</v>
      </c>
      <c r="E1095" s="10" t="s">
        <v>1423</v>
      </c>
      <c r="F1095" s="11">
        <v>4976</v>
      </c>
      <c r="G1095" s="11">
        <v>4841</v>
      </c>
      <c r="H1095" s="11">
        <v>9817</v>
      </c>
      <c r="I1095" s="11">
        <v>3041</v>
      </c>
      <c r="J1095" s="66">
        <f t="shared" si="64"/>
        <v>50.68758276459203</v>
      </c>
      <c r="K1095" s="66">
        <f t="shared" si="65"/>
        <v>49.31241723540797</v>
      </c>
    </row>
    <row r="1096" spans="1:11" ht="41.4" x14ac:dyDescent="0.3">
      <c r="A1096" s="10">
        <v>42</v>
      </c>
      <c r="B1096" s="10" t="s">
        <v>1406</v>
      </c>
      <c r="C1096" s="10" t="str" cm="1">
        <f t="array" ref="C1096">_xlfn.IFS(A1096&lt;20, "ภาคกลาง", A1096&lt;30, "ภาคตะวันออก", A1096&lt;50, "ภาคตะวันออกเฉียงเหนือ", A1096&lt;60, "ภาคเหนือ", A1096&lt;80, "ภาคกลาง/ตะวันตก", A1096&gt;=80, "ภาคใต้")</f>
        <v>ภาคตะวันออกเฉียงเหนือ</v>
      </c>
      <c r="D1096" s="64">
        <v>4282</v>
      </c>
      <c r="E1096" s="10" t="s">
        <v>1424</v>
      </c>
      <c r="F1096" s="11">
        <v>4723</v>
      </c>
      <c r="G1096" s="11">
        <v>4830</v>
      </c>
      <c r="H1096" s="11">
        <v>9553</v>
      </c>
      <c r="I1096" s="11">
        <v>3557</v>
      </c>
      <c r="J1096" s="66">
        <f t="shared" si="64"/>
        <v>49.439966502669321</v>
      </c>
      <c r="K1096" s="66">
        <f t="shared" si="65"/>
        <v>50.560033497330679</v>
      </c>
    </row>
    <row r="1097" spans="1:11" ht="41.4" x14ac:dyDescent="0.3">
      <c r="A1097" s="10">
        <v>42</v>
      </c>
      <c r="B1097" s="10" t="s">
        <v>1406</v>
      </c>
      <c r="C1097" s="10" t="str" cm="1">
        <f t="array" ref="C1097">_xlfn.IFS(A1097&lt;20, "ภาคกลาง", A1097&lt;30, "ภาคตะวันออก", A1097&lt;50, "ภาคตะวันออกเฉียงเหนือ", A1097&lt;60, "ภาคเหนือ", A1097&lt;80, "ภาคกลาง/ตะวันตก", A1097&gt;=80, "ภาคใต้")</f>
        <v>ภาคตะวันออกเฉียงเหนือ</v>
      </c>
      <c r="D1097" s="64">
        <v>4283</v>
      </c>
      <c r="E1097" s="10" t="s">
        <v>1425</v>
      </c>
      <c r="F1097" s="11">
        <v>5346</v>
      </c>
      <c r="G1097" s="11">
        <v>5312</v>
      </c>
      <c r="H1097" s="11">
        <v>10658</v>
      </c>
      <c r="I1097" s="11">
        <v>3846</v>
      </c>
      <c r="J1097" s="66">
        <f t="shared" si="64"/>
        <v>50.159504597485459</v>
      </c>
      <c r="K1097" s="66">
        <f t="shared" si="65"/>
        <v>49.840495402514549</v>
      </c>
    </row>
    <row r="1098" spans="1:11" ht="41.4" x14ac:dyDescent="0.3">
      <c r="A1098" s="10">
        <v>42</v>
      </c>
      <c r="B1098" s="10" t="s">
        <v>1406</v>
      </c>
      <c r="C1098" s="10" t="str" cm="1">
        <f t="array" ref="C1098">_xlfn.IFS(A1098&lt;20, "ภาคกลาง", A1098&lt;30, "ภาคตะวันออก", A1098&lt;50, "ภาคตะวันออกเฉียงเหนือ", A1098&lt;60, "ภาคเหนือ", A1098&lt;80, "ภาคกลาง/ตะวันตก", A1098&gt;=80, "ภาคใต้")</f>
        <v>ภาคตะวันออกเฉียงเหนือ</v>
      </c>
      <c r="D1098" s="64">
        <v>4284</v>
      </c>
      <c r="E1098" s="10" t="s">
        <v>1426</v>
      </c>
      <c r="F1098" s="11">
        <v>5107</v>
      </c>
      <c r="G1098" s="11">
        <v>5185</v>
      </c>
      <c r="H1098" s="11">
        <v>10292</v>
      </c>
      <c r="I1098" s="11">
        <v>3679</v>
      </c>
      <c r="J1098" s="66">
        <f t="shared" si="64"/>
        <v>49.621064904780411</v>
      </c>
      <c r="K1098" s="66">
        <f t="shared" si="65"/>
        <v>50.378935095219589</v>
      </c>
    </row>
    <row r="1099" spans="1:11" ht="41.4" x14ac:dyDescent="0.3">
      <c r="A1099" s="10">
        <v>42</v>
      </c>
      <c r="B1099" s="10" t="s">
        <v>1406</v>
      </c>
      <c r="C1099" s="10" t="str" cm="1">
        <f t="array" ref="C1099">_xlfn.IFS(A1099&lt;20, "ภาคกลาง", A1099&lt;30, "ภาคตะวันออก", A1099&lt;50, "ภาคตะวันออกเฉียงเหนือ", A1099&lt;60, "ภาคเหนือ", A1099&lt;80, "ภาคกลาง/ตะวันตก", A1099&gt;=80, "ภาคใต้")</f>
        <v>ภาคตะวันออกเฉียงเหนือ</v>
      </c>
      <c r="D1099" s="64">
        <v>4285</v>
      </c>
      <c r="E1099" s="10" t="s">
        <v>1427</v>
      </c>
      <c r="F1099" s="11">
        <v>6494</v>
      </c>
      <c r="G1099" s="11">
        <v>6787</v>
      </c>
      <c r="H1099" s="11">
        <v>13281</v>
      </c>
      <c r="I1099" s="11">
        <v>6516</v>
      </c>
      <c r="J1099" s="66">
        <f t="shared" si="64"/>
        <v>48.896920412619529</v>
      </c>
      <c r="K1099" s="66">
        <f t="shared" si="65"/>
        <v>51.103079587380471</v>
      </c>
    </row>
    <row r="1100" spans="1:11" ht="41.4" x14ac:dyDescent="0.3">
      <c r="A1100" s="10">
        <v>42</v>
      </c>
      <c r="B1100" s="10" t="s">
        <v>1406</v>
      </c>
      <c r="C1100" s="10" t="str" cm="1">
        <f t="array" ref="C1100">_xlfn.IFS(A1100&lt;20, "ภาคกลาง", A1100&lt;30, "ภาคตะวันออก", A1100&lt;50, "ภาคตะวันออกเฉียงเหนือ", A1100&lt;60, "ภาคเหนือ", A1100&lt;80, "ภาคกลาง/ตะวันตก", A1100&gt;=80, "ภาคใต้")</f>
        <v>ภาคตะวันออกเฉียงเหนือ</v>
      </c>
      <c r="D1100" s="64">
        <v>4286</v>
      </c>
      <c r="E1100" s="10" t="s">
        <v>1428</v>
      </c>
      <c r="F1100" s="11">
        <v>3859</v>
      </c>
      <c r="G1100" s="11">
        <v>3835</v>
      </c>
      <c r="H1100" s="11">
        <v>7694</v>
      </c>
      <c r="I1100" s="11">
        <v>2250</v>
      </c>
      <c r="J1100" s="66">
        <f t="shared" si="64"/>
        <v>50.155965687548743</v>
      </c>
      <c r="K1100" s="66">
        <f t="shared" si="65"/>
        <v>49.844034312451264</v>
      </c>
    </row>
    <row r="1101" spans="1:11" ht="41.4" x14ac:dyDescent="0.3">
      <c r="A1101" s="10">
        <v>42</v>
      </c>
      <c r="B1101" s="10" t="s">
        <v>1406</v>
      </c>
      <c r="C1101" s="10" t="str" cm="1">
        <f t="array" ref="C1101">_xlfn.IFS(A1101&lt;20, "ภาคกลาง", A1101&lt;30, "ภาคตะวันออก", A1101&lt;50, "ภาคตะวันออกเฉียงเหนือ", A1101&lt;60, "ภาคเหนือ", A1101&lt;80, "ภาคกลาง/ตะวันตก", A1101&gt;=80, "ภาคใต้")</f>
        <v>ภาคตะวันออกเฉียงเหนือ</v>
      </c>
      <c r="D1101" s="64">
        <v>4287</v>
      </c>
      <c r="E1101" s="10" t="s">
        <v>1429</v>
      </c>
      <c r="F1101" s="11">
        <v>2099</v>
      </c>
      <c r="G1101" s="11">
        <v>2229</v>
      </c>
      <c r="H1101" s="11">
        <v>4328</v>
      </c>
      <c r="I1101" s="11">
        <v>2163</v>
      </c>
      <c r="J1101" s="66">
        <f t="shared" si="64"/>
        <v>48.498151571164513</v>
      </c>
      <c r="K1101" s="66">
        <f t="shared" si="65"/>
        <v>51.501848428835494</v>
      </c>
    </row>
    <row r="1102" spans="1:11" ht="41.4" x14ac:dyDescent="0.3">
      <c r="A1102" s="10">
        <v>42</v>
      </c>
      <c r="B1102" s="10" t="s">
        <v>1406</v>
      </c>
      <c r="C1102" s="10" t="str" cm="1">
        <f t="array" ref="C1102">_xlfn.IFS(A1102&lt;20, "ภาคกลาง", A1102&lt;30, "ภาคตะวันออก", A1102&lt;50, "ภาคตะวันออกเฉียงเหนือ", A1102&lt;60, "ภาคเหนือ", A1102&lt;80, "ภาคกลาง/ตะวันตก", A1102&gt;=80, "ภาคใต้")</f>
        <v>ภาคตะวันออกเฉียงเหนือ</v>
      </c>
      <c r="D1102" s="64">
        <v>4288</v>
      </c>
      <c r="E1102" s="10" t="s">
        <v>1430</v>
      </c>
      <c r="F1102" s="11">
        <v>3416</v>
      </c>
      <c r="G1102" s="11">
        <v>3508</v>
      </c>
      <c r="H1102" s="11">
        <v>6924</v>
      </c>
      <c r="I1102" s="11">
        <v>2834</v>
      </c>
      <c r="J1102" s="66">
        <f t="shared" si="64"/>
        <v>49.335644136337379</v>
      </c>
      <c r="K1102" s="66">
        <f t="shared" si="65"/>
        <v>50.664355863662621</v>
      </c>
    </row>
    <row r="1103" spans="1:11" ht="41.4" x14ac:dyDescent="0.3">
      <c r="A1103" s="10">
        <v>42</v>
      </c>
      <c r="B1103" s="10" t="s">
        <v>1406</v>
      </c>
      <c r="C1103" s="10" t="str" cm="1">
        <f t="array" ref="C1103">_xlfn.IFS(A1103&lt;20, "ภาคกลาง", A1103&lt;30, "ภาคตะวันออก", A1103&lt;50, "ภาคตะวันออกเฉียงเหนือ", A1103&lt;60, "ภาคเหนือ", A1103&lt;80, "ภาคกลาง/ตะวันตก", A1103&gt;=80, "ภาคใต้")</f>
        <v>ภาคตะวันออกเฉียงเหนือ</v>
      </c>
      <c r="D1103" s="64">
        <v>4289</v>
      </c>
      <c r="E1103" s="10" t="s">
        <v>1431</v>
      </c>
      <c r="F1103" s="11">
        <v>4937</v>
      </c>
      <c r="G1103" s="11">
        <v>5401</v>
      </c>
      <c r="H1103" s="11">
        <v>10338</v>
      </c>
      <c r="I1103" s="11">
        <v>4736</v>
      </c>
      <c r="J1103" s="66">
        <f t="shared" si="64"/>
        <v>47.755852195782552</v>
      </c>
      <c r="K1103" s="66">
        <f t="shared" si="65"/>
        <v>52.244147804217455</v>
      </c>
    </row>
    <row r="1104" spans="1:11" ht="41.4" x14ac:dyDescent="0.3">
      <c r="A1104" s="10">
        <v>42</v>
      </c>
      <c r="B1104" s="10" t="s">
        <v>1406</v>
      </c>
      <c r="C1104" s="10" t="str" cm="1">
        <f t="array" ref="C1104">_xlfn.IFS(A1104&lt;20, "ภาคกลาง", A1104&lt;30, "ภาคตะวันออก", A1104&lt;50, "ภาคตะวันออกเฉียงเหนือ", A1104&lt;60, "ภาคเหนือ", A1104&lt;80, "ภาคกลาง/ตะวันตก", A1104&gt;=80, "ภาคใต้")</f>
        <v>ภาคตะวันออกเฉียงเหนือ</v>
      </c>
      <c r="D1104" s="64">
        <v>4290</v>
      </c>
      <c r="E1104" s="10" t="s">
        <v>1432</v>
      </c>
      <c r="F1104" s="10">
        <v>825</v>
      </c>
      <c r="G1104" s="10">
        <v>901</v>
      </c>
      <c r="H1104" s="11">
        <v>1726</v>
      </c>
      <c r="I1104" s="10">
        <v>836</v>
      </c>
      <c r="J1104" s="66">
        <f t="shared" si="64"/>
        <v>47.798377752027811</v>
      </c>
      <c r="K1104" s="66">
        <f t="shared" si="65"/>
        <v>52.201622247972189</v>
      </c>
    </row>
    <row r="1105" spans="1:11" ht="41.4" x14ac:dyDescent="0.3">
      <c r="A1105" s="10">
        <v>42</v>
      </c>
      <c r="B1105" s="10" t="s">
        <v>1406</v>
      </c>
      <c r="C1105" s="10" t="str" cm="1">
        <f t="array" ref="C1105">_xlfn.IFS(A1105&lt;20, "ภาคกลาง", A1105&lt;30, "ภาคตะวันออก", A1105&lt;50, "ภาคตะวันออกเฉียงเหนือ", A1105&lt;60, "ภาคเหนือ", A1105&lt;80, "ภาคกลาง/ตะวันตก", A1105&gt;=80, "ภาคใต้")</f>
        <v>ภาคตะวันออกเฉียงเหนือ</v>
      </c>
      <c r="D1105" s="64">
        <v>4291</v>
      </c>
      <c r="E1105" s="10" t="s">
        <v>1433</v>
      </c>
      <c r="F1105" s="11">
        <v>1337</v>
      </c>
      <c r="G1105" s="11">
        <v>1377</v>
      </c>
      <c r="H1105" s="11">
        <v>2714</v>
      </c>
      <c r="I1105" s="11">
        <v>1627</v>
      </c>
      <c r="J1105" s="66">
        <f t="shared" si="64"/>
        <v>49.263080324244655</v>
      </c>
      <c r="K1105" s="66">
        <f t="shared" si="65"/>
        <v>50.736919675755345</v>
      </c>
    </row>
    <row r="1106" spans="1:11" ht="41.4" x14ac:dyDescent="0.3">
      <c r="A1106" s="10">
        <v>42</v>
      </c>
      <c r="B1106" s="10" t="s">
        <v>1406</v>
      </c>
      <c r="C1106" s="10" t="str" cm="1">
        <f t="array" ref="C1106">_xlfn.IFS(A1106&lt;20, "ภาคกลาง", A1106&lt;30, "ภาคตะวันออก", A1106&lt;50, "ภาคตะวันออกเฉียงเหนือ", A1106&lt;60, "ภาคเหนือ", A1106&lt;80, "ภาคกลาง/ตะวันตก", A1106&gt;=80, "ภาคใต้")</f>
        <v>ภาคตะวันออกเฉียงเหนือ</v>
      </c>
      <c r="D1106" s="64">
        <v>4292</v>
      </c>
      <c r="E1106" s="10" t="s">
        <v>1434</v>
      </c>
      <c r="F1106" s="11">
        <v>1035</v>
      </c>
      <c r="G1106" s="11">
        <v>1002</v>
      </c>
      <c r="H1106" s="11">
        <v>2037</v>
      </c>
      <c r="I1106" s="10">
        <v>965</v>
      </c>
      <c r="J1106" s="66">
        <f t="shared" si="64"/>
        <v>50.810014727540498</v>
      </c>
      <c r="K1106" s="66">
        <f t="shared" si="65"/>
        <v>49.189985272459495</v>
      </c>
    </row>
    <row r="1107" spans="1:11" ht="41.4" x14ac:dyDescent="0.3">
      <c r="A1107" s="10">
        <v>42</v>
      </c>
      <c r="B1107" s="10" t="s">
        <v>1406</v>
      </c>
      <c r="C1107" s="10" t="str" cm="1">
        <f t="array" ref="C1107">_xlfn.IFS(A1107&lt;20, "ภาคกลาง", A1107&lt;30, "ภาคตะวันออก", A1107&lt;50, "ภาคตะวันออกเฉียงเหนือ", A1107&lt;60, "ภาคเหนือ", A1107&lt;80, "ภาคกลาง/ตะวันตก", A1107&gt;=80, "ภาคใต้")</f>
        <v>ภาคตะวันออกเฉียงเหนือ</v>
      </c>
      <c r="D1107" s="64">
        <v>4293</v>
      </c>
      <c r="E1107" s="10" t="s">
        <v>1435</v>
      </c>
      <c r="F1107" s="11">
        <v>1569</v>
      </c>
      <c r="G1107" s="11">
        <v>1657</v>
      </c>
      <c r="H1107" s="11">
        <v>3226</v>
      </c>
      <c r="I1107" s="11">
        <v>2048</v>
      </c>
      <c r="J1107" s="66">
        <f t="shared" si="64"/>
        <v>48.636081835089897</v>
      </c>
      <c r="K1107" s="66">
        <f t="shared" si="65"/>
        <v>51.363918164910103</v>
      </c>
    </row>
    <row r="1108" spans="1:11" ht="41.4" x14ac:dyDescent="0.3">
      <c r="A1108" s="10">
        <v>42</v>
      </c>
      <c r="B1108" s="10" t="s">
        <v>1406</v>
      </c>
      <c r="C1108" s="10" t="str" cm="1">
        <f t="array" ref="C1108">_xlfn.IFS(A1108&lt;20, "ภาคกลาง", A1108&lt;30, "ภาคตะวันออก", A1108&lt;50, "ภาคตะวันออกเฉียงเหนือ", A1108&lt;60, "ภาคเหนือ", A1108&lt;80, "ภาคกลาง/ตะวันตก", A1108&gt;=80, "ภาคใต้")</f>
        <v>ภาคตะวันออกเฉียงเหนือ</v>
      </c>
      <c r="D1108" s="64">
        <v>4294</v>
      </c>
      <c r="E1108" s="10" t="s">
        <v>1436</v>
      </c>
      <c r="F1108" s="11">
        <v>1637</v>
      </c>
      <c r="G1108" s="11">
        <v>1729</v>
      </c>
      <c r="H1108" s="11">
        <v>3366</v>
      </c>
      <c r="I1108" s="11">
        <v>1637</v>
      </c>
      <c r="J1108" s="66">
        <f t="shared" si="64"/>
        <v>48.633392751039814</v>
      </c>
      <c r="K1108" s="66">
        <f t="shared" si="65"/>
        <v>51.366607248960193</v>
      </c>
    </row>
    <row r="1109" spans="1:11" ht="41.4" x14ac:dyDescent="0.3">
      <c r="A1109" s="10">
        <v>42</v>
      </c>
      <c r="B1109" s="10" t="s">
        <v>1406</v>
      </c>
      <c r="C1109" s="10" t="str" cm="1">
        <f t="array" ref="C1109">_xlfn.IFS(A1109&lt;20, "ภาคกลาง", A1109&lt;30, "ภาคตะวันออก", A1109&lt;50, "ภาคตะวันออกเฉียงเหนือ", A1109&lt;60, "ภาคเหนือ", A1109&lt;80, "ภาคกลาง/ตะวันตก", A1109&gt;=80, "ภาคใต้")</f>
        <v>ภาคตะวันออกเฉียงเหนือ</v>
      </c>
      <c r="D1109" s="64">
        <v>4295</v>
      </c>
      <c r="E1109" s="10" t="s">
        <v>1437</v>
      </c>
      <c r="F1109" s="11">
        <v>2525</v>
      </c>
      <c r="G1109" s="11">
        <v>2584</v>
      </c>
      <c r="H1109" s="11">
        <v>5109</v>
      </c>
      <c r="I1109" s="11">
        <v>1715</v>
      </c>
      <c r="J1109" s="66">
        <f t="shared" si="64"/>
        <v>49.422587590526526</v>
      </c>
      <c r="K1109" s="66">
        <f t="shared" si="65"/>
        <v>50.577412409473474</v>
      </c>
    </row>
    <row r="1110" spans="1:11" ht="41.4" x14ac:dyDescent="0.3">
      <c r="A1110" s="10">
        <v>42</v>
      </c>
      <c r="B1110" s="10" t="s">
        <v>1406</v>
      </c>
      <c r="C1110" s="10" t="str" cm="1">
        <f t="array" ref="C1110">_xlfn.IFS(A1110&lt;20, "ภาคกลาง", A1110&lt;30, "ภาคตะวันออก", A1110&lt;50, "ภาคตะวันออกเฉียงเหนือ", A1110&lt;60, "ภาคเหนือ", A1110&lt;80, "ภาคกลาง/ตะวันตก", A1110&gt;=80, "ภาคใต้")</f>
        <v>ภาคตะวันออกเฉียงเหนือ</v>
      </c>
      <c r="D1110" s="64">
        <v>4296</v>
      </c>
      <c r="E1110" s="10" t="s">
        <v>1438</v>
      </c>
      <c r="F1110" s="11">
        <v>2360</v>
      </c>
      <c r="G1110" s="11">
        <v>2559</v>
      </c>
      <c r="H1110" s="11">
        <v>4919</v>
      </c>
      <c r="I1110" s="11">
        <v>2895</v>
      </c>
      <c r="J1110" s="66">
        <f t="shared" si="64"/>
        <v>47.97723114454157</v>
      </c>
      <c r="K1110" s="66">
        <f t="shared" si="65"/>
        <v>52.022768855458423</v>
      </c>
    </row>
    <row r="1111" spans="1:11" ht="41.4" x14ac:dyDescent="0.3">
      <c r="A1111" s="10">
        <v>42</v>
      </c>
      <c r="B1111" s="10" t="s">
        <v>1406</v>
      </c>
      <c r="C1111" s="10" t="str" cm="1">
        <f t="array" ref="C1111">_xlfn.IFS(A1111&lt;20, "ภาคกลาง", A1111&lt;30, "ภาคตะวันออก", A1111&lt;50, "ภาคตะวันออกเฉียงเหนือ", A1111&lt;60, "ภาคเหนือ", A1111&lt;80, "ภาคกลาง/ตะวันตก", A1111&gt;=80, "ภาคใต้")</f>
        <v>ภาคตะวันออกเฉียงเหนือ</v>
      </c>
      <c r="D1111" s="64">
        <v>4297</v>
      </c>
      <c r="E1111" s="10" t="s">
        <v>1439</v>
      </c>
      <c r="F1111" s="11">
        <v>3188</v>
      </c>
      <c r="G1111" s="11">
        <v>3228</v>
      </c>
      <c r="H1111" s="11">
        <v>6416</v>
      </c>
      <c r="I1111" s="11">
        <v>2461</v>
      </c>
      <c r="J1111" s="66">
        <f t="shared" si="64"/>
        <v>49.688279301745638</v>
      </c>
      <c r="K1111" s="66">
        <f t="shared" si="65"/>
        <v>50.311720698254362</v>
      </c>
    </row>
    <row r="1112" spans="1:11" ht="41.4" x14ac:dyDescent="0.3">
      <c r="A1112" s="10">
        <v>42</v>
      </c>
      <c r="B1112" s="10" t="s">
        <v>1406</v>
      </c>
      <c r="C1112" s="10" t="str" cm="1">
        <f t="array" ref="C1112">_xlfn.IFS(A1112&lt;20, "ภาคกลาง", A1112&lt;30, "ภาคตะวันออก", A1112&lt;50, "ภาคตะวันออกเฉียงเหนือ", A1112&lt;60, "ภาคเหนือ", A1112&lt;80, "ภาคกลาง/ตะวันตก", A1112&gt;=80, "ภาคใต้")</f>
        <v>ภาคตะวันออกเฉียงเหนือ</v>
      </c>
      <c r="D1112" s="64">
        <v>4298</v>
      </c>
      <c r="E1112" s="10" t="s">
        <v>1440</v>
      </c>
      <c r="F1112" s="11">
        <v>1746</v>
      </c>
      <c r="G1112" s="11">
        <v>1804</v>
      </c>
      <c r="H1112" s="11">
        <v>3550</v>
      </c>
      <c r="I1112" s="11">
        <v>1274</v>
      </c>
      <c r="J1112" s="66">
        <f t="shared" si="64"/>
        <v>49.183098591549296</v>
      </c>
      <c r="K1112" s="66">
        <f t="shared" si="65"/>
        <v>50.816901408450697</v>
      </c>
    </row>
    <row r="1113" spans="1:11" ht="41.4" x14ac:dyDescent="0.3">
      <c r="A1113" s="10">
        <v>42</v>
      </c>
      <c r="B1113" s="10" t="s">
        <v>1406</v>
      </c>
      <c r="C1113" s="10" t="str" cm="1">
        <f t="array" ref="C1113">_xlfn.IFS(A1113&lt;20, "ภาคกลาง", A1113&lt;30, "ภาคตะวันออก", A1113&lt;50, "ภาคตะวันออกเฉียงเหนือ", A1113&lt;60, "ภาคเหนือ", A1113&lt;80, "ภาคกลาง/ตะวันตก", A1113&gt;=80, "ภาคใต้")</f>
        <v>ภาคตะวันออกเฉียงเหนือ</v>
      </c>
      <c r="D1113" s="64">
        <v>4299</v>
      </c>
      <c r="E1113" s="10" t="s">
        <v>1441</v>
      </c>
      <c r="F1113" s="11">
        <v>2938</v>
      </c>
      <c r="G1113" s="11">
        <v>3054</v>
      </c>
      <c r="H1113" s="11">
        <v>5992</v>
      </c>
      <c r="I1113" s="11">
        <v>2416</v>
      </c>
      <c r="J1113" s="66">
        <f t="shared" si="64"/>
        <v>49.032042723631506</v>
      </c>
      <c r="K1113" s="66">
        <f t="shared" si="65"/>
        <v>50.967957276368494</v>
      </c>
    </row>
    <row r="1114" spans="1:11" ht="41.4" hidden="1" x14ac:dyDescent="0.3">
      <c r="A1114" s="10">
        <v>42</v>
      </c>
      <c r="B1114" s="10" t="s">
        <v>1406</v>
      </c>
      <c r="C1114" s="10" t="str" cm="1">
        <f t="array" ref="C1114">_xlfn.IFS(A1114&lt;20, "ภาคกลาง", A1114&lt;30, "ภาคตะวันออก", A1114&lt;50, "ภาคตะวันออกเฉียงเหนือ", A1114&lt;60, "ภาคเหนือ", A1114&lt;80, "ภาคกลาง/ตะวันตก", A1114&gt;=80, "ภาคใต้")</f>
        <v>ภาคตะวันออกเฉียงเหนือ</v>
      </c>
      <c r="D1114" s="10">
        <v>0</v>
      </c>
      <c r="E1114" s="10" t="s">
        <v>343</v>
      </c>
      <c r="F1114" s="11">
        <v>9659</v>
      </c>
      <c r="G1114" s="11">
        <v>9960</v>
      </c>
      <c r="H1114" s="11">
        <v>19619</v>
      </c>
      <c r="I1114" s="11">
        <v>11638</v>
      </c>
      <c r="J1114"/>
      <c r="K1114"/>
    </row>
    <row r="1115" spans="1:11" ht="41.4" x14ac:dyDescent="0.3">
      <c r="A1115" s="10">
        <v>43</v>
      </c>
      <c r="B1115" s="10" t="s">
        <v>1442</v>
      </c>
      <c r="C1115" s="10" t="str" cm="1">
        <f t="array" ref="C1115">_xlfn.IFS(A1115&lt;20, "ภาคกลาง", A1115&lt;30, "ภาคตะวันออก", A1115&lt;50, "ภาคตะวันออกเฉียงเหนือ", A1115&lt;60, "ภาคเหนือ", A1115&lt;80, "ภาคกลาง/ตะวันตก", A1115&gt;=80, "ภาคใต้")</f>
        <v>ภาคตะวันออกเฉียงเหนือ</v>
      </c>
      <c r="D1115" s="64">
        <v>4301</v>
      </c>
      <c r="E1115" s="10" t="s">
        <v>1443</v>
      </c>
      <c r="F1115" s="11">
        <v>253194</v>
      </c>
      <c r="G1115" s="11">
        <v>258512</v>
      </c>
      <c r="H1115" s="11">
        <v>511706</v>
      </c>
      <c r="I1115" s="11">
        <v>190025</v>
      </c>
      <c r="J1115" s="66">
        <f t="shared" ref="J1115:J1134" si="66">F1115/H1115*100</f>
        <v>49.480365678729584</v>
      </c>
      <c r="K1115" s="66">
        <f t="shared" ref="K1115:K1134" si="67">G1115/H1115*100</f>
        <v>50.519634321270409</v>
      </c>
    </row>
    <row r="1116" spans="1:11" ht="41.4" x14ac:dyDescent="0.3">
      <c r="A1116" s="10">
        <v>43</v>
      </c>
      <c r="B1116" s="10" t="s">
        <v>1442</v>
      </c>
      <c r="C1116" s="10" t="str" cm="1">
        <f t="array" ref="C1116">_xlfn.IFS(A1116&lt;20, "ภาคกลาง", A1116&lt;30, "ภาคตะวันออก", A1116&lt;50, "ภาคตะวันออกเฉียงเหนือ", A1116&lt;60, "ภาคเหนือ", A1116&lt;80, "ภาคกลาง/ตะวันตก", A1116&gt;=80, "ภาคใต้")</f>
        <v>ภาคตะวันออกเฉียงเหนือ</v>
      </c>
      <c r="D1116" s="64">
        <v>4302</v>
      </c>
      <c r="E1116" s="10" t="s">
        <v>1444</v>
      </c>
      <c r="F1116" s="11">
        <v>37043</v>
      </c>
      <c r="G1116" s="11">
        <v>37750</v>
      </c>
      <c r="H1116" s="11">
        <v>74793</v>
      </c>
      <c r="I1116" s="11">
        <v>26094</v>
      </c>
      <c r="J1116" s="66">
        <f t="shared" si="66"/>
        <v>49.527362186300856</v>
      </c>
      <c r="K1116" s="66">
        <f t="shared" si="67"/>
        <v>50.472637813699137</v>
      </c>
    </row>
    <row r="1117" spans="1:11" ht="41.4" x14ac:dyDescent="0.3">
      <c r="A1117" s="10">
        <v>43</v>
      </c>
      <c r="B1117" s="10" t="s">
        <v>1442</v>
      </c>
      <c r="C1117" s="10" t="str" cm="1">
        <f t="array" ref="C1117">_xlfn.IFS(A1117&lt;20, "ภาคกลาง", A1117&lt;30, "ภาคตะวันออก", A1117&lt;50, "ภาคตะวันออกเฉียงเหนือ", A1117&lt;60, "ภาคเหนือ", A1117&lt;80, "ภาคกลาง/ตะวันตก", A1117&gt;=80, "ภาคใต้")</f>
        <v>ภาคตะวันออกเฉียงเหนือ</v>
      </c>
      <c r="D1117" s="64">
        <v>4305</v>
      </c>
      <c r="E1117" s="10" t="s">
        <v>1445</v>
      </c>
      <c r="F1117" s="11">
        <v>29989</v>
      </c>
      <c r="G1117" s="11">
        <v>30856</v>
      </c>
      <c r="H1117" s="11">
        <v>60845</v>
      </c>
      <c r="I1117" s="11">
        <v>19666</v>
      </c>
      <c r="J1117" s="66">
        <f t="shared" si="66"/>
        <v>49.287533897608675</v>
      </c>
      <c r="K1117" s="66">
        <f t="shared" si="67"/>
        <v>50.712466102391318</v>
      </c>
    </row>
    <row r="1118" spans="1:11" ht="41.4" x14ac:dyDescent="0.3">
      <c r="A1118" s="10">
        <v>43</v>
      </c>
      <c r="B1118" s="10" t="s">
        <v>1442</v>
      </c>
      <c r="C1118" s="10" t="str" cm="1">
        <f t="array" ref="C1118">_xlfn.IFS(A1118&lt;20, "ภาคกลาง", A1118&lt;30, "ภาคตะวันออก", A1118&lt;50, "ภาคตะวันออกเฉียงเหนือ", A1118&lt;60, "ภาคเหนือ", A1118&lt;80, "ภาคกลาง/ตะวันตก", A1118&gt;=80, "ภาคใต้")</f>
        <v>ภาคตะวันออกเฉียงเหนือ</v>
      </c>
      <c r="D1118" s="64">
        <v>4307</v>
      </c>
      <c r="E1118" s="10" t="s">
        <v>1446</v>
      </c>
      <c r="F1118" s="11">
        <v>47087</v>
      </c>
      <c r="G1118" s="11">
        <v>47704</v>
      </c>
      <c r="H1118" s="11">
        <v>94791</v>
      </c>
      <c r="I1118" s="11">
        <v>33367</v>
      </c>
      <c r="J1118" s="66">
        <f t="shared" si="66"/>
        <v>49.674547161650366</v>
      </c>
      <c r="K1118" s="66">
        <f t="shared" si="67"/>
        <v>50.325452838349626</v>
      </c>
    </row>
    <row r="1119" spans="1:11" ht="41.4" x14ac:dyDescent="0.3">
      <c r="A1119" s="10">
        <v>43</v>
      </c>
      <c r="B1119" s="10" t="s">
        <v>1442</v>
      </c>
      <c r="C1119" s="10" t="str" cm="1">
        <f t="array" ref="C1119">_xlfn.IFS(A1119&lt;20, "ภาคกลาง", A1119&lt;30, "ภาคตะวันออก", A1119&lt;50, "ภาคตะวันออกเฉียงเหนือ", A1119&lt;60, "ภาคเหนือ", A1119&lt;80, "ภาคกลาง/ตะวันตก", A1119&gt;=80, "ภาคใต้")</f>
        <v>ภาคตะวันออกเฉียงเหนือ</v>
      </c>
      <c r="D1119" s="64">
        <v>4308</v>
      </c>
      <c r="E1119" s="10" t="s">
        <v>1447</v>
      </c>
      <c r="F1119" s="11">
        <v>11402</v>
      </c>
      <c r="G1119" s="11">
        <v>11770</v>
      </c>
      <c r="H1119" s="11">
        <v>23172</v>
      </c>
      <c r="I1119" s="11">
        <v>7800</v>
      </c>
      <c r="J1119" s="66">
        <f t="shared" si="66"/>
        <v>49.205938201277405</v>
      </c>
      <c r="K1119" s="66">
        <f t="shared" si="67"/>
        <v>50.794061798722602</v>
      </c>
    </row>
    <row r="1120" spans="1:11" ht="41.4" x14ac:dyDescent="0.3">
      <c r="A1120" s="10">
        <v>43</v>
      </c>
      <c r="B1120" s="10" t="s">
        <v>1442</v>
      </c>
      <c r="C1120" s="10" t="str" cm="1">
        <f t="array" ref="C1120">_xlfn.IFS(A1120&lt;20, "ภาคกลาง", A1120&lt;30, "ภาคตะวันออก", A1120&lt;50, "ภาคตะวันออกเฉียงเหนือ", A1120&lt;60, "ภาคเหนือ", A1120&lt;80, "ภาคกลาง/ตะวันตก", A1120&gt;=80, "ภาคใต้")</f>
        <v>ภาคตะวันออกเฉียงเหนือ</v>
      </c>
      <c r="D1120" s="64">
        <v>4314</v>
      </c>
      <c r="E1120" s="10" t="s">
        <v>1448</v>
      </c>
      <c r="F1120" s="11">
        <v>11212</v>
      </c>
      <c r="G1120" s="11">
        <v>10995</v>
      </c>
      <c r="H1120" s="11">
        <v>22207</v>
      </c>
      <c r="I1120" s="11">
        <v>7631</v>
      </c>
      <c r="J1120" s="66">
        <f t="shared" si="66"/>
        <v>50.488584680506143</v>
      </c>
      <c r="K1120" s="66">
        <f t="shared" si="67"/>
        <v>49.51141531949385</v>
      </c>
    </row>
    <row r="1121" spans="1:11" ht="41.4" x14ac:dyDescent="0.3">
      <c r="A1121" s="10">
        <v>43</v>
      </c>
      <c r="B1121" s="10" t="s">
        <v>1442</v>
      </c>
      <c r="C1121" s="10" t="str" cm="1">
        <f t="array" ref="C1121">_xlfn.IFS(A1121&lt;20, "ภาคกลาง", A1121&lt;30, "ภาคตะวันออก", A1121&lt;50, "ภาคตะวันออกเฉียงเหนือ", A1121&lt;60, "ภาคเหนือ", A1121&lt;80, "ภาคกลาง/ตะวันตก", A1121&gt;=80, "ภาคใต้")</f>
        <v>ภาคตะวันออกเฉียงเหนือ</v>
      </c>
      <c r="D1121" s="64">
        <v>4315</v>
      </c>
      <c r="E1121" s="10" t="s">
        <v>1449</v>
      </c>
      <c r="F1121" s="11">
        <v>13296</v>
      </c>
      <c r="G1121" s="11">
        <v>13192</v>
      </c>
      <c r="H1121" s="11">
        <v>26488</v>
      </c>
      <c r="I1121" s="11">
        <v>8997</v>
      </c>
      <c r="J1121" s="66">
        <f t="shared" si="66"/>
        <v>50.196315312594386</v>
      </c>
      <c r="K1121" s="66">
        <f t="shared" si="67"/>
        <v>49.803684687405621</v>
      </c>
    </row>
    <row r="1122" spans="1:11" ht="41.4" x14ac:dyDescent="0.3">
      <c r="A1122" s="10">
        <v>43</v>
      </c>
      <c r="B1122" s="10" t="s">
        <v>1442</v>
      </c>
      <c r="C1122" s="10" t="str" cm="1">
        <f t="array" ref="C1122">_xlfn.IFS(A1122&lt;20, "ภาคกลาง", A1122&lt;30, "ภาคตะวันออก", A1122&lt;50, "ภาคตะวันออกเฉียงเหนือ", A1122&lt;60, "ภาคเหนือ", A1122&lt;80, "ภาคกลาง/ตะวันตก", A1122&gt;=80, "ภาคใต้")</f>
        <v>ภาคตะวันออกเฉียงเหนือ</v>
      </c>
      <c r="D1122" s="64">
        <v>4316</v>
      </c>
      <c r="E1122" s="10" t="s">
        <v>1450</v>
      </c>
      <c r="F1122" s="11">
        <v>19768</v>
      </c>
      <c r="G1122" s="11">
        <v>19801</v>
      </c>
      <c r="H1122" s="11">
        <v>39569</v>
      </c>
      <c r="I1122" s="11">
        <v>11852</v>
      </c>
      <c r="J1122" s="66">
        <f t="shared" si="66"/>
        <v>49.958300689934035</v>
      </c>
      <c r="K1122" s="66">
        <f t="shared" si="67"/>
        <v>50.041699310065958</v>
      </c>
    </row>
    <row r="1123" spans="1:11" ht="41.4" x14ac:dyDescent="0.3">
      <c r="A1123" s="10">
        <v>43</v>
      </c>
      <c r="B1123" s="10" t="s">
        <v>1442</v>
      </c>
      <c r="C1123" s="10" t="str" cm="1">
        <f t="array" ref="C1123">_xlfn.IFS(A1123&lt;20, "ภาคกลาง", A1123&lt;30, "ภาคตะวันออก", A1123&lt;50, "ภาคตะวันออกเฉียงเหนือ", A1123&lt;60, "ภาคเหนือ", A1123&lt;80, "ภาคกลาง/ตะวันตก", A1123&gt;=80, "ภาคใต้")</f>
        <v>ภาคตะวันออกเฉียงเหนือ</v>
      </c>
      <c r="D1123" s="64">
        <v>4317</v>
      </c>
      <c r="E1123" s="10" t="s">
        <v>1451</v>
      </c>
      <c r="F1123" s="11">
        <v>18767</v>
      </c>
      <c r="G1123" s="11">
        <v>18760</v>
      </c>
      <c r="H1123" s="11">
        <v>37527</v>
      </c>
      <c r="I1123" s="11">
        <v>13604</v>
      </c>
      <c r="J1123" s="66">
        <f t="shared" si="66"/>
        <v>50.009326618168245</v>
      </c>
      <c r="K1123" s="66">
        <f t="shared" si="67"/>
        <v>49.990673381831748</v>
      </c>
    </row>
    <row r="1124" spans="1:11" ht="41.4" x14ac:dyDescent="0.3">
      <c r="A1124" s="10">
        <v>43</v>
      </c>
      <c r="B1124" s="10" t="s">
        <v>1442</v>
      </c>
      <c r="C1124" s="10" t="str" cm="1">
        <f t="array" ref="C1124">_xlfn.IFS(A1124&lt;20, "ภาคกลาง", A1124&lt;30, "ภาคตะวันออก", A1124&lt;50, "ภาคตะวันออกเฉียงเหนือ", A1124&lt;60, "ภาคเหนือ", A1124&lt;80, "ภาคกลาง/ตะวันตก", A1124&gt;=80, "ภาคใต้")</f>
        <v>ภาคตะวันออกเฉียงเหนือ</v>
      </c>
      <c r="D1124" s="64">
        <v>4378</v>
      </c>
      <c r="E1124" s="10" t="s">
        <v>1452</v>
      </c>
      <c r="F1124" s="11">
        <v>7503</v>
      </c>
      <c r="G1124" s="11">
        <v>7572</v>
      </c>
      <c r="H1124" s="11">
        <v>15075</v>
      </c>
      <c r="I1124" s="11">
        <v>5369</v>
      </c>
      <c r="J1124" s="66">
        <f t="shared" si="66"/>
        <v>49.771144278606968</v>
      </c>
      <c r="K1124" s="66">
        <f t="shared" si="67"/>
        <v>50.228855721393039</v>
      </c>
    </row>
    <row r="1125" spans="1:11" ht="41.4" x14ac:dyDescent="0.3">
      <c r="A1125" s="10">
        <v>43</v>
      </c>
      <c r="B1125" s="10" t="s">
        <v>1442</v>
      </c>
      <c r="C1125" s="10" t="str" cm="1">
        <f t="array" ref="C1125">_xlfn.IFS(A1125&lt;20, "ภาคกลาง", A1125&lt;30, "ภาคตะวันออก", A1125&lt;50, "ภาคตะวันออกเฉียงเหนือ", A1125&lt;60, "ภาคเหนือ", A1125&lt;80, "ภาคกลาง/ตะวันตก", A1125&gt;=80, "ภาคใต้")</f>
        <v>ภาคตะวันออกเฉียงเหนือ</v>
      </c>
      <c r="D1125" s="64">
        <v>4381</v>
      </c>
      <c r="E1125" s="10" t="s">
        <v>1453</v>
      </c>
      <c r="F1125" s="11">
        <v>5437</v>
      </c>
      <c r="G1125" s="11">
        <v>5500</v>
      </c>
      <c r="H1125" s="11">
        <v>10937</v>
      </c>
      <c r="I1125" s="11">
        <v>4222</v>
      </c>
      <c r="J1125" s="66">
        <f t="shared" si="66"/>
        <v>49.711986833683824</v>
      </c>
      <c r="K1125" s="66">
        <f t="shared" si="67"/>
        <v>50.288013166316169</v>
      </c>
    </row>
    <row r="1126" spans="1:11" ht="41.4" x14ac:dyDescent="0.3">
      <c r="A1126" s="10">
        <v>43</v>
      </c>
      <c r="B1126" s="10" t="s">
        <v>1442</v>
      </c>
      <c r="C1126" s="10" t="str" cm="1">
        <f t="array" ref="C1126">_xlfn.IFS(A1126&lt;20, "ภาคกลาง", A1126&lt;30, "ภาคตะวันออก", A1126&lt;50, "ภาคตะวันออกเฉียงเหนือ", A1126&lt;60, "ภาคเหนือ", A1126&lt;80, "ภาคกลาง/ตะวันตก", A1126&gt;=80, "ภาคใต้")</f>
        <v>ภาคตะวันออกเฉียงเหนือ</v>
      </c>
      <c r="D1126" s="64">
        <v>4382</v>
      </c>
      <c r="E1126" s="10" t="s">
        <v>1454</v>
      </c>
      <c r="F1126" s="11">
        <v>3959</v>
      </c>
      <c r="G1126" s="11">
        <v>4229</v>
      </c>
      <c r="H1126" s="11">
        <v>8188</v>
      </c>
      <c r="I1126" s="11">
        <v>4106</v>
      </c>
      <c r="J1126" s="66">
        <f t="shared" si="66"/>
        <v>48.351245725451882</v>
      </c>
      <c r="K1126" s="66">
        <f t="shared" si="67"/>
        <v>51.648754274548111</v>
      </c>
    </row>
    <row r="1127" spans="1:11" ht="41.4" x14ac:dyDescent="0.3">
      <c r="A1127" s="10">
        <v>43</v>
      </c>
      <c r="B1127" s="10" t="s">
        <v>1442</v>
      </c>
      <c r="C1127" s="10" t="str" cm="1">
        <f t="array" ref="C1127">_xlfn.IFS(A1127&lt;20, "ภาคกลาง", A1127&lt;30, "ภาคตะวันออก", A1127&lt;50, "ภาคตะวันออกเฉียงเหนือ", A1127&lt;60, "ภาคเหนือ", A1127&lt;80, "ภาคกลาง/ตะวันตก", A1127&gt;=80, "ภาคใต้")</f>
        <v>ภาคตะวันออกเฉียงเหนือ</v>
      </c>
      <c r="D1127" s="64">
        <v>4388</v>
      </c>
      <c r="E1127" s="10" t="s">
        <v>1455</v>
      </c>
      <c r="F1127" s="11">
        <v>4691</v>
      </c>
      <c r="G1127" s="11">
        <v>4883</v>
      </c>
      <c r="H1127" s="11">
        <v>9574</v>
      </c>
      <c r="I1127" s="11">
        <v>3177</v>
      </c>
      <c r="J1127" s="66">
        <f t="shared" si="66"/>
        <v>48.997284311677461</v>
      </c>
      <c r="K1127" s="66">
        <f t="shared" si="67"/>
        <v>51.002715688322539</v>
      </c>
    </row>
    <row r="1128" spans="1:11" ht="41.4" x14ac:dyDescent="0.3">
      <c r="A1128" s="10">
        <v>43</v>
      </c>
      <c r="B1128" s="10" t="s">
        <v>1442</v>
      </c>
      <c r="C1128" s="10" t="str" cm="1">
        <f t="array" ref="C1128">_xlfn.IFS(A1128&lt;20, "ภาคกลาง", A1128&lt;30, "ภาคตะวันออก", A1128&lt;50, "ภาคตะวันออกเฉียงเหนือ", A1128&lt;60, "ภาคเหนือ", A1128&lt;80, "ภาคกลาง/ตะวันตก", A1128&gt;=80, "ภาคใต้")</f>
        <v>ภาคตะวันออกเฉียงเหนือ</v>
      </c>
      <c r="D1128" s="64">
        <v>4389</v>
      </c>
      <c r="E1128" s="10" t="s">
        <v>1456</v>
      </c>
      <c r="F1128" s="11">
        <v>1581</v>
      </c>
      <c r="G1128" s="11">
        <v>1661</v>
      </c>
      <c r="H1128" s="11">
        <v>3242</v>
      </c>
      <c r="I1128" s="11">
        <v>1531</v>
      </c>
      <c r="J1128" s="66">
        <f t="shared" si="66"/>
        <v>48.76619370758791</v>
      </c>
      <c r="K1128" s="66">
        <f t="shared" si="67"/>
        <v>51.23380629241209</v>
      </c>
    </row>
    <row r="1129" spans="1:11" ht="41.4" x14ac:dyDescent="0.3">
      <c r="A1129" s="10">
        <v>43</v>
      </c>
      <c r="B1129" s="10" t="s">
        <v>1442</v>
      </c>
      <c r="C1129" s="10" t="str" cm="1">
        <f t="array" ref="C1129">_xlfn.IFS(A1129&lt;20, "ภาคกลาง", A1129&lt;30, "ภาคตะวันออก", A1129&lt;50, "ภาคตะวันออกเฉียงเหนือ", A1129&lt;60, "ภาคเหนือ", A1129&lt;80, "ภาคกลาง/ตะวันตก", A1129&gt;=80, "ภาคใต้")</f>
        <v>ภาคตะวันออกเฉียงเหนือ</v>
      </c>
      <c r="D1129" s="64">
        <v>4391</v>
      </c>
      <c r="E1129" s="10" t="s">
        <v>1457</v>
      </c>
      <c r="F1129" s="11">
        <v>2961</v>
      </c>
      <c r="G1129" s="11">
        <v>3110</v>
      </c>
      <c r="H1129" s="11">
        <v>6071</v>
      </c>
      <c r="I1129" s="11">
        <v>2964</v>
      </c>
      <c r="J1129" s="66">
        <f t="shared" si="66"/>
        <v>48.772854554439135</v>
      </c>
      <c r="K1129" s="66">
        <f t="shared" si="67"/>
        <v>51.227145445560865</v>
      </c>
    </row>
    <row r="1130" spans="1:11" ht="41.4" x14ac:dyDescent="0.3">
      <c r="A1130" s="10">
        <v>43</v>
      </c>
      <c r="B1130" s="10" t="s">
        <v>1442</v>
      </c>
      <c r="C1130" s="10" t="str" cm="1">
        <f t="array" ref="C1130">_xlfn.IFS(A1130&lt;20, "ภาคกลาง", A1130&lt;30, "ภาคตะวันออก", A1130&lt;50, "ภาคตะวันออกเฉียงเหนือ", A1130&lt;60, "ภาคเหนือ", A1130&lt;80, "ภาคกลาง/ตะวันตก", A1130&gt;=80, "ภาคใต้")</f>
        <v>ภาคตะวันออกเฉียงเหนือ</v>
      </c>
      <c r="D1130" s="64">
        <v>4395</v>
      </c>
      <c r="E1130" s="10" t="s">
        <v>1458</v>
      </c>
      <c r="F1130" s="11">
        <v>1260</v>
      </c>
      <c r="G1130" s="11">
        <v>1246</v>
      </c>
      <c r="H1130" s="11">
        <v>2506</v>
      </c>
      <c r="I1130" s="11">
        <v>1258</v>
      </c>
      <c r="J1130" s="66">
        <f t="shared" si="66"/>
        <v>50.279329608938554</v>
      </c>
      <c r="K1130" s="66">
        <f t="shared" si="67"/>
        <v>49.720670391061446</v>
      </c>
    </row>
    <row r="1131" spans="1:11" ht="41.4" x14ac:dyDescent="0.3">
      <c r="A1131" s="10">
        <v>43</v>
      </c>
      <c r="B1131" s="10" t="s">
        <v>1442</v>
      </c>
      <c r="C1131" s="10" t="str" cm="1">
        <f t="array" ref="C1131">_xlfn.IFS(A1131&lt;20, "ภาคกลาง", A1131&lt;30, "ภาคตะวันออก", A1131&lt;50, "ภาคตะวันออกเฉียงเหนือ", A1131&lt;60, "ภาคเหนือ", A1131&lt;80, "ภาคกลาง/ตะวันตก", A1131&gt;=80, "ภาคใต้")</f>
        <v>ภาคตะวันออกเฉียงเหนือ</v>
      </c>
      <c r="D1131" s="64">
        <v>4396</v>
      </c>
      <c r="E1131" s="10" t="s">
        <v>1459</v>
      </c>
      <c r="F1131" s="11">
        <v>1702</v>
      </c>
      <c r="G1131" s="11">
        <v>1933</v>
      </c>
      <c r="H1131" s="11">
        <v>3635</v>
      </c>
      <c r="I1131" s="11">
        <v>1178</v>
      </c>
      <c r="J1131" s="66">
        <f t="shared" si="66"/>
        <v>46.822558459422282</v>
      </c>
      <c r="K1131" s="66">
        <f t="shared" si="67"/>
        <v>53.177441540577718</v>
      </c>
    </row>
    <row r="1132" spans="1:11" ht="41.4" x14ac:dyDescent="0.3">
      <c r="A1132" s="10">
        <v>43</v>
      </c>
      <c r="B1132" s="10" t="s">
        <v>1442</v>
      </c>
      <c r="C1132" s="10" t="str" cm="1">
        <f t="array" ref="C1132">_xlfn.IFS(A1132&lt;20, "ภาคกลาง", A1132&lt;30, "ภาคตะวันออก", A1132&lt;50, "ภาคตะวันออกเฉียงเหนือ", A1132&lt;60, "ภาคเหนือ", A1132&lt;80, "ภาคกลาง/ตะวันตก", A1132&gt;=80, "ภาคใต้")</f>
        <v>ภาคตะวันออกเฉียงเหนือ</v>
      </c>
      <c r="D1132" s="64">
        <v>4397</v>
      </c>
      <c r="E1132" s="10" t="s">
        <v>1323</v>
      </c>
      <c r="F1132" s="11">
        <v>8168</v>
      </c>
      <c r="G1132" s="11">
        <v>8626</v>
      </c>
      <c r="H1132" s="11">
        <v>16794</v>
      </c>
      <c r="I1132" s="11">
        <v>7626</v>
      </c>
      <c r="J1132" s="66">
        <f t="shared" si="66"/>
        <v>48.636417768250567</v>
      </c>
      <c r="K1132" s="66">
        <f t="shared" si="67"/>
        <v>51.36358223174944</v>
      </c>
    </row>
    <row r="1133" spans="1:11" ht="41.4" x14ac:dyDescent="0.3">
      <c r="A1133" s="10">
        <v>43</v>
      </c>
      <c r="B1133" s="10" t="s">
        <v>1442</v>
      </c>
      <c r="C1133" s="10" t="str" cm="1">
        <f t="array" ref="C1133">_xlfn.IFS(A1133&lt;20, "ภาคกลาง", A1133&lt;30, "ภาคตะวันออก", A1133&lt;50, "ภาคตะวันออกเฉียงเหนือ", A1133&lt;60, "ภาคเหนือ", A1133&lt;80, "ภาคกลาง/ตะวันตก", A1133&gt;=80, "ภาคใต้")</f>
        <v>ภาคตะวันออกเฉียงเหนือ</v>
      </c>
      <c r="D1133" s="64">
        <v>4398</v>
      </c>
      <c r="E1133" s="10" t="s">
        <v>1460</v>
      </c>
      <c r="F1133" s="11">
        <v>2531</v>
      </c>
      <c r="G1133" s="11">
        <v>2573</v>
      </c>
      <c r="H1133" s="11">
        <v>5104</v>
      </c>
      <c r="I1133" s="11">
        <v>2168</v>
      </c>
      <c r="J1133" s="66">
        <f t="shared" si="66"/>
        <v>49.588557993730412</v>
      </c>
      <c r="K1133" s="66">
        <f t="shared" si="67"/>
        <v>50.411442006269588</v>
      </c>
    </row>
    <row r="1134" spans="1:11" ht="41.4" x14ac:dyDescent="0.3">
      <c r="A1134" s="10">
        <v>43</v>
      </c>
      <c r="B1134" s="10" t="s">
        <v>1442</v>
      </c>
      <c r="C1134" s="10" t="str" cm="1">
        <f t="array" ref="C1134">_xlfn.IFS(A1134&lt;20, "ภาคกลาง", A1134&lt;30, "ภาคตะวันออก", A1134&lt;50, "ภาคตะวันออกเฉียงเหนือ", A1134&lt;60, "ภาคเหนือ", A1134&lt;80, "ภาคกลาง/ตะวันตก", A1134&gt;=80, "ภาคใต้")</f>
        <v>ภาคตะวันออกเฉียงเหนือ</v>
      </c>
      <c r="D1134" s="64">
        <v>4399</v>
      </c>
      <c r="E1134" s="10" t="s">
        <v>1461</v>
      </c>
      <c r="F1134" s="11">
        <v>2737</v>
      </c>
      <c r="G1134" s="11">
        <v>3011</v>
      </c>
      <c r="H1134" s="11">
        <v>5748</v>
      </c>
      <c r="I1134" s="11">
        <v>1960</v>
      </c>
      <c r="J1134" s="66">
        <f t="shared" si="66"/>
        <v>47.616562282533053</v>
      </c>
      <c r="K1134" s="66">
        <f t="shared" si="67"/>
        <v>52.38343771746694</v>
      </c>
    </row>
    <row r="1135" spans="1:11" ht="41.4" hidden="1" x14ac:dyDescent="0.3">
      <c r="A1135" s="10">
        <v>43</v>
      </c>
      <c r="B1135" s="10" t="s">
        <v>1442</v>
      </c>
      <c r="C1135" s="10" t="str" cm="1">
        <f t="array" ref="C1135">_xlfn.IFS(A1135&lt;20, "ภาคกลาง", A1135&lt;30, "ภาคตะวันออก", A1135&lt;50, "ภาคตะวันออกเฉียงเหนือ", A1135&lt;60, "ภาคเหนือ", A1135&lt;80, "ภาคกลาง/ตะวันตก", A1135&gt;=80, "ภาคใต้")</f>
        <v>ภาคตะวันออกเฉียงเหนือ</v>
      </c>
      <c r="D1135" s="10">
        <v>0</v>
      </c>
      <c r="E1135" s="10" t="s">
        <v>343</v>
      </c>
      <c r="F1135" s="11">
        <v>22100</v>
      </c>
      <c r="G1135" s="11">
        <v>23340</v>
      </c>
      <c r="H1135" s="11">
        <v>45440</v>
      </c>
      <c r="I1135" s="11">
        <v>25455</v>
      </c>
      <c r="J1135"/>
      <c r="K1135"/>
    </row>
    <row r="1136" spans="1:11" ht="41.4" x14ac:dyDescent="0.3">
      <c r="A1136" s="10">
        <v>44</v>
      </c>
      <c r="B1136" s="10" t="s">
        <v>1462</v>
      </c>
      <c r="C1136" s="10" t="str" cm="1">
        <f t="array" ref="C1136">_xlfn.IFS(A1136&lt;20, "ภาคกลาง", A1136&lt;30, "ภาคตะวันออก", A1136&lt;50, "ภาคตะวันออกเฉียงเหนือ", A1136&lt;60, "ภาคเหนือ", A1136&lt;80, "ภาคกลาง/ตะวันตก", A1136&gt;=80, "ภาคใต้")</f>
        <v>ภาคตะวันออกเฉียงเหนือ</v>
      </c>
      <c r="D1136" s="64">
        <v>4401</v>
      </c>
      <c r="E1136" s="10" t="s">
        <v>1463</v>
      </c>
      <c r="F1136" s="11">
        <v>456246</v>
      </c>
      <c r="G1136" s="11">
        <v>473706</v>
      </c>
      <c r="H1136" s="11">
        <v>929952</v>
      </c>
      <c r="I1136" s="11">
        <v>321366</v>
      </c>
      <c r="J1136" s="66">
        <f t="shared" ref="J1136:J1161" si="68">F1136/H1136*100</f>
        <v>49.061241870548159</v>
      </c>
      <c r="K1136" s="66">
        <f t="shared" ref="K1136:K1161" si="69">G1136/H1136*100</f>
        <v>50.938758129451841</v>
      </c>
    </row>
    <row r="1137" spans="1:11" ht="41.4" x14ac:dyDescent="0.3">
      <c r="A1137" s="10">
        <v>44</v>
      </c>
      <c r="B1137" s="10" t="s">
        <v>1462</v>
      </c>
      <c r="C1137" s="10" t="str" cm="1">
        <f t="array" ref="C1137">_xlfn.IFS(A1137&lt;20, "ภาคกลาง", A1137&lt;30, "ภาคตะวันออก", A1137&lt;50, "ภาคตะวันออกเฉียงเหนือ", A1137&lt;60, "ภาคเหนือ", A1137&lt;80, "ภาคกลาง/ตะวันตก", A1137&gt;=80, "ภาคใต้")</f>
        <v>ภาคตะวันออกเฉียงเหนือ</v>
      </c>
      <c r="D1137" s="64">
        <v>4402</v>
      </c>
      <c r="E1137" s="10" t="s">
        <v>1464</v>
      </c>
      <c r="F1137" s="11">
        <v>49819</v>
      </c>
      <c r="G1137" s="11">
        <v>52236</v>
      </c>
      <c r="H1137" s="11">
        <v>102055</v>
      </c>
      <c r="I1137" s="11">
        <v>38380</v>
      </c>
      <c r="J1137" s="66">
        <f t="shared" si="68"/>
        <v>48.81583459899074</v>
      </c>
      <c r="K1137" s="66">
        <f t="shared" si="69"/>
        <v>51.18416540100926</v>
      </c>
    </row>
    <row r="1138" spans="1:11" ht="41.4" x14ac:dyDescent="0.3">
      <c r="A1138" s="10">
        <v>44</v>
      </c>
      <c r="B1138" s="10" t="s">
        <v>1462</v>
      </c>
      <c r="C1138" s="10" t="str" cm="1">
        <f t="array" ref="C1138">_xlfn.IFS(A1138&lt;20, "ภาคกลาง", A1138&lt;30, "ภาคตะวันออก", A1138&lt;50, "ภาคตะวันออกเฉียงเหนือ", A1138&lt;60, "ภาคเหนือ", A1138&lt;80, "ภาคกลาง/ตะวันตก", A1138&gt;=80, "ภาคใต้")</f>
        <v>ภาคตะวันออกเฉียงเหนือ</v>
      </c>
      <c r="D1138" s="64">
        <v>4403</v>
      </c>
      <c r="E1138" s="10" t="s">
        <v>1465</v>
      </c>
      <c r="F1138" s="11">
        <v>12138</v>
      </c>
      <c r="G1138" s="11">
        <v>12101</v>
      </c>
      <c r="H1138" s="11">
        <v>24239</v>
      </c>
      <c r="I1138" s="11">
        <v>6792</v>
      </c>
      <c r="J1138" s="66">
        <f t="shared" si="68"/>
        <v>50.076323280663395</v>
      </c>
      <c r="K1138" s="66">
        <f t="shared" si="69"/>
        <v>49.923676719336605</v>
      </c>
    </row>
    <row r="1139" spans="1:11" ht="41.4" x14ac:dyDescent="0.3">
      <c r="A1139" s="10">
        <v>44</v>
      </c>
      <c r="B1139" s="10" t="s">
        <v>1462</v>
      </c>
      <c r="C1139" s="10" t="str" cm="1">
        <f t="array" ref="C1139">_xlfn.IFS(A1139&lt;20, "ภาคกลาง", A1139&lt;30, "ภาคตะวันออก", A1139&lt;50, "ภาคตะวันออกเฉียงเหนือ", A1139&lt;60, "ภาคเหนือ", A1139&lt;80, "ภาคกลาง/ตะวันตก", A1139&gt;=80, "ภาคใต้")</f>
        <v>ภาคตะวันออกเฉียงเหนือ</v>
      </c>
      <c r="D1139" s="64">
        <v>4404</v>
      </c>
      <c r="E1139" s="10" t="s">
        <v>1466</v>
      </c>
      <c r="F1139" s="11">
        <v>53150</v>
      </c>
      <c r="G1139" s="11">
        <v>54933</v>
      </c>
      <c r="H1139" s="11">
        <v>108083</v>
      </c>
      <c r="I1139" s="11">
        <v>32897</v>
      </c>
      <c r="J1139" s="66">
        <f t="shared" si="68"/>
        <v>49.175170933449294</v>
      </c>
      <c r="K1139" s="66">
        <f t="shared" si="69"/>
        <v>50.824829066550706</v>
      </c>
    </row>
    <row r="1140" spans="1:11" ht="41.4" x14ac:dyDescent="0.3">
      <c r="A1140" s="10">
        <v>44</v>
      </c>
      <c r="B1140" s="10" t="s">
        <v>1462</v>
      </c>
      <c r="C1140" s="10" t="str" cm="1">
        <f t="array" ref="C1140">_xlfn.IFS(A1140&lt;20, "ภาคกลาง", A1140&lt;30, "ภาคตะวันออก", A1140&lt;50, "ภาคตะวันออกเฉียงเหนือ", A1140&lt;60, "ภาคเหนือ", A1140&lt;80, "ภาคกลาง/ตะวันตก", A1140&gt;=80, "ภาคใต้")</f>
        <v>ภาคตะวันออกเฉียงเหนือ</v>
      </c>
      <c r="D1140" s="64">
        <v>4405</v>
      </c>
      <c r="E1140" s="10" t="s">
        <v>1467</v>
      </c>
      <c r="F1140" s="11">
        <v>26783</v>
      </c>
      <c r="G1140" s="11">
        <v>27982</v>
      </c>
      <c r="H1140" s="11">
        <v>54765</v>
      </c>
      <c r="I1140" s="11">
        <v>17194</v>
      </c>
      <c r="J1140" s="66">
        <f t="shared" si="68"/>
        <v>48.90532274262759</v>
      </c>
      <c r="K1140" s="66">
        <f t="shared" si="69"/>
        <v>51.09467725737241</v>
      </c>
    </row>
    <row r="1141" spans="1:11" ht="41.4" x14ac:dyDescent="0.3">
      <c r="A1141" s="10">
        <v>44</v>
      </c>
      <c r="B1141" s="10" t="s">
        <v>1462</v>
      </c>
      <c r="C1141" s="10" t="str" cm="1">
        <f t="array" ref="C1141">_xlfn.IFS(A1141&lt;20, "ภาคกลาง", A1141&lt;30, "ภาคตะวันออก", A1141&lt;50, "ภาคตะวันออกเฉียงเหนือ", A1141&lt;60, "ภาคเหนือ", A1141&lt;80, "ภาคกลาง/ตะวันตก", A1141&gt;=80, "ภาคใต้")</f>
        <v>ภาคตะวันออกเฉียงเหนือ</v>
      </c>
      <c r="D1141" s="64">
        <v>4406</v>
      </c>
      <c r="E1141" s="10" t="s">
        <v>1468</v>
      </c>
      <c r="F1141" s="11">
        <v>26966</v>
      </c>
      <c r="G1141" s="11">
        <v>28004</v>
      </c>
      <c r="H1141" s="11">
        <v>54970</v>
      </c>
      <c r="I1141" s="11">
        <v>18898</v>
      </c>
      <c r="J1141" s="66">
        <f t="shared" si="68"/>
        <v>49.055848644715297</v>
      </c>
      <c r="K1141" s="66">
        <f t="shared" si="69"/>
        <v>50.944151355284703</v>
      </c>
    </row>
    <row r="1142" spans="1:11" ht="41.4" x14ac:dyDescent="0.3">
      <c r="A1142" s="10">
        <v>44</v>
      </c>
      <c r="B1142" s="10" t="s">
        <v>1462</v>
      </c>
      <c r="C1142" s="10" t="str" cm="1">
        <f t="array" ref="C1142">_xlfn.IFS(A1142&lt;20, "ภาคกลาง", A1142&lt;30, "ภาคตะวันออก", A1142&lt;50, "ภาคตะวันออกเฉียงเหนือ", A1142&lt;60, "ภาคเหนือ", A1142&lt;80, "ภาคกลาง/ตะวันตก", A1142&gt;=80, "ภาคใต้")</f>
        <v>ภาคตะวันออกเฉียงเหนือ</v>
      </c>
      <c r="D1142" s="64">
        <v>4407</v>
      </c>
      <c r="E1142" s="10" t="s">
        <v>1469</v>
      </c>
      <c r="F1142" s="11">
        <v>49969</v>
      </c>
      <c r="G1142" s="11">
        <v>50334</v>
      </c>
      <c r="H1142" s="11">
        <v>100303</v>
      </c>
      <c r="I1142" s="11">
        <v>35471</v>
      </c>
      <c r="J1142" s="66">
        <f t="shared" si="68"/>
        <v>49.818051304547225</v>
      </c>
      <c r="K1142" s="66">
        <f t="shared" si="69"/>
        <v>50.181948695452782</v>
      </c>
    </row>
    <row r="1143" spans="1:11" ht="41.4" x14ac:dyDescent="0.3">
      <c r="A1143" s="10">
        <v>44</v>
      </c>
      <c r="B1143" s="10" t="s">
        <v>1462</v>
      </c>
      <c r="C1143" s="10" t="str" cm="1">
        <f t="array" ref="C1143">_xlfn.IFS(A1143&lt;20, "ภาคกลาง", A1143&lt;30, "ภาคตะวันออก", A1143&lt;50, "ภาคตะวันออกเฉียงเหนือ", A1143&lt;60, "ภาคเหนือ", A1143&lt;80, "ภาคกลาง/ตะวันตก", A1143&gt;=80, "ภาคใต้")</f>
        <v>ภาคตะวันออกเฉียงเหนือ</v>
      </c>
      <c r="D1143" s="64">
        <v>4408</v>
      </c>
      <c r="E1143" s="10" t="s">
        <v>1470</v>
      </c>
      <c r="F1143" s="11">
        <v>28114</v>
      </c>
      <c r="G1143" s="11">
        <v>28508</v>
      </c>
      <c r="H1143" s="11">
        <v>56622</v>
      </c>
      <c r="I1143" s="11">
        <v>18164</v>
      </c>
      <c r="J1143" s="66">
        <f t="shared" si="68"/>
        <v>49.652078697326132</v>
      </c>
      <c r="K1143" s="66">
        <f t="shared" si="69"/>
        <v>50.347921302673868</v>
      </c>
    </row>
    <row r="1144" spans="1:11" ht="41.4" x14ac:dyDescent="0.3">
      <c r="A1144" s="10">
        <v>44</v>
      </c>
      <c r="B1144" s="10" t="s">
        <v>1462</v>
      </c>
      <c r="C1144" s="10" t="str" cm="1">
        <f t="array" ref="C1144">_xlfn.IFS(A1144&lt;20, "ภาคกลาง", A1144&lt;30, "ภาคตะวันออก", A1144&lt;50, "ภาคตะวันออกเฉียงเหนือ", A1144&lt;60, "ภาคเหนือ", A1144&lt;80, "ภาคกลาง/ตะวันตก", A1144&gt;=80, "ภาคใต้")</f>
        <v>ภาคตะวันออกเฉียงเหนือ</v>
      </c>
      <c r="D1144" s="64">
        <v>4409</v>
      </c>
      <c r="E1144" s="10" t="s">
        <v>1471</v>
      </c>
      <c r="F1144" s="11">
        <v>39005</v>
      </c>
      <c r="G1144" s="11">
        <v>39632</v>
      </c>
      <c r="H1144" s="11">
        <v>78637</v>
      </c>
      <c r="I1144" s="11">
        <v>23095</v>
      </c>
      <c r="J1144" s="66">
        <f t="shared" si="68"/>
        <v>49.601332705978102</v>
      </c>
      <c r="K1144" s="66">
        <f t="shared" si="69"/>
        <v>50.398667294021891</v>
      </c>
    </row>
    <row r="1145" spans="1:11" ht="41.4" x14ac:dyDescent="0.3">
      <c r="A1145" s="10">
        <v>44</v>
      </c>
      <c r="B1145" s="10" t="s">
        <v>1462</v>
      </c>
      <c r="C1145" s="10" t="str" cm="1">
        <f t="array" ref="C1145">_xlfn.IFS(A1145&lt;20, "ภาคกลาง", A1145&lt;30, "ภาคตะวันออก", A1145&lt;50, "ภาคตะวันออกเฉียงเหนือ", A1145&lt;60, "ภาคเหนือ", A1145&lt;80, "ภาคกลาง/ตะวันตก", A1145&gt;=80, "ภาคใต้")</f>
        <v>ภาคตะวันออกเฉียงเหนือ</v>
      </c>
      <c r="D1145" s="64">
        <v>4410</v>
      </c>
      <c r="E1145" s="10" t="s">
        <v>1472</v>
      </c>
      <c r="F1145" s="11">
        <v>52713</v>
      </c>
      <c r="G1145" s="11">
        <v>53615</v>
      </c>
      <c r="H1145" s="11">
        <v>106328</v>
      </c>
      <c r="I1145" s="11">
        <v>31602</v>
      </c>
      <c r="J1145" s="66">
        <f t="shared" si="68"/>
        <v>49.575840794522605</v>
      </c>
      <c r="K1145" s="66">
        <f t="shared" si="69"/>
        <v>50.424159205477395</v>
      </c>
    </row>
    <row r="1146" spans="1:11" ht="41.4" x14ac:dyDescent="0.3">
      <c r="A1146" s="10">
        <v>44</v>
      </c>
      <c r="B1146" s="10" t="s">
        <v>1462</v>
      </c>
      <c r="C1146" s="10" t="str" cm="1">
        <f t="array" ref="C1146">_xlfn.IFS(A1146&lt;20, "ภาคกลาง", A1146&lt;30, "ภาคตะวันออก", A1146&lt;50, "ภาคตะวันออกเฉียงเหนือ", A1146&lt;60, "ภาคเหนือ", A1146&lt;80, "ภาคกลาง/ตะวันตก", A1146&gt;=80, "ภาคใต้")</f>
        <v>ภาคตะวันออกเฉียงเหนือ</v>
      </c>
      <c r="D1146" s="64">
        <v>4411</v>
      </c>
      <c r="E1146" s="10" t="s">
        <v>1473</v>
      </c>
      <c r="F1146" s="11">
        <v>16036</v>
      </c>
      <c r="G1146" s="11">
        <v>16271</v>
      </c>
      <c r="H1146" s="11">
        <v>32307</v>
      </c>
      <c r="I1146" s="11">
        <v>8999</v>
      </c>
      <c r="J1146" s="66">
        <f t="shared" si="68"/>
        <v>49.636301730275171</v>
      </c>
      <c r="K1146" s="66">
        <f t="shared" si="69"/>
        <v>50.363698269724836</v>
      </c>
    </row>
    <row r="1147" spans="1:11" ht="41.4" x14ac:dyDescent="0.3">
      <c r="A1147" s="10">
        <v>44</v>
      </c>
      <c r="B1147" s="10" t="s">
        <v>1462</v>
      </c>
      <c r="C1147" s="10" t="str" cm="1">
        <f t="array" ref="C1147">_xlfn.IFS(A1147&lt;20, "ภาคกลาง", A1147&lt;30, "ภาคตะวันออก", A1147&lt;50, "ภาคตะวันออกเฉียงเหนือ", A1147&lt;60, "ภาคเหนือ", A1147&lt;80, "ภาคกลาง/ตะวันตก", A1147&gt;=80, "ภาคใต้")</f>
        <v>ภาคตะวันออกเฉียงเหนือ</v>
      </c>
      <c r="D1147" s="64">
        <v>4412</v>
      </c>
      <c r="E1147" s="10" t="s">
        <v>1474</v>
      </c>
      <c r="F1147" s="11">
        <v>17114</v>
      </c>
      <c r="G1147" s="11">
        <v>17301</v>
      </c>
      <c r="H1147" s="11">
        <v>34415</v>
      </c>
      <c r="I1147" s="11">
        <v>10234</v>
      </c>
      <c r="J1147" s="66">
        <f t="shared" si="68"/>
        <v>49.728316141217491</v>
      </c>
      <c r="K1147" s="66">
        <f t="shared" si="69"/>
        <v>50.271683858782509</v>
      </c>
    </row>
    <row r="1148" spans="1:11" ht="41.4" x14ac:dyDescent="0.3">
      <c r="A1148" s="10">
        <v>44</v>
      </c>
      <c r="B1148" s="10" t="s">
        <v>1462</v>
      </c>
      <c r="C1148" s="10" t="str" cm="1">
        <f t="array" ref="C1148">_xlfn.IFS(A1148&lt;20, "ภาคกลาง", A1148&lt;30, "ภาคตะวันออก", A1148&lt;50, "ภาคตะวันออกเฉียงเหนือ", A1148&lt;60, "ภาคเหนือ", A1148&lt;80, "ภาคกลาง/ตะวันตก", A1148&gt;=80, "ภาคใต้")</f>
        <v>ภาคตะวันออกเฉียงเหนือ</v>
      </c>
      <c r="D1148" s="64">
        <v>4413</v>
      </c>
      <c r="E1148" s="10" t="s">
        <v>1475</v>
      </c>
      <c r="F1148" s="11">
        <v>18434</v>
      </c>
      <c r="G1148" s="11">
        <v>18291</v>
      </c>
      <c r="H1148" s="11">
        <v>36725</v>
      </c>
      <c r="I1148" s="11">
        <v>11062</v>
      </c>
      <c r="J1148" s="66">
        <f t="shared" si="68"/>
        <v>50.194690265486727</v>
      </c>
      <c r="K1148" s="66">
        <f t="shared" si="69"/>
        <v>49.805309734513273</v>
      </c>
    </row>
    <row r="1149" spans="1:11" ht="41.4" x14ac:dyDescent="0.3">
      <c r="A1149" s="10">
        <v>44</v>
      </c>
      <c r="B1149" s="10" t="s">
        <v>1462</v>
      </c>
      <c r="C1149" s="10" t="str" cm="1">
        <f t="array" ref="C1149">_xlfn.IFS(A1149&lt;20, "ภาคกลาง", A1149&lt;30, "ภาคตะวันออก", A1149&lt;50, "ภาคตะวันออกเฉียงเหนือ", A1149&lt;60, "ภาคเหนือ", A1149&lt;80, "ภาคกลาง/ตะวันตก", A1149&gt;=80, "ภาคใต้")</f>
        <v>ภาคตะวันออกเฉียงเหนือ</v>
      </c>
      <c r="D1149" s="64">
        <v>4487</v>
      </c>
      <c r="E1149" s="10" t="s">
        <v>1476</v>
      </c>
      <c r="F1149" s="11">
        <v>11903</v>
      </c>
      <c r="G1149" s="11">
        <v>12394</v>
      </c>
      <c r="H1149" s="11">
        <v>24297</v>
      </c>
      <c r="I1149" s="11">
        <v>7263</v>
      </c>
      <c r="J1149" s="66">
        <f t="shared" si="68"/>
        <v>48.989587191834381</v>
      </c>
      <c r="K1149" s="66">
        <f t="shared" si="69"/>
        <v>51.010412808165619</v>
      </c>
    </row>
    <row r="1150" spans="1:11" ht="41.4" x14ac:dyDescent="0.3">
      <c r="A1150" s="10">
        <v>44</v>
      </c>
      <c r="B1150" s="10" t="s">
        <v>1462</v>
      </c>
      <c r="C1150" s="10" t="str" cm="1">
        <f t="array" ref="C1150">_xlfn.IFS(A1150&lt;20, "ภาคกลาง", A1150&lt;30, "ภาคตะวันออก", A1150&lt;50, "ภาคตะวันออกเฉียงเหนือ", A1150&lt;60, "ภาคเหนือ", A1150&lt;80, "ภาคกลาง/ตะวันตก", A1150&gt;=80, "ภาคใต้")</f>
        <v>ภาคตะวันออกเฉียงเหนือ</v>
      </c>
      <c r="D1150" s="64">
        <v>4488</v>
      </c>
      <c r="E1150" s="10" t="s">
        <v>1477</v>
      </c>
      <c r="F1150" s="11">
        <v>5185</v>
      </c>
      <c r="G1150" s="11">
        <v>6473</v>
      </c>
      <c r="H1150" s="11">
        <v>11658</v>
      </c>
      <c r="I1150" s="11">
        <v>6032</v>
      </c>
      <c r="J1150" s="66">
        <f t="shared" si="68"/>
        <v>44.475896380168123</v>
      </c>
      <c r="K1150" s="66">
        <f t="shared" si="69"/>
        <v>55.524103619831877</v>
      </c>
    </row>
    <row r="1151" spans="1:11" ht="41.4" x14ac:dyDescent="0.3">
      <c r="A1151" s="10">
        <v>44</v>
      </c>
      <c r="B1151" s="10" t="s">
        <v>1462</v>
      </c>
      <c r="C1151" s="10" t="str" cm="1">
        <f t="array" ref="C1151">_xlfn.IFS(A1151&lt;20, "ภาคกลาง", A1151&lt;30, "ภาคตะวันออก", A1151&lt;50, "ภาคตะวันออกเฉียงเหนือ", A1151&lt;60, "ภาคเหนือ", A1151&lt;80, "ภาคกลาง/ตะวันตก", A1151&gt;=80, "ภาคใต้")</f>
        <v>ภาคตะวันออกเฉียงเหนือ</v>
      </c>
      <c r="D1151" s="64">
        <v>4489</v>
      </c>
      <c r="E1151" s="10" t="s">
        <v>1478</v>
      </c>
      <c r="F1151" s="11">
        <v>4277</v>
      </c>
      <c r="G1151" s="11">
        <v>4595</v>
      </c>
      <c r="H1151" s="11">
        <v>8872</v>
      </c>
      <c r="I1151" s="11">
        <v>6995</v>
      </c>
      <c r="J1151" s="66">
        <f t="shared" si="68"/>
        <v>48.207844905320108</v>
      </c>
      <c r="K1151" s="66">
        <f t="shared" si="69"/>
        <v>51.792155094679892</v>
      </c>
    </row>
    <row r="1152" spans="1:11" ht="41.4" x14ac:dyDescent="0.3">
      <c r="A1152" s="10">
        <v>44</v>
      </c>
      <c r="B1152" s="10" t="s">
        <v>1462</v>
      </c>
      <c r="C1152" s="10" t="str" cm="1">
        <f t="array" ref="C1152">_xlfn.IFS(A1152&lt;20, "ภาคกลาง", A1152&lt;30, "ภาคตะวันออก", A1152&lt;50, "ภาคตะวันออกเฉียงเหนือ", A1152&lt;60, "ภาคเหนือ", A1152&lt;80, "ภาคกลาง/ตะวันตก", A1152&gt;=80, "ภาคใต้")</f>
        <v>ภาคตะวันออกเฉียงเหนือ</v>
      </c>
      <c r="D1152" s="64">
        <v>4490</v>
      </c>
      <c r="E1152" s="10" t="s">
        <v>1479</v>
      </c>
      <c r="F1152" s="11">
        <v>2358</v>
      </c>
      <c r="G1152" s="11">
        <v>2319</v>
      </c>
      <c r="H1152" s="11">
        <v>4677</v>
      </c>
      <c r="I1152" s="11">
        <v>1932</v>
      </c>
      <c r="J1152" s="66">
        <f t="shared" si="68"/>
        <v>50.416933932007701</v>
      </c>
      <c r="K1152" s="66">
        <f t="shared" si="69"/>
        <v>49.583066067992306</v>
      </c>
    </row>
    <row r="1153" spans="1:11" ht="41.4" x14ac:dyDescent="0.3">
      <c r="A1153" s="10">
        <v>44</v>
      </c>
      <c r="B1153" s="10" t="s">
        <v>1462</v>
      </c>
      <c r="C1153" s="10" t="str" cm="1">
        <f t="array" ref="C1153">_xlfn.IFS(A1153&lt;20, "ภาคกลาง", A1153&lt;30, "ภาคตะวันออก", A1153&lt;50, "ภาคตะวันออกเฉียงเหนือ", A1153&lt;60, "ภาคเหนือ", A1153&lt;80, "ภาคกลาง/ตะวันตก", A1153&gt;=80, "ภาคใต้")</f>
        <v>ภาคตะวันออกเฉียงเหนือ</v>
      </c>
      <c r="D1153" s="64">
        <v>4491</v>
      </c>
      <c r="E1153" s="10" t="s">
        <v>1480</v>
      </c>
      <c r="F1153" s="11">
        <v>2142</v>
      </c>
      <c r="G1153" s="11">
        <v>2375</v>
      </c>
      <c r="H1153" s="11">
        <v>4517</v>
      </c>
      <c r="I1153" s="11">
        <v>2474</v>
      </c>
      <c r="J1153" s="66">
        <f t="shared" si="68"/>
        <v>47.420854549479742</v>
      </c>
      <c r="K1153" s="66">
        <f t="shared" si="69"/>
        <v>52.579145450520258</v>
      </c>
    </row>
    <row r="1154" spans="1:11" ht="41.4" x14ac:dyDescent="0.3">
      <c r="A1154" s="10">
        <v>44</v>
      </c>
      <c r="B1154" s="10" t="s">
        <v>1462</v>
      </c>
      <c r="C1154" s="10" t="str" cm="1">
        <f t="array" ref="C1154">_xlfn.IFS(A1154&lt;20, "ภาคกลาง", A1154&lt;30, "ภาคตะวันออก", A1154&lt;50, "ภาคตะวันออกเฉียงเหนือ", A1154&lt;60, "ภาคเหนือ", A1154&lt;80, "ภาคกลาง/ตะวันตก", A1154&gt;=80, "ภาคใต้")</f>
        <v>ภาคตะวันออกเฉียงเหนือ</v>
      </c>
      <c r="D1154" s="64">
        <v>4492</v>
      </c>
      <c r="E1154" s="10" t="s">
        <v>1481</v>
      </c>
      <c r="F1154" s="11">
        <v>3748</v>
      </c>
      <c r="G1154" s="11">
        <v>4187</v>
      </c>
      <c r="H1154" s="11">
        <v>7935</v>
      </c>
      <c r="I1154" s="11">
        <v>4471</v>
      </c>
      <c r="J1154" s="66">
        <f t="shared" si="68"/>
        <v>47.233774417139259</v>
      </c>
      <c r="K1154" s="66">
        <f t="shared" si="69"/>
        <v>52.766225582860748</v>
      </c>
    </row>
    <row r="1155" spans="1:11" ht="41.4" x14ac:dyDescent="0.3">
      <c r="A1155" s="10">
        <v>44</v>
      </c>
      <c r="B1155" s="10" t="s">
        <v>1462</v>
      </c>
      <c r="C1155" s="10" t="str" cm="1">
        <f t="array" ref="C1155">_xlfn.IFS(A1155&lt;20, "ภาคกลาง", A1155&lt;30, "ภาคตะวันออก", A1155&lt;50, "ภาคตะวันออกเฉียงเหนือ", A1155&lt;60, "ภาคเหนือ", A1155&lt;80, "ภาคกลาง/ตะวันตก", A1155&gt;=80, "ภาคใต้")</f>
        <v>ภาคตะวันออกเฉียงเหนือ</v>
      </c>
      <c r="D1155" s="64">
        <v>4493</v>
      </c>
      <c r="E1155" s="10" t="s">
        <v>1482</v>
      </c>
      <c r="F1155" s="11">
        <v>1771</v>
      </c>
      <c r="G1155" s="11">
        <v>1893</v>
      </c>
      <c r="H1155" s="11">
        <v>3664</v>
      </c>
      <c r="I1155" s="11">
        <v>2210</v>
      </c>
      <c r="J1155" s="66">
        <f t="shared" si="68"/>
        <v>48.335152838427945</v>
      </c>
      <c r="K1155" s="66">
        <f t="shared" si="69"/>
        <v>51.664847161572048</v>
      </c>
    </row>
    <row r="1156" spans="1:11" ht="41.4" x14ac:dyDescent="0.3">
      <c r="A1156" s="10">
        <v>44</v>
      </c>
      <c r="B1156" s="10" t="s">
        <v>1462</v>
      </c>
      <c r="C1156" s="10" t="str" cm="1">
        <f t="array" ref="C1156">_xlfn.IFS(A1156&lt;20, "ภาคกลาง", A1156&lt;30, "ภาคตะวันออก", A1156&lt;50, "ภาคตะวันออกเฉียงเหนือ", A1156&lt;60, "ภาคเหนือ", A1156&lt;80, "ภาคกลาง/ตะวันตก", A1156&gt;=80, "ภาคใต้")</f>
        <v>ภาคตะวันออกเฉียงเหนือ</v>
      </c>
      <c r="D1156" s="64">
        <v>4494</v>
      </c>
      <c r="E1156" s="10" t="s">
        <v>1483</v>
      </c>
      <c r="F1156" s="11">
        <v>2389</v>
      </c>
      <c r="G1156" s="11">
        <v>2890</v>
      </c>
      <c r="H1156" s="11">
        <v>5279</v>
      </c>
      <c r="I1156" s="11">
        <v>2431</v>
      </c>
      <c r="J1156" s="66">
        <f t="shared" si="68"/>
        <v>45.254783102860394</v>
      </c>
      <c r="K1156" s="66">
        <f t="shared" si="69"/>
        <v>54.745216897139613</v>
      </c>
    </row>
    <row r="1157" spans="1:11" ht="41.4" x14ac:dyDescent="0.3">
      <c r="A1157" s="10">
        <v>44</v>
      </c>
      <c r="B1157" s="10" t="s">
        <v>1462</v>
      </c>
      <c r="C1157" s="10" t="str" cm="1">
        <f t="array" ref="C1157">_xlfn.IFS(A1157&lt;20, "ภาคกลาง", A1157&lt;30, "ภาคตะวันออก", A1157&lt;50, "ภาคตะวันออกเฉียงเหนือ", A1157&lt;60, "ภาคเหนือ", A1157&lt;80, "ภาคกลาง/ตะวันตก", A1157&gt;=80, "ภาคใต้")</f>
        <v>ภาคตะวันออกเฉียงเหนือ</v>
      </c>
      <c r="D1157" s="64">
        <v>4495</v>
      </c>
      <c r="E1157" s="10" t="s">
        <v>1484</v>
      </c>
      <c r="F1157" s="11">
        <v>2152</v>
      </c>
      <c r="G1157" s="11">
        <v>2329</v>
      </c>
      <c r="H1157" s="11">
        <v>4481</v>
      </c>
      <c r="I1157" s="11">
        <v>2483</v>
      </c>
      <c r="J1157" s="66">
        <f t="shared" si="68"/>
        <v>48.024994420888198</v>
      </c>
      <c r="K1157" s="66">
        <f t="shared" si="69"/>
        <v>51.975005579111809</v>
      </c>
    </row>
    <row r="1158" spans="1:11" ht="41.4" x14ac:dyDescent="0.3">
      <c r="A1158" s="10">
        <v>44</v>
      </c>
      <c r="B1158" s="10" t="s">
        <v>1462</v>
      </c>
      <c r="C1158" s="10" t="str" cm="1">
        <f t="array" ref="C1158">_xlfn.IFS(A1158&lt;20, "ภาคกลาง", A1158&lt;30, "ภาคตะวันออก", A1158&lt;50, "ภาคตะวันออกเฉียงเหนือ", A1158&lt;60, "ภาคเหนือ", A1158&lt;80, "ภาคกลาง/ตะวันตก", A1158&gt;=80, "ภาคใต้")</f>
        <v>ภาคตะวันออกเฉียงเหนือ</v>
      </c>
      <c r="D1158" s="64">
        <v>4496</v>
      </c>
      <c r="E1158" s="10" t="s">
        <v>1485</v>
      </c>
      <c r="F1158" s="11">
        <v>1525</v>
      </c>
      <c r="G1158" s="11">
        <v>1753</v>
      </c>
      <c r="H1158" s="11">
        <v>3278</v>
      </c>
      <c r="I1158" s="11">
        <v>1551</v>
      </c>
      <c r="J1158" s="66">
        <f t="shared" si="68"/>
        <v>46.522269676632092</v>
      </c>
      <c r="K1158" s="66">
        <f t="shared" si="69"/>
        <v>53.477730323367908</v>
      </c>
    </row>
    <row r="1159" spans="1:11" ht="41.4" x14ac:dyDescent="0.3">
      <c r="A1159" s="10">
        <v>44</v>
      </c>
      <c r="B1159" s="10" t="s">
        <v>1462</v>
      </c>
      <c r="C1159" s="10" t="str" cm="1">
        <f t="array" ref="C1159">_xlfn.IFS(A1159&lt;20, "ภาคกลาง", A1159&lt;30, "ภาคตะวันออก", A1159&lt;50, "ภาคตะวันออกเฉียงเหนือ", A1159&lt;60, "ภาคเหนือ", A1159&lt;80, "ภาคกลาง/ตะวันตก", A1159&gt;=80, "ภาคใต้")</f>
        <v>ภาคตะวันออกเฉียงเหนือ</v>
      </c>
      <c r="D1159" s="64">
        <v>4497</v>
      </c>
      <c r="E1159" s="10" t="s">
        <v>1486</v>
      </c>
      <c r="F1159" s="11">
        <v>4210</v>
      </c>
      <c r="G1159" s="11">
        <v>4624</v>
      </c>
      <c r="H1159" s="11">
        <v>8834</v>
      </c>
      <c r="I1159" s="11">
        <v>4491</v>
      </c>
      <c r="J1159" s="66">
        <f t="shared" si="68"/>
        <v>47.656780620330544</v>
      </c>
      <c r="K1159" s="66">
        <f t="shared" si="69"/>
        <v>52.343219379669456</v>
      </c>
    </row>
    <row r="1160" spans="1:11" ht="41.4" x14ac:dyDescent="0.3">
      <c r="A1160" s="10">
        <v>44</v>
      </c>
      <c r="B1160" s="10" t="s">
        <v>1462</v>
      </c>
      <c r="C1160" s="10" t="str" cm="1">
        <f t="array" ref="C1160">_xlfn.IFS(A1160&lt;20, "ภาคกลาง", A1160&lt;30, "ภาคตะวันออก", A1160&lt;50, "ภาคตะวันออกเฉียงเหนือ", A1160&lt;60, "ภาคเหนือ", A1160&lt;80, "ภาคกลาง/ตะวันตก", A1160&gt;=80, "ภาคใต้")</f>
        <v>ภาคตะวันออกเฉียงเหนือ</v>
      </c>
      <c r="D1160" s="64">
        <v>4498</v>
      </c>
      <c r="E1160" s="10" t="s">
        <v>1487</v>
      </c>
      <c r="F1160" s="11">
        <v>2621</v>
      </c>
      <c r="G1160" s="11">
        <v>2621</v>
      </c>
      <c r="H1160" s="11">
        <v>5242</v>
      </c>
      <c r="I1160" s="11">
        <v>1751</v>
      </c>
      <c r="J1160" s="66">
        <f t="shared" si="68"/>
        <v>50</v>
      </c>
      <c r="K1160" s="66">
        <f t="shared" si="69"/>
        <v>50</v>
      </c>
    </row>
    <row r="1161" spans="1:11" ht="41.4" x14ac:dyDescent="0.3">
      <c r="A1161" s="10">
        <v>44</v>
      </c>
      <c r="B1161" s="10" t="s">
        <v>1462</v>
      </c>
      <c r="C1161" s="10" t="str" cm="1">
        <f t="array" ref="C1161">_xlfn.IFS(A1161&lt;20, "ภาคกลาง", A1161&lt;30, "ภาคตะวันออก", A1161&lt;50, "ภาคตะวันออกเฉียงเหนือ", A1161&lt;60, "ภาคเหนือ", A1161&lt;80, "ภาคกลาง/ตะวันตก", A1161&gt;=80, "ภาคใต้")</f>
        <v>ภาคตะวันออกเฉียงเหนือ</v>
      </c>
      <c r="D1161" s="64">
        <v>4499</v>
      </c>
      <c r="E1161" s="10" t="s">
        <v>1488</v>
      </c>
      <c r="F1161" s="11">
        <v>2738</v>
      </c>
      <c r="G1161" s="11">
        <v>2917</v>
      </c>
      <c r="H1161" s="11">
        <v>5655</v>
      </c>
      <c r="I1161" s="11">
        <v>2350</v>
      </c>
      <c r="J1161" s="66">
        <f t="shared" si="68"/>
        <v>48.417329796640139</v>
      </c>
      <c r="K1161" s="66">
        <f t="shared" si="69"/>
        <v>51.582670203359861</v>
      </c>
    </row>
    <row r="1162" spans="1:11" ht="41.4" hidden="1" x14ac:dyDescent="0.3">
      <c r="A1162" s="10">
        <v>44</v>
      </c>
      <c r="B1162" s="10" t="s">
        <v>1462</v>
      </c>
      <c r="C1162" s="10" t="str" cm="1">
        <f t="array" ref="C1162">_xlfn.IFS(A1162&lt;20, "ภาคกลาง", A1162&lt;30, "ภาคตะวันออก", A1162&lt;50, "ภาคตะวันออกเฉียงเหนือ", A1162&lt;60, "ภาคเหนือ", A1162&lt;80, "ภาคกลาง/ตะวันตก", A1162&gt;=80, "ภาคใต้")</f>
        <v>ภาคตะวันออกเฉียงเหนือ</v>
      </c>
      <c r="D1162" s="10">
        <v>0</v>
      </c>
      <c r="E1162" s="10" t="s">
        <v>343</v>
      </c>
      <c r="F1162" s="11">
        <v>18986</v>
      </c>
      <c r="G1162" s="11">
        <v>23128</v>
      </c>
      <c r="H1162" s="11">
        <v>42114</v>
      </c>
      <c r="I1162" s="11">
        <v>22144</v>
      </c>
      <c r="J1162"/>
      <c r="K1162"/>
    </row>
    <row r="1163" spans="1:11" ht="41.4" x14ac:dyDescent="0.3">
      <c r="A1163" s="10">
        <v>45</v>
      </c>
      <c r="B1163" s="10" t="s">
        <v>1489</v>
      </c>
      <c r="C1163" s="10" t="str" cm="1">
        <f t="array" ref="C1163">_xlfn.IFS(A1163&lt;20, "ภาคกลาง", A1163&lt;30, "ภาคตะวันออก", A1163&lt;50, "ภาคตะวันออกเฉียงเหนือ", A1163&lt;60, "ภาคเหนือ", A1163&lt;80, "ภาคกลาง/ตะวันตก", A1163&gt;=80, "ภาคใต้")</f>
        <v>ภาคตะวันออกเฉียงเหนือ</v>
      </c>
      <c r="D1163" s="64">
        <v>4501</v>
      </c>
      <c r="E1163" s="10" t="s">
        <v>1490</v>
      </c>
      <c r="F1163" s="11">
        <v>629825</v>
      </c>
      <c r="G1163" s="11">
        <v>645694</v>
      </c>
      <c r="H1163" s="11">
        <v>1275519</v>
      </c>
      <c r="I1163" s="11">
        <v>417865</v>
      </c>
      <c r="J1163" s="66">
        <f t="shared" ref="J1163:J1214" si="70">F1163/H1163*100</f>
        <v>49.377939489729279</v>
      </c>
      <c r="K1163" s="66">
        <f t="shared" ref="K1163:K1214" si="71">G1163/H1163*100</f>
        <v>50.622060510270714</v>
      </c>
    </row>
    <row r="1164" spans="1:11" ht="41.4" x14ac:dyDescent="0.3">
      <c r="A1164" s="10">
        <v>45</v>
      </c>
      <c r="B1164" s="10" t="s">
        <v>1489</v>
      </c>
      <c r="C1164" s="10" t="str" cm="1">
        <f t="array" ref="C1164">_xlfn.IFS(A1164&lt;20, "ภาคกลาง", A1164&lt;30, "ภาคตะวันออก", A1164&lt;50, "ภาคตะวันออกเฉียงเหนือ", A1164&lt;60, "ภาคเหนือ", A1164&lt;80, "ภาคกลาง/ตะวันตก", A1164&gt;=80, "ภาคใต้")</f>
        <v>ภาคตะวันออกเฉียงเหนือ</v>
      </c>
      <c r="D1164" s="64">
        <v>4502</v>
      </c>
      <c r="E1164" s="10" t="s">
        <v>1491</v>
      </c>
      <c r="F1164" s="11">
        <v>53908</v>
      </c>
      <c r="G1164" s="11">
        <v>56696</v>
      </c>
      <c r="H1164" s="11">
        <v>110604</v>
      </c>
      <c r="I1164" s="11">
        <v>44294</v>
      </c>
      <c r="J1164" s="66">
        <f t="shared" si="70"/>
        <v>48.739647752341689</v>
      </c>
      <c r="K1164" s="66">
        <f t="shared" si="71"/>
        <v>51.260352247658311</v>
      </c>
    </row>
    <row r="1165" spans="1:11" ht="41.4" x14ac:dyDescent="0.3">
      <c r="A1165" s="10">
        <v>45</v>
      </c>
      <c r="B1165" s="10" t="s">
        <v>1489</v>
      </c>
      <c r="C1165" s="10" t="str" cm="1">
        <f t="array" ref="C1165">_xlfn.IFS(A1165&lt;20, "ภาคกลาง", A1165&lt;30, "ภาคตะวันออก", A1165&lt;50, "ภาคตะวันออกเฉียงเหนือ", A1165&lt;60, "ภาคเหนือ", A1165&lt;80, "ภาคกลาง/ตะวันตก", A1165&gt;=80, "ภาคใต้")</f>
        <v>ภาคตะวันออกเฉียงเหนือ</v>
      </c>
      <c r="D1165" s="64">
        <v>4503</v>
      </c>
      <c r="E1165" s="10" t="s">
        <v>1492</v>
      </c>
      <c r="F1165" s="11">
        <v>36269</v>
      </c>
      <c r="G1165" s="11">
        <v>36362</v>
      </c>
      <c r="H1165" s="11">
        <v>72631</v>
      </c>
      <c r="I1165" s="11">
        <v>21979</v>
      </c>
      <c r="J1165" s="66">
        <f t="shared" si="70"/>
        <v>49.935977750547288</v>
      </c>
      <c r="K1165" s="66">
        <f t="shared" si="71"/>
        <v>50.064022249452712</v>
      </c>
    </row>
    <row r="1166" spans="1:11" ht="41.4" x14ac:dyDescent="0.3">
      <c r="A1166" s="10">
        <v>45</v>
      </c>
      <c r="B1166" s="10" t="s">
        <v>1489</v>
      </c>
      <c r="C1166" s="10" t="str" cm="1">
        <f t="array" ref="C1166">_xlfn.IFS(A1166&lt;20, "ภาคกลาง", A1166&lt;30, "ภาคตะวันออก", A1166&lt;50, "ภาคตะวันออกเฉียงเหนือ", A1166&lt;60, "ภาคเหนือ", A1166&lt;80, "ภาคกลาง/ตะวันตก", A1166&gt;=80, "ภาคใต้")</f>
        <v>ภาคตะวันออกเฉียงเหนือ</v>
      </c>
      <c r="D1166" s="64">
        <v>4504</v>
      </c>
      <c r="E1166" s="10" t="s">
        <v>1493</v>
      </c>
      <c r="F1166" s="11">
        <v>23097</v>
      </c>
      <c r="G1166" s="11">
        <v>23642</v>
      </c>
      <c r="H1166" s="11">
        <v>46739</v>
      </c>
      <c r="I1166" s="11">
        <v>13458</v>
      </c>
      <c r="J1166" s="66">
        <f t="shared" si="70"/>
        <v>49.416975117139863</v>
      </c>
      <c r="K1166" s="66">
        <f t="shared" si="71"/>
        <v>50.583024882860137</v>
      </c>
    </row>
    <row r="1167" spans="1:11" ht="41.4" x14ac:dyDescent="0.3">
      <c r="A1167" s="10">
        <v>45</v>
      </c>
      <c r="B1167" s="10" t="s">
        <v>1489</v>
      </c>
      <c r="C1167" s="10" t="str" cm="1">
        <f t="array" ref="C1167">_xlfn.IFS(A1167&lt;20, "ภาคกลาง", A1167&lt;30, "ภาคตะวันออก", A1167&lt;50, "ภาคตะวันออกเฉียงเหนือ", A1167&lt;60, "ภาคเหนือ", A1167&lt;80, "ภาคกลาง/ตะวันตก", A1167&gt;=80, "ภาคใต้")</f>
        <v>ภาคตะวันออกเฉียงเหนือ</v>
      </c>
      <c r="D1167" s="64">
        <v>4505</v>
      </c>
      <c r="E1167" s="10" t="s">
        <v>1494</v>
      </c>
      <c r="F1167" s="11">
        <v>24867</v>
      </c>
      <c r="G1167" s="11">
        <v>25302</v>
      </c>
      <c r="H1167" s="11">
        <v>50169</v>
      </c>
      <c r="I1167" s="11">
        <v>14400</v>
      </c>
      <c r="J1167" s="66">
        <f t="shared" si="70"/>
        <v>49.566465347126709</v>
      </c>
      <c r="K1167" s="66">
        <f t="shared" si="71"/>
        <v>50.433534652873291</v>
      </c>
    </row>
    <row r="1168" spans="1:11" ht="41.4" x14ac:dyDescent="0.3">
      <c r="A1168" s="10">
        <v>45</v>
      </c>
      <c r="B1168" s="10" t="s">
        <v>1489</v>
      </c>
      <c r="C1168" s="10" t="str" cm="1">
        <f t="array" ref="C1168">_xlfn.IFS(A1168&lt;20, "ภาคกลาง", A1168&lt;30, "ภาคตะวันออก", A1168&lt;50, "ภาคตะวันออกเฉียงเหนือ", A1168&lt;60, "ภาคเหนือ", A1168&lt;80, "ภาคกลาง/ตะวันตก", A1168&gt;=80, "ภาคใต้")</f>
        <v>ภาคตะวันออกเฉียงเหนือ</v>
      </c>
      <c r="D1168" s="64">
        <v>4506</v>
      </c>
      <c r="E1168" s="10" t="s">
        <v>1495</v>
      </c>
      <c r="F1168" s="11">
        <v>18446</v>
      </c>
      <c r="G1168" s="11">
        <v>18495</v>
      </c>
      <c r="H1168" s="11">
        <v>36941</v>
      </c>
      <c r="I1168" s="11">
        <v>11878</v>
      </c>
      <c r="J1168" s="66">
        <f t="shared" si="70"/>
        <v>49.933678027124337</v>
      </c>
      <c r="K1168" s="66">
        <f t="shared" si="71"/>
        <v>50.06632197287567</v>
      </c>
    </row>
    <row r="1169" spans="1:11" ht="41.4" x14ac:dyDescent="0.3">
      <c r="A1169" s="10">
        <v>45</v>
      </c>
      <c r="B1169" s="10" t="s">
        <v>1489</v>
      </c>
      <c r="C1169" s="10" t="str" cm="1">
        <f t="array" ref="C1169">_xlfn.IFS(A1169&lt;20, "ภาคกลาง", A1169&lt;30, "ภาคตะวันออก", A1169&lt;50, "ภาคตะวันออกเฉียงเหนือ", A1169&lt;60, "ภาคเหนือ", A1169&lt;80, "ภาคกลาง/ตะวันตก", A1169&gt;=80, "ภาคใต้")</f>
        <v>ภาคตะวันออกเฉียงเหนือ</v>
      </c>
      <c r="D1169" s="64">
        <v>4507</v>
      </c>
      <c r="E1169" s="10" t="s">
        <v>1496</v>
      </c>
      <c r="F1169" s="11">
        <v>29234</v>
      </c>
      <c r="G1169" s="11">
        <v>29554</v>
      </c>
      <c r="H1169" s="11">
        <v>58788</v>
      </c>
      <c r="I1169" s="11">
        <v>18626</v>
      </c>
      <c r="J1169" s="66">
        <f t="shared" si="70"/>
        <v>49.727835612710074</v>
      </c>
      <c r="K1169" s="66">
        <f t="shared" si="71"/>
        <v>50.272164387289919</v>
      </c>
    </row>
    <row r="1170" spans="1:11" ht="41.4" x14ac:dyDescent="0.3">
      <c r="A1170" s="10">
        <v>45</v>
      </c>
      <c r="B1170" s="10" t="s">
        <v>1489</v>
      </c>
      <c r="C1170" s="10" t="str" cm="1">
        <f t="array" ref="C1170">_xlfn.IFS(A1170&lt;20, "ภาคกลาง", A1170&lt;30, "ภาคตะวันออก", A1170&lt;50, "ภาคตะวันออกเฉียงเหนือ", A1170&lt;60, "ภาคเหนือ", A1170&lt;80, "ภาคกลาง/ตะวันตก", A1170&gt;=80, "ภาคใต้")</f>
        <v>ภาคตะวันออกเฉียงเหนือ</v>
      </c>
      <c r="D1170" s="64">
        <v>4508</v>
      </c>
      <c r="E1170" s="10" t="s">
        <v>1497</v>
      </c>
      <c r="F1170" s="11">
        <v>47594</v>
      </c>
      <c r="G1170" s="11">
        <v>48209</v>
      </c>
      <c r="H1170" s="11">
        <v>95803</v>
      </c>
      <c r="I1170" s="11">
        <v>30249</v>
      </c>
      <c r="J1170" s="66">
        <f t="shared" si="70"/>
        <v>49.67902884043297</v>
      </c>
      <c r="K1170" s="66">
        <f t="shared" si="71"/>
        <v>50.32097115956703</v>
      </c>
    </row>
    <row r="1171" spans="1:11" ht="41.4" x14ac:dyDescent="0.3">
      <c r="A1171" s="10">
        <v>45</v>
      </c>
      <c r="B1171" s="10" t="s">
        <v>1489</v>
      </c>
      <c r="C1171" s="10" t="str" cm="1">
        <f t="array" ref="C1171">_xlfn.IFS(A1171&lt;20, "ภาคกลาง", A1171&lt;30, "ภาคตะวันออก", A1171&lt;50, "ภาคตะวันออกเฉียงเหนือ", A1171&lt;60, "ภาคเหนือ", A1171&lt;80, "ภาคกลาง/ตะวันตก", A1171&gt;=80, "ภาคใต้")</f>
        <v>ภาคตะวันออกเฉียงเหนือ</v>
      </c>
      <c r="D1171" s="64">
        <v>4509</v>
      </c>
      <c r="E1171" s="10" t="s">
        <v>1498</v>
      </c>
      <c r="F1171" s="11">
        <v>13319</v>
      </c>
      <c r="G1171" s="11">
        <v>13555</v>
      </c>
      <c r="H1171" s="11">
        <v>26874</v>
      </c>
      <c r="I1171" s="11">
        <v>8007</v>
      </c>
      <c r="J1171" s="66">
        <f t="shared" si="70"/>
        <v>49.560913894470495</v>
      </c>
      <c r="K1171" s="66">
        <f t="shared" si="71"/>
        <v>50.439086105529505</v>
      </c>
    </row>
    <row r="1172" spans="1:11" ht="41.4" x14ac:dyDescent="0.3">
      <c r="A1172" s="10">
        <v>45</v>
      </c>
      <c r="B1172" s="10" t="s">
        <v>1489</v>
      </c>
      <c r="C1172" s="10" t="str" cm="1">
        <f t="array" ref="C1172">_xlfn.IFS(A1172&lt;20, "ภาคกลาง", A1172&lt;30, "ภาคตะวันออก", A1172&lt;50, "ภาคตะวันออกเฉียงเหนือ", A1172&lt;60, "ภาคเหนือ", A1172&lt;80, "ภาคกลาง/ตะวันตก", A1172&gt;=80, "ภาคใต้")</f>
        <v>ภาคตะวันออกเฉียงเหนือ</v>
      </c>
      <c r="D1172" s="64">
        <v>4510</v>
      </c>
      <c r="E1172" s="10" t="s">
        <v>1499</v>
      </c>
      <c r="F1172" s="11">
        <v>29781</v>
      </c>
      <c r="G1172" s="11">
        <v>29705</v>
      </c>
      <c r="H1172" s="11">
        <v>59486</v>
      </c>
      <c r="I1172" s="11">
        <v>17321</v>
      </c>
      <c r="J1172" s="66">
        <f t="shared" si="70"/>
        <v>50.063880576942474</v>
      </c>
      <c r="K1172" s="66">
        <f t="shared" si="71"/>
        <v>49.936119423057526</v>
      </c>
    </row>
    <row r="1173" spans="1:11" ht="41.4" x14ac:dyDescent="0.3">
      <c r="A1173" s="10">
        <v>45</v>
      </c>
      <c r="B1173" s="10" t="s">
        <v>1489</v>
      </c>
      <c r="C1173" s="10" t="str" cm="1">
        <f t="array" ref="C1173">_xlfn.IFS(A1173&lt;20, "ภาคกลาง", A1173&lt;30, "ภาคตะวันออก", A1173&lt;50, "ภาคตะวันออกเฉียงเหนือ", A1173&lt;60, "ภาคเหนือ", A1173&lt;80, "ภาคกลาง/ตะวันตก", A1173&gt;=80, "ภาคใต้")</f>
        <v>ภาคตะวันออกเฉียงเหนือ</v>
      </c>
      <c r="D1173" s="64">
        <v>4511</v>
      </c>
      <c r="E1173" s="10" t="s">
        <v>1500</v>
      </c>
      <c r="F1173" s="11">
        <v>43910</v>
      </c>
      <c r="G1173" s="11">
        <v>44789</v>
      </c>
      <c r="H1173" s="11">
        <v>88699</v>
      </c>
      <c r="I1173" s="11">
        <v>26076</v>
      </c>
      <c r="J1173" s="66">
        <f t="shared" si="70"/>
        <v>49.504503996662869</v>
      </c>
      <c r="K1173" s="66">
        <f t="shared" si="71"/>
        <v>50.495496003337124</v>
      </c>
    </row>
    <row r="1174" spans="1:11" ht="41.4" x14ac:dyDescent="0.3">
      <c r="A1174" s="10">
        <v>45</v>
      </c>
      <c r="B1174" s="10" t="s">
        <v>1489</v>
      </c>
      <c r="C1174" s="10" t="str" cm="1">
        <f t="array" ref="C1174">_xlfn.IFS(A1174&lt;20, "ภาคกลาง", A1174&lt;30, "ภาคตะวันออก", A1174&lt;50, "ภาคตะวันออกเฉียงเหนือ", A1174&lt;60, "ภาคเหนือ", A1174&lt;80, "ภาคกลาง/ตะวันตก", A1174&gt;=80, "ภาคใต้")</f>
        <v>ภาคตะวันออกเฉียงเหนือ</v>
      </c>
      <c r="D1174" s="64">
        <v>4512</v>
      </c>
      <c r="E1174" s="10" t="s">
        <v>1501</v>
      </c>
      <c r="F1174" s="11">
        <v>51319</v>
      </c>
      <c r="G1174" s="11">
        <v>52259</v>
      </c>
      <c r="H1174" s="11">
        <v>103578</v>
      </c>
      <c r="I1174" s="11">
        <v>31239</v>
      </c>
      <c r="J1174" s="66">
        <f t="shared" si="70"/>
        <v>49.546235687115029</v>
      </c>
      <c r="K1174" s="66">
        <f t="shared" si="71"/>
        <v>50.453764312884971</v>
      </c>
    </row>
    <row r="1175" spans="1:11" ht="41.4" x14ac:dyDescent="0.3">
      <c r="A1175" s="10">
        <v>45</v>
      </c>
      <c r="B1175" s="10" t="s">
        <v>1489</v>
      </c>
      <c r="C1175" s="10" t="str" cm="1">
        <f t="array" ref="C1175">_xlfn.IFS(A1175&lt;20, "ภาคกลาง", A1175&lt;30, "ภาคตะวันออก", A1175&lt;50, "ภาคตะวันออกเฉียงเหนือ", A1175&lt;60, "ภาคเหนือ", A1175&lt;80, "ภาคกลาง/ตะวันตก", A1175&gt;=80, "ภาคใต้")</f>
        <v>ภาคตะวันออกเฉียงเหนือ</v>
      </c>
      <c r="D1175" s="64">
        <v>4513</v>
      </c>
      <c r="E1175" s="10" t="s">
        <v>1502</v>
      </c>
      <c r="F1175" s="11">
        <v>6686</v>
      </c>
      <c r="G1175" s="11">
        <v>6755</v>
      </c>
      <c r="H1175" s="11">
        <v>13441</v>
      </c>
      <c r="I1175" s="11">
        <v>3927</v>
      </c>
      <c r="J1175" s="66">
        <f t="shared" si="70"/>
        <v>49.74332266944424</v>
      </c>
      <c r="K1175" s="66">
        <f t="shared" si="71"/>
        <v>50.256677330555767</v>
      </c>
    </row>
    <row r="1176" spans="1:11" ht="41.4" x14ac:dyDescent="0.3">
      <c r="A1176" s="10">
        <v>45</v>
      </c>
      <c r="B1176" s="10" t="s">
        <v>1489</v>
      </c>
      <c r="C1176" s="10" t="str" cm="1">
        <f t="array" ref="C1176">_xlfn.IFS(A1176&lt;20, "ภาคกลาง", A1176&lt;30, "ภาคตะวันออก", A1176&lt;50, "ภาคตะวันออกเฉียงเหนือ", A1176&lt;60, "ภาคเหนือ", A1176&lt;80, "ภาคกลาง/ตะวันตก", A1176&gt;=80, "ภาคใต้")</f>
        <v>ภาคตะวันออกเฉียงเหนือ</v>
      </c>
      <c r="D1176" s="64">
        <v>4514</v>
      </c>
      <c r="E1176" s="10" t="s">
        <v>1503</v>
      </c>
      <c r="F1176" s="11">
        <v>10938</v>
      </c>
      <c r="G1176" s="11">
        <v>11037</v>
      </c>
      <c r="H1176" s="11">
        <v>21975</v>
      </c>
      <c r="I1176" s="11">
        <v>5374</v>
      </c>
      <c r="J1176" s="66">
        <f t="shared" si="70"/>
        <v>49.774744027303754</v>
      </c>
      <c r="K1176" s="66">
        <f t="shared" si="71"/>
        <v>50.225255972696246</v>
      </c>
    </row>
    <row r="1177" spans="1:11" ht="41.4" x14ac:dyDescent="0.3">
      <c r="A1177" s="10">
        <v>45</v>
      </c>
      <c r="B1177" s="10" t="s">
        <v>1489</v>
      </c>
      <c r="C1177" s="10" t="str" cm="1">
        <f t="array" ref="C1177">_xlfn.IFS(A1177&lt;20, "ภาคกลาง", A1177&lt;30, "ภาคตะวันออก", A1177&lt;50, "ภาคตะวันออกเฉียงเหนือ", A1177&lt;60, "ภาคเหนือ", A1177&lt;80, "ภาคกลาง/ตะวันตก", A1177&gt;=80, "ภาคใต้")</f>
        <v>ภาคตะวันออกเฉียงเหนือ</v>
      </c>
      <c r="D1177" s="64">
        <v>4515</v>
      </c>
      <c r="E1177" s="10" t="s">
        <v>1504</v>
      </c>
      <c r="F1177" s="11">
        <v>34157</v>
      </c>
      <c r="G1177" s="11">
        <v>34400</v>
      </c>
      <c r="H1177" s="11">
        <v>68557</v>
      </c>
      <c r="I1177" s="11">
        <v>19783</v>
      </c>
      <c r="J1177" s="66">
        <f t="shared" si="70"/>
        <v>49.822775208950212</v>
      </c>
      <c r="K1177" s="66">
        <f t="shared" si="71"/>
        <v>50.177224791049781</v>
      </c>
    </row>
    <row r="1178" spans="1:11" ht="41.4" x14ac:dyDescent="0.3">
      <c r="A1178" s="10">
        <v>45</v>
      </c>
      <c r="B1178" s="10" t="s">
        <v>1489</v>
      </c>
      <c r="C1178" s="10" t="str" cm="1">
        <f t="array" ref="C1178">_xlfn.IFS(A1178&lt;20, "ภาคกลาง", A1178&lt;30, "ภาคตะวันออก", A1178&lt;50, "ภาคตะวันออกเฉียงเหนือ", A1178&lt;60, "ภาคเหนือ", A1178&lt;80, "ภาคกลาง/ตะวันตก", A1178&gt;=80, "ภาคใต้")</f>
        <v>ภาคตะวันออกเฉียงเหนือ</v>
      </c>
      <c r="D1178" s="64">
        <v>4516</v>
      </c>
      <c r="E1178" s="10" t="s">
        <v>1505</v>
      </c>
      <c r="F1178" s="11">
        <v>11254</v>
      </c>
      <c r="G1178" s="11">
        <v>11550</v>
      </c>
      <c r="H1178" s="11">
        <v>22804</v>
      </c>
      <c r="I1178" s="11">
        <v>7235</v>
      </c>
      <c r="J1178" s="66">
        <f t="shared" si="70"/>
        <v>49.350991054201018</v>
      </c>
      <c r="K1178" s="66">
        <f t="shared" si="71"/>
        <v>50.649008945798982</v>
      </c>
    </row>
    <row r="1179" spans="1:11" ht="41.4" x14ac:dyDescent="0.3">
      <c r="A1179" s="10">
        <v>45</v>
      </c>
      <c r="B1179" s="10" t="s">
        <v>1489</v>
      </c>
      <c r="C1179" s="10" t="str" cm="1">
        <f t="array" ref="C1179">_xlfn.IFS(A1179&lt;20, "ภาคกลาง", A1179&lt;30, "ภาคตะวันออก", A1179&lt;50, "ภาคตะวันออกเฉียงเหนือ", A1179&lt;60, "ภาคเหนือ", A1179&lt;80, "ภาคกลาง/ตะวันตก", A1179&gt;=80, "ภาคใต้")</f>
        <v>ภาคตะวันออกเฉียงเหนือ</v>
      </c>
      <c r="D1179" s="64">
        <v>4517</v>
      </c>
      <c r="E1179" s="10" t="s">
        <v>1506</v>
      </c>
      <c r="F1179" s="11">
        <v>18110</v>
      </c>
      <c r="G1179" s="11">
        <v>17255</v>
      </c>
      <c r="H1179" s="11">
        <v>35365</v>
      </c>
      <c r="I1179" s="11">
        <v>11609</v>
      </c>
      <c r="J1179" s="66">
        <f t="shared" si="70"/>
        <v>51.208822281917158</v>
      </c>
      <c r="K1179" s="66">
        <f t="shared" si="71"/>
        <v>48.791177718082849</v>
      </c>
    </row>
    <row r="1180" spans="1:11" ht="41.4" x14ac:dyDescent="0.3">
      <c r="A1180" s="10">
        <v>45</v>
      </c>
      <c r="B1180" s="10" t="s">
        <v>1489</v>
      </c>
      <c r="C1180" s="10" t="str" cm="1">
        <f t="array" ref="C1180">_xlfn.IFS(A1180&lt;20, "ภาคกลาง", A1180&lt;30, "ภาคตะวันออก", A1180&lt;50, "ภาคตะวันออกเฉียงเหนือ", A1180&lt;60, "ภาคเหนือ", A1180&lt;80, "ภาคกลาง/ตะวันตก", A1180&gt;=80, "ภาคใต้")</f>
        <v>ภาคตะวันออกเฉียงเหนือ</v>
      </c>
      <c r="D1180" s="64">
        <v>4518</v>
      </c>
      <c r="E1180" s="10" t="s">
        <v>1507</v>
      </c>
      <c r="F1180" s="11">
        <v>18647</v>
      </c>
      <c r="G1180" s="11">
        <v>19432</v>
      </c>
      <c r="H1180" s="11">
        <v>38079</v>
      </c>
      <c r="I1180" s="11">
        <v>12698</v>
      </c>
      <c r="J1180" s="66">
        <f t="shared" si="70"/>
        <v>48.96924814202054</v>
      </c>
      <c r="K1180" s="66">
        <f t="shared" si="71"/>
        <v>51.03075185797946</v>
      </c>
    </row>
    <row r="1181" spans="1:11" ht="41.4" x14ac:dyDescent="0.3">
      <c r="A1181" s="10">
        <v>45</v>
      </c>
      <c r="B1181" s="10" t="s">
        <v>1489</v>
      </c>
      <c r="C1181" s="10" t="str" cm="1">
        <f t="array" ref="C1181">_xlfn.IFS(A1181&lt;20, "ภาคกลาง", A1181&lt;30, "ภาคตะวันออก", A1181&lt;50, "ภาคตะวันออกเฉียงเหนือ", A1181&lt;60, "ภาคเหนือ", A1181&lt;80, "ภาคกลาง/ตะวันตก", A1181&gt;=80, "ภาคใต้")</f>
        <v>ภาคตะวันออกเฉียงเหนือ</v>
      </c>
      <c r="D1181" s="64">
        <v>4519</v>
      </c>
      <c r="E1181" s="10" t="s">
        <v>1508</v>
      </c>
      <c r="F1181" s="11">
        <v>13133</v>
      </c>
      <c r="G1181" s="11">
        <v>13678</v>
      </c>
      <c r="H1181" s="11">
        <v>26811</v>
      </c>
      <c r="I1181" s="11">
        <v>8624</v>
      </c>
      <c r="J1181" s="66">
        <f t="shared" si="70"/>
        <v>48.983626123605987</v>
      </c>
      <c r="K1181" s="66">
        <f t="shared" si="71"/>
        <v>51.016373876394013</v>
      </c>
    </row>
    <row r="1182" spans="1:11" ht="41.4" x14ac:dyDescent="0.3">
      <c r="A1182" s="10">
        <v>45</v>
      </c>
      <c r="B1182" s="10" t="s">
        <v>1489</v>
      </c>
      <c r="C1182" s="10" t="str" cm="1">
        <f t="array" ref="C1182">_xlfn.IFS(A1182&lt;20, "ภาคกลาง", A1182&lt;30, "ภาคตะวันออก", A1182&lt;50, "ภาคตะวันออกเฉียงเหนือ", A1182&lt;60, "ภาคเหนือ", A1182&lt;80, "ภาคกลาง/ตะวันตก", A1182&gt;=80, "ภาคใต้")</f>
        <v>ภาคตะวันออกเฉียงเหนือ</v>
      </c>
      <c r="D1182" s="64">
        <v>4520</v>
      </c>
      <c r="E1182" s="10" t="s">
        <v>1509</v>
      </c>
      <c r="F1182" s="11">
        <v>11825</v>
      </c>
      <c r="G1182" s="11">
        <v>11983</v>
      </c>
      <c r="H1182" s="11">
        <v>23808</v>
      </c>
      <c r="I1182" s="11">
        <v>6788</v>
      </c>
      <c r="J1182" s="66">
        <f t="shared" si="70"/>
        <v>49.668178763440864</v>
      </c>
      <c r="K1182" s="66">
        <f t="shared" si="71"/>
        <v>50.331821236559136</v>
      </c>
    </row>
    <row r="1183" spans="1:11" ht="41.4" x14ac:dyDescent="0.3">
      <c r="A1183" s="10">
        <v>45</v>
      </c>
      <c r="B1183" s="10" t="s">
        <v>1489</v>
      </c>
      <c r="C1183" s="10" t="str" cm="1">
        <f t="array" ref="C1183">_xlfn.IFS(A1183&lt;20, "ภาคกลาง", A1183&lt;30, "ภาคตะวันออก", A1183&lt;50, "ภาคตะวันออกเฉียงเหนือ", A1183&lt;60, "ภาคเหนือ", A1183&lt;80, "ภาคกลาง/ตะวันตก", A1183&gt;=80, "ภาคใต้")</f>
        <v>ภาคตะวันออกเฉียงเหนือ</v>
      </c>
      <c r="D1183" s="64">
        <v>4565</v>
      </c>
      <c r="E1183" s="10" t="s">
        <v>1510</v>
      </c>
      <c r="F1183" s="11">
        <v>11253</v>
      </c>
      <c r="G1183" s="11">
        <v>11537</v>
      </c>
      <c r="H1183" s="11">
        <v>22790</v>
      </c>
      <c r="I1183" s="11">
        <v>6745</v>
      </c>
      <c r="J1183" s="66">
        <f t="shared" si="70"/>
        <v>49.376919701623514</v>
      </c>
      <c r="K1183" s="66">
        <f t="shared" si="71"/>
        <v>50.623080298376479</v>
      </c>
    </row>
    <row r="1184" spans="1:11" ht="41.4" x14ac:dyDescent="0.3">
      <c r="A1184" s="10">
        <v>45</v>
      </c>
      <c r="B1184" s="10" t="s">
        <v>1489</v>
      </c>
      <c r="C1184" s="10" t="str" cm="1">
        <f t="array" ref="C1184">_xlfn.IFS(A1184&lt;20, "ภาคกลาง", A1184&lt;30, "ภาคตะวันออก", A1184&lt;50, "ภาคตะวันออกเฉียงเหนือ", A1184&lt;60, "ภาคเหนือ", A1184&lt;80, "ภาคกลาง/ตะวันตก", A1184&gt;=80, "ภาคใต้")</f>
        <v>ภาคตะวันออกเฉียงเหนือ</v>
      </c>
      <c r="D1184" s="64">
        <v>4566</v>
      </c>
      <c r="E1184" s="10" t="s">
        <v>1511</v>
      </c>
      <c r="F1184" s="11">
        <v>3384</v>
      </c>
      <c r="G1184" s="11">
        <v>3443</v>
      </c>
      <c r="H1184" s="11">
        <v>6827</v>
      </c>
      <c r="I1184" s="11">
        <v>3349</v>
      </c>
      <c r="J1184" s="66">
        <f t="shared" si="70"/>
        <v>49.56789219276402</v>
      </c>
      <c r="K1184" s="66">
        <f t="shared" si="71"/>
        <v>50.432107807235973</v>
      </c>
    </row>
    <row r="1185" spans="1:11" ht="41.4" x14ac:dyDescent="0.3">
      <c r="A1185" s="10">
        <v>45</v>
      </c>
      <c r="B1185" s="10" t="s">
        <v>1489</v>
      </c>
      <c r="C1185" s="10" t="str" cm="1">
        <f t="array" ref="C1185">_xlfn.IFS(A1185&lt;20, "ภาคกลาง", A1185&lt;30, "ภาคตะวันออก", A1185&lt;50, "ภาคตะวันออกเฉียงเหนือ", A1185&lt;60, "ภาคเหนือ", A1185&lt;80, "ภาคกลาง/ตะวันตก", A1185&gt;=80, "ภาคใต้")</f>
        <v>ภาคตะวันออกเฉียงเหนือ</v>
      </c>
      <c r="D1185" s="64">
        <v>4569</v>
      </c>
      <c r="E1185" s="10" t="s">
        <v>1453</v>
      </c>
      <c r="F1185" s="11">
        <v>2578</v>
      </c>
      <c r="G1185" s="11">
        <v>2740</v>
      </c>
      <c r="H1185" s="11">
        <v>5318</v>
      </c>
      <c r="I1185" s="11">
        <v>2223</v>
      </c>
      <c r="J1185" s="66">
        <f t="shared" si="70"/>
        <v>48.476871004136896</v>
      </c>
      <c r="K1185" s="66">
        <f t="shared" si="71"/>
        <v>51.523128995863111</v>
      </c>
    </row>
    <row r="1186" spans="1:11" ht="41.4" x14ac:dyDescent="0.3">
      <c r="A1186" s="10">
        <v>45</v>
      </c>
      <c r="B1186" s="10" t="s">
        <v>1489</v>
      </c>
      <c r="C1186" s="10" t="str" cm="1">
        <f t="array" ref="C1186">_xlfn.IFS(A1186&lt;20, "ภาคกลาง", A1186&lt;30, "ภาคตะวันออก", A1186&lt;50, "ภาคตะวันออกเฉียงเหนือ", A1186&lt;60, "ภาคเหนือ", A1186&lt;80, "ภาคกลาง/ตะวันตก", A1186&gt;=80, "ภาคใต้")</f>
        <v>ภาคตะวันออกเฉียงเหนือ</v>
      </c>
      <c r="D1186" s="64">
        <v>4570</v>
      </c>
      <c r="E1186" s="10" t="s">
        <v>1512</v>
      </c>
      <c r="F1186" s="11">
        <v>3225</v>
      </c>
      <c r="G1186" s="11">
        <v>3270</v>
      </c>
      <c r="H1186" s="11">
        <v>6495</v>
      </c>
      <c r="I1186" s="11">
        <v>1815</v>
      </c>
      <c r="J1186" s="66">
        <f t="shared" si="70"/>
        <v>49.653579676674362</v>
      </c>
      <c r="K1186" s="66">
        <f t="shared" si="71"/>
        <v>50.346420323325638</v>
      </c>
    </row>
    <row r="1187" spans="1:11" ht="41.4" x14ac:dyDescent="0.3">
      <c r="A1187" s="10">
        <v>45</v>
      </c>
      <c r="B1187" s="10" t="s">
        <v>1489</v>
      </c>
      <c r="C1187" s="10" t="str" cm="1">
        <f t="array" ref="C1187">_xlfn.IFS(A1187&lt;20, "ภาคกลาง", A1187&lt;30, "ภาคตะวันออก", A1187&lt;50, "ภาคตะวันออกเฉียงเหนือ", A1187&lt;60, "ภาคเหนือ", A1187&lt;80, "ภาคกลาง/ตะวันตก", A1187&gt;=80, "ภาคใต้")</f>
        <v>ภาคตะวันออกเฉียงเหนือ</v>
      </c>
      <c r="D1187" s="64">
        <v>4571</v>
      </c>
      <c r="E1187" s="10" t="s">
        <v>1513</v>
      </c>
      <c r="F1187" s="11">
        <v>3266</v>
      </c>
      <c r="G1187" s="11">
        <v>3414</v>
      </c>
      <c r="H1187" s="11">
        <v>6680</v>
      </c>
      <c r="I1187" s="11">
        <v>2073</v>
      </c>
      <c r="J1187" s="66">
        <f t="shared" si="70"/>
        <v>48.892215568862277</v>
      </c>
      <c r="K1187" s="66">
        <f t="shared" si="71"/>
        <v>51.107784431137723</v>
      </c>
    </row>
    <row r="1188" spans="1:11" ht="41.4" x14ac:dyDescent="0.3">
      <c r="A1188" s="10">
        <v>45</v>
      </c>
      <c r="B1188" s="10" t="s">
        <v>1489</v>
      </c>
      <c r="C1188" s="10" t="str" cm="1">
        <f t="array" ref="C1188">_xlfn.IFS(A1188&lt;20, "ภาคกลาง", A1188&lt;30, "ภาคตะวันออก", A1188&lt;50, "ภาคตะวันออกเฉียงเหนือ", A1188&lt;60, "ภาคเหนือ", A1188&lt;80, "ภาคกลาง/ตะวันตก", A1188&gt;=80, "ภาคใต้")</f>
        <v>ภาคตะวันออกเฉียงเหนือ</v>
      </c>
      <c r="D1188" s="64">
        <v>4572</v>
      </c>
      <c r="E1188" s="10" t="s">
        <v>1514</v>
      </c>
      <c r="F1188" s="11">
        <v>3134</v>
      </c>
      <c r="G1188" s="11">
        <v>3031</v>
      </c>
      <c r="H1188" s="11">
        <v>6165</v>
      </c>
      <c r="I1188" s="11">
        <v>1659</v>
      </c>
      <c r="J1188" s="66">
        <f t="shared" si="70"/>
        <v>50.835360908353607</v>
      </c>
      <c r="K1188" s="66">
        <f t="shared" si="71"/>
        <v>49.164639091646393</v>
      </c>
    </row>
    <row r="1189" spans="1:11" ht="41.4" x14ac:dyDescent="0.3">
      <c r="A1189" s="10">
        <v>45</v>
      </c>
      <c r="B1189" s="10" t="s">
        <v>1489</v>
      </c>
      <c r="C1189" s="10" t="str" cm="1">
        <f t="array" ref="C1189">_xlfn.IFS(A1189&lt;20, "ภาคกลาง", A1189&lt;30, "ภาคตะวันออก", A1189&lt;50, "ภาคตะวันออกเฉียงเหนือ", A1189&lt;60, "ภาคเหนือ", A1189&lt;80, "ภาคกลาง/ตะวันตก", A1189&gt;=80, "ภาคใต้")</f>
        <v>ภาคตะวันออกเฉียงเหนือ</v>
      </c>
      <c r="D1189" s="64">
        <v>4573</v>
      </c>
      <c r="E1189" s="10" t="s">
        <v>1515</v>
      </c>
      <c r="F1189" s="11">
        <v>4222</v>
      </c>
      <c r="G1189" s="11">
        <v>4463</v>
      </c>
      <c r="H1189" s="11">
        <v>8685</v>
      </c>
      <c r="I1189" s="11">
        <v>2269</v>
      </c>
      <c r="J1189" s="66">
        <f t="shared" si="70"/>
        <v>48.612550374208411</v>
      </c>
      <c r="K1189" s="66">
        <f t="shared" si="71"/>
        <v>51.387449625791589</v>
      </c>
    </row>
    <row r="1190" spans="1:11" ht="41.4" x14ac:dyDescent="0.3">
      <c r="A1190" s="10">
        <v>45</v>
      </c>
      <c r="B1190" s="10" t="s">
        <v>1489</v>
      </c>
      <c r="C1190" s="10" t="str" cm="1">
        <f t="array" ref="C1190">_xlfn.IFS(A1190&lt;20, "ภาคกลาง", A1190&lt;30, "ภาคตะวันออก", A1190&lt;50, "ภาคตะวันออกเฉียงเหนือ", A1190&lt;60, "ภาคเหนือ", A1190&lt;80, "ภาคกลาง/ตะวันตก", A1190&gt;=80, "ภาคใต้")</f>
        <v>ภาคตะวันออกเฉียงเหนือ</v>
      </c>
      <c r="D1190" s="64">
        <v>4574</v>
      </c>
      <c r="E1190" s="10" t="s">
        <v>1516</v>
      </c>
      <c r="F1190" s="11">
        <v>4208</v>
      </c>
      <c r="G1190" s="11">
        <v>4419</v>
      </c>
      <c r="H1190" s="11">
        <v>8627</v>
      </c>
      <c r="I1190" s="11">
        <v>2515</v>
      </c>
      <c r="J1190" s="66">
        <f t="shared" si="70"/>
        <v>48.777095166338242</v>
      </c>
      <c r="K1190" s="66">
        <f t="shared" si="71"/>
        <v>51.222904833661765</v>
      </c>
    </row>
    <row r="1191" spans="1:11" ht="41.4" x14ac:dyDescent="0.3">
      <c r="A1191" s="10">
        <v>45</v>
      </c>
      <c r="B1191" s="10" t="s">
        <v>1489</v>
      </c>
      <c r="C1191" s="10" t="str" cm="1">
        <f t="array" ref="C1191">_xlfn.IFS(A1191&lt;20, "ภาคกลาง", A1191&lt;30, "ภาคตะวันออก", A1191&lt;50, "ภาคตะวันออกเฉียงเหนือ", A1191&lt;60, "ภาคเหนือ", A1191&lt;80, "ภาคกลาง/ตะวันตก", A1191&gt;=80, "ภาคใต้")</f>
        <v>ภาคตะวันออกเฉียงเหนือ</v>
      </c>
      <c r="D1191" s="64">
        <v>4575</v>
      </c>
      <c r="E1191" s="10" t="s">
        <v>1517</v>
      </c>
      <c r="F1191" s="11">
        <v>3566</v>
      </c>
      <c r="G1191" s="11">
        <v>3682</v>
      </c>
      <c r="H1191" s="11">
        <v>7248</v>
      </c>
      <c r="I1191" s="11">
        <v>2178</v>
      </c>
      <c r="J1191" s="66">
        <f t="shared" si="70"/>
        <v>49.19977924944812</v>
      </c>
      <c r="K1191" s="66">
        <f t="shared" si="71"/>
        <v>50.800220750551873</v>
      </c>
    </row>
    <row r="1192" spans="1:11" ht="41.4" x14ac:dyDescent="0.3">
      <c r="A1192" s="10">
        <v>45</v>
      </c>
      <c r="B1192" s="10" t="s">
        <v>1489</v>
      </c>
      <c r="C1192" s="10" t="str" cm="1">
        <f t="array" ref="C1192">_xlfn.IFS(A1192&lt;20, "ภาคกลาง", A1192&lt;30, "ภาคตะวันออก", A1192&lt;50, "ภาคตะวันออกเฉียงเหนือ", A1192&lt;60, "ภาคเหนือ", A1192&lt;80, "ภาคกลาง/ตะวันตก", A1192&gt;=80, "ภาคใต้")</f>
        <v>ภาคตะวันออกเฉียงเหนือ</v>
      </c>
      <c r="D1192" s="64">
        <v>4576</v>
      </c>
      <c r="E1192" s="10" t="s">
        <v>1518</v>
      </c>
      <c r="F1192" s="11">
        <v>3935</v>
      </c>
      <c r="G1192" s="11">
        <v>4182</v>
      </c>
      <c r="H1192" s="11">
        <v>8117</v>
      </c>
      <c r="I1192" s="11">
        <v>2842</v>
      </c>
      <c r="J1192" s="66">
        <f t="shared" si="70"/>
        <v>48.4785019095725</v>
      </c>
      <c r="K1192" s="66">
        <f t="shared" si="71"/>
        <v>51.5214980904275</v>
      </c>
    </row>
    <row r="1193" spans="1:11" ht="41.4" x14ac:dyDescent="0.3">
      <c r="A1193" s="10">
        <v>45</v>
      </c>
      <c r="B1193" s="10" t="s">
        <v>1489</v>
      </c>
      <c r="C1193" s="10" t="str" cm="1">
        <f t="array" ref="C1193">_xlfn.IFS(A1193&lt;20, "ภาคกลาง", A1193&lt;30, "ภาคตะวันออก", A1193&lt;50, "ภาคตะวันออกเฉียงเหนือ", A1193&lt;60, "ภาคเหนือ", A1193&lt;80, "ภาคกลาง/ตะวันตก", A1193&gt;=80, "ภาคใต้")</f>
        <v>ภาคตะวันออกเฉียงเหนือ</v>
      </c>
      <c r="D1193" s="64">
        <v>4577</v>
      </c>
      <c r="E1193" s="10" t="s">
        <v>1519</v>
      </c>
      <c r="F1193" s="11">
        <v>3528</v>
      </c>
      <c r="G1193" s="11">
        <v>3664</v>
      </c>
      <c r="H1193" s="11">
        <v>7192</v>
      </c>
      <c r="I1193" s="11">
        <v>2124</v>
      </c>
      <c r="J1193" s="66">
        <f t="shared" si="70"/>
        <v>49.05450500556173</v>
      </c>
      <c r="K1193" s="66">
        <f t="shared" si="71"/>
        <v>50.94549499443827</v>
      </c>
    </row>
    <row r="1194" spans="1:11" ht="41.4" x14ac:dyDescent="0.3">
      <c r="A1194" s="10">
        <v>45</v>
      </c>
      <c r="B1194" s="10" t="s">
        <v>1489</v>
      </c>
      <c r="C1194" s="10" t="str" cm="1">
        <f t="array" ref="C1194">_xlfn.IFS(A1194&lt;20, "ภาคกลาง", A1194&lt;30, "ภาคตะวันออก", A1194&lt;50, "ภาคตะวันออกเฉียงเหนือ", A1194&lt;60, "ภาคเหนือ", A1194&lt;80, "ภาคกลาง/ตะวันตก", A1194&gt;=80, "ภาคใต้")</f>
        <v>ภาคตะวันออกเฉียงเหนือ</v>
      </c>
      <c r="D1194" s="64">
        <v>4578</v>
      </c>
      <c r="E1194" s="10" t="s">
        <v>1520</v>
      </c>
      <c r="F1194" s="11">
        <v>3426</v>
      </c>
      <c r="G1194" s="11">
        <v>3758</v>
      </c>
      <c r="H1194" s="11">
        <v>7184</v>
      </c>
      <c r="I1194" s="11">
        <v>2547</v>
      </c>
      <c r="J1194" s="66">
        <f t="shared" si="70"/>
        <v>47.689309576837417</v>
      </c>
      <c r="K1194" s="66">
        <f t="shared" si="71"/>
        <v>52.310690423162583</v>
      </c>
    </row>
    <row r="1195" spans="1:11" ht="41.4" x14ac:dyDescent="0.3">
      <c r="A1195" s="10">
        <v>45</v>
      </c>
      <c r="B1195" s="10" t="s">
        <v>1489</v>
      </c>
      <c r="C1195" s="10" t="str" cm="1">
        <f t="array" ref="C1195">_xlfn.IFS(A1195&lt;20, "ภาคกลาง", A1195&lt;30, "ภาคตะวันออก", A1195&lt;50, "ภาคตะวันออกเฉียงเหนือ", A1195&lt;60, "ภาคเหนือ", A1195&lt;80, "ภาคกลาง/ตะวันตก", A1195&gt;=80, "ภาคใต้")</f>
        <v>ภาคตะวันออกเฉียงเหนือ</v>
      </c>
      <c r="D1195" s="64">
        <v>4579</v>
      </c>
      <c r="E1195" s="10" t="s">
        <v>1521</v>
      </c>
      <c r="F1195" s="11">
        <v>4048</v>
      </c>
      <c r="G1195" s="11">
        <v>4225</v>
      </c>
      <c r="H1195" s="11">
        <v>8273</v>
      </c>
      <c r="I1195" s="11">
        <v>2917</v>
      </c>
      <c r="J1195" s="66">
        <f t="shared" si="70"/>
        <v>48.930255046536928</v>
      </c>
      <c r="K1195" s="66">
        <f t="shared" si="71"/>
        <v>51.069744953463072</v>
      </c>
    </row>
    <row r="1196" spans="1:11" ht="41.4" x14ac:dyDescent="0.3">
      <c r="A1196" s="10">
        <v>45</v>
      </c>
      <c r="B1196" s="10" t="s">
        <v>1489</v>
      </c>
      <c r="C1196" s="10" t="str" cm="1">
        <f t="array" ref="C1196">_xlfn.IFS(A1196&lt;20, "ภาคกลาง", A1196&lt;30, "ภาคตะวันออก", A1196&lt;50, "ภาคตะวันออกเฉียงเหนือ", A1196&lt;60, "ภาคเหนือ", A1196&lt;80, "ภาคกลาง/ตะวันตก", A1196&gt;=80, "ภาคใต้")</f>
        <v>ภาคตะวันออกเฉียงเหนือ</v>
      </c>
      <c r="D1196" s="64">
        <v>4580</v>
      </c>
      <c r="E1196" s="10" t="s">
        <v>1522</v>
      </c>
      <c r="F1196" s="11">
        <v>4625</v>
      </c>
      <c r="G1196" s="11">
        <v>4521</v>
      </c>
      <c r="H1196" s="11">
        <v>9146</v>
      </c>
      <c r="I1196" s="11">
        <v>2770</v>
      </c>
      <c r="J1196" s="66">
        <f t="shared" si="70"/>
        <v>50.568554559370213</v>
      </c>
      <c r="K1196" s="66">
        <f t="shared" si="71"/>
        <v>49.431445440629787</v>
      </c>
    </row>
    <row r="1197" spans="1:11" ht="41.4" x14ac:dyDescent="0.3">
      <c r="A1197" s="10">
        <v>45</v>
      </c>
      <c r="B1197" s="10" t="s">
        <v>1489</v>
      </c>
      <c r="C1197" s="10" t="str" cm="1">
        <f t="array" ref="C1197">_xlfn.IFS(A1197&lt;20, "ภาคกลาง", A1197&lt;30, "ภาคตะวันออก", A1197&lt;50, "ภาคตะวันออกเฉียงเหนือ", A1197&lt;60, "ภาคเหนือ", A1197&lt;80, "ภาคกลาง/ตะวันตก", A1197&gt;=80, "ภาคใต้")</f>
        <v>ภาคตะวันออกเฉียงเหนือ</v>
      </c>
      <c r="D1197" s="64">
        <v>4581</v>
      </c>
      <c r="E1197" s="10" t="s">
        <v>1523</v>
      </c>
      <c r="F1197" s="11">
        <v>4067</v>
      </c>
      <c r="G1197" s="11">
        <v>4076</v>
      </c>
      <c r="H1197" s="11">
        <v>8143</v>
      </c>
      <c r="I1197" s="11">
        <v>2209</v>
      </c>
      <c r="J1197" s="66">
        <f t="shared" si="70"/>
        <v>49.944737811617337</v>
      </c>
      <c r="K1197" s="66">
        <f t="shared" si="71"/>
        <v>50.055262188382663</v>
      </c>
    </row>
    <row r="1198" spans="1:11" ht="41.4" x14ac:dyDescent="0.3">
      <c r="A1198" s="10">
        <v>45</v>
      </c>
      <c r="B1198" s="10" t="s">
        <v>1489</v>
      </c>
      <c r="C1198" s="10" t="str" cm="1">
        <f t="array" ref="C1198">_xlfn.IFS(A1198&lt;20, "ภาคกลาง", A1198&lt;30, "ภาคตะวันออก", A1198&lt;50, "ภาคตะวันออกเฉียงเหนือ", A1198&lt;60, "ภาคเหนือ", A1198&lt;80, "ภาคกลาง/ตะวันตก", A1198&gt;=80, "ภาคใต้")</f>
        <v>ภาคตะวันออกเฉียงเหนือ</v>
      </c>
      <c r="D1198" s="64">
        <v>4583</v>
      </c>
      <c r="E1198" s="10" t="s">
        <v>1524</v>
      </c>
      <c r="F1198" s="11">
        <v>2633</v>
      </c>
      <c r="G1198" s="11">
        <v>2660</v>
      </c>
      <c r="H1198" s="11">
        <v>5293</v>
      </c>
      <c r="I1198" s="11">
        <v>1553</v>
      </c>
      <c r="J1198" s="66">
        <f t="shared" si="70"/>
        <v>49.744946155299452</v>
      </c>
      <c r="K1198" s="66">
        <f t="shared" si="71"/>
        <v>50.255053844700548</v>
      </c>
    </row>
    <row r="1199" spans="1:11" ht="41.4" x14ac:dyDescent="0.3">
      <c r="A1199" s="10">
        <v>45</v>
      </c>
      <c r="B1199" s="10" t="s">
        <v>1489</v>
      </c>
      <c r="C1199" s="10" t="str" cm="1">
        <f t="array" ref="C1199">_xlfn.IFS(A1199&lt;20, "ภาคกลาง", A1199&lt;30, "ภาคตะวันออก", A1199&lt;50, "ภาคตะวันออกเฉียงเหนือ", A1199&lt;60, "ภาคเหนือ", A1199&lt;80, "ภาคกลาง/ตะวันตก", A1199&gt;=80, "ภาคใต้")</f>
        <v>ภาคตะวันออกเฉียงเหนือ</v>
      </c>
      <c r="D1199" s="64">
        <v>4584</v>
      </c>
      <c r="E1199" s="10" t="s">
        <v>1525</v>
      </c>
      <c r="F1199" s="11">
        <v>1893</v>
      </c>
      <c r="G1199" s="11">
        <v>2020</v>
      </c>
      <c r="H1199" s="11">
        <v>3913</v>
      </c>
      <c r="I1199" s="11">
        <v>1868</v>
      </c>
      <c r="J1199" s="66">
        <f t="shared" si="70"/>
        <v>48.377204191157681</v>
      </c>
      <c r="K1199" s="66">
        <f t="shared" si="71"/>
        <v>51.622795808842326</v>
      </c>
    </row>
    <row r="1200" spans="1:11" ht="41.4" x14ac:dyDescent="0.3">
      <c r="A1200" s="10">
        <v>45</v>
      </c>
      <c r="B1200" s="10" t="s">
        <v>1489</v>
      </c>
      <c r="C1200" s="10" t="str" cm="1">
        <f t="array" ref="C1200">_xlfn.IFS(A1200&lt;20, "ภาคกลาง", A1200&lt;30, "ภาคตะวันออก", A1200&lt;50, "ภาคตะวันออกเฉียงเหนือ", A1200&lt;60, "ภาคเหนือ", A1200&lt;80, "ภาคกลาง/ตะวันตก", A1200&gt;=80, "ภาคใต้")</f>
        <v>ภาคตะวันออกเฉียงเหนือ</v>
      </c>
      <c r="D1200" s="64">
        <v>4585</v>
      </c>
      <c r="E1200" s="10" t="s">
        <v>1526</v>
      </c>
      <c r="F1200" s="11">
        <v>2727</v>
      </c>
      <c r="G1200" s="11">
        <v>2819</v>
      </c>
      <c r="H1200" s="11">
        <v>5546</v>
      </c>
      <c r="I1200" s="11">
        <v>2159</v>
      </c>
      <c r="J1200" s="66">
        <f t="shared" si="70"/>
        <v>49.170573386224305</v>
      </c>
      <c r="K1200" s="66">
        <f t="shared" si="71"/>
        <v>50.829426613775695</v>
      </c>
    </row>
    <row r="1201" spans="1:11" ht="41.4" x14ac:dyDescent="0.3">
      <c r="A1201" s="10">
        <v>45</v>
      </c>
      <c r="B1201" s="10" t="s">
        <v>1489</v>
      </c>
      <c r="C1201" s="10" t="str" cm="1">
        <f t="array" ref="C1201">_xlfn.IFS(A1201&lt;20, "ภาคกลาง", A1201&lt;30, "ภาคตะวันออก", A1201&lt;50, "ภาคตะวันออกเฉียงเหนือ", A1201&lt;60, "ภาคเหนือ", A1201&lt;80, "ภาคกลาง/ตะวันตก", A1201&gt;=80, "ภาคใต้")</f>
        <v>ภาคตะวันออกเฉียงเหนือ</v>
      </c>
      <c r="D1201" s="64">
        <v>4586</v>
      </c>
      <c r="E1201" s="10" t="s">
        <v>1527</v>
      </c>
      <c r="F1201" s="11">
        <v>4633</v>
      </c>
      <c r="G1201" s="11">
        <v>4787</v>
      </c>
      <c r="H1201" s="11">
        <v>9420</v>
      </c>
      <c r="I1201" s="11">
        <v>3049</v>
      </c>
      <c r="J1201" s="66">
        <f t="shared" si="70"/>
        <v>49.182590233545646</v>
      </c>
      <c r="K1201" s="66">
        <f t="shared" si="71"/>
        <v>50.817409766454361</v>
      </c>
    </row>
    <row r="1202" spans="1:11" ht="41.4" x14ac:dyDescent="0.3">
      <c r="A1202" s="10">
        <v>45</v>
      </c>
      <c r="B1202" s="10" t="s">
        <v>1489</v>
      </c>
      <c r="C1202" s="10" t="str" cm="1">
        <f t="array" ref="C1202">_xlfn.IFS(A1202&lt;20, "ภาคกลาง", A1202&lt;30, "ภาคตะวันออก", A1202&lt;50, "ภาคตะวันออกเฉียงเหนือ", A1202&lt;60, "ภาคเหนือ", A1202&lt;80, "ภาคกลาง/ตะวันตก", A1202&gt;=80, "ภาคใต้")</f>
        <v>ภาคตะวันออกเฉียงเหนือ</v>
      </c>
      <c r="D1202" s="64">
        <v>4587</v>
      </c>
      <c r="E1202" s="10" t="s">
        <v>1528</v>
      </c>
      <c r="F1202" s="11">
        <v>4091</v>
      </c>
      <c r="G1202" s="11">
        <v>4605</v>
      </c>
      <c r="H1202" s="11">
        <v>8696</v>
      </c>
      <c r="I1202" s="11">
        <v>4399</v>
      </c>
      <c r="J1202" s="66">
        <f t="shared" si="70"/>
        <v>47.044618215271392</v>
      </c>
      <c r="K1202" s="66">
        <f t="shared" si="71"/>
        <v>52.955381784728608</v>
      </c>
    </row>
    <row r="1203" spans="1:11" ht="41.4" x14ac:dyDescent="0.3">
      <c r="A1203" s="10">
        <v>45</v>
      </c>
      <c r="B1203" s="10" t="s">
        <v>1489</v>
      </c>
      <c r="C1203" s="10" t="str" cm="1">
        <f t="array" ref="C1203">_xlfn.IFS(A1203&lt;20, "ภาคกลาง", A1203&lt;30, "ภาคตะวันออก", A1203&lt;50, "ภาคตะวันออกเฉียงเหนือ", A1203&lt;60, "ภาคเหนือ", A1203&lt;80, "ภาคกลาง/ตะวันตก", A1203&gt;=80, "ภาคใต้")</f>
        <v>ภาคตะวันออกเฉียงเหนือ</v>
      </c>
      <c r="D1203" s="64">
        <v>4588</v>
      </c>
      <c r="E1203" s="10" t="s">
        <v>1529</v>
      </c>
      <c r="F1203" s="11">
        <v>6113</v>
      </c>
      <c r="G1203" s="11">
        <v>6569</v>
      </c>
      <c r="H1203" s="11">
        <v>12682</v>
      </c>
      <c r="I1203" s="11">
        <v>5289</v>
      </c>
      <c r="J1203" s="66">
        <f t="shared" si="70"/>
        <v>48.202176312884404</v>
      </c>
      <c r="K1203" s="66">
        <f t="shared" si="71"/>
        <v>51.797823687115596</v>
      </c>
    </row>
    <row r="1204" spans="1:11" ht="41.4" x14ac:dyDescent="0.3">
      <c r="A1204" s="10">
        <v>45</v>
      </c>
      <c r="B1204" s="10" t="s">
        <v>1489</v>
      </c>
      <c r="C1204" s="10" t="str" cm="1">
        <f t="array" ref="C1204">_xlfn.IFS(A1204&lt;20, "ภาคกลาง", A1204&lt;30, "ภาคตะวันออก", A1204&lt;50, "ภาคตะวันออกเฉียงเหนือ", A1204&lt;60, "ภาคเหนือ", A1204&lt;80, "ภาคกลาง/ตะวันตก", A1204&gt;=80, "ภาคใต้")</f>
        <v>ภาคตะวันออกเฉียงเหนือ</v>
      </c>
      <c r="D1204" s="64">
        <v>4589</v>
      </c>
      <c r="E1204" s="10" t="s">
        <v>1530</v>
      </c>
      <c r="F1204" s="11">
        <v>3064</v>
      </c>
      <c r="G1204" s="11">
        <v>3221</v>
      </c>
      <c r="H1204" s="11">
        <v>6285</v>
      </c>
      <c r="I1204" s="11">
        <v>2841</v>
      </c>
      <c r="J1204" s="66">
        <f t="shared" si="70"/>
        <v>48.750994431185362</v>
      </c>
      <c r="K1204" s="66">
        <f t="shared" si="71"/>
        <v>51.249005568814646</v>
      </c>
    </row>
    <row r="1205" spans="1:11" ht="41.4" x14ac:dyDescent="0.3">
      <c r="A1205" s="10">
        <v>45</v>
      </c>
      <c r="B1205" s="10" t="s">
        <v>1489</v>
      </c>
      <c r="C1205" s="10" t="str" cm="1">
        <f t="array" ref="C1205">_xlfn.IFS(A1205&lt;20, "ภาคกลาง", A1205&lt;30, "ภาคตะวันออก", A1205&lt;50, "ภาคตะวันออกเฉียงเหนือ", A1205&lt;60, "ภาคเหนือ", A1205&lt;80, "ภาคกลาง/ตะวันตก", A1205&gt;=80, "ภาคใต้")</f>
        <v>ภาคตะวันออกเฉียงเหนือ</v>
      </c>
      <c r="D1205" s="64">
        <v>4590</v>
      </c>
      <c r="E1205" s="10" t="s">
        <v>1531</v>
      </c>
      <c r="F1205" s="11">
        <v>3980</v>
      </c>
      <c r="G1205" s="11">
        <v>4141</v>
      </c>
      <c r="H1205" s="11">
        <v>8121</v>
      </c>
      <c r="I1205" s="11">
        <v>2587</v>
      </c>
      <c r="J1205" s="66">
        <f t="shared" si="70"/>
        <v>49.008742765669247</v>
      </c>
      <c r="K1205" s="66">
        <f t="shared" si="71"/>
        <v>50.991257234330746</v>
      </c>
    </row>
    <row r="1206" spans="1:11" ht="41.4" x14ac:dyDescent="0.3">
      <c r="A1206" s="10">
        <v>45</v>
      </c>
      <c r="B1206" s="10" t="s">
        <v>1489</v>
      </c>
      <c r="C1206" s="10" t="str" cm="1">
        <f t="array" ref="C1206">_xlfn.IFS(A1206&lt;20, "ภาคกลาง", A1206&lt;30, "ภาคตะวันออก", A1206&lt;50, "ภาคตะวันออกเฉียงเหนือ", A1206&lt;60, "ภาคเหนือ", A1206&lt;80, "ภาคกลาง/ตะวันตก", A1206&gt;=80, "ภาคใต้")</f>
        <v>ภาคตะวันออกเฉียงเหนือ</v>
      </c>
      <c r="D1206" s="64">
        <v>4591</v>
      </c>
      <c r="E1206" s="10" t="s">
        <v>1532</v>
      </c>
      <c r="F1206" s="11">
        <v>2541</v>
      </c>
      <c r="G1206" s="11">
        <v>2640</v>
      </c>
      <c r="H1206" s="11">
        <v>5181</v>
      </c>
      <c r="I1206" s="11">
        <v>1634</v>
      </c>
      <c r="J1206" s="66">
        <f t="shared" si="70"/>
        <v>49.044585987261144</v>
      </c>
      <c r="K1206" s="66">
        <f t="shared" si="71"/>
        <v>50.955414012738856</v>
      </c>
    </row>
    <row r="1207" spans="1:11" ht="41.4" x14ac:dyDescent="0.3">
      <c r="A1207" s="10">
        <v>45</v>
      </c>
      <c r="B1207" s="10" t="s">
        <v>1489</v>
      </c>
      <c r="C1207" s="10" t="str" cm="1">
        <f t="array" ref="C1207">_xlfn.IFS(A1207&lt;20, "ภาคกลาง", A1207&lt;30, "ภาคตะวันออก", A1207&lt;50, "ภาคตะวันออกเฉียงเหนือ", A1207&lt;60, "ภาคเหนือ", A1207&lt;80, "ภาคกลาง/ตะวันตก", A1207&gt;=80, "ภาคใต้")</f>
        <v>ภาคตะวันออกเฉียงเหนือ</v>
      </c>
      <c r="D1207" s="64">
        <v>4592</v>
      </c>
      <c r="E1207" s="10" t="s">
        <v>1533</v>
      </c>
      <c r="F1207" s="11">
        <v>5427</v>
      </c>
      <c r="G1207" s="11">
        <v>5688</v>
      </c>
      <c r="H1207" s="11">
        <v>11115</v>
      </c>
      <c r="I1207" s="11">
        <v>5430</v>
      </c>
      <c r="J1207" s="66">
        <f t="shared" si="70"/>
        <v>48.825910931174086</v>
      </c>
      <c r="K1207" s="66">
        <f t="shared" si="71"/>
        <v>51.174089068825914</v>
      </c>
    </row>
    <row r="1208" spans="1:11" ht="41.4" x14ac:dyDescent="0.3">
      <c r="A1208" s="10">
        <v>45</v>
      </c>
      <c r="B1208" s="10" t="s">
        <v>1489</v>
      </c>
      <c r="C1208" s="10" t="str" cm="1">
        <f t="array" ref="C1208">_xlfn.IFS(A1208&lt;20, "ภาคกลาง", A1208&lt;30, "ภาคตะวันออก", A1208&lt;50, "ภาคตะวันออกเฉียงเหนือ", A1208&lt;60, "ภาคเหนือ", A1208&lt;80, "ภาคกลาง/ตะวันตก", A1208&gt;=80, "ภาคใต้")</f>
        <v>ภาคตะวันออกเฉียงเหนือ</v>
      </c>
      <c r="D1208" s="64">
        <v>4593</v>
      </c>
      <c r="E1208" s="10" t="s">
        <v>1534</v>
      </c>
      <c r="F1208" s="11">
        <v>1905</v>
      </c>
      <c r="G1208" s="11">
        <v>2055</v>
      </c>
      <c r="H1208" s="11">
        <v>3960</v>
      </c>
      <c r="I1208" s="11">
        <v>1851</v>
      </c>
      <c r="J1208" s="66">
        <f t="shared" si="70"/>
        <v>48.106060606060609</v>
      </c>
      <c r="K1208" s="66">
        <f t="shared" si="71"/>
        <v>51.893939393939391</v>
      </c>
    </row>
    <row r="1209" spans="1:11" ht="41.4" x14ac:dyDescent="0.3">
      <c r="A1209" s="10">
        <v>45</v>
      </c>
      <c r="B1209" s="10" t="s">
        <v>1489</v>
      </c>
      <c r="C1209" s="10" t="str" cm="1">
        <f t="array" ref="C1209">_xlfn.IFS(A1209&lt;20, "ภาคกลาง", A1209&lt;30, "ภาคตะวันออก", A1209&lt;50, "ภาคตะวันออกเฉียงเหนือ", A1209&lt;60, "ภาคเหนือ", A1209&lt;80, "ภาคกลาง/ตะวันตก", A1209&gt;=80, "ภาคใต้")</f>
        <v>ภาคตะวันออกเฉียงเหนือ</v>
      </c>
      <c r="D1209" s="64">
        <v>4594</v>
      </c>
      <c r="E1209" s="10" t="s">
        <v>1535</v>
      </c>
      <c r="F1209" s="11">
        <v>1164</v>
      </c>
      <c r="G1209" s="11">
        <v>1310</v>
      </c>
      <c r="H1209" s="11">
        <v>2474</v>
      </c>
      <c r="I1209" s="11">
        <v>1215</v>
      </c>
      <c r="J1209" s="66">
        <f t="shared" si="70"/>
        <v>47.049312853678252</v>
      </c>
      <c r="K1209" s="66">
        <f t="shared" si="71"/>
        <v>52.950687146321748</v>
      </c>
    </row>
    <row r="1210" spans="1:11" ht="41.4" x14ac:dyDescent="0.3">
      <c r="A1210" s="10">
        <v>45</v>
      </c>
      <c r="B1210" s="10" t="s">
        <v>1489</v>
      </c>
      <c r="C1210" s="10" t="str" cm="1">
        <f t="array" ref="C1210">_xlfn.IFS(A1210&lt;20, "ภาคกลาง", A1210&lt;30, "ภาคตะวันออก", A1210&lt;50, "ภาคตะวันออกเฉียงเหนือ", A1210&lt;60, "ภาคเหนือ", A1210&lt;80, "ภาคกลาง/ตะวันตก", A1210&gt;=80, "ภาคใต้")</f>
        <v>ภาคตะวันออกเฉียงเหนือ</v>
      </c>
      <c r="D1210" s="64">
        <v>4595</v>
      </c>
      <c r="E1210" s="10" t="s">
        <v>1536</v>
      </c>
      <c r="F1210" s="11">
        <v>3652</v>
      </c>
      <c r="G1210" s="11">
        <v>3916</v>
      </c>
      <c r="H1210" s="11">
        <v>7568</v>
      </c>
      <c r="I1210" s="11">
        <v>2652</v>
      </c>
      <c r="J1210" s="66">
        <f t="shared" si="70"/>
        <v>48.255813953488378</v>
      </c>
      <c r="K1210" s="66">
        <f t="shared" si="71"/>
        <v>51.744186046511629</v>
      </c>
    </row>
    <row r="1211" spans="1:11" ht="41.4" x14ac:dyDescent="0.3">
      <c r="A1211" s="10">
        <v>45</v>
      </c>
      <c r="B1211" s="10" t="s">
        <v>1489</v>
      </c>
      <c r="C1211" s="10" t="str" cm="1">
        <f t="array" ref="C1211">_xlfn.IFS(A1211&lt;20, "ภาคกลาง", A1211&lt;30, "ภาคตะวันออก", A1211&lt;50, "ภาคตะวันออกเฉียงเหนือ", A1211&lt;60, "ภาคเหนือ", A1211&lt;80, "ภาคกลาง/ตะวันตก", A1211&gt;=80, "ภาคใต้")</f>
        <v>ภาคตะวันออกเฉียงเหนือ</v>
      </c>
      <c r="D1211" s="64">
        <v>4596</v>
      </c>
      <c r="E1211" s="10" t="s">
        <v>1537</v>
      </c>
      <c r="F1211" s="11">
        <v>1752</v>
      </c>
      <c r="G1211" s="11">
        <v>1973</v>
      </c>
      <c r="H1211" s="11">
        <v>3725</v>
      </c>
      <c r="I1211" s="11">
        <v>1654</v>
      </c>
      <c r="J1211" s="66">
        <f t="shared" si="70"/>
        <v>47.033557046979865</v>
      </c>
      <c r="K1211" s="66">
        <f t="shared" si="71"/>
        <v>52.966442953020135</v>
      </c>
    </row>
    <row r="1212" spans="1:11" ht="41.4" x14ac:dyDescent="0.3">
      <c r="A1212" s="10">
        <v>45</v>
      </c>
      <c r="B1212" s="10" t="s">
        <v>1489</v>
      </c>
      <c r="C1212" s="10" t="str" cm="1">
        <f t="array" ref="C1212">_xlfn.IFS(A1212&lt;20, "ภาคกลาง", A1212&lt;30, "ภาคตะวันออก", A1212&lt;50, "ภาคตะวันออกเฉียงเหนือ", A1212&lt;60, "ภาคเหนือ", A1212&lt;80, "ภาคกลาง/ตะวันตก", A1212&gt;=80, "ภาคใต้")</f>
        <v>ภาคตะวันออกเฉียงเหนือ</v>
      </c>
      <c r="D1212" s="64">
        <v>4597</v>
      </c>
      <c r="E1212" s="10" t="s">
        <v>1538</v>
      </c>
      <c r="F1212" s="11">
        <v>3040</v>
      </c>
      <c r="G1212" s="11">
        <v>3221</v>
      </c>
      <c r="H1212" s="11">
        <v>6261</v>
      </c>
      <c r="I1212" s="11">
        <v>2230</v>
      </c>
      <c r="J1212" s="66">
        <f t="shared" si="70"/>
        <v>48.554544002555502</v>
      </c>
      <c r="K1212" s="66">
        <f t="shared" si="71"/>
        <v>51.445455997444498</v>
      </c>
    </row>
    <row r="1213" spans="1:11" ht="41.4" x14ac:dyDescent="0.3">
      <c r="A1213" s="10">
        <v>45</v>
      </c>
      <c r="B1213" s="10" t="s">
        <v>1489</v>
      </c>
      <c r="C1213" s="10" t="str" cm="1">
        <f t="array" ref="C1213">_xlfn.IFS(A1213&lt;20, "ภาคกลาง", A1213&lt;30, "ภาคตะวันออก", A1213&lt;50, "ภาคตะวันออกเฉียงเหนือ", A1213&lt;60, "ภาคเหนือ", A1213&lt;80, "ภาคกลาง/ตะวันตก", A1213&gt;=80, "ภาคใต้")</f>
        <v>ภาคตะวันออกเฉียงเหนือ</v>
      </c>
      <c r="D1213" s="64">
        <v>4598</v>
      </c>
      <c r="E1213" s="10" t="s">
        <v>1539</v>
      </c>
      <c r="F1213" s="11">
        <v>5039</v>
      </c>
      <c r="G1213" s="11">
        <v>5481</v>
      </c>
      <c r="H1213" s="11">
        <v>10520</v>
      </c>
      <c r="I1213" s="11">
        <v>5011</v>
      </c>
      <c r="J1213" s="66">
        <f t="shared" si="70"/>
        <v>47.899239543726239</v>
      </c>
      <c r="K1213" s="66">
        <f t="shared" si="71"/>
        <v>52.100760456273761</v>
      </c>
    </row>
    <row r="1214" spans="1:11" ht="41.4" x14ac:dyDescent="0.3">
      <c r="A1214" s="10">
        <v>45</v>
      </c>
      <c r="B1214" s="10" t="s">
        <v>1489</v>
      </c>
      <c r="C1214" s="10" t="str" cm="1">
        <f t="array" ref="C1214">_xlfn.IFS(A1214&lt;20, "ภาคกลาง", A1214&lt;30, "ภาคตะวันออก", A1214&lt;50, "ภาคตะวันออกเฉียงเหนือ", A1214&lt;60, "ภาคเหนือ", A1214&lt;80, "ภาคกลาง/ตะวันตก", A1214&gt;=80, "ภาคใต้")</f>
        <v>ภาคตะวันออกเฉียงเหนือ</v>
      </c>
      <c r="D1214" s="64">
        <v>4599</v>
      </c>
      <c r="E1214" s="10" t="s">
        <v>1540</v>
      </c>
      <c r="F1214" s="11">
        <v>2174</v>
      </c>
      <c r="G1214" s="11">
        <v>2289</v>
      </c>
      <c r="H1214" s="11">
        <v>4463</v>
      </c>
      <c r="I1214" s="11">
        <v>1666</v>
      </c>
      <c r="J1214" s="66">
        <f t="shared" si="70"/>
        <v>48.711628949137356</v>
      </c>
      <c r="K1214" s="66">
        <f t="shared" si="71"/>
        <v>51.288371050862644</v>
      </c>
    </row>
    <row r="1215" spans="1:11" ht="41.4" hidden="1" x14ac:dyDescent="0.3">
      <c r="A1215" s="10">
        <v>45</v>
      </c>
      <c r="B1215" s="10" t="s">
        <v>1489</v>
      </c>
      <c r="C1215" s="10" t="str" cm="1">
        <f t="array" ref="C1215">_xlfn.IFS(A1215&lt;20, "ภาคกลาง", A1215&lt;30, "ภาคตะวันออก", A1215&lt;50, "ภาคตะวันออกเฉียงเหนือ", A1215&lt;60, "ภาคเหนือ", A1215&lt;80, "ภาคกลาง/ตะวันตก", A1215&gt;=80, "ภาคใต้")</f>
        <v>ภาคตะวันออกเฉียงเหนือ</v>
      </c>
      <c r="D1215" s="10">
        <v>0</v>
      </c>
      <c r="E1215" s="10" t="s">
        <v>343</v>
      </c>
      <c r="F1215" s="11">
        <v>15038</v>
      </c>
      <c r="G1215" s="11">
        <v>17216</v>
      </c>
      <c r="H1215" s="11">
        <v>32254</v>
      </c>
      <c r="I1215" s="11">
        <v>16977</v>
      </c>
      <c r="J1215"/>
      <c r="K1215"/>
    </row>
    <row r="1216" spans="1:11" ht="41.4" x14ac:dyDescent="0.3">
      <c r="A1216" s="10">
        <v>46</v>
      </c>
      <c r="B1216" s="10" t="s">
        <v>1541</v>
      </c>
      <c r="C1216" s="10" t="str" cm="1">
        <f t="array" ref="C1216">_xlfn.IFS(A1216&lt;20, "ภาคกลาง", A1216&lt;30, "ภาคตะวันออก", A1216&lt;50, "ภาคตะวันออกเฉียงเหนือ", A1216&lt;60, "ภาคเหนือ", A1216&lt;80, "ภาคกลาง/ตะวันตก", A1216&gt;=80, "ภาคใต้")</f>
        <v>ภาคตะวันออกเฉียงเหนือ</v>
      </c>
      <c r="D1216" s="64">
        <v>4601</v>
      </c>
      <c r="E1216" s="10" t="s">
        <v>1542</v>
      </c>
      <c r="F1216" s="11">
        <v>474533</v>
      </c>
      <c r="G1216" s="11">
        <v>487911</v>
      </c>
      <c r="H1216" s="11">
        <v>962444</v>
      </c>
      <c r="I1216" s="11">
        <v>331891</v>
      </c>
      <c r="J1216" s="66">
        <f t="shared" ref="J1216:J1267" si="72">F1216/H1216*100</f>
        <v>49.304998524589486</v>
      </c>
      <c r="K1216" s="66">
        <f t="shared" ref="K1216:K1267" si="73">G1216/H1216*100</f>
        <v>50.695001475410514</v>
      </c>
    </row>
    <row r="1217" spans="1:11" ht="41.4" x14ac:dyDescent="0.3">
      <c r="A1217" s="10">
        <v>46</v>
      </c>
      <c r="B1217" s="10" t="s">
        <v>1541</v>
      </c>
      <c r="C1217" s="10" t="str" cm="1">
        <f t="array" ref="C1217">_xlfn.IFS(A1217&lt;20, "ภาคกลาง", A1217&lt;30, "ภาคตะวันออก", A1217&lt;50, "ภาคตะวันออกเฉียงเหนือ", A1217&lt;60, "ภาคเหนือ", A1217&lt;80, "ภาคกลาง/ตะวันตก", A1217&gt;=80, "ภาคใต้")</f>
        <v>ภาคตะวันออกเฉียงเหนือ</v>
      </c>
      <c r="D1217" s="64">
        <v>4602</v>
      </c>
      <c r="E1217" s="10" t="s">
        <v>1543</v>
      </c>
      <c r="F1217" s="11">
        <v>39537</v>
      </c>
      <c r="G1217" s="11">
        <v>41042</v>
      </c>
      <c r="H1217" s="11">
        <v>80579</v>
      </c>
      <c r="I1217" s="11">
        <v>27572</v>
      </c>
      <c r="J1217" s="66">
        <f t="shared" si="72"/>
        <v>49.066133856215636</v>
      </c>
      <c r="K1217" s="66">
        <f t="shared" si="73"/>
        <v>50.933866143784357</v>
      </c>
    </row>
    <row r="1218" spans="1:11" ht="41.4" x14ac:dyDescent="0.3">
      <c r="A1218" s="10">
        <v>46</v>
      </c>
      <c r="B1218" s="10" t="s">
        <v>1541</v>
      </c>
      <c r="C1218" s="10" t="str" cm="1">
        <f t="array" ref="C1218">_xlfn.IFS(A1218&lt;20, "ภาคกลาง", A1218&lt;30, "ภาคตะวันออก", A1218&lt;50, "ภาคตะวันออกเฉียงเหนือ", A1218&lt;60, "ภาคเหนือ", A1218&lt;80, "ภาคกลาง/ตะวันตก", A1218&gt;=80, "ภาคใต้")</f>
        <v>ภาคตะวันออกเฉียงเหนือ</v>
      </c>
      <c r="D1218" s="64">
        <v>4603</v>
      </c>
      <c r="E1218" s="10" t="s">
        <v>1544</v>
      </c>
      <c r="F1218" s="11">
        <v>14490</v>
      </c>
      <c r="G1218" s="11">
        <v>14768</v>
      </c>
      <c r="H1218" s="11">
        <v>29258</v>
      </c>
      <c r="I1218" s="11">
        <v>9963</v>
      </c>
      <c r="J1218" s="66">
        <f t="shared" si="72"/>
        <v>49.524916262218881</v>
      </c>
      <c r="K1218" s="66">
        <f t="shared" si="73"/>
        <v>50.475083737781127</v>
      </c>
    </row>
    <row r="1219" spans="1:11" ht="41.4" x14ac:dyDescent="0.3">
      <c r="A1219" s="10">
        <v>46</v>
      </c>
      <c r="B1219" s="10" t="s">
        <v>1541</v>
      </c>
      <c r="C1219" s="10" t="str" cm="1">
        <f t="array" ref="C1219">_xlfn.IFS(A1219&lt;20, "ภาคกลาง", A1219&lt;30, "ภาคตะวันออก", A1219&lt;50, "ภาคตะวันออกเฉียงเหนือ", A1219&lt;60, "ภาคเหนือ", A1219&lt;80, "ภาคกลาง/ตะวันตก", A1219&gt;=80, "ภาคใต้")</f>
        <v>ภาคตะวันออกเฉียงเหนือ</v>
      </c>
      <c r="D1219" s="64">
        <v>4604</v>
      </c>
      <c r="E1219" s="10" t="s">
        <v>1545</v>
      </c>
      <c r="F1219" s="11">
        <v>21825</v>
      </c>
      <c r="G1219" s="11">
        <v>22899</v>
      </c>
      <c r="H1219" s="11">
        <v>44724</v>
      </c>
      <c r="I1219" s="11">
        <v>12994</v>
      </c>
      <c r="J1219" s="66">
        <f t="shared" si="72"/>
        <v>48.799302387979608</v>
      </c>
      <c r="K1219" s="66">
        <f t="shared" si="73"/>
        <v>51.200697612020399</v>
      </c>
    </row>
    <row r="1220" spans="1:11" ht="41.4" x14ac:dyDescent="0.3">
      <c r="A1220" s="10">
        <v>46</v>
      </c>
      <c r="B1220" s="10" t="s">
        <v>1541</v>
      </c>
      <c r="C1220" s="10" t="str" cm="1">
        <f t="array" ref="C1220">_xlfn.IFS(A1220&lt;20, "ภาคกลาง", A1220&lt;30, "ภาคตะวันออก", A1220&lt;50, "ภาคตะวันออกเฉียงเหนือ", A1220&lt;60, "ภาคเหนือ", A1220&lt;80, "ภาคกลาง/ตะวันตก", A1220&gt;=80, "ภาคใต้")</f>
        <v>ภาคตะวันออกเฉียงเหนือ</v>
      </c>
      <c r="D1220" s="64">
        <v>4605</v>
      </c>
      <c r="E1220" s="10" t="s">
        <v>1546</v>
      </c>
      <c r="F1220" s="11">
        <v>5089</v>
      </c>
      <c r="G1220" s="11">
        <v>5258</v>
      </c>
      <c r="H1220" s="11">
        <v>10347</v>
      </c>
      <c r="I1220" s="11">
        <v>3432</v>
      </c>
      <c r="J1220" s="66">
        <f t="shared" si="72"/>
        <v>49.183338165651882</v>
      </c>
      <c r="K1220" s="66">
        <f t="shared" si="73"/>
        <v>50.816661834348118</v>
      </c>
    </row>
    <row r="1221" spans="1:11" ht="41.4" x14ac:dyDescent="0.3">
      <c r="A1221" s="10">
        <v>46</v>
      </c>
      <c r="B1221" s="10" t="s">
        <v>1541</v>
      </c>
      <c r="C1221" s="10" t="str" cm="1">
        <f t="array" ref="C1221">_xlfn.IFS(A1221&lt;20, "ภาคกลาง", A1221&lt;30, "ภาคตะวันออก", A1221&lt;50, "ภาคตะวันออกเฉียงเหนือ", A1221&lt;60, "ภาคเหนือ", A1221&lt;80, "ภาคกลาง/ตะวันตก", A1221&gt;=80, "ภาคใต้")</f>
        <v>ภาคตะวันออกเฉียงเหนือ</v>
      </c>
      <c r="D1221" s="64">
        <v>4606</v>
      </c>
      <c r="E1221" s="10" t="s">
        <v>1547</v>
      </c>
      <c r="F1221" s="11">
        <v>30590</v>
      </c>
      <c r="G1221" s="11">
        <v>30623</v>
      </c>
      <c r="H1221" s="11">
        <v>61213</v>
      </c>
      <c r="I1221" s="11">
        <v>22454</v>
      </c>
      <c r="J1221" s="66">
        <f t="shared" si="72"/>
        <v>49.973044941434011</v>
      </c>
      <c r="K1221" s="66">
        <f t="shared" si="73"/>
        <v>50.026955058565989</v>
      </c>
    </row>
    <row r="1222" spans="1:11" ht="41.4" x14ac:dyDescent="0.3">
      <c r="A1222" s="10">
        <v>46</v>
      </c>
      <c r="B1222" s="10" t="s">
        <v>1541</v>
      </c>
      <c r="C1222" s="10" t="str" cm="1">
        <f t="array" ref="C1222">_xlfn.IFS(A1222&lt;20, "ภาคกลาง", A1222&lt;30, "ภาคตะวันออก", A1222&lt;50, "ภาคตะวันออกเฉียงเหนือ", A1222&lt;60, "ภาคเหนือ", A1222&lt;80, "ภาคกลาง/ตะวันตก", A1222&gt;=80, "ภาคใต้")</f>
        <v>ภาคตะวันออกเฉียงเหนือ</v>
      </c>
      <c r="D1222" s="64">
        <v>4607</v>
      </c>
      <c r="E1222" s="10" t="s">
        <v>1548</v>
      </c>
      <c r="F1222" s="11">
        <v>10265</v>
      </c>
      <c r="G1222" s="11">
        <v>10490</v>
      </c>
      <c r="H1222" s="11">
        <v>20755</v>
      </c>
      <c r="I1222" s="11">
        <v>9138</v>
      </c>
      <c r="J1222" s="66">
        <f t="shared" si="72"/>
        <v>49.457961936882676</v>
      </c>
      <c r="K1222" s="66">
        <f t="shared" si="73"/>
        <v>50.542038063117324</v>
      </c>
    </row>
    <row r="1223" spans="1:11" ht="41.4" x14ac:dyDescent="0.3">
      <c r="A1223" s="10">
        <v>46</v>
      </c>
      <c r="B1223" s="10" t="s">
        <v>1541</v>
      </c>
      <c r="C1223" s="10" t="str" cm="1">
        <f t="array" ref="C1223">_xlfn.IFS(A1223&lt;20, "ภาคกลาง", A1223&lt;30, "ภาคตะวันออก", A1223&lt;50, "ภาคตะวันออกเฉียงเหนือ", A1223&lt;60, "ภาคเหนือ", A1223&lt;80, "ภาคกลาง/ตะวันตก", A1223&gt;=80, "ภาคใต้")</f>
        <v>ภาคตะวันออกเฉียงเหนือ</v>
      </c>
      <c r="D1223" s="64">
        <v>4608</v>
      </c>
      <c r="E1223" s="10" t="s">
        <v>1549</v>
      </c>
      <c r="F1223" s="11">
        <v>39400</v>
      </c>
      <c r="G1223" s="11">
        <v>41087</v>
      </c>
      <c r="H1223" s="11">
        <v>80487</v>
      </c>
      <c r="I1223" s="11">
        <v>25343</v>
      </c>
      <c r="J1223" s="66">
        <f t="shared" si="72"/>
        <v>48.952004671561866</v>
      </c>
      <c r="K1223" s="66">
        <f t="shared" si="73"/>
        <v>51.047995328438134</v>
      </c>
    </row>
    <row r="1224" spans="1:11" ht="41.4" x14ac:dyDescent="0.3">
      <c r="A1224" s="10">
        <v>46</v>
      </c>
      <c r="B1224" s="10" t="s">
        <v>1541</v>
      </c>
      <c r="C1224" s="10" t="str" cm="1">
        <f t="array" ref="C1224">_xlfn.IFS(A1224&lt;20, "ภาคกลาง", A1224&lt;30, "ภาคตะวันออก", A1224&lt;50, "ภาคตะวันออกเฉียงเหนือ", A1224&lt;60, "ภาคเหนือ", A1224&lt;80, "ภาคกลาง/ตะวันตก", A1224&gt;=80, "ภาคใต้")</f>
        <v>ภาคตะวันออกเฉียงเหนือ</v>
      </c>
      <c r="D1224" s="64">
        <v>4609</v>
      </c>
      <c r="E1224" s="10" t="s">
        <v>1550</v>
      </c>
      <c r="F1224" s="11">
        <v>19955</v>
      </c>
      <c r="G1224" s="11">
        <v>19845</v>
      </c>
      <c r="H1224" s="11">
        <v>39800</v>
      </c>
      <c r="I1224" s="11">
        <v>12831</v>
      </c>
      <c r="J1224" s="66">
        <f t="shared" si="72"/>
        <v>50.138190954773862</v>
      </c>
      <c r="K1224" s="66">
        <f t="shared" si="73"/>
        <v>49.861809045226131</v>
      </c>
    </row>
    <row r="1225" spans="1:11" ht="41.4" x14ac:dyDescent="0.3">
      <c r="A1225" s="10">
        <v>46</v>
      </c>
      <c r="B1225" s="10" t="s">
        <v>1541</v>
      </c>
      <c r="C1225" s="10" t="str" cm="1">
        <f t="array" ref="C1225">_xlfn.IFS(A1225&lt;20, "ภาคกลาง", A1225&lt;30, "ภาคตะวันออก", A1225&lt;50, "ภาคตะวันออกเฉียงเหนือ", A1225&lt;60, "ภาคเหนือ", A1225&lt;80, "ภาคกลาง/ตะวันตก", A1225&gt;=80, "ภาคใต้")</f>
        <v>ภาคตะวันออกเฉียงเหนือ</v>
      </c>
      <c r="D1225" s="64">
        <v>4610</v>
      </c>
      <c r="E1225" s="10" t="s">
        <v>1551</v>
      </c>
      <c r="F1225" s="11">
        <v>18506</v>
      </c>
      <c r="G1225" s="11">
        <v>18584</v>
      </c>
      <c r="H1225" s="11">
        <v>37090</v>
      </c>
      <c r="I1225" s="11">
        <v>11850</v>
      </c>
      <c r="J1225" s="66">
        <f t="shared" si="72"/>
        <v>49.894850363979508</v>
      </c>
      <c r="K1225" s="66">
        <f t="shared" si="73"/>
        <v>50.105149636020499</v>
      </c>
    </row>
    <row r="1226" spans="1:11" ht="41.4" x14ac:dyDescent="0.3">
      <c r="A1226" s="10">
        <v>46</v>
      </c>
      <c r="B1226" s="10" t="s">
        <v>1541</v>
      </c>
      <c r="C1226" s="10" t="str" cm="1">
        <f t="array" ref="C1226">_xlfn.IFS(A1226&lt;20, "ภาคกลาง", A1226&lt;30, "ภาคตะวันออก", A1226&lt;50, "ภาคตะวันออกเฉียงเหนือ", A1226&lt;60, "ภาคเหนือ", A1226&lt;80, "ภาคกลาง/ตะวันตก", A1226&gt;=80, "ภาคใต้")</f>
        <v>ภาคตะวันออกเฉียงเหนือ</v>
      </c>
      <c r="D1226" s="64">
        <v>4611</v>
      </c>
      <c r="E1226" s="10" t="s">
        <v>1552</v>
      </c>
      <c r="F1226" s="11">
        <v>13287</v>
      </c>
      <c r="G1226" s="11">
        <v>13314</v>
      </c>
      <c r="H1226" s="11">
        <v>26601</v>
      </c>
      <c r="I1226" s="11">
        <v>7737</v>
      </c>
      <c r="J1226" s="66">
        <f t="shared" si="72"/>
        <v>49.949250028194427</v>
      </c>
      <c r="K1226" s="66">
        <f t="shared" si="73"/>
        <v>50.050749971805573</v>
      </c>
    </row>
    <row r="1227" spans="1:11" ht="41.4" x14ac:dyDescent="0.3">
      <c r="A1227" s="10">
        <v>46</v>
      </c>
      <c r="B1227" s="10" t="s">
        <v>1541</v>
      </c>
      <c r="C1227" s="10" t="str" cm="1">
        <f t="array" ref="C1227">_xlfn.IFS(A1227&lt;20, "ภาคกลาง", A1227&lt;30, "ภาคตะวันออก", A1227&lt;50, "ภาคตะวันออกเฉียงเหนือ", A1227&lt;60, "ภาคเหนือ", A1227&lt;80, "ภาคกลาง/ตะวันตก", A1227&gt;=80, "ภาคใต้")</f>
        <v>ภาคตะวันออกเฉียงเหนือ</v>
      </c>
      <c r="D1227" s="64">
        <v>4612</v>
      </c>
      <c r="E1227" s="10" t="s">
        <v>1553</v>
      </c>
      <c r="F1227" s="11">
        <v>14181</v>
      </c>
      <c r="G1227" s="11">
        <v>14311</v>
      </c>
      <c r="H1227" s="11">
        <v>28492</v>
      </c>
      <c r="I1227" s="11">
        <v>8493</v>
      </c>
      <c r="J1227" s="66">
        <f t="shared" si="72"/>
        <v>49.771865786887545</v>
      </c>
      <c r="K1227" s="66">
        <f t="shared" si="73"/>
        <v>50.228134213112455</v>
      </c>
    </row>
    <row r="1228" spans="1:11" ht="41.4" x14ac:dyDescent="0.3">
      <c r="A1228" s="10">
        <v>46</v>
      </c>
      <c r="B1228" s="10" t="s">
        <v>1541</v>
      </c>
      <c r="C1228" s="10" t="str" cm="1">
        <f t="array" ref="C1228">_xlfn.IFS(A1228&lt;20, "ภาคกลาง", A1228&lt;30, "ภาคตะวันออก", A1228&lt;50, "ภาคตะวันออกเฉียงเหนือ", A1228&lt;60, "ภาคเหนือ", A1228&lt;80, "ภาคกลาง/ตะวันตก", A1228&gt;=80, "ภาคใต้")</f>
        <v>ภาคตะวันออกเฉียงเหนือ</v>
      </c>
      <c r="D1228" s="64">
        <v>4613</v>
      </c>
      <c r="E1228" s="10" t="s">
        <v>1554</v>
      </c>
      <c r="F1228" s="11">
        <v>25391</v>
      </c>
      <c r="G1228" s="11">
        <v>25520</v>
      </c>
      <c r="H1228" s="11">
        <v>50911</v>
      </c>
      <c r="I1228" s="11">
        <v>16104</v>
      </c>
      <c r="J1228" s="66">
        <f t="shared" si="72"/>
        <v>49.873308322366483</v>
      </c>
      <c r="K1228" s="66">
        <f t="shared" si="73"/>
        <v>50.126691677633517</v>
      </c>
    </row>
    <row r="1229" spans="1:11" ht="41.4" x14ac:dyDescent="0.3">
      <c r="A1229" s="10">
        <v>46</v>
      </c>
      <c r="B1229" s="10" t="s">
        <v>1541</v>
      </c>
      <c r="C1229" s="10" t="str" cm="1">
        <f t="array" ref="C1229">_xlfn.IFS(A1229&lt;20, "ภาคกลาง", A1229&lt;30, "ภาคตะวันออก", A1229&lt;50, "ภาคตะวันออกเฉียงเหนือ", A1229&lt;60, "ภาคเหนือ", A1229&lt;80, "ภาคกลาง/ตะวันตก", A1229&gt;=80, "ภาคใต้")</f>
        <v>ภาคตะวันออกเฉียงเหนือ</v>
      </c>
      <c r="D1229" s="64">
        <v>4614</v>
      </c>
      <c r="E1229" s="10" t="s">
        <v>1555</v>
      </c>
      <c r="F1229" s="11">
        <v>26992</v>
      </c>
      <c r="G1229" s="11">
        <v>27629</v>
      </c>
      <c r="H1229" s="11">
        <v>54621</v>
      </c>
      <c r="I1229" s="11">
        <v>19156</v>
      </c>
      <c r="J1229" s="66">
        <f t="shared" si="72"/>
        <v>49.416890939382291</v>
      </c>
      <c r="K1229" s="66">
        <f t="shared" si="73"/>
        <v>50.583109060617716</v>
      </c>
    </row>
    <row r="1230" spans="1:11" ht="41.4" x14ac:dyDescent="0.3">
      <c r="A1230" s="10">
        <v>46</v>
      </c>
      <c r="B1230" s="10" t="s">
        <v>1541</v>
      </c>
      <c r="C1230" s="10" t="str" cm="1">
        <f t="array" ref="C1230">_xlfn.IFS(A1230&lt;20, "ภาคกลาง", A1230&lt;30, "ภาคตะวันออก", A1230&lt;50, "ภาคตะวันออกเฉียงเหนือ", A1230&lt;60, "ภาคเหนือ", A1230&lt;80, "ภาคกลาง/ตะวันตก", A1230&gt;=80, "ภาคใต้")</f>
        <v>ภาคตะวันออกเฉียงเหนือ</v>
      </c>
      <c r="D1230" s="64">
        <v>4615</v>
      </c>
      <c r="E1230" s="10" t="s">
        <v>1556</v>
      </c>
      <c r="F1230" s="11">
        <v>6853</v>
      </c>
      <c r="G1230" s="11">
        <v>7048</v>
      </c>
      <c r="H1230" s="11">
        <v>13901</v>
      </c>
      <c r="I1230" s="11">
        <v>4189</v>
      </c>
      <c r="J1230" s="66">
        <f t="shared" si="72"/>
        <v>49.298611610675493</v>
      </c>
      <c r="K1230" s="66">
        <f t="shared" si="73"/>
        <v>50.701388389324507</v>
      </c>
    </row>
    <row r="1231" spans="1:11" ht="41.4" x14ac:dyDescent="0.3">
      <c r="A1231" s="10">
        <v>46</v>
      </c>
      <c r="B1231" s="10" t="s">
        <v>1541</v>
      </c>
      <c r="C1231" s="10" t="str" cm="1">
        <f t="array" ref="C1231">_xlfn.IFS(A1231&lt;20, "ภาคกลาง", A1231&lt;30, "ภาคตะวันออก", A1231&lt;50, "ภาคตะวันออกเฉียงเหนือ", A1231&lt;60, "ภาคเหนือ", A1231&lt;80, "ภาคกลาง/ตะวันตก", A1231&gt;=80, "ภาคใต้")</f>
        <v>ภาคตะวันออกเฉียงเหนือ</v>
      </c>
      <c r="D1231" s="64">
        <v>4616</v>
      </c>
      <c r="E1231" s="10" t="s">
        <v>1557</v>
      </c>
      <c r="F1231" s="11">
        <v>12711</v>
      </c>
      <c r="G1231" s="11">
        <v>12387</v>
      </c>
      <c r="H1231" s="11">
        <v>25098</v>
      </c>
      <c r="I1231" s="11">
        <v>8084</v>
      </c>
      <c r="J1231" s="66">
        <f t="shared" si="72"/>
        <v>50.645469758546504</v>
      </c>
      <c r="K1231" s="66">
        <f t="shared" si="73"/>
        <v>49.354530241453503</v>
      </c>
    </row>
    <row r="1232" spans="1:11" ht="41.4" x14ac:dyDescent="0.3">
      <c r="A1232" s="10">
        <v>46</v>
      </c>
      <c r="B1232" s="10" t="s">
        <v>1541</v>
      </c>
      <c r="C1232" s="10" t="str" cm="1">
        <f t="array" ref="C1232">_xlfn.IFS(A1232&lt;20, "ภาคกลาง", A1232&lt;30, "ภาคตะวันออก", A1232&lt;50, "ภาคตะวันออกเฉียงเหนือ", A1232&lt;60, "ภาคเหนือ", A1232&lt;80, "ภาคกลาง/ตะวันตก", A1232&gt;=80, "ภาคใต้")</f>
        <v>ภาคตะวันออกเฉียงเหนือ</v>
      </c>
      <c r="D1232" s="64">
        <v>4617</v>
      </c>
      <c r="E1232" s="10" t="s">
        <v>1558</v>
      </c>
      <c r="F1232" s="11">
        <v>12647</v>
      </c>
      <c r="G1232" s="11">
        <v>12621</v>
      </c>
      <c r="H1232" s="11">
        <v>25268</v>
      </c>
      <c r="I1232" s="11">
        <v>8694</v>
      </c>
      <c r="J1232" s="66">
        <f t="shared" si="72"/>
        <v>50.051448472376123</v>
      </c>
      <c r="K1232" s="66">
        <f t="shared" si="73"/>
        <v>49.948551527623877</v>
      </c>
    </row>
    <row r="1233" spans="1:11" ht="41.4" x14ac:dyDescent="0.3">
      <c r="A1233" s="10">
        <v>46</v>
      </c>
      <c r="B1233" s="10" t="s">
        <v>1541</v>
      </c>
      <c r="C1233" s="10" t="str" cm="1">
        <f t="array" ref="C1233">_xlfn.IFS(A1233&lt;20, "ภาคกลาง", A1233&lt;30, "ภาคตะวันออก", A1233&lt;50, "ภาคตะวันออกเฉียงเหนือ", A1233&lt;60, "ภาคเหนือ", A1233&lt;80, "ภาคกลาง/ตะวันตก", A1233&gt;=80, "ภาคใต้")</f>
        <v>ภาคตะวันออกเฉียงเหนือ</v>
      </c>
      <c r="D1233" s="64">
        <v>4618</v>
      </c>
      <c r="E1233" s="10" t="s">
        <v>1559</v>
      </c>
      <c r="F1233" s="11">
        <v>12832</v>
      </c>
      <c r="G1233" s="11">
        <v>13054</v>
      </c>
      <c r="H1233" s="11">
        <v>25886</v>
      </c>
      <c r="I1233" s="11">
        <v>8587</v>
      </c>
      <c r="J1233" s="66">
        <f t="shared" si="72"/>
        <v>49.571196785907439</v>
      </c>
      <c r="K1233" s="66">
        <f t="shared" si="73"/>
        <v>50.428803214092554</v>
      </c>
    </row>
    <row r="1234" spans="1:11" ht="41.4" x14ac:dyDescent="0.3">
      <c r="A1234" s="10">
        <v>46</v>
      </c>
      <c r="B1234" s="10" t="s">
        <v>1541</v>
      </c>
      <c r="C1234" s="10" t="str" cm="1">
        <f t="array" ref="C1234">_xlfn.IFS(A1234&lt;20, "ภาคกลาง", A1234&lt;30, "ภาคตะวันออก", A1234&lt;50, "ภาคตะวันออกเฉียงเหนือ", A1234&lt;60, "ภาคเหนือ", A1234&lt;80, "ภาคกลาง/ตะวันตก", A1234&gt;=80, "ภาคใต้")</f>
        <v>ภาคตะวันออกเฉียงเหนือ</v>
      </c>
      <c r="D1234" s="64">
        <v>4665</v>
      </c>
      <c r="E1234" s="10" t="s">
        <v>1560</v>
      </c>
      <c r="F1234" s="11">
        <v>12962</v>
      </c>
      <c r="G1234" s="11">
        <v>13270</v>
      </c>
      <c r="H1234" s="11">
        <v>26232</v>
      </c>
      <c r="I1234" s="11">
        <v>7936</v>
      </c>
      <c r="J1234" s="66">
        <f t="shared" si="72"/>
        <v>49.412930771576704</v>
      </c>
      <c r="K1234" s="66">
        <f t="shared" si="73"/>
        <v>50.587069228423296</v>
      </c>
    </row>
    <row r="1235" spans="1:11" ht="41.4" x14ac:dyDescent="0.3">
      <c r="A1235" s="10">
        <v>46</v>
      </c>
      <c r="B1235" s="10" t="s">
        <v>1541</v>
      </c>
      <c r="C1235" s="10" t="str" cm="1">
        <f t="array" ref="C1235">_xlfn.IFS(A1235&lt;20, "ภาคกลาง", A1235&lt;30, "ภาคตะวันออก", A1235&lt;50, "ภาคตะวันออกเฉียงเหนือ", A1235&lt;60, "ภาคเหนือ", A1235&lt;80, "ภาคกลาง/ตะวันตก", A1235&gt;=80, "ภาคใต้")</f>
        <v>ภาคตะวันออกเฉียงเหนือ</v>
      </c>
      <c r="D1235" s="64">
        <v>4666</v>
      </c>
      <c r="E1235" s="10" t="s">
        <v>1561</v>
      </c>
      <c r="F1235" s="11">
        <v>4715</v>
      </c>
      <c r="G1235" s="11">
        <v>4747</v>
      </c>
      <c r="H1235" s="11">
        <v>9462</v>
      </c>
      <c r="I1235" s="11">
        <v>2628</v>
      </c>
      <c r="J1235" s="66">
        <f t="shared" si="72"/>
        <v>49.830902557598819</v>
      </c>
      <c r="K1235" s="66">
        <f t="shared" si="73"/>
        <v>50.169097442401181</v>
      </c>
    </row>
    <row r="1236" spans="1:11" ht="41.4" x14ac:dyDescent="0.3">
      <c r="A1236" s="10">
        <v>46</v>
      </c>
      <c r="B1236" s="10" t="s">
        <v>1541</v>
      </c>
      <c r="C1236" s="10" t="str" cm="1">
        <f t="array" ref="C1236">_xlfn.IFS(A1236&lt;20, "ภาคกลาง", A1236&lt;30, "ภาคตะวันออก", A1236&lt;50, "ภาคตะวันออกเฉียงเหนือ", A1236&lt;60, "ภาคเหนือ", A1236&lt;80, "ภาคกลาง/ตะวันตก", A1236&gt;=80, "ภาคใต้")</f>
        <v>ภาคตะวันออกเฉียงเหนือ</v>
      </c>
      <c r="D1236" s="64">
        <v>4667</v>
      </c>
      <c r="E1236" s="10" t="s">
        <v>1562</v>
      </c>
      <c r="F1236" s="11">
        <v>7138</v>
      </c>
      <c r="G1236" s="11">
        <v>6992</v>
      </c>
      <c r="H1236" s="11">
        <v>14130</v>
      </c>
      <c r="I1236" s="11">
        <v>3851</v>
      </c>
      <c r="J1236" s="66">
        <f t="shared" si="72"/>
        <v>50.516631280962486</v>
      </c>
      <c r="K1236" s="66">
        <f t="shared" si="73"/>
        <v>49.483368719037507</v>
      </c>
    </row>
    <row r="1237" spans="1:11" ht="41.4" x14ac:dyDescent="0.3">
      <c r="A1237" s="10">
        <v>46</v>
      </c>
      <c r="B1237" s="10" t="s">
        <v>1541</v>
      </c>
      <c r="C1237" s="10" t="str" cm="1">
        <f t="array" ref="C1237">_xlfn.IFS(A1237&lt;20, "ภาคกลาง", A1237&lt;30, "ภาคตะวันออก", A1237&lt;50, "ภาคตะวันออกเฉียงเหนือ", A1237&lt;60, "ภาคเหนือ", A1237&lt;80, "ภาคกลาง/ตะวันตก", A1237&gt;=80, "ภาคใต้")</f>
        <v>ภาคตะวันออกเฉียงเหนือ</v>
      </c>
      <c r="D1237" s="64">
        <v>4669</v>
      </c>
      <c r="E1237" s="10" t="s">
        <v>1367</v>
      </c>
      <c r="F1237" s="11">
        <v>4162</v>
      </c>
      <c r="G1237" s="11">
        <v>4374</v>
      </c>
      <c r="H1237" s="11">
        <v>8536</v>
      </c>
      <c r="I1237" s="11">
        <v>2606</v>
      </c>
      <c r="J1237" s="66">
        <f t="shared" si="72"/>
        <v>48.758200562324269</v>
      </c>
      <c r="K1237" s="66">
        <f t="shared" si="73"/>
        <v>51.241799437675731</v>
      </c>
    </row>
    <row r="1238" spans="1:11" ht="41.4" x14ac:dyDescent="0.3">
      <c r="A1238" s="10">
        <v>46</v>
      </c>
      <c r="B1238" s="10" t="s">
        <v>1541</v>
      </c>
      <c r="C1238" s="10" t="str" cm="1">
        <f t="array" ref="C1238">_xlfn.IFS(A1238&lt;20, "ภาคกลาง", A1238&lt;30, "ภาคตะวันออก", A1238&lt;50, "ภาคตะวันออกเฉียงเหนือ", A1238&lt;60, "ภาคเหนือ", A1238&lt;80, "ภาคกลาง/ตะวันตก", A1238&gt;=80, "ภาคใต้")</f>
        <v>ภาคตะวันออกเฉียงเหนือ</v>
      </c>
      <c r="D1238" s="64">
        <v>4670</v>
      </c>
      <c r="E1238" s="10" t="s">
        <v>1563</v>
      </c>
      <c r="F1238" s="11">
        <v>5966</v>
      </c>
      <c r="G1238" s="11">
        <v>6272</v>
      </c>
      <c r="H1238" s="11">
        <v>12238</v>
      </c>
      <c r="I1238" s="11">
        <v>3899</v>
      </c>
      <c r="J1238" s="66">
        <f t="shared" si="72"/>
        <v>48.749795718254617</v>
      </c>
      <c r="K1238" s="66">
        <f t="shared" si="73"/>
        <v>51.250204281745383</v>
      </c>
    </row>
    <row r="1239" spans="1:11" ht="41.4" x14ac:dyDescent="0.3">
      <c r="A1239" s="10">
        <v>46</v>
      </c>
      <c r="B1239" s="10" t="s">
        <v>1541</v>
      </c>
      <c r="C1239" s="10" t="str" cm="1">
        <f t="array" ref="C1239">_xlfn.IFS(A1239&lt;20, "ภาคกลาง", A1239&lt;30, "ภาคตะวันออก", A1239&lt;50, "ภาคตะวันออกเฉียงเหนือ", A1239&lt;60, "ภาคเหนือ", A1239&lt;80, "ภาคกลาง/ตะวันตก", A1239&gt;=80, "ภาคใต้")</f>
        <v>ภาคตะวันออกเฉียงเหนือ</v>
      </c>
      <c r="D1239" s="64">
        <v>4671</v>
      </c>
      <c r="E1239" s="10" t="s">
        <v>1564</v>
      </c>
      <c r="F1239" s="11">
        <v>6182</v>
      </c>
      <c r="G1239" s="11">
        <v>6546</v>
      </c>
      <c r="H1239" s="11">
        <v>12728</v>
      </c>
      <c r="I1239" s="11">
        <v>4621</v>
      </c>
      <c r="J1239" s="66">
        <f t="shared" si="72"/>
        <v>48.570081709616595</v>
      </c>
      <c r="K1239" s="66">
        <f t="shared" si="73"/>
        <v>51.429918290383405</v>
      </c>
    </row>
    <row r="1240" spans="1:11" ht="41.4" x14ac:dyDescent="0.3">
      <c r="A1240" s="10">
        <v>46</v>
      </c>
      <c r="B1240" s="10" t="s">
        <v>1541</v>
      </c>
      <c r="C1240" s="10" t="str" cm="1">
        <f t="array" ref="C1240">_xlfn.IFS(A1240&lt;20, "ภาคกลาง", A1240&lt;30, "ภาคตะวันออก", A1240&lt;50, "ภาคตะวันออกเฉียงเหนือ", A1240&lt;60, "ภาคเหนือ", A1240&lt;80, "ภาคกลาง/ตะวันตก", A1240&gt;=80, "ภาคใต้")</f>
        <v>ภาคตะวันออกเฉียงเหนือ</v>
      </c>
      <c r="D1240" s="64">
        <v>4672</v>
      </c>
      <c r="E1240" s="10" t="s">
        <v>1565</v>
      </c>
      <c r="F1240" s="11">
        <v>6413</v>
      </c>
      <c r="G1240" s="11">
        <v>6523</v>
      </c>
      <c r="H1240" s="11">
        <v>12936</v>
      </c>
      <c r="I1240" s="11">
        <v>3554</v>
      </c>
      <c r="J1240" s="66">
        <f t="shared" si="72"/>
        <v>49.574829931972793</v>
      </c>
      <c r="K1240" s="66">
        <f t="shared" si="73"/>
        <v>50.425170068027214</v>
      </c>
    </row>
    <row r="1241" spans="1:11" ht="41.4" x14ac:dyDescent="0.3">
      <c r="A1241" s="10">
        <v>46</v>
      </c>
      <c r="B1241" s="10" t="s">
        <v>1541</v>
      </c>
      <c r="C1241" s="10" t="str" cm="1">
        <f t="array" ref="C1241">_xlfn.IFS(A1241&lt;20, "ภาคกลาง", A1241&lt;30, "ภาคตะวันออก", A1241&lt;50, "ภาคตะวันออกเฉียงเหนือ", A1241&lt;60, "ภาคเหนือ", A1241&lt;80, "ภาคกลาง/ตะวันตก", A1241&gt;=80, "ภาคใต้")</f>
        <v>ภาคตะวันออกเฉียงเหนือ</v>
      </c>
      <c r="D1241" s="64">
        <v>4673</v>
      </c>
      <c r="E1241" s="10" t="s">
        <v>1566</v>
      </c>
      <c r="F1241" s="11">
        <v>2040</v>
      </c>
      <c r="G1241" s="11">
        <v>2190</v>
      </c>
      <c r="H1241" s="11">
        <v>4230</v>
      </c>
      <c r="I1241" s="11">
        <v>1388</v>
      </c>
      <c r="J1241" s="66">
        <f t="shared" si="72"/>
        <v>48.226950354609926</v>
      </c>
      <c r="K1241" s="66">
        <f t="shared" si="73"/>
        <v>51.773049645390067</v>
      </c>
    </row>
    <row r="1242" spans="1:11" ht="41.4" x14ac:dyDescent="0.3">
      <c r="A1242" s="10">
        <v>46</v>
      </c>
      <c r="B1242" s="10" t="s">
        <v>1541</v>
      </c>
      <c r="C1242" s="10" t="str" cm="1">
        <f t="array" ref="C1242">_xlfn.IFS(A1242&lt;20, "ภาคกลาง", A1242&lt;30, "ภาคตะวันออก", A1242&lt;50, "ภาคตะวันออกเฉียงเหนือ", A1242&lt;60, "ภาคเหนือ", A1242&lt;80, "ภาคกลาง/ตะวันตก", A1242&gt;=80, "ภาคใต้")</f>
        <v>ภาคตะวันออกเฉียงเหนือ</v>
      </c>
      <c r="D1242" s="64">
        <v>4674</v>
      </c>
      <c r="E1242" s="10" t="s">
        <v>1567</v>
      </c>
      <c r="F1242" s="11">
        <v>5151</v>
      </c>
      <c r="G1242" s="11">
        <v>5132</v>
      </c>
      <c r="H1242" s="11">
        <v>10283</v>
      </c>
      <c r="I1242" s="11">
        <v>3131</v>
      </c>
      <c r="J1242" s="66">
        <f t="shared" si="72"/>
        <v>50.092385490615577</v>
      </c>
      <c r="K1242" s="66">
        <f t="shared" si="73"/>
        <v>49.907614509384416</v>
      </c>
    </row>
    <row r="1243" spans="1:11" ht="41.4" x14ac:dyDescent="0.3">
      <c r="A1243" s="10">
        <v>46</v>
      </c>
      <c r="B1243" s="10" t="s">
        <v>1541</v>
      </c>
      <c r="C1243" s="10" t="str" cm="1">
        <f t="array" ref="C1243">_xlfn.IFS(A1243&lt;20, "ภาคกลาง", A1243&lt;30, "ภาคตะวันออก", A1243&lt;50, "ภาคตะวันออกเฉียงเหนือ", A1243&lt;60, "ภาคเหนือ", A1243&lt;80, "ภาคกลาง/ตะวันตก", A1243&gt;=80, "ภาคใต้")</f>
        <v>ภาคตะวันออกเฉียงเหนือ</v>
      </c>
      <c r="D1243" s="64">
        <v>4675</v>
      </c>
      <c r="E1243" s="10" t="s">
        <v>1568</v>
      </c>
      <c r="F1243" s="11">
        <v>1350</v>
      </c>
      <c r="G1243" s="11">
        <v>1359</v>
      </c>
      <c r="H1243" s="11">
        <v>2709</v>
      </c>
      <c r="I1243" s="11">
        <v>1043</v>
      </c>
      <c r="J1243" s="66">
        <f t="shared" si="72"/>
        <v>49.833887043189371</v>
      </c>
      <c r="K1243" s="66">
        <f t="shared" si="73"/>
        <v>50.166112956810629</v>
      </c>
    </row>
    <row r="1244" spans="1:11" ht="41.4" x14ac:dyDescent="0.3">
      <c r="A1244" s="10">
        <v>46</v>
      </c>
      <c r="B1244" s="10" t="s">
        <v>1541</v>
      </c>
      <c r="C1244" s="10" t="str" cm="1">
        <f t="array" ref="C1244">_xlfn.IFS(A1244&lt;20, "ภาคกลาง", A1244&lt;30, "ภาคตะวันออก", A1244&lt;50, "ภาคตะวันออกเฉียงเหนือ", A1244&lt;60, "ภาคเหนือ", A1244&lt;80, "ภาคกลาง/ตะวันตก", A1244&gt;=80, "ภาคใต้")</f>
        <v>ภาคตะวันออกเฉียงเหนือ</v>
      </c>
      <c r="D1244" s="64">
        <v>4676</v>
      </c>
      <c r="E1244" s="10" t="s">
        <v>1569</v>
      </c>
      <c r="F1244" s="11">
        <v>5730</v>
      </c>
      <c r="G1244" s="11">
        <v>5895</v>
      </c>
      <c r="H1244" s="11">
        <v>11625</v>
      </c>
      <c r="I1244" s="11">
        <v>3554</v>
      </c>
      <c r="J1244" s="66">
        <f t="shared" si="72"/>
        <v>49.29032258064516</v>
      </c>
      <c r="K1244" s="66">
        <f t="shared" si="73"/>
        <v>50.70967741935484</v>
      </c>
    </row>
    <row r="1245" spans="1:11" ht="41.4" x14ac:dyDescent="0.3">
      <c r="A1245" s="10">
        <v>46</v>
      </c>
      <c r="B1245" s="10" t="s">
        <v>1541</v>
      </c>
      <c r="C1245" s="10" t="str" cm="1">
        <f t="array" ref="C1245">_xlfn.IFS(A1245&lt;20, "ภาคกลาง", A1245&lt;30, "ภาคตะวันออก", A1245&lt;50, "ภาคตะวันออกเฉียงเหนือ", A1245&lt;60, "ภาคเหนือ", A1245&lt;80, "ภาคกลาง/ตะวันตก", A1245&gt;=80, "ภาคใต้")</f>
        <v>ภาคตะวันออกเฉียงเหนือ</v>
      </c>
      <c r="D1245" s="64">
        <v>4677</v>
      </c>
      <c r="E1245" s="10" t="s">
        <v>1570</v>
      </c>
      <c r="F1245" s="11">
        <v>2430</v>
      </c>
      <c r="G1245" s="11">
        <v>2675</v>
      </c>
      <c r="H1245" s="11">
        <v>5105</v>
      </c>
      <c r="I1245" s="11">
        <v>1995</v>
      </c>
      <c r="J1245" s="66">
        <f t="shared" si="72"/>
        <v>47.600391772771793</v>
      </c>
      <c r="K1245" s="66">
        <f t="shared" si="73"/>
        <v>52.399608227228214</v>
      </c>
    </row>
    <row r="1246" spans="1:11" ht="41.4" x14ac:dyDescent="0.3">
      <c r="A1246" s="10">
        <v>46</v>
      </c>
      <c r="B1246" s="10" t="s">
        <v>1541</v>
      </c>
      <c r="C1246" s="10" t="str" cm="1">
        <f t="array" ref="C1246">_xlfn.IFS(A1246&lt;20, "ภาคกลาง", A1246&lt;30, "ภาคตะวันออก", A1246&lt;50, "ภาคตะวันออกเฉียงเหนือ", A1246&lt;60, "ภาคเหนือ", A1246&lt;80, "ภาคกลาง/ตะวันตก", A1246&gt;=80, "ภาคใต้")</f>
        <v>ภาคตะวันออกเฉียงเหนือ</v>
      </c>
      <c r="D1246" s="64">
        <v>4678</v>
      </c>
      <c r="E1246" s="10" t="s">
        <v>1571</v>
      </c>
      <c r="F1246" s="11">
        <v>2716</v>
      </c>
      <c r="G1246" s="11">
        <v>2862</v>
      </c>
      <c r="H1246" s="11">
        <v>5578</v>
      </c>
      <c r="I1246" s="11">
        <v>2352</v>
      </c>
      <c r="J1246" s="66">
        <f t="shared" si="72"/>
        <v>48.691287199713159</v>
      </c>
      <c r="K1246" s="66">
        <f t="shared" si="73"/>
        <v>51.308712800286841</v>
      </c>
    </row>
    <row r="1247" spans="1:11" ht="41.4" x14ac:dyDescent="0.3">
      <c r="A1247" s="10">
        <v>46</v>
      </c>
      <c r="B1247" s="10" t="s">
        <v>1541</v>
      </c>
      <c r="C1247" s="10" t="str" cm="1">
        <f t="array" ref="C1247">_xlfn.IFS(A1247&lt;20, "ภาคกลาง", A1247&lt;30, "ภาคตะวันออก", A1247&lt;50, "ภาคตะวันออกเฉียงเหนือ", A1247&lt;60, "ภาคเหนือ", A1247&lt;80, "ภาคกลาง/ตะวันตก", A1247&gt;=80, "ภาคใต้")</f>
        <v>ภาคตะวันออกเฉียงเหนือ</v>
      </c>
      <c r="D1247" s="64">
        <v>4679</v>
      </c>
      <c r="E1247" s="10" t="s">
        <v>1428</v>
      </c>
      <c r="F1247" s="11">
        <v>3138</v>
      </c>
      <c r="G1247" s="11">
        <v>3393</v>
      </c>
      <c r="H1247" s="11">
        <v>6531</v>
      </c>
      <c r="I1247" s="11">
        <v>3490</v>
      </c>
      <c r="J1247" s="66">
        <f t="shared" si="72"/>
        <v>48.047772163527789</v>
      </c>
      <c r="K1247" s="66">
        <f t="shared" si="73"/>
        <v>51.952227836472211</v>
      </c>
    </row>
    <row r="1248" spans="1:11" ht="41.4" x14ac:dyDescent="0.3">
      <c r="A1248" s="10">
        <v>46</v>
      </c>
      <c r="B1248" s="10" t="s">
        <v>1541</v>
      </c>
      <c r="C1248" s="10" t="str" cm="1">
        <f t="array" ref="C1248">_xlfn.IFS(A1248&lt;20, "ภาคกลาง", A1248&lt;30, "ภาคตะวันออก", A1248&lt;50, "ภาคตะวันออกเฉียงเหนือ", A1248&lt;60, "ภาคเหนือ", A1248&lt;80, "ภาคกลาง/ตะวันตก", A1248&gt;=80, "ภาคใต้")</f>
        <v>ภาคตะวันออกเฉียงเหนือ</v>
      </c>
      <c r="D1248" s="64">
        <v>4680</v>
      </c>
      <c r="E1248" s="10" t="s">
        <v>1572</v>
      </c>
      <c r="F1248" s="11">
        <v>2607</v>
      </c>
      <c r="G1248" s="11">
        <v>2666</v>
      </c>
      <c r="H1248" s="11">
        <v>5273</v>
      </c>
      <c r="I1248" s="11">
        <v>1697</v>
      </c>
      <c r="J1248" s="66">
        <f t="shared" si="72"/>
        <v>49.440546178645931</v>
      </c>
      <c r="K1248" s="66">
        <f t="shared" si="73"/>
        <v>50.559453821354069</v>
      </c>
    </row>
    <row r="1249" spans="1:11" ht="41.4" x14ac:dyDescent="0.3">
      <c r="A1249" s="10">
        <v>46</v>
      </c>
      <c r="B1249" s="10" t="s">
        <v>1541</v>
      </c>
      <c r="C1249" s="10" t="str" cm="1">
        <f t="array" ref="C1249">_xlfn.IFS(A1249&lt;20, "ภาคกลาง", A1249&lt;30, "ภาคตะวันออก", A1249&lt;50, "ภาคตะวันออกเฉียงเหนือ", A1249&lt;60, "ภาคเหนือ", A1249&lt;80, "ภาคกลาง/ตะวันตก", A1249&gt;=80, "ภาคใต้")</f>
        <v>ภาคตะวันออกเฉียงเหนือ</v>
      </c>
      <c r="D1249" s="64">
        <v>4681</v>
      </c>
      <c r="E1249" s="10" t="s">
        <v>1573</v>
      </c>
      <c r="F1249" s="11">
        <v>4288</v>
      </c>
      <c r="G1249" s="11">
        <v>4449</v>
      </c>
      <c r="H1249" s="11">
        <v>8737</v>
      </c>
      <c r="I1249" s="11">
        <v>3586</v>
      </c>
      <c r="J1249" s="66">
        <f t="shared" si="72"/>
        <v>49.078631109076341</v>
      </c>
      <c r="K1249" s="66">
        <f t="shared" si="73"/>
        <v>50.921368890923659</v>
      </c>
    </row>
    <row r="1250" spans="1:11" ht="41.4" x14ac:dyDescent="0.3">
      <c r="A1250" s="10">
        <v>46</v>
      </c>
      <c r="B1250" s="10" t="s">
        <v>1541</v>
      </c>
      <c r="C1250" s="10" t="str" cm="1">
        <f t="array" ref="C1250">_xlfn.IFS(A1250&lt;20, "ภาคกลาง", A1250&lt;30, "ภาคตะวันออก", A1250&lt;50, "ภาคตะวันออกเฉียงเหนือ", A1250&lt;60, "ภาคเหนือ", A1250&lt;80, "ภาคกลาง/ตะวันตก", A1250&gt;=80, "ภาคใต้")</f>
        <v>ภาคตะวันออกเฉียงเหนือ</v>
      </c>
      <c r="D1250" s="64">
        <v>4682</v>
      </c>
      <c r="E1250" s="10" t="s">
        <v>1574</v>
      </c>
      <c r="F1250" s="11">
        <v>4414</v>
      </c>
      <c r="G1250" s="11">
        <v>4586</v>
      </c>
      <c r="H1250" s="11">
        <v>9000</v>
      </c>
      <c r="I1250" s="11">
        <v>3096</v>
      </c>
      <c r="J1250" s="66">
        <f t="shared" si="72"/>
        <v>49.044444444444444</v>
      </c>
      <c r="K1250" s="66">
        <f t="shared" si="73"/>
        <v>50.955555555555556</v>
      </c>
    </row>
    <row r="1251" spans="1:11" ht="41.4" x14ac:dyDescent="0.3">
      <c r="A1251" s="10">
        <v>46</v>
      </c>
      <c r="B1251" s="10" t="s">
        <v>1541</v>
      </c>
      <c r="C1251" s="10" t="str" cm="1">
        <f t="array" ref="C1251">_xlfn.IFS(A1251&lt;20, "ภาคกลาง", A1251&lt;30, "ภาคตะวันออก", A1251&lt;50, "ภาคตะวันออกเฉียงเหนือ", A1251&lt;60, "ภาคเหนือ", A1251&lt;80, "ภาคกลาง/ตะวันตก", A1251&gt;=80, "ภาคใต้")</f>
        <v>ภาคตะวันออกเฉียงเหนือ</v>
      </c>
      <c r="D1251" s="64">
        <v>4683</v>
      </c>
      <c r="E1251" s="10" t="s">
        <v>1575</v>
      </c>
      <c r="F1251" s="11">
        <v>1847</v>
      </c>
      <c r="G1251" s="11">
        <v>1875</v>
      </c>
      <c r="H1251" s="11">
        <v>3722</v>
      </c>
      <c r="I1251" s="11">
        <v>1145</v>
      </c>
      <c r="J1251" s="66">
        <f t="shared" si="72"/>
        <v>49.623858140784527</v>
      </c>
      <c r="K1251" s="66">
        <f t="shared" si="73"/>
        <v>50.376141859215473</v>
      </c>
    </row>
    <row r="1252" spans="1:11" ht="41.4" x14ac:dyDescent="0.3">
      <c r="A1252" s="10">
        <v>46</v>
      </c>
      <c r="B1252" s="10" t="s">
        <v>1541</v>
      </c>
      <c r="C1252" s="10" t="str" cm="1">
        <f t="array" ref="C1252">_xlfn.IFS(A1252&lt;20, "ภาคกลาง", A1252&lt;30, "ภาคตะวันออก", A1252&lt;50, "ภาคตะวันออกเฉียงเหนือ", A1252&lt;60, "ภาคเหนือ", A1252&lt;80, "ภาคกลาง/ตะวันตก", A1252&gt;=80, "ภาคใต้")</f>
        <v>ภาคตะวันออกเฉียงเหนือ</v>
      </c>
      <c r="D1252" s="64">
        <v>4684</v>
      </c>
      <c r="E1252" s="10" t="s">
        <v>1576</v>
      </c>
      <c r="F1252" s="11">
        <v>1915</v>
      </c>
      <c r="G1252" s="11">
        <v>1962</v>
      </c>
      <c r="H1252" s="11">
        <v>3877</v>
      </c>
      <c r="I1252" s="11">
        <v>1798</v>
      </c>
      <c r="J1252" s="66">
        <f t="shared" si="72"/>
        <v>49.393861232912045</v>
      </c>
      <c r="K1252" s="66">
        <f t="shared" si="73"/>
        <v>50.606138767087948</v>
      </c>
    </row>
    <row r="1253" spans="1:11" ht="41.4" x14ac:dyDescent="0.3">
      <c r="A1253" s="10">
        <v>46</v>
      </c>
      <c r="B1253" s="10" t="s">
        <v>1541</v>
      </c>
      <c r="C1253" s="10" t="str" cm="1">
        <f t="array" ref="C1253">_xlfn.IFS(A1253&lt;20, "ภาคกลาง", A1253&lt;30, "ภาคตะวันออก", A1253&lt;50, "ภาคตะวันออกเฉียงเหนือ", A1253&lt;60, "ภาคเหนือ", A1253&lt;80, "ภาคกลาง/ตะวันตก", A1253&gt;=80, "ภาคใต้")</f>
        <v>ภาคตะวันออกเฉียงเหนือ</v>
      </c>
      <c r="D1253" s="64">
        <v>4685</v>
      </c>
      <c r="E1253" s="10" t="s">
        <v>1577</v>
      </c>
      <c r="F1253" s="11">
        <v>2401</v>
      </c>
      <c r="G1253" s="11">
        <v>2652</v>
      </c>
      <c r="H1253" s="11">
        <v>5053</v>
      </c>
      <c r="I1253" s="11">
        <v>2130</v>
      </c>
      <c r="J1253" s="66">
        <f t="shared" si="72"/>
        <v>47.516326934494359</v>
      </c>
      <c r="K1253" s="66">
        <f t="shared" si="73"/>
        <v>52.483673065505641</v>
      </c>
    </row>
    <row r="1254" spans="1:11" ht="41.4" x14ac:dyDescent="0.3">
      <c r="A1254" s="10">
        <v>46</v>
      </c>
      <c r="B1254" s="10" t="s">
        <v>1541</v>
      </c>
      <c r="C1254" s="10" t="str" cm="1">
        <f t="array" ref="C1254">_xlfn.IFS(A1254&lt;20, "ภาคกลาง", A1254&lt;30, "ภาคตะวันออก", A1254&lt;50, "ภาคตะวันออกเฉียงเหนือ", A1254&lt;60, "ภาคเหนือ", A1254&lt;80, "ภาคกลาง/ตะวันตก", A1254&gt;=80, "ภาคใต้")</f>
        <v>ภาคตะวันออกเฉียงเหนือ</v>
      </c>
      <c r="D1254" s="64">
        <v>4686</v>
      </c>
      <c r="E1254" s="10" t="s">
        <v>1578</v>
      </c>
      <c r="F1254" s="11">
        <v>2711</v>
      </c>
      <c r="G1254" s="11">
        <v>2852</v>
      </c>
      <c r="H1254" s="11">
        <v>5563</v>
      </c>
      <c r="I1254" s="11">
        <v>2352</v>
      </c>
      <c r="J1254" s="66">
        <f t="shared" si="72"/>
        <v>48.732698184432863</v>
      </c>
      <c r="K1254" s="66">
        <f t="shared" si="73"/>
        <v>51.267301815567137</v>
      </c>
    </row>
    <row r="1255" spans="1:11" ht="41.4" x14ac:dyDescent="0.3">
      <c r="A1255" s="10">
        <v>46</v>
      </c>
      <c r="B1255" s="10" t="s">
        <v>1541</v>
      </c>
      <c r="C1255" s="10" t="str" cm="1">
        <f t="array" ref="C1255">_xlfn.IFS(A1255&lt;20, "ภาคกลาง", A1255&lt;30, "ภาคตะวันออก", A1255&lt;50, "ภาคตะวันออกเฉียงเหนือ", A1255&lt;60, "ภาคเหนือ", A1255&lt;80, "ภาคกลาง/ตะวันตก", A1255&gt;=80, "ภาคใต้")</f>
        <v>ภาคตะวันออกเฉียงเหนือ</v>
      </c>
      <c r="D1255" s="64">
        <v>4687</v>
      </c>
      <c r="E1255" s="10" t="s">
        <v>1579</v>
      </c>
      <c r="F1255" s="11">
        <v>2426</v>
      </c>
      <c r="G1255" s="11">
        <v>2491</v>
      </c>
      <c r="H1255" s="11">
        <v>4917</v>
      </c>
      <c r="I1255" s="11">
        <v>1695</v>
      </c>
      <c r="J1255" s="66">
        <f t="shared" si="72"/>
        <v>49.339027862517796</v>
      </c>
      <c r="K1255" s="66">
        <f t="shared" si="73"/>
        <v>50.660972137482204</v>
      </c>
    </row>
    <row r="1256" spans="1:11" ht="41.4" x14ac:dyDescent="0.3">
      <c r="A1256" s="10">
        <v>46</v>
      </c>
      <c r="B1256" s="10" t="s">
        <v>1541</v>
      </c>
      <c r="C1256" s="10" t="str" cm="1">
        <f t="array" ref="C1256">_xlfn.IFS(A1256&lt;20, "ภาคกลาง", A1256&lt;30, "ภาคตะวันออก", A1256&lt;50, "ภาคตะวันออกเฉียงเหนือ", A1256&lt;60, "ภาคเหนือ", A1256&lt;80, "ภาคกลาง/ตะวันตก", A1256&gt;=80, "ภาคใต้")</f>
        <v>ภาคตะวันออกเฉียงเหนือ</v>
      </c>
      <c r="D1256" s="64">
        <v>4688</v>
      </c>
      <c r="E1256" s="10" t="s">
        <v>1580</v>
      </c>
      <c r="F1256" s="11">
        <v>3800</v>
      </c>
      <c r="G1256" s="11">
        <v>4311</v>
      </c>
      <c r="H1256" s="11">
        <v>8111</v>
      </c>
      <c r="I1256" s="11">
        <v>3962</v>
      </c>
      <c r="J1256" s="66">
        <f t="shared" si="72"/>
        <v>46.849956848723956</v>
      </c>
      <c r="K1256" s="66">
        <f t="shared" si="73"/>
        <v>53.150043151276051</v>
      </c>
    </row>
    <row r="1257" spans="1:11" ht="41.4" x14ac:dyDescent="0.3">
      <c r="A1257" s="10">
        <v>46</v>
      </c>
      <c r="B1257" s="10" t="s">
        <v>1541</v>
      </c>
      <c r="C1257" s="10" t="str" cm="1">
        <f t="array" ref="C1257">_xlfn.IFS(A1257&lt;20, "ภาคกลาง", A1257&lt;30, "ภาคตะวันออก", A1257&lt;50, "ภาคตะวันออกเฉียงเหนือ", A1257&lt;60, "ภาคเหนือ", A1257&lt;80, "ภาคกลาง/ตะวันตก", A1257&gt;=80, "ภาคใต้")</f>
        <v>ภาคตะวันออกเฉียงเหนือ</v>
      </c>
      <c r="D1257" s="64">
        <v>4689</v>
      </c>
      <c r="E1257" s="10" t="s">
        <v>1581</v>
      </c>
      <c r="F1257" s="11">
        <v>1509</v>
      </c>
      <c r="G1257" s="11">
        <v>1624</v>
      </c>
      <c r="H1257" s="11">
        <v>3133</v>
      </c>
      <c r="I1257" s="11">
        <v>1341</v>
      </c>
      <c r="J1257" s="66">
        <f t="shared" si="72"/>
        <v>48.164698372167251</v>
      </c>
      <c r="K1257" s="66">
        <f t="shared" si="73"/>
        <v>51.835301627832756</v>
      </c>
    </row>
    <row r="1258" spans="1:11" ht="41.4" x14ac:dyDescent="0.3">
      <c r="A1258" s="10">
        <v>46</v>
      </c>
      <c r="B1258" s="10" t="s">
        <v>1541</v>
      </c>
      <c r="C1258" s="10" t="str" cm="1">
        <f t="array" ref="C1258">_xlfn.IFS(A1258&lt;20, "ภาคกลาง", A1258&lt;30, "ภาคตะวันออก", A1258&lt;50, "ภาคตะวันออกเฉียงเหนือ", A1258&lt;60, "ภาคเหนือ", A1258&lt;80, "ภาคกลาง/ตะวันตก", A1258&gt;=80, "ภาคใต้")</f>
        <v>ภาคตะวันออกเฉียงเหนือ</v>
      </c>
      <c r="D1258" s="64">
        <v>4690</v>
      </c>
      <c r="E1258" s="10" t="s">
        <v>1582</v>
      </c>
      <c r="F1258" s="11">
        <v>4768</v>
      </c>
      <c r="G1258" s="11">
        <v>4998</v>
      </c>
      <c r="H1258" s="11">
        <v>9766</v>
      </c>
      <c r="I1258" s="11">
        <v>4661</v>
      </c>
      <c r="J1258" s="66">
        <f t="shared" si="72"/>
        <v>48.822445218103624</v>
      </c>
      <c r="K1258" s="66">
        <f t="shared" si="73"/>
        <v>51.177554781896376</v>
      </c>
    </row>
    <row r="1259" spans="1:11" ht="41.4" x14ac:dyDescent="0.3">
      <c r="A1259" s="10">
        <v>46</v>
      </c>
      <c r="B1259" s="10" t="s">
        <v>1541</v>
      </c>
      <c r="C1259" s="10" t="str" cm="1">
        <f t="array" ref="C1259">_xlfn.IFS(A1259&lt;20, "ภาคกลาง", A1259&lt;30, "ภาคตะวันออก", A1259&lt;50, "ภาคตะวันออกเฉียงเหนือ", A1259&lt;60, "ภาคเหนือ", A1259&lt;80, "ภาคกลาง/ตะวันตก", A1259&gt;=80, "ภาคใต้")</f>
        <v>ภาคตะวันออกเฉียงเหนือ</v>
      </c>
      <c r="D1259" s="64">
        <v>4691</v>
      </c>
      <c r="E1259" s="10" t="s">
        <v>1583</v>
      </c>
      <c r="F1259" s="11">
        <v>5407</v>
      </c>
      <c r="G1259" s="11">
        <v>5662</v>
      </c>
      <c r="H1259" s="11">
        <v>11069</v>
      </c>
      <c r="I1259" s="11">
        <v>5147</v>
      </c>
      <c r="J1259" s="66">
        <f t="shared" si="72"/>
        <v>48.848134429487757</v>
      </c>
      <c r="K1259" s="66">
        <f t="shared" si="73"/>
        <v>51.151865570512243</v>
      </c>
    </row>
    <row r="1260" spans="1:11" ht="41.4" x14ac:dyDescent="0.3">
      <c r="A1260" s="10">
        <v>46</v>
      </c>
      <c r="B1260" s="10" t="s">
        <v>1541</v>
      </c>
      <c r="C1260" s="10" t="str" cm="1">
        <f t="array" ref="C1260">_xlfn.IFS(A1260&lt;20, "ภาคกลาง", A1260&lt;30, "ภาคตะวันออก", A1260&lt;50, "ภาคตะวันออกเฉียงเหนือ", A1260&lt;60, "ภาคเหนือ", A1260&lt;80, "ภาคกลาง/ตะวันตก", A1260&gt;=80, "ภาคใต้")</f>
        <v>ภาคตะวันออกเฉียงเหนือ</v>
      </c>
      <c r="D1260" s="64">
        <v>4692</v>
      </c>
      <c r="E1260" s="10" t="s">
        <v>1584</v>
      </c>
      <c r="F1260" s="11">
        <v>2457</v>
      </c>
      <c r="G1260" s="11">
        <v>2686</v>
      </c>
      <c r="H1260" s="11">
        <v>5143</v>
      </c>
      <c r="I1260" s="11">
        <v>2132</v>
      </c>
      <c r="J1260" s="66">
        <f t="shared" si="72"/>
        <v>47.773672953529065</v>
      </c>
      <c r="K1260" s="66">
        <f t="shared" si="73"/>
        <v>52.226327046470935</v>
      </c>
    </row>
    <row r="1261" spans="1:11" ht="41.4" x14ac:dyDescent="0.3">
      <c r="A1261" s="10">
        <v>46</v>
      </c>
      <c r="B1261" s="10" t="s">
        <v>1541</v>
      </c>
      <c r="C1261" s="10" t="str" cm="1">
        <f t="array" ref="C1261">_xlfn.IFS(A1261&lt;20, "ภาคกลาง", A1261&lt;30, "ภาคตะวันออก", A1261&lt;50, "ภาคตะวันออกเฉียงเหนือ", A1261&lt;60, "ภาคเหนือ", A1261&lt;80, "ภาคกลาง/ตะวันตก", A1261&gt;=80, "ภาคใต้")</f>
        <v>ภาคตะวันออกเฉียงเหนือ</v>
      </c>
      <c r="D1261" s="64">
        <v>4693</v>
      </c>
      <c r="E1261" s="10" t="s">
        <v>1585</v>
      </c>
      <c r="F1261" s="11">
        <v>2893</v>
      </c>
      <c r="G1261" s="11">
        <v>3059</v>
      </c>
      <c r="H1261" s="11">
        <v>5952</v>
      </c>
      <c r="I1261" s="11">
        <v>2340</v>
      </c>
      <c r="J1261" s="66">
        <f t="shared" si="72"/>
        <v>48.605510752688176</v>
      </c>
      <c r="K1261" s="66">
        <f t="shared" si="73"/>
        <v>51.394489247311824</v>
      </c>
    </row>
    <row r="1262" spans="1:11" ht="41.4" x14ac:dyDescent="0.3">
      <c r="A1262" s="10">
        <v>46</v>
      </c>
      <c r="B1262" s="10" t="s">
        <v>1541</v>
      </c>
      <c r="C1262" s="10" t="str" cm="1">
        <f t="array" ref="C1262">_xlfn.IFS(A1262&lt;20, "ภาคกลาง", A1262&lt;30, "ภาคตะวันออก", A1262&lt;50, "ภาคตะวันออกเฉียงเหนือ", A1262&lt;60, "ภาคเหนือ", A1262&lt;80, "ภาคกลาง/ตะวันตก", A1262&gt;=80, "ภาคใต้")</f>
        <v>ภาคตะวันออกเฉียงเหนือ</v>
      </c>
      <c r="D1262" s="64">
        <v>4694</v>
      </c>
      <c r="E1262" s="10" t="s">
        <v>1586</v>
      </c>
      <c r="F1262" s="11">
        <v>3212</v>
      </c>
      <c r="G1262" s="11">
        <v>3518</v>
      </c>
      <c r="H1262" s="11">
        <v>6730</v>
      </c>
      <c r="I1262" s="11">
        <v>2294</v>
      </c>
      <c r="J1262" s="66">
        <f t="shared" si="72"/>
        <v>47.726597325408619</v>
      </c>
      <c r="K1262" s="66">
        <f t="shared" si="73"/>
        <v>52.273402674591388</v>
      </c>
    </row>
    <row r="1263" spans="1:11" ht="41.4" x14ac:dyDescent="0.3">
      <c r="A1263" s="10">
        <v>46</v>
      </c>
      <c r="B1263" s="10" t="s">
        <v>1541</v>
      </c>
      <c r="C1263" s="10" t="str" cm="1">
        <f t="array" ref="C1263">_xlfn.IFS(A1263&lt;20, "ภาคกลาง", A1263&lt;30, "ภาคตะวันออก", A1263&lt;50, "ภาคตะวันออกเฉียงเหนือ", A1263&lt;60, "ภาคเหนือ", A1263&lt;80, "ภาคกลาง/ตะวันตก", A1263&gt;=80, "ภาคใต้")</f>
        <v>ภาคตะวันออกเฉียงเหนือ</v>
      </c>
      <c r="D1263" s="64">
        <v>4695</v>
      </c>
      <c r="E1263" s="10" t="s">
        <v>1587</v>
      </c>
      <c r="F1263" s="11">
        <v>3059</v>
      </c>
      <c r="G1263" s="11">
        <v>3155</v>
      </c>
      <c r="H1263" s="11">
        <v>6214</v>
      </c>
      <c r="I1263" s="11">
        <v>1767</v>
      </c>
      <c r="J1263" s="66">
        <f t="shared" si="72"/>
        <v>49.22755069198584</v>
      </c>
      <c r="K1263" s="66">
        <f t="shared" si="73"/>
        <v>50.772449308014167</v>
      </c>
    </row>
    <row r="1264" spans="1:11" ht="41.4" x14ac:dyDescent="0.3">
      <c r="A1264" s="10">
        <v>46</v>
      </c>
      <c r="B1264" s="10" t="s">
        <v>1541</v>
      </c>
      <c r="C1264" s="10" t="str" cm="1">
        <f t="array" ref="C1264">_xlfn.IFS(A1264&lt;20, "ภาคกลาง", A1264&lt;30, "ภาคตะวันออก", A1264&lt;50, "ภาคตะวันออกเฉียงเหนือ", A1264&lt;60, "ภาคเหนือ", A1264&lt;80, "ภาคกลาง/ตะวันตก", A1264&gt;=80, "ภาคใต้")</f>
        <v>ภาคตะวันออกเฉียงเหนือ</v>
      </c>
      <c r="D1264" s="64">
        <v>4696</v>
      </c>
      <c r="E1264" s="10" t="s">
        <v>1588</v>
      </c>
      <c r="F1264" s="11">
        <v>4496</v>
      </c>
      <c r="G1264" s="11">
        <v>5049</v>
      </c>
      <c r="H1264" s="11">
        <v>9545</v>
      </c>
      <c r="I1264" s="11">
        <v>3826</v>
      </c>
      <c r="J1264" s="66">
        <f t="shared" si="72"/>
        <v>47.10319539025668</v>
      </c>
      <c r="K1264" s="66">
        <f t="shared" si="73"/>
        <v>52.89680460974332</v>
      </c>
    </row>
    <row r="1265" spans="1:11" ht="41.4" x14ac:dyDescent="0.3">
      <c r="A1265" s="10">
        <v>46</v>
      </c>
      <c r="B1265" s="10" t="s">
        <v>1541</v>
      </c>
      <c r="C1265" s="10" t="str" cm="1">
        <f t="array" ref="C1265">_xlfn.IFS(A1265&lt;20, "ภาคกลาง", A1265&lt;30, "ภาคตะวันออก", A1265&lt;50, "ภาคตะวันออกเฉียงเหนือ", A1265&lt;60, "ภาคเหนือ", A1265&lt;80, "ภาคกลาง/ตะวันตก", A1265&gt;=80, "ภาคใต้")</f>
        <v>ภาคตะวันออกเฉียงเหนือ</v>
      </c>
      <c r="D1265" s="64">
        <v>4697</v>
      </c>
      <c r="E1265" s="10" t="s">
        <v>1589</v>
      </c>
      <c r="F1265" s="11">
        <v>3366</v>
      </c>
      <c r="G1265" s="11">
        <v>3414</v>
      </c>
      <c r="H1265" s="11">
        <v>6780</v>
      </c>
      <c r="I1265" s="11">
        <v>2473</v>
      </c>
      <c r="J1265" s="66">
        <f t="shared" si="72"/>
        <v>49.646017699115042</v>
      </c>
      <c r="K1265" s="66">
        <f t="shared" si="73"/>
        <v>50.353982300884958</v>
      </c>
    </row>
    <row r="1266" spans="1:11" ht="41.4" x14ac:dyDescent="0.3">
      <c r="A1266" s="10">
        <v>46</v>
      </c>
      <c r="B1266" s="10" t="s">
        <v>1541</v>
      </c>
      <c r="C1266" s="10" t="str" cm="1">
        <f t="array" ref="C1266">_xlfn.IFS(A1266&lt;20, "ภาคกลาง", A1266&lt;30, "ภาคตะวันออก", A1266&lt;50, "ภาคตะวันออกเฉียงเหนือ", A1266&lt;60, "ภาคเหนือ", A1266&lt;80, "ภาคกลาง/ตะวันตก", A1266&gt;=80, "ภาคใต้")</f>
        <v>ภาคตะวันออกเฉียงเหนือ</v>
      </c>
      <c r="D1266" s="64">
        <v>4698</v>
      </c>
      <c r="E1266" s="10" t="s">
        <v>1590</v>
      </c>
      <c r="F1266" s="11">
        <v>3459</v>
      </c>
      <c r="G1266" s="11">
        <v>3756</v>
      </c>
      <c r="H1266" s="11">
        <v>7215</v>
      </c>
      <c r="I1266" s="11">
        <v>2412</v>
      </c>
      <c r="J1266" s="66">
        <f t="shared" si="72"/>
        <v>47.941787941787943</v>
      </c>
      <c r="K1266" s="66">
        <f t="shared" si="73"/>
        <v>52.058212058212064</v>
      </c>
    </row>
    <row r="1267" spans="1:11" ht="41.4" x14ac:dyDescent="0.3">
      <c r="A1267" s="10">
        <v>46</v>
      </c>
      <c r="B1267" s="10" t="s">
        <v>1541</v>
      </c>
      <c r="C1267" s="10" t="str" cm="1">
        <f t="array" ref="C1267">_xlfn.IFS(A1267&lt;20, "ภาคกลาง", A1267&lt;30, "ภาคตะวันออก", A1267&lt;50, "ภาคตะวันออกเฉียงเหนือ", A1267&lt;60, "ภาคเหนือ", A1267&lt;80, "ภาคกลาง/ตะวันตก", A1267&gt;=80, "ภาคใต้")</f>
        <v>ภาคตะวันออกเฉียงเหนือ</v>
      </c>
      <c r="D1267" s="64">
        <v>4699</v>
      </c>
      <c r="E1267" s="10" t="s">
        <v>1591</v>
      </c>
      <c r="F1267" s="11">
        <v>4160</v>
      </c>
      <c r="G1267" s="11">
        <v>4170</v>
      </c>
      <c r="H1267" s="11">
        <v>8330</v>
      </c>
      <c r="I1267" s="11">
        <v>2626</v>
      </c>
      <c r="J1267" s="66">
        <f t="shared" si="72"/>
        <v>49.939975990396157</v>
      </c>
      <c r="K1267" s="66">
        <f t="shared" si="73"/>
        <v>50.060024009603843</v>
      </c>
    </row>
    <row r="1268" spans="1:11" ht="41.4" hidden="1" x14ac:dyDescent="0.3">
      <c r="A1268" s="10">
        <v>46</v>
      </c>
      <c r="B1268" s="10" t="s">
        <v>1541</v>
      </c>
      <c r="C1268" s="10" t="str" cm="1">
        <f t="array" ref="C1268">_xlfn.IFS(A1268&lt;20, "ภาคกลาง", A1268&lt;30, "ภาคตะวันออก", A1268&lt;50, "ภาคตะวันออกเฉียงเหนือ", A1268&lt;60, "ภาคเหนือ", A1268&lt;80, "ภาคกลาง/ตะวันตก", A1268&gt;=80, "ภาคใต้")</f>
        <v>ภาคตะวันออกเฉียงเหนือ</v>
      </c>
      <c r="D1268" s="10">
        <v>0</v>
      </c>
      <c r="E1268" s="10" t="s">
        <v>343</v>
      </c>
      <c r="F1268" s="11">
        <v>14694</v>
      </c>
      <c r="G1268" s="11">
        <v>16266</v>
      </c>
      <c r="H1268" s="11">
        <v>30960</v>
      </c>
      <c r="I1268" s="11">
        <v>16742</v>
      </c>
      <c r="J1268"/>
      <c r="K1268"/>
    </row>
    <row r="1269" spans="1:11" ht="41.4" x14ac:dyDescent="0.3">
      <c r="A1269" s="10">
        <v>47</v>
      </c>
      <c r="B1269" s="10" t="s">
        <v>1592</v>
      </c>
      <c r="C1269" s="10" t="str" cm="1">
        <f t="array" ref="C1269">_xlfn.IFS(A1269&lt;20, "ภาคกลาง", A1269&lt;30, "ภาคตะวันออก", A1269&lt;50, "ภาคตะวันออกเฉียงเหนือ", A1269&lt;60, "ภาคเหนือ", A1269&lt;80, "ภาคกลาง/ตะวันตก", A1269&gt;=80, "ภาคใต้")</f>
        <v>ภาคตะวันออกเฉียงเหนือ</v>
      </c>
      <c r="D1269" s="64">
        <v>4701</v>
      </c>
      <c r="E1269" s="10" t="s">
        <v>1593</v>
      </c>
      <c r="F1269" s="11">
        <v>564205</v>
      </c>
      <c r="G1269" s="11">
        <v>573567</v>
      </c>
      <c r="H1269" s="11">
        <v>1137772</v>
      </c>
      <c r="I1269" s="11">
        <v>411116</v>
      </c>
      <c r="J1269" s="66">
        <f t="shared" ref="J1269:J1307" si="74">F1269/H1269*100</f>
        <v>49.58858189514244</v>
      </c>
      <c r="K1269" s="66">
        <f t="shared" ref="K1269:K1307" si="75">G1269/H1269*100</f>
        <v>50.41141810485756</v>
      </c>
    </row>
    <row r="1270" spans="1:11" ht="41.4" x14ac:dyDescent="0.3">
      <c r="A1270" s="10">
        <v>47</v>
      </c>
      <c r="B1270" s="10" t="s">
        <v>1592</v>
      </c>
      <c r="C1270" s="10" t="str" cm="1">
        <f t="array" ref="C1270">_xlfn.IFS(A1270&lt;20, "ภาคกลาง", A1270&lt;30, "ภาคตะวันออก", A1270&lt;50, "ภาคตะวันออกเฉียงเหนือ", A1270&lt;60, "ภาคเหนือ", A1270&lt;80, "ภาคกลาง/ตะวันตก", A1270&gt;=80, "ภาคใต้")</f>
        <v>ภาคตะวันออกเฉียงเหนือ</v>
      </c>
      <c r="D1270" s="64">
        <v>4702</v>
      </c>
      <c r="E1270" s="10" t="s">
        <v>1594</v>
      </c>
      <c r="F1270" s="11">
        <v>56605</v>
      </c>
      <c r="G1270" s="11">
        <v>58341</v>
      </c>
      <c r="H1270" s="11">
        <v>114946</v>
      </c>
      <c r="I1270" s="11">
        <v>45179</v>
      </c>
      <c r="J1270" s="66">
        <f t="shared" si="74"/>
        <v>49.244862805143285</v>
      </c>
      <c r="K1270" s="66">
        <f t="shared" si="75"/>
        <v>50.755137194856715</v>
      </c>
    </row>
    <row r="1271" spans="1:11" ht="41.4" x14ac:dyDescent="0.3">
      <c r="A1271" s="10">
        <v>47</v>
      </c>
      <c r="B1271" s="10" t="s">
        <v>1592</v>
      </c>
      <c r="C1271" s="10" t="str" cm="1">
        <f t="array" ref="C1271">_xlfn.IFS(A1271&lt;20, "ภาคกลาง", A1271&lt;30, "ภาคตะวันออก", A1271&lt;50, "ภาคตะวันออกเฉียงเหนือ", A1271&lt;60, "ภาคเหนือ", A1271&lt;80, "ภาคกลาง/ตะวันตก", A1271&gt;=80, "ภาคใต้")</f>
        <v>ภาคตะวันออกเฉียงเหนือ</v>
      </c>
      <c r="D1271" s="64">
        <v>4703</v>
      </c>
      <c r="E1271" s="10" t="s">
        <v>1595</v>
      </c>
      <c r="F1271" s="11">
        <v>21714</v>
      </c>
      <c r="G1271" s="11">
        <v>21904</v>
      </c>
      <c r="H1271" s="11">
        <v>43618</v>
      </c>
      <c r="I1271" s="11">
        <v>14689</v>
      </c>
      <c r="J1271" s="66">
        <f t="shared" si="74"/>
        <v>49.782200009170523</v>
      </c>
      <c r="K1271" s="66">
        <f t="shared" si="75"/>
        <v>50.217799990829469</v>
      </c>
    </row>
    <row r="1272" spans="1:11" ht="41.4" x14ac:dyDescent="0.3">
      <c r="A1272" s="10">
        <v>47</v>
      </c>
      <c r="B1272" s="10" t="s">
        <v>1592</v>
      </c>
      <c r="C1272" s="10" t="str" cm="1">
        <f t="array" ref="C1272">_xlfn.IFS(A1272&lt;20, "ภาคกลาง", A1272&lt;30, "ภาคตะวันออก", A1272&lt;50, "ภาคตะวันออกเฉียงเหนือ", A1272&lt;60, "ภาคเหนือ", A1272&lt;80, "ภาคกลาง/ตะวันตก", A1272&gt;=80, "ภาคใต้")</f>
        <v>ภาคตะวันออกเฉียงเหนือ</v>
      </c>
      <c r="D1272" s="64">
        <v>4704</v>
      </c>
      <c r="E1272" s="10" t="s">
        <v>1596</v>
      </c>
      <c r="F1272" s="11">
        <v>13816</v>
      </c>
      <c r="G1272" s="11">
        <v>13576</v>
      </c>
      <c r="H1272" s="11">
        <v>27392</v>
      </c>
      <c r="I1272" s="11">
        <v>9629</v>
      </c>
      <c r="J1272" s="66">
        <f t="shared" si="74"/>
        <v>50.438084112149525</v>
      </c>
      <c r="K1272" s="66">
        <f t="shared" si="75"/>
        <v>49.561915887850468</v>
      </c>
    </row>
    <row r="1273" spans="1:11" ht="41.4" x14ac:dyDescent="0.3">
      <c r="A1273" s="10">
        <v>47</v>
      </c>
      <c r="B1273" s="10" t="s">
        <v>1592</v>
      </c>
      <c r="C1273" s="10" t="str" cm="1">
        <f t="array" ref="C1273">_xlfn.IFS(A1273&lt;20, "ภาคกลาง", A1273&lt;30, "ภาคตะวันออก", A1273&lt;50, "ภาคตะวันออกเฉียงเหนือ", A1273&lt;60, "ภาคเหนือ", A1273&lt;80, "ภาคกลาง/ตะวันตก", A1273&gt;=80, "ภาคใต้")</f>
        <v>ภาคตะวันออกเฉียงเหนือ</v>
      </c>
      <c r="D1273" s="64">
        <v>4705</v>
      </c>
      <c r="E1273" s="10" t="s">
        <v>1597</v>
      </c>
      <c r="F1273" s="11">
        <v>38210</v>
      </c>
      <c r="G1273" s="11">
        <v>38876</v>
      </c>
      <c r="H1273" s="11">
        <v>77086</v>
      </c>
      <c r="I1273" s="11">
        <v>28270</v>
      </c>
      <c r="J1273" s="66">
        <f t="shared" si="74"/>
        <v>49.568014944347873</v>
      </c>
      <c r="K1273" s="66">
        <f t="shared" si="75"/>
        <v>50.431985055652127</v>
      </c>
    </row>
    <row r="1274" spans="1:11" ht="41.4" x14ac:dyDescent="0.3">
      <c r="A1274" s="10">
        <v>47</v>
      </c>
      <c r="B1274" s="10" t="s">
        <v>1592</v>
      </c>
      <c r="C1274" s="10" t="str" cm="1">
        <f t="array" ref="C1274">_xlfn.IFS(A1274&lt;20, "ภาคกลาง", A1274&lt;30, "ภาคตะวันออก", A1274&lt;50, "ภาคตะวันออกเฉียงเหนือ", A1274&lt;60, "ภาคเหนือ", A1274&lt;80, "ภาคกลาง/ตะวันตก", A1274&gt;=80, "ภาคใต้")</f>
        <v>ภาคตะวันออกเฉียงเหนือ</v>
      </c>
      <c r="D1274" s="64">
        <v>4706</v>
      </c>
      <c r="E1274" s="10" t="s">
        <v>1598</v>
      </c>
      <c r="F1274" s="11">
        <v>22483</v>
      </c>
      <c r="G1274" s="11">
        <v>23170</v>
      </c>
      <c r="H1274" s="11">
        <v>45653</v>
      </c>
      <c r="I1274" s="11">
        <v>18386</v>
      </c>
      <c r="J1274" s="66">
        <f t="shared" si="74"/>
        <v>49.24758504369921</v>
      </c>
      <c r="K1274" s="66">
        <f t="shared" si="75"/>
        <v>50.752414956300797</v>
      </c>
    </row>
    <row r="1275" spans="1:11" ht="41.4" x14ac:dyDescent="0.3">
      <c r="A1275" s="10">
        <v>47</v>
      </c>
      <c r="B1275" s="10" t="s">
        <v>1592</v>
      </c>
      <c r="C1275" s="10" t="str" cm="1">
        <f t="array" ref="C1275">_xlfn.IFS(A1275&lt;20, "ภาคกลาง", A1275&lt;30, "ภาคตะวันออก", A1275&lt;50, "ภาคตะวันออกเฉียงเหนือ", A1275&lt;60, "ภาคเหนือ", A1275&lt;80, "ภาคกลาง/ตะวันตก", A1275&gt;=80, "ภาคใต้")</f>
        <v>ภาคตะวันออกเฉียงเหนือ</v>
      </c>
      <c r="D1275" s="64">
        <v>4707</v>
      </c>
      <c r="E1275" s="10" t="s">
        <v>1599</v>
      </c>
      <c r="F1275" s="11">
        <v>17538</v>
      </c>
      <c r="G1275" s="11">
        <v>18103</v>
      </c>
      <c r="H1275" s="11">
        <v>35641</v>
      </c>
      <c r="I1275" s="11">
        <v>12935</v>
      </c>
      <c r="J1275" s="66">
        <f t="shared" si="74"/>
        <v>49.207373530484553</v>
      </c>
      <c r="K1275" s="66">
        <f t="shared" si="75"/>
        <v>50.792626469515447</v>
      </c>
    </row>
    <row r="1276" spans="1:11" ht="41.4" x14ac:dyDescent="0.3">
      <c r="A1276" s="10">
        <v>47</v>
      </c>
      <c r="B1276" s="10" t="s">
        <v>1592</v>
      </c>
      <c r="C1276" s="10" t="str" cm="1">
        <f t="array" ref="C1276">_xlfn.IFS(A1276&lt;20, "ภาคกลาง", A1276&lt;30, "ภาคตะวันออก", A1276&lt;50, "ภาคตะวันออกเฉียงเหนือ", A1276&lt;60, "ภาคเหนือ", A1276&lt;80, "ภาคกลาง/ตะวันตก", A1276&gt;=80, "ภาคใต้")</f>
        <v>ภาคตะวันออกเฉียงเหนือ</v>
      </c>
      <c r="D1276" s="64">
        <v>4708</v>
      </c>
      <c r="E1276" s="10" t="s">
        <v>1600</v>
      </c>
      <c r="F1276" s="11">
        <v>7361</v>
      </c>
      <c r="G1276" s="11">
        <v>7365</v>
      </c>
      <c r="H1276" s="11">
        <v>14726</v>
      </c>
      <c r="I1276" s="11">
        <v>4786</v>
      </c>
      <c r="J1276" s="66">
        <f t="shared" si="74"/>
        <v>49.986418579383404</v>
      </c>
      <c r="K1276" s="66">
        <f t="shared" si="75"/>
        <v>50.013581420616596</v>
      </c>
    </row>
    <row r="1277" spans="1:11" ht="41.4" x14ac:dyDescent="0.3">
      <c r="A1277" s="10">
        <v>47</v>
      </c>
      <c r="B1277" s="10" t="s">
        <v>1592</v>
      </c>
      <c r="C1277" s="10" t="str" cm="1">
        <f t="array" ref="C1277">_xlfn.IFS(A1277&lt;20, "ภาคกลาง", A1277&lt;30, "ภาคตะวันออก", A1277&lt;50, "ภาคตะวันออกเฉียงเหนือ", A1277&lt;60, "ภาคเหนือ", A1277&lt;80, "ภาคกลาง/ตะวันตก", A1277&gt;=80, "ภาคใต้")</f>
        <v>ภาคตะวันออกเฉียงเหนือ</v>
      </c>
      <c r="D1277" s="64">
        <v>4709</v>
      </c>
      <c r="E1277" s="10" t="s">
        <v>1601</v>
      </c>
      <c r="F1277" s="11">
        <v>59827</v>
      </c>
      <c r="G1277" s="11">
        <v>60504</v>
      </c>
      <c r="H1277" s="11">
        <v>120331</v>
      </c>
      <c r="I1277" s="11">
        <v>36508</v>
      </c>
      <c r="J1277" s="66">
        <f t="shared" si="74"/>
        <v>49.718692606227819</v>
      </c>
      <c r="K1277" s="66">
        <f t="shared" si="75"/>
        <v>50.281307393772181</v>
      </c>
    </row>
    <row r="1278" spans="1:11" ht="41.4" x14ac:dyDescent="0.3">
      <c r="A1278" s="10">
        <v>47</v>
      </c>
      <c r="B1278" s="10" t="s">
        <v>1592</v>
      </c>
      <c r="C1278" s="10" t="str" cm="1">
        <f t="array" ref="C1278">_xlfn.IFS(A1278&lt;20, "ภาคกลาง", A1278&lt;30, "ภาคตะวันออก", A1278&lt;50, "ภาคตะวันออกเฉียงเหนือ", A1278&lt;60, "ภาคเหนือ", A1278&lt;80, "ภาคกลาง/ตะวันตก", A1278&gt;=80, "ภาคใต้")</f>
        <v>ภาคตะวันออกเฉียงเหนือ</v>
      </c>
      <c r="D1278" s="64">
        <v>4710</v>
      </c>
      <c r="E1278" s="10" t="s">
        <v>1602</v>
      </c>
      <c r="F1278" s="11">
        <v>16255</v>
      </c>
      <c r="G1278" s="11">
        <v>16485</v>
      </c>
      <c r="H1278" s="11">
        <v>32740</v>
      </c>
      <c r="I1278" s="11">
        <v>12145</v>
      </c>
      <c r="J1278" s="66">
        <f t="shared" si="74"/>
        <v>49.648747709224189</v>
      </c>
      <c r="K1278" s="66">
        <f t="shared" si="75"/>
        <v>50.351252290775804</v>
      </c>
    </row>
    <row r="1279" spans="1:11" ht="41.4" x14ac:dyDescent="0.3">
      <c r="A1279" s="10">
        <v>47</v>
      </c>
      <c r="B1279" s="10" t="s">
        <v>1592</v>
      </c>
      <c r="C1279" s="10" t="str" cm="1">
        <f t="array" ref="C1279">_xlfn.IFS(A1279&lt;20, "ภาคกลาง", A1279&lt;30, "ภาคตะวันออก", A1279&lt;50, "ภาคตะวันออกเฉียงเหนือ", A1279&lt;60, "ภาคเหนือ", A1279&lt;80, "ภาคกลาง/ตะวันตก", A1279&gt;=80, "ภาคใต้")</f>
        <v>ภาคตะวันออกเฉียงเหนือ</v>
      </c>
      <c r="D1279" s="64">
        <v>4711</v>
      </c>
      <c r="E1279" s="10" t="s">
        <v>1603</v>
      </c>
      <c r="F1279" s="11">
        <v>33664</v>
      </c>
      <c r="G1279" s="11">
        <v>33223</v>
      </c>
      <c r="H1279" s="11">
        <v>66887</v>
      </c>
      <c r="I1279" s="11">
        <v>21145</v>
      </c>
      <c r="J1279" s="66">
        <f t="shared" si="74"/>
        <v>50.329660472139579</v>
      </c>
      <c r="K1279" s="66">
        <f t="shared" si="75"/>
        <v>49.670339527860421</v>
      </c>
    </row>
    <row r="1280" spans="1:11" ht="41.4" x14ac:dyDescent="0.3">
      <c r="A1280" s="10">
        <v>47</v>
      </c>
      <c r="B1280" s="10" t="s">
        <v>1592</v>
      </c>
      <c r="C1280" s="10" t="str" cm="1">
        <f t="array" ref="C1280">_xlfn.IFS(A1280&lt;20, "ภาคกลาง", A1280&lt;30, "ภาคตะวันออก", A1280&lt;50, "ภาคตะวันออกเฉียงเหนือ", A1280&lt;60, "ภาคเหนือ", A1280&lt;80, "ภาคกลาง/ตะวันตก", A1280&gt;=80, "ภาคใต้")</f>
        <v>ภาคตะวันออกเฉียงเหนือ</v>
      </c>
      <c r="D1280" s="64">
        <v>4712</v>
      </c>
      <c r="E1280" s="10" t="s">
        <v>1604</v>
      </c>
      <c r="F1280" s="11">
        <v>27010</v>
      </c>
      <c r="G1280" s="11">
        <v>26846</v>
      </c>
      <c r="H1280" s="11">
        <v>53856</v>
      </c>
      <c r="I1280" s="11">
        <v>20277</v>
      </c>
      <c r="J1280" s="66">
        <f t="shared" si="74"/>
        <v>50.152257872846107</v>
      </c>
      <c r="K1280" s="66">
        <f t="shared" si="75"/>
        <v>49.847742127153893</v>
      </c>
    </row>
    <row r="1281" spans="1:11" ht="41.4" x14ac:dyDescent="0.3">
      <c r="A1281" s="10">
        <v>47</v>
      </c>
      <c r="B1281" s="10" t="s">
        <v>1592</v>
      </c>
      <c r="C1281" s="10" t="str" cm="1">
        <f t="array" ref="C1281">_xlfn.IFS(A1281&lt;20, "ภาคกลาง", A1281&lt;30, "ภาคตะวันออก", A1281&lt;50, "ภาคตะวันออกเฉียงเหนือ", A1281&lt;60, "ภาคเหนือ", A1281&lt;80, "ภาคกลาง/ตะวันตก", A1281&gt;=80, "ภาคใต้")</f>
        <v>ภาคตะวันออกเฉียงเหนือ</v>
      </c>
      <c r="D1281" s="64">
        <v>4713</v>
      </c>
      <c r="E1281" s="10" t="s">
        <v>1605</v>
      </c>
      <c r="F1281" s="11">
        <v>62920</v>
      </c>
      <c r="G1281" s="11">
        <v>63953</v>
      </c>
      <c r="H1281" s="11">
        <v>126873</v>
      </c>
      <c r="I1281" s="11">
        <v>39010</v>
      </c>
      <c r="J1281" s="66">
        <f t="shared" si="74"/>
        <v>49.592899986600777</v>
      </c>
      <c r="K1281" s="66">
        <f t="shared" si="75"/>
        <v>50.40710001339923</v>
      </c>
    </row>
    <row r="1282" spans="1:11" ht="41.4" x14ac:dyDescent="0.3">
      <c r="A1282" s="10">
        <v>47</v>
      </c>
      <c r="B1282" s="10" t="s">
        <v>1592</v>
      </c>
      <c r="C1282" s="10" t="str" cm="1">
        <f t="array" ref="C1282">_xlfn.IFS(A1282&lt;20, "ภาคกลาง", A1282&lt;30, "ภาคตะวันออก", A1282&lt;50, "ภาคตะวันออกเฉียงเหนือ", A1282&lt;60, "ภาคเหนือ", A1282&lt;80, "ภาคกลาง/ตะวันตก", A1282&gt;=80, "ภาคใต้")</f>
        <v>ภาคตะวันออกเฉียงเหนือ</v>
      </c>
      <c r="D1282" s="64">
        <v>4714</v>
      </c>
      <c r="E1282" s="10" t="s">
        <v>1606</v>
      </c>
      <c r="F1282" s="11">
        <v>14980</v>
      </c>
      <c r="G1282" s="11">
        <v>14580</v>
      </c>
      <c r="H1282" s="11">
        <v>29560</v>
      </c>
      <c r="I1282" s="11">
        <v>7993</v>
      </c>
      <c r="J1282" s="66">
        <f t="shared" si="74"/>
        <v>50.676589986468201</v>
      </c>
      <c r="K1282" s="66">
        <f t="shared" si="75"/>
        <v>49.323410013531799</v>
      </c>
    </row>
    <row r="1283" spans="1:11" ht="41.4" x14ac:dyDescent="0.3">
      <c r="A1283" s="10">
        <v>47</v>
      </c>
      <c r="B1283" s="10" t="s">
        <v>1592</v>
      </c>
      <c r="C1283" s="10" t="str" cm="1">
        <f t="array" ref="C1283">_xlfn.IFS(A1283&lt;20, "ภาคกลาง", A1283&lt;30, "ภาคตะวันออก", A1283&lt;50, "ภาคตะวันออกเฉียงเหนือ", A1283&lt;60, "ภาคเหนือ", A1283&lt;80, "ภาคกลาง/ตะวันตก", A1283&gt;=80, "ภาคใต้")</f>
        <v>ภาคตะวันออกเฉียงเหนือ</v>
      </c>
      <c r="D1283" s="64">
        <v>4715</v>
      </c>
      <c r="E1283" s="10" t="s">
        <v>1607</v>
      </c>
      <c r="F1283" s="11">
        <v>12045</v>
      </c>
      <c r="G1283" s="11">
        <v>11997</v>
      </c>
      <c r="H1283" s="11">
        <v>24042</v>
      </c>
      <c r="I1283" s="11">
        <v>9216</v>
      </c>
      <c r="J1283" s="66">
        <f t="shared" si="74"/>
        <v>50.099825305714994</v>
      </c>
      <c r="K1283" s="66">
        <f t="shared" si="75"/>
        <v>49.900174694284999</v>
      </c>
    </row>
    <row r="1284" spans="1:11" ht="41.4" x14ac:dyDescent="0.3">
      <c r="A1284" s="10">
        <v>47</v>
      </c>
      <c r="B1284" s="10" t="s">
        <v>1592</v>
      </c>
      <c r="C1284" s="10" t="str" cm="1">
        <f t="array" ref="C1284">_xlfn.IFS(A1284&lt;20, "ภาคกลาง", A1284&lt;30, "ภาคตะวันออก", A1284&lt;50, "ภาคตะวันออกเฉียงเหนือ", A1284&lt;60, "ภาคเหนือ", A1284&lt;80, "ภาคกลาง/ตะวันตก", A1284&gt;=80, "ภาคใต้")</f>
        <v>ภาคตะวันออกเฉียงเหนือ</v>
      </c>
      <c r="D1284" s="64">
        <v>4716</v>
      </c>
      <c r="E1284" s="10" t="s">
        <v>1608</v>
      </c>
      <c r="F1284" s="11">
        <v>10730</v>
      </c>
      <c r="G1284" s="11">
        <v>10882</v>
      </c>
      <c r="H1284" s="11">
        <v>21612</v>
      </c>
      <c r="I1284" s="11">
        <v>7997</v>
      </c>
      <c r="J1284" s="66">
        <f t="shared" si="74"/>
        <v>49.648343512863221</v>
      </c>
      <c r="K1284" s="66">
        <f t="shared" si="75"/>
        <v>50.351656487136779</v>
      </c>
    </row>
    <row r="1285" spans="1:11" ht="41.4" x14ac:dyDescent="0.3">
      <c r="A1285" s="10">
        <v>47</v>
      </c>
      <c r="B1285" s="10" t="s">
        <v>1592</v>
      </c>
      <c r="C1285" s="10" t="str" cm="1">
        <f t="array" ref="C1285">_xlfn.IFS(A1285&lt;20, "ภาคกลาง", A1285&lt;30, "ภาคตะวันออก", A1285&lt;50, "ภาคตะวันออกเฉียงเหนือ", A1285&lt;60, "ภาคเหนือ", A1285&lt;80, "ภาคกลาง/ตะวันตก", A1285&gt;=80, "ภาคใต้")</f>
        <v>ภาคตะวันออกเฉียงเหนือ</v>
      </c>
      <c r="D1285" s="64">
        <v>4717</v>
      </c>
      <c r="E1285" s="10" t="s">
        <v>1609</v>
      </c>
      <c r="F1285" s="11">
        <v>19173</v>
      </c>
      <c r="G1285" s="11">
        <v>19036</v>
      </c>
      <c r="H1285" s="11">
        <v>38209</v>
      </c>
      <c r="I1285" s="11">
        <v>11178</v>
      </c>
      <c r="J1285" s="66">
        <f t="shared" si="74"/>
        <v>50.179277133659603</v>
      </c>
      <c r="K1285" s="66">
        <f t="shared" si="75"/>
        <v>49.82072286634039</v>
      </c>
    </row>
    <row r="1286" spans="1:11" ht="41.4" x14ac:dyDescent="0.3">
      <c r="A1286" s="10">
        <v>47</v>
      </c>
      <c r="B1286" s="10" t="s">
        <v>1592</v>
      </c>
      <c r="C1286" s="10" t="str" cm="1">
        <f t="array" ref="C1286">_xlfn.IFS(A1286&lt;20, "ภาคกลาง", A1286&lt;30, "ภาคตะวันออก", A1286&lt;50, "ภาคตะวันออกเฉียงเหนือ", A1286&lt;60, "ภาคเหนือ", A1286&lt;80, "ภาคกลาง/ตะวันตก", A1286&gt;=80, "ภาคใต้")</f>
        <v>ภาคตะวันออกเฉียงเหนือ</v>
      </c>
      <c r="D1286" s="64">
        <v>4718</v>
      </c>
      <c r="E1286" s="10" t="s">
        <v>1610</v>
      </c>
      <c r="F1286" s="11">
        <v>18407</v>
      </c>
      <c r="G1286" s="11">
        <v>18398</v>
      </c>
      <c r="H1286" s="11">
        <v>36805</v>
      </c>
      <c r="I1286" s="11">
        <v>12397</v>
      </c>
      <c r="J1286" s="66">
        <f t="shared" si="74"/>
        <v>50.012226599646795</v>
      </c>
      <c r="K1286" s="66">
        <f t="shared" si="75"/>
        <v>49.987773400353213</v>
      </c>
    </row>
    <row r="1287" spans="1:11" ht="41.4" x14ac:dyDescent="0.3">
      <c r="A1287" s="10">
        <v>47</v>
      </c>
      <c r="B1287" s="10" t="s">
        <v>1592</v>
      </c>
      <c r="C1287" s="10" t="str" cm="1">
        <f t="array" ref="C1287">_xlfn.IFS(A1287&lt;20, "ภาคกลาง", A1287&lt;30, "ภาคตะวันออก", A1287&lt;50, "ภาคตะวันออกเฉียงเหนือ", A1287&lt;60, "ภาคเหนือ", A1287&lt;80, "ภาคกลาง/ตะวันตก", A1287&gt;=80, "ภาคใต้")</f>
        <v>ภาคตะวันออกเฉียงเหนือ</v>
      </c>
      <c r="D1287" s="64">
        <v>4779</v>
      </c>
      <c r="E1287" s="10" t="s">
        <v>1611</v>
      </c>
      <c r="F1287" s="11">
        <v>18012</v>
      </c>
      <c r="G1287" s="11">
        <v>17707</v>
      </c>
      <c r="H1287" s="11">
        <v>35719</v>
      </c>
      <c r="I1287" s="11">
        <v>11003</v>
      </c>
      <c r="J1287" s="66">
        <f t="shared" si="74"/>
        <v>50.426943643439074</v>
      </c>
      <c r="K1287" s="66">
        <f t="shared" si="75"/>
        <v>49.573056356560933</v>
      </c>
    </row>
    <row r="1288" spans="1:11" ht="41.4" x14ac:dyDescent="0.3">
      <c r="A1288" s="10">
        <v>47</v>
      </c>
      <c r="B1288" s="10" t="s">
        <v>1592</v>
      </c>
      <c r="C1288" s="10" t="str" cm="1">
        <f t="array" ref="C1288">_xlfn.IFS(A1288&lt;20, "ภาคกลาง", A1288&lt;30, "ภาคตะวันออก", A1288&lt;50, "ภาคตะวันออกเฉียงเหนือ", A1288&lt;60, "ภาคเหนือ", A1288&lt;80, "ภาคกลาง/ตะวันตก", A1288&gt;=80, "ภาคใต้")</f>
        <v>ภาคตะวันออกเฉียงเหนือ</v>
      </c>
      <c r="D1288" s="64">
        <v>4780</v>
      </c>
      <c r="E1288" s="10" t="s">
        <v>1612</v>
      </c>
      <c r="F1288" s="11">
        <v>6720</v>
      </c>
      <c r="G1288" s="11">
        <v>6914</v>
      </c>
      <c r="H1288" s="11">
        <v>13634</v>
      </c>
      <c r="I1288" s="11">
        <v>4320</v>
      </c>
      <c r="J1288" s="66">
        <f t="shared" si="74"/>
        <v>49.288543347513567</v>
      </c>
      <c r="K1288" s="66">
        <f t="shared" si="75"/>
        <v>50.711456652486433</v>
      </c>
    </row>
    <row r="1289" spans="1:11" ht="41.4" x14ac:dyDescent="0.3">
      <c r="A1289" s="10">
        <v>47</v>
      </c>
      <c r="B1289" s="10" t="s">
        <v>1592</v>
      </c>
      <c r="C1289" s="10" t="str" cm="1">
        <f t="array" ref="C1289">_xlfn.IFS(A1289&lt;20, "ภาคกลาง", A1289&lt;30, "ภาคตะวันออก", A1289&lt;50, "ภาคตะวันออกเฉียงเหนือ", A1289&lt;60, "ภาคเหนือ", A1289&lt;80, "ภาคกลาง/ตะวันตก", A1289&gt;=80, "ภาคใต้")</f>
        <v>ภาคตะวันออกเฉียงเหนือ</v>
      </c>
      <c r="D1289" s="64">
        <v>4781</v>
      </c>
      <c r="E1289" s="10" t="s">
        <v>1613</v>
      </c>
      <c r="F1289" s="11">
        <v>6224</v>
      </c>
      <c r="G1289" s="11">
        <v>6419</v>
      </c>
      <c r="H1289" s="11">
        <v>12643</v>
      </c>
      <c r="I1289" s="11">
        <v>6006</v>
      </c>
      <c r="J1289" s="66">
        <f t="shared" si="74"/>
        <v>49.228822273194659</v>
      </c>
      <c r="K1289" s="66">
        <f t="shared" si="75"/>
        <v>50.771177726805348</v>
      </c>
    </row>
    <row r="1290" spans="1:11" ht="41.4" x14ac:dyDescent="0.3">
      <c r="A1290" s="10">
        <v>47</v>
      </c>
      <c r="B1290" s="10" t="s">
        <v>1592</v>
      </c>
      <c r="C1290" s="10" t="str" cm="1">
        <f t="array" ref="C1290">_xlfn.IFS(A1290&lt;20, "ภาคกลาง", A1290&lt;30, "ภาคตะวันออก", A1290&lt;50, "ภาคตะวันออกเฉียงเหนือ", A1290&lt;60, "ภาคเหนือ", A1290&lt;80, "ภาคกลาง/ตะวันตก", A1290&gt;=80, "ภาคใต้")</f>
        <v>ภาคตะวันออกเฉียงเหนือ</v>
      </c>
      <c r="D1290" s="64">
        <v>4782</v>
      </c>
      <c r="E1290" s="10" t="s">
        <v>1614</v>
      </c>
      <c r="F1290" s="11">
        <v>5090</v>
      </c>
      <c r="G1290" s="11">
        <v>5031</v>
      </c>
      <c r="H1290" s="11">
        <v>10121</v>
      </c>
      <c r="I1290" s="11">
        <v>3151</v>
      </c>
      <c r="J1290" s="66">
        <f t="shared" si="74"/>
        <v>50.291473174587487</v>
      </c>
      <c r="K1290" s="66">
        <f t="shared" si="75"/>
        <v>49.708526825412505</v>
      </c>
    </row>
    <row r="1291" spans="1:11" ht="41.4" x14ac:dyDescent="0.3">
      <c r="A1291" s="10">
        <v>47</v>
      </c>
      <c r="B1291" s="10" t="s">
        <v>1592</v>
      </c>
      <c r="C1291" s="10" t="str" cm="1">
        <f t="array" ref="C1291">_xlfn.IFS(A1291&lt;20, "ภาคกลาง", A1291&lt;30, "ภาคตะวันออก", A1291&lt;50, "ภาคตะวันออกเฉียงเหนือ", A1291&lt;60, "ภาคเหนือ", A1291&lt;80, "ภาคกลาง/ตะวันตก", A1291&gt;=80, "ภาคใต้")</f>
        <v>ภาคตะวันออกเฉียงเหนือ</v>
      </c>
      <c r="D1291" s="64">
        <v>4783</v>
      </c>
      <c r="E1291" s="10" t="s">
        <v>1615</v>
      </c>
      <c r="F1291" s="11">
        <v>4457</v>
      </c>
      <c r="G1291" s="11">
        <v>4512</v>
      </c>
      <c r="H1291" s="11">
        <v>8969</v>
      </c>
      <c r="I1291" s="11">
        <v>2531</v>
      </c>
      <c r="J1291" s="66">
        <f t="shared" si="74"/>
        <v>49.693388337607317</v>
      </c>
      <c r="K1291" s="66">
        <f t="shared" si="75"/>
        <v>50.306611662392683</v>
      </c>
    </row>
    <row r="1292" spans="1:11" ht="41.4" x14ac:dyDescent="0.3">
      <c r="A1292" s="10">
        <v>47</v>
      </c>
      <c r="B1292" s="10" t="s">
        <v>1592</v>
      </c>
      <c r="C1292" s="10" t="str" cm="1">
        <f t="array" ref="C1292">_xlfn.IFS(A1292&lt;20, "ภาคกลาง", A1292&lt;30, "ภาคตะวันออก", A1292&lt;50, "ภาคตะวันออกเฉียงเหนือ", A1292&lt;60, "ภาคเหนือ", A1292&lt;80, "ภาคกลาง/ตะวันตก", A1292&gt;=80, "ภาคใต้")</f>
        <v>ภาคตะวันออกเฉียงเหนือ</v>
      </c>
      <c r="D1292" s="64">
        <v>4784</v>
      </c>
      <c r="E1292" s="10" t="s">
        <v>1616</v>
      </c>
      <c r="F1292" s="11">
        <v>7893</v>
      </c>
      <c r="G1292" s="11">
        <v>8157</v>
      </c>
      <c r="H1292" s="11">
        <v>16050</v>
      </c>
      <c r="I1292" s="11">
        <v>6418</v>
      </c>
      <c r="J1292" s="66">
        <f t="shared" si="74"/>
        <v>49.177570093457945</v>
      </c>
      <c r="K1292" s="66">
        <f t="shared" si="75"/>
        <v>50.822429906542055</v>
      </c>
    </row>
    <row r="1293" spans="1:11" ht="41.4" x14ac:dyDescent="0.3">
      <c r="A1293" s="10">
        <v>47</v>
      </c>
      <c r="B1293" s="10" t="s">
        <v>1592</v>
      </c>
      <c r="C1293" s="10" t="str" cm="1">
        <f t="array" ref="C1293">_xlfn.IFS(A1293&lt;20, "ภาคกลาง", A1293&lt;30, "ภาคตะวันออก", A1293&lt;50, "ภาคตะวันออกเฉียงเหนือ", A1293&lt;60, "ภาคเหนือ", A1293&lt;80, "ภาคกลาง/ตะวันตก", A1293&gt;=80, "ภาคใต้")</f>
        <v>ภาคตะวันออกเฉียงเหนือ</v>
      </c>
      <c r="D1293" s="64">
        <v>4785</v>
      </c>
      <c r="E1293" s="10" t="s">
        <v>1617</v>
      </c>
      <c r="F1293" s="11">
        <v>3275</v>
      </c>
      <c r="G1293" s="11">
        <v>3433</v>
      </c>
      <c r="H1293" s="11">
        <v>6708</v>
      </c>
      <c r="I1293" s="11">
        <v>2427</v>
      </c>
      <c r="J1293" s="66">
        <f t="shared" si="74"/>
        <v>48.822301729278472</v>
      </c>
      <c r="K1293" s="66">
        <f t="shared" si="75"/>
        <v>51.177698270721528</v>
      </c>
    </row>
    <row r="1294" spans="1:11" ht="41.4" x14ac:dyDescent="0.3">
      <c r="A1294" s="10">
        <v>47</v>
      </c>
      <c r="B1294" s="10" t="s">
        <v>1592</v>
      </c>
      <c r="C1294" s="10" t="str" cm="1">
        <f t="array" ref="C1294">_xlfn.IFS(A1294&lt;20, "ภาคกลาง", A1294&lt;30, "ภาคตะวันออก", A1294&lt;50, "ภาคตะวันออกเฉียงเหนือ", A1294&lt;60, "ภาคเหนือ", A1294&lt;80, "ภาคกลาง/ตะวันตก", A1294&gt;=80, "ภาคใต้")</f>
        <v>ภาคตะวันออกเฉียงเหนือ</v>
      </c>
      <c r="D1294" s="64">
        <v>4786</v>
      </c>
      <c r="E1294" s="10" t="s">
        <v>1618</v>
      </c>
      <c r="F1294" s="11">
        <v>2431</v>
      </c>
      <c r="G1294" s="11">
        <v>2443</v>
      </c>
      <c r="H1294" s="11">
        <v>4874</v>
      </c>
      <c r="I1294" s="11">
        <v>1702</v>
      </c>
      <c r="J1294" s="66">
        <f t="shared" si="74"/>
        <v>49.876897825194909</v>
      </c>
      <c r="K1294" s="66">
        <f t="shared" si="75"/>
        <v>50.123102174805091</v>
      </c>
    </row>
    <row r="1295" spans="1:11" ht="41.4" x14ac:dyDescent="0.3">
      <c r="A1295" s="10">
        <v>47</v>
      </c>
      <c r="B1295" s="10" t="s">
        <v>1592</v>
      </c>
      <c r="C1295" s="10" t="str" cm="1">
        <f t="array" ref="C1295">_xlfn.IFS(A1295&lt;20, "ภาคกลาง", A1295&lt;30, "ภาคตะวันออก", A1295&lt;50, "ภาคตะวันออกเฉียงเหนือ", A1295&lt;60, "ภาคเหนือ", A1295&lt;80, "ภาคกลาง/ตะวันตก", A1295&gt;=80, "ภาคใต้")</f>
        <v>ภาคตะวันออกเฉียงเหนือ</v>
      </c>
      <c r="D1295" s="64">
        <v>4787</v>
      </c>
      <c r="E1295" s="10" t="s">
        <v>1619</v>
      </c>
      <c r="F1295" s="11">
        <v>3819</v>
      </c>
      <c r="G1295" s="11">
        <v>4177</v>
      </c>
      <c r="H1295" s="11">
        <v>7996</v>
      </c>
      <c r="I1295" s="11">
        <v>5077</v>
      </c>
      <c r="J1295" s="66">
        <f t="shared" si="74"/>
        <v>47.76138069034517</v>
      </c>
      <c r="K1295" s="66">
        <f t="shared" si="75"/>
        <v>52.23861930965483</v>
      </c>
    </row>
    <row r="1296" spans="1:11" ht="41.4" x14ac:dyDescent="0.3">
      <c r="A1296" s="10">
        <v>47</v>
      </c>
      <c r="B1296" s="10" t="s">
        <v>1592</v>
      </c>
      <c r="C1296" s="10" t="str" cm="1">
        <f t="array" ref="C1296">_xlfn.IFS(A1296&lt;20, "ภาคกลาง", A1296&lt;30, "ภาคตะวันออก", A1296&lt;50, "ภาคตะวันออกเฉียงเหนือ", A1296&lt;60, "ภาคเหนือ", A1296&lt;80, "ภาคกลาง/ตะวันตก", A1296&gt;=80, "ภาคใต้")</f>
        <v>ภาคตะวันออกเฉียงเหนือ</v>
      </c>
      <c r="D1296" s="64">
        <v>4788</v>
      </c>
      <c r="E1296" s="10" t="s">
        <v>1620</v>
      </c>
      <c r="F1296" s="11">
        <v>2006</v>
      </c>
      <c r="G1296" s="11">
        <v>2074</v>
      </c>
      <c r="H1296" s="11">
        <v>4080</v>
      </c>
      <c r="I1296" s="11">
        <v>1339</v>
      </c>
      <c r="J1296" s="66">
        <f t="shared" si="74"/>
        <v>49.166666666666664</v>
      </c>
      <c r="K1296" s="66">
        <f t="shared" si="75"/>
        <v>50.833333333333329</v>
      </c>
    </row>
    <row r="1297" spans="1:11" ht="41.4" x14ac:dyDescent="0.3">
      <c r="A1297" s="10">
        <v>47</v>
      </c>
      <c r="B1297" s="10" t="s">
        <v>1592</v>
      </c>
      <c r="C1297" s="10" t="str" cm="1">
        <f t="array" ref="C1297">_xlfn.IFS(A1297&lt;20, "ภาคกลาง", A1297&lt;30, "ภาคตะวันออก", A1297&lt;50, "ภาคตะวันออกเฉียงเหนือ", A1297&lt;60, "ภาคเหนือ", A1297&lt;80, "ภาคกลาง/ตะวันตก", A1297&gt;=80, "ภาคใต้")</f>
        <v>ภาคตะวันออกเฉียงเหนือ</v>
      </c>
      <c r="D1297" s="64">
        <v>4789</v>
      </c>
      <c r="E1297" s="10" t="s">
        <v>1621</v>
      </c>
      <c r="F1297" s="11">
        <v>4260</v>
      </c>
      <c r="G1297" s="11">
        <v>4488</v>
      </c>
      <c r="H1297" s="11">
        <v>8748</v>
      </c>
      <c r="I1297" s="11">
        <v>3147</v>
      </c>
      <c r="J1297" s="66">
        <f t="shared" si="74"/>
        <v>48.696844993141291</v>
      </c>
      <c r="K1297" s="66">
        <f t="shared" si="75"/>
        <v>51.303155006858717</v>
      </c>
    </row>
    <row r="1298" spans="1:11" ht="41.4" x14ac:dyDescent="0.3">
      <c r="A1298" s="10">
        <v>47</v>
      </c>
      <c r="B1298" s="10" t="s">
        <v>1592</v>
      </c>
      <c r="C1298" s="10" t="str" cm="1">
        <f t="array" ref="C1298">_xlfn.IFS(A1298&lt;20, "ภาคกลาง", A1298&lt;30, "ภาคตะวันออก", A1298&lt;50, "ภาคตะวันออกเฉียงเหนือ", A1298&lt;60, "ภาคเหนือ", A1298&lt;80, "ภาคกลาง/ตะวันตก", A1298&gt;=80, "ภาคใต้")</f>
        <v>ภาคตะวันออกเฉียงเหนือ</v>
      </c>
      <c r="D1298" s="64">
        <v>4790</v>
      </c>
      <c r="E1298" s="10" t="s">
        <v>1622</v>
      </c>
      <c r="F1298" s="11">
        <v>1671</v>
      </c>
      <c r="G1298" s="11">
        <v>1815</v>
      </c>
      <c r="H1298" s="11">
        <v>3486</v>
      </c>
      <c r="I1298" s="11">
        <v>1573</v>
      </c>
      <c r="J1298" s="66">
        <f t="shared" si="74"/>
        <v>47.934595524956968</v>
      </c>
      <c r="K1298" s="66">
        <f t="shared" si="75"/>
        <v>52.065404475043032</v>
      </c>
    </row>
    <row r="1299" spans="1:11" ht="41.4" x14ac:dyDescent="0.3">
      <c r="A1299" s="10">
        <v>47</v>
      </c>
      <c r="B1299" s="10" t="s">
        <v>1592</v>
      </c>
      <c r="C1299" s="10" t="str" cm="1">
        <f t="array" ref="C1299">_xlfn.IFS(A1299&lt;20, "ภาคกลาง", A1299&lt;30, "ภาคตะวันออก", A1299&lt;50, "ภาคตะวันออกเฉียงเหนือ", A1299&lt;60, "ภาคเหนือ", A1299&lt;80, "ภาคกลาง/ตะวันตก", A1299&gt;=80, "ภาคใต้")</f>
        <v>ภาคตะวันออกเฉียงเหนือ</v>
      </c>
      <c r="D1299" s="64">
        <v>4791</v>
      </c>
      <c r="E1299" s="10" t="s">
        <v>1623</v>
      </c>
      <c r="F1299" s="11">
        <v>3459</v>
      </c>
      <c r="G1299" s="11">
        <v>3572</v>
      </c>
      <c r="H1299" s="11">
        <v>7031</v>
      </c>
      <c r="I1299" s="11">
        <v>2406</v>
      </c>
      <c r="J1299" s="66">
        <f t="shared" si="74"/>
        <v>49.196415872564359</v>
      </c>
      <c r="K1299" s="66">
        <f t="shared" si="75"/>
        <v>50.803584127435641</v>
      </c>
    </row>
    <row r="1300" spans="1:11" ht="41.4" x14ac:dyDescent="0.3">
      <c r="A1300" s="10">
        <v>47</v>
      </c>
      <c r="B1300" s="10" t="s">
        <v>1592</v>
      </c>
      <c r="C1300" s="10" t="str" cm="1">
        <f t="array" ref="C1300">_xlfn.IFS(A1300&lt;20, "ภาคกลาง", A1300&lt;30, "ภาคตะวันออก", A1300&lt;50, "ภาคตะวันออกเฉียงเหนือ", A1300&lt;60, "ภาคเหนือ", A1300&lt;80, "ภาคกลาง/ตะวันตก", A1300&gt;=80, "ภาคใต้")</f>
        <v>ภาคตะวันออกเฉียงเหนือ</v>
      </c>
      <c r="D1300" s="64">
        <v>4792</v>
      </c>
      <c r="E1300" s="10" t="s">
        <v>1624</v>
      </c>
      <c r="F1300" s="11">
        <v>2611</v>
      </c>
      <c r="G1300" s="11">
        <v>2887</v>
      </c>
      <c r="H1300" s="11">
        <v>5498</v>
      </c>
      <c r="I1300" s="11">
        <v>2421</v>
      </c>
      <c r="J1300" s="66">
        <f t="shared" si="74"/>
        <v>47.489996362313569</v>
      </c>
      <c r="K1300" s="66">
        <f t="shared" si="75"/>
        <v>52.510003637686431</v>
      </c>
    </row>
    <row r="1301" spans="1:11" ht="41.4" x14ac:dyDescent="0.3">
      <c r="A1301" s="10">
        <v>47</v>
      </c>
      <c r="B1301" s="10" t="s">
        <v>1592</v>
      </c>
      <c r="C1301" s="10" t="str" cm="1">
        <f t="array" ref="C1301">_xlfn.IFS(A1301&lt;20, "ภาคกลาง", A1301&lt;30, "ภาคตะวันออก", A1301&lt;50, "ภาคตะวันออกเฉียงเหนือ", A1301&lt;60, "ภาคเหนือ", A1301&lt;80, "ภาคกลาง/ตะวันตก", A1301&gt;=80, "ภาคใต้")</f>
        <v>ภาคตะวันออกเฉียงเหนือ</v>
      </c>
      <c r="D1301" s="64">
        <v>4793</v>
      </c>
      <c r="E1301" s="10" t="s">
        <v>1625</v>
      </c>
      <c r="F1301" s="11">
        <v>1286</v>
      </c>
      <c r="G1301" s="11">
        <v>1339</v>
      </c>
      <c r="H1301" s="11">
        <v>2625</v>
      </c>
      <c r="I1301" s="11">
        <v>1416</v>
      </c>
      <c r="J1301" s="66">
        <f t="shared" si="74"/>
        <v>48.990476190476187</v>
      </c>
      <c r="K1301" s="66">
        <f t="shared" si="75"/>
        <v>51.009523809523806</v>
      </c>
    </row>
    <row r="1302" spans="1:11" ht="41.4" x14ac:dyDescent="0.3">
      <c r="A1302" s="10">
        <v>47</v>
      </c>
      <c r="B1302" s="10" t="s">
        <v>1592</v>
      </c>
      <c r="C1302" s="10" t="str" cm="1">
        <f t="array" ref="C1302">_xlfn.IFS(A1302&lt;20, "ภาคกลาง", A1302&lt;30, "ภาคตะวันออก", A1302&lt;50, "ภาคตะวันออกเฉียงเหนือ", A1302&lt;60, "ภาคเหนือ", A1302&lt;80, "ภาคกลาง/ตะวันตก", A1302&gt;=80, "ภาคใต้")</f>
        <v>ภาคตะวันออกเฉียงเหนือ</v>
      </c>
      <c r="D1302" s="64">
        <v>4794</v>
      </c>
      <c r="E1302" s="10" t="s">
        <v>1626</v>
      </c>
      <c r="F1302" s="11">
        <v>3087</v>
      </c>
      <c r="G1302" s="11">
        <v>3240</v>
      </c>
      <c r="H1302" s="11">
        <v>6327</v>
      </c>
      <c r="I1302" s="11">
        <v>4187</v>
      </c>
      <c r="J1302" s="66">
        <f t="shared" si="74"/>
        <v>48.790896159317207</v>
      </c>
      <c r="K1302" s="66">
        <f t="shared" si="75"/>
        <v>51.209103840682793</v>
      </c>
    </row>
    <row r="1303" spans="1:11" ht="41.4" x14ac:dyDescent="0.3">
      <c r="A1303" s="10">
        <v>47</v>
      </c>
      <c r="B1303" s="10" t="s">
        <v>1592</v>
      </c>
      <c r="C1303" s="10" t="str" cm="1">
        <f t="array" ref="C1303">_xlfn.IFS(A1303&lt;20, "ภาคกลาง", A1303&lt;30, "ภาคตะวันออก", A1303&lt;50, "ภาคตะวันออกเฉียงเหนือ", A1303&lt;60, "ภาคเหนือ", A1303&lt;80, "ภาคกลาง/ตะวันตก", A1303&gt;=80, "ภาคใต้")</f>
        <v>ภาคตะวันออกเฉียงเหนือ</v>
      </c>
      <c r="D1303" s="64">
        <v>4795</v>
      </c>
      <c r="E1303" s="10" t="s">
        <v>1627</v>
      </c>
      <c r="F1303" s="11">
        <v>1117</v>
      </c>
      <c r="G1303" s="11">
        <v>1256</v>
      </c>
      <c r="H1303" s="11">
        <v>2373</v>
      </c>
      <c r="I1303" s="11">
        <v>1499</v>
      </c>
      <c r="J1303" s="66">
        <f t="shared" si="74"/>
        <v>47.071217867678044</v>
      </c>
      <c r="K1303" s="66">
        <f t="shared" si="75"/>
        <v>52.928782132321949</v>
      </c>
    </row>
    <row r="1304" spans="1:11" ht="41.4" x14ac:dyDescent="0.3">
      <c r="A1304" s="10">
        <v>47</v>
      </c>
      <c r="B1304" s="10" t="s">
        <v>1592</v>
      </c>
      <c r="C1304" s="10" t="str" cm="1">
        <f t="array" ref="C1304">_xlfn.IFS(A1304&lt;20, "ภาคกลาง", A1304&lt;30, "ภาคตะวันออก", A1304&lt;50, "ภาคตะวันออกเฉียงเหนือ", A1304&lt;60, "ภาคเหนือ", A1304&lt;80, "ภาคกลาง/ตะวันตก", A1304&gt;=80, "ภาคใต้")</f>
        <v>ภาคตะวันออกเฉียงเหนือ</v>
      </c>
      <c r="D1304" s="64">
        <v>4796</v>
      </c>
      <c r="E1304" s="10" t="s">
        <v>1628</v>
      </c>
      <c r="F1304" s="11">
        <v>2465</v>
      </c>
      <c r="G1304" s="11">
        <v>2589</v>
      </c>
      <c r="H1304" s="11">
        <v>5054</v>
      </c>
      <c r="I1304" s="11">
        <v>1995</v>
      </c>
      <c r="J1304" s="66">
        <f t="shared" si="74"/>
        <v>48.773248911753065</v>
      </c>
      <c r="K1304" s="66">
        <f t="shared" si="75"/>
        <v>51.226751088246935</v>
      </c>
    </row>
    <row r="1305" spans="1:11" ht="41.4" x14ac:dyDescent="0.3">
      <c r="A1305" s="10">
        <v>47</v>
      </c>
      <c r="B1305" s="10" t="s">
        <v>1592</v>
      </c>
      <c r="C1305" s="10" t="str" cm="1">
        <f t="array" ref="C1305">_xlfn.IFS(A1305&lt;20, "ภาคกลาง", A1305&lt;30, "ภาคตะวันออก", A1305&lt;50, "ภาคตะวันออกเฉียงเหนือ", A1305&lt;60, "ภาคเหนือ", A1305&lt;80, "ภาคกลาง/ตะวันตก", A1305&gt;=80, "ภาคใต้")</f>
        <v>ภาคตะวันออกเฉียงเหนือ</v>
      </c>
      <c r="D1305" s="64">
        <v>4797</v>
      </c>
      <c r="E1305" s="10" t="s">
        <v>1629</v>
      </c>
      <c r="F1305" s="11">
        <v>1921</v>
      </c>
      <c r="G1305" s="11">
        <v>2062</v>
      </c>
      <c r="H1305" s="11">
        <v>3983</v>
      </c>
      <c r="I1305" s="11">
        <v>1791</v>
      </c>
      <c r="J1305" s="66">
        <f t="shared" si="74"/>
        <v>48.229977403966863</v>
      </c>
      <c r="K1305" s="66">
        <f t="shared" si="75"/>
        <v>51.770022596033137</v>
      </c>
    </row>
    <row r="1306" spans="1:11" ht="41.4" x14ac:dyDescent="0.3">
      <c r="A1306" s="10">
        <v>47</v>
      </c>
      <c r="B1306" s="10" t="s">
        <v>1592</v>
      </c>
      <c r="C1306" s="10" t="str" cm="1">
        <f t="array" ref="C1306">_xlfn.IFS(A1306&lt;20, "ภาคกลาง", A1306&lt;30, "ภาคตะวันออก", A1306&lt;50, "ภาคตะวันออกเฉียงเหนือ", A1306&lt;60, "ภาคเหนือ", A1306&lt;80, "ภาคกลาง/ตะวันตก", A1306&gt;=80, "ภาคใต้")</f>
        <v>ภาคตะวันออกเฉียงเหนือ</v>
      </c>
      <c r="D1306" s="64">
        <v>4798</v>
      </c>
      <c r="E1306" s="10" t="s">
        <v>1630</v>
      </c>
      <c r="F1306" s="11">
        <v>3039</v>
      </c>
      <c r="G1306" s="11">
        <v>3321</v>
      </c>
      <c r="H1306" s="11">
        <v>6360</v>
      </c>
      <c r="I1306" s="11">
        <v>2368</v>
      </c>
      <c r="J1306" s="66">
        <f t="shared" si="74"/>
        <v>47.783018867924525</v>
      </c>
      <c r="K1306" s="66">
        <f t="shared" si="75"/>
        <v>52.216981132075468</v>
      </c>
    </row>
    <row r="1307" spans="1:11" ht="41.4" x14ac:dyDescent="0.3">
      <c r="A1307" s="10">
        <v>47</v>
      </c>
      <c r="B1307" s="10" t="s">
        <v>1592</v>
      </c>
      <c r="C1307" s="10" t="str" cm="1">
        <f t="array" ref="C1307">_xlfn.IFS(A1307&lt;20, "ภาคกลาง", A1307&lt;30, "ภาคตะวันออก", A1307&lt;50, "ภาคตะวันออกเฉียงเหนือ", A1307&lt;60, "ภาคเหนือ", A1307&lt;80, "ภาคกลาง/ตะวันตก", A1307&gt;=80, "ภาคใต้")</f>
        <v>ภาคตะวันออกเฉียงเหนือ</v>
      </c>
      <c r="D1307" s="64">
        <v>4799</v>
      </c>
      <c r="E1307" s="10" t="s">
        <v>1631</v>
      </c>
      <c r="F1307" s="11">
        <v>2714</v>
      </c>
      <c r="G1307" s="11">
        <v>3050</v>
      </c>
      <c r="H1307" s="11">
        <v>5764</v>
      </c>
      <c r="I1307" s="11">
        <v>2344</v>
      </c>
      <c r="J1307" s="66">
        <f t="shared" si="74"/>
        <v>47.085357390700906</v>
      </c>
      <c r="K1307" s="66">
        <f t="shared" si="75"/>
        <v>52.914642609299101</v>
      </c>
    </row>
    <row r="1308" spans="1:11" ht="41.4" hidden="1" x14ac:dyDescent="0.3">
      <c r="A1308" s="10">
        <v>47</v>
      </c>
      <c r="B1308" s="10" t="s">
        <v>1592</v>
      </c>
      <c r="C1308" s="10" t="str" cm="1">
        <f t="array" ref="C1308">_xlfn.IFS(A1308&lt;20, "ภาคกลาง", A1308&lt;30, "ภาคตะวันออก", A1308&lt;50, "ภาคตะวันออกเฉียงเหนือ", A1308&lt;60, "ภาคเหนือ", A1308&lt;80, "ภาคกลาง/ตะวันตก", A1308&gt;=80, "ภาคใต้")</f>
        <v>ภาคตะวันออกเฉียงเหนือ</v>
      </c>
      <c r="D1308" s="10">
        <v>0</v>
      </c>
      <c r="E1308" s="10" t="s">
        <v>343</v>
      </c>
      <c r="F1308" s="11">
        <v>23910</v>
      </c>
      <c r="G1308" s="11">
        <v>25842</v>
      </c>
      <c r="H1308" s="11">
        <v>49752</v>
      </c>
      <c r="I1308" s="11">
        <v>30255</v>
      </c>
      <c r="J1308"/>
      <c r="K1308"/>
    </row>
    <row r="1309" spans="1:11" ht="41.4" x14ac:dyDescent="0.3">
      <c r="A1309" s="10">
        <v>48</v>
      </c>
      <c r="B1309" s="10" t="s">
        <v>1632</v>
      </c>
      <c r="C1309" s="10" t="str" cm="1">
        <f t="array" ref="C1309">_xlfn.IFS(A1309&lt;20, "ภาคกลาง", A1309&lt;30, "ภาคตะวันออก", A1309&lt;50, "ภาคตะวันออกเฉียงเหนือ", A1309&lt;60, "ภาคเหนือ", A1309&lt;80, "ภาคกลาง/ตะวันตก", A1309&gt;=80, "ภาคใต้")</f>
        <v>ภาคตะวันออกเฉียงเหนือ</v>
      </c>
      <c r="D1309" s="64">
        <v>4801</v>
      </c>
      <c r="E1309" s="10" t="s">
        <v>1633</v>
      </c>
      <c r="F1309" s="11">
        <v>353531</v>
      </c>
      <c r="G1309" s="11">
        <v>357209</v>
      </c>
      <c r="H1309" s="11">
        <v>710740</v>
      </c>
      <c r="I1309" s="11">
        <v>246183</v>
      </c>
      <c r="J1309" s="66">
        <f t="shared" ref="J1309:J1330" si="76">F1309/H1309*100</f>
        <v>49.741255592762471</v>
      </c>
      <c r="K1309" s="66">
        <f t="shared" ref="K1309:K1330" si="77">G1309/H1309*100</f>
        <v>50.258744407237529</v>
      </c>
    </row>
    <row r="1310" spans="1:11" ht="41.4" x14ac:dyDescent="0.3">
      <c r="A1310" s="10">
        <v>48</v>
      </c>
      <c r="B1310" s="10" t="s">
        <v>1632</v>
      </c>
      <c r="C1310" s="10" t="str" cm="1">
        <f t="array" ref="C1310">_xlfn.IFS(A1310&lt;20, "ภาคกลาง", A1310&lt;30, "ภาคตะวันออก", A1310&lt;50, "ภาคตะวันออกเฉียงเหนือ", A1310&lt;60, "ภาคเหนือ", A1310&lt;80, "ภาคกลาง/ตะวันตก", A1310&gt;=80, "ภาคใต้")</f>
        <v>ภาคตะวันออกเฉียงเหนือ</v>
      </c>
      <c r="D1310" s="64">
        <v>4802</v>
      </c>
      <c r="E1310" s="10" t="s">
        <v>1634</v>
      </c>
      <c r="F1310" s="11">
        <v>58238</v>
      </c>
      <c r="G1310" s="11">
        <v>58085</v>
      </c>
      <c r="H1310" s="11">
        <v>116323</v>
      </c>
      <c r="I1310" s="11">
        <v>38292</v>
      </c>
      <c r="J1310" s="66">
        <f t="shared" si="76"/>
        <v>50.065765153924843</v>
      </c>
      <c r="K1310" s="66">
        <f t="shared" si="77"/>
        <v>49.934234846075157</v>
      </c>
    </row>
    <row r="1311" spans="1:11" ht="41.4" x14ac:dyDescent="0.3">
      <c r="A1311" s="10">
        <v>48</v>
      </c>
      <c r="B1311" s="10" t="s">
        <v>1632</v>
      </c>
      <c r="C1311" s="10" t="str" cm="1">
        <f t="array" ref="C1311">_xlfn.IFS(A1311&lt;20, "ภาคกลาง", A1311&lt;30, "ภาคตะวันออก", A1311&lt;50, "ภาคตะวันออกเฉียงเหนือ", A1311&lt;60, "ภาคเหนือ", A1311&lt;80, "ภาคกลาง/ตะวันตก", A1311&gt;=80, "ภาคใต้")</f>
        <v>ภาคตะวันออกเฉียงเหนือ</v>
      </c>
      <c r="D1311" s="64">
        <v>4803</v>
      </c>
      <c r="E1311" s="10" t="s">
        <v>1635</v>
      </c>
      <c r="F1311" s="11">
        <v>25314</v>
      </c>
      <c r="G1311" s="11">
        <v>24974</v>
      </c>
      <c r="H1311" s="11">
        <v>50288</v>
      </c>
      <c r="I1311" s="11">
        <v>16998</v>
      </c>
      <c r="J1311" s="66">
        <f t="shared" si="76"/>
        <v>50.338052815781097</v>
      </c>
      <c r="K1311" s="66">
        <f t="shared" si="77"/>
        <v>49.661947184218896</v>
      </c>
    </row>
    <row r="1312" spans="1:11" ht="41.4" x14ac:dyDescent="0.3">
      <c r="A1312" s="10">
        <v>48</v>
      </c>
      <c r="B1312" s="10" t="s">
        <v>1632</v>
      </c>
      <c r="C1312" s="10" t="str" cm="1">
        <f t="array" ref="C1312">_xlfn.IFS(A1312&lt;20, "ภาคกลาง", A1312&lt;30, "ภาคตะวันออก", A1312&lt;50, "ภาคตะวันออกเฉียงเหนือ", A1312&lt;60, "ภาคเหนือ", A1312&lt;80, "ภาคกลาง/ตะวันตก", A1312&gt;=80, "ภาคใต้")</f>
        <v>ภาคตะวันออกเฉียงเหนือ</v>
      </c>
      <c r="D1312" s="64">
        <v>4804</v>
      </c>
      <c r="E1312" s="10" t="s">
        <v>1636</v>
      </c>
      <c r="F1312" s="11">
        <v>27372</v>
      </c>
      <c r="G1312" s="11">
        <v>27076</v>
      </c>
      <c r="H1312" s="11">
        <v>54448</v>
      </c>
      <c r="I1312" s="11">
        <v>16593</v>
      </c>
      <c r="J1312" s="66">
        <f t="shared" si="76"/>
        <v>50.271818983250071</v>
      </c>
      <c r="K1312" s="66">
        <f t="shared" si="77"/>
        <v>49.728181016749929</v>
      </c>
    </row>
    <row r="1313" spans="1:11" ht="41.4" x14ac:dyDescent="0.3">
      <c r="A1313" s="10">
        <v>48</v>
      </c>
      <c r="B1313" s="10" t="s">
        <v>1632</v>
      </c>
      <c r="C1313" s="10" t="str" cm="1">
        <f t="array" ref="C1313">_xlfn.IFS(A1313&lt;20, "ภาคกลาง", A1313&lt;30, "ภาคตะวันออก", A1313&lt;50, "ภาคตะวันออกเฉียงเหนือ", A1313&lt;60, "ภาคเหนือ", A1313&lt;80, "ภาคกลาง/ตะวันตก", A1313&gt;=80, "ภาคใต้")</f>
        <v>ภาคตะวันออกเฉียงเหนือ</v>
      </c>
      <c r="D1313" s="64">
        <v>4805</v>
      </c>
      <c r="E1313" s="10" t="s">
        <v>1637</v>
      </c>
      <c r="F1313" s="11">
        <v>13259</v>
      </c>
      <c r="G1313" s="11">
        <v>13154</v>
      </c>
      <c r="H1313" s="11">
        <v>26413</v>
      </c>
      <c r="I1313" s="11">
        <v>8719</v>
      </c>
      <c r="J1313" s="66">
        <f t="shared" si="76"/>
        <v>50.198765759285202</v>
      </c>
      <c r="K1313" s="66">
        <f t="shared" si="77"/>
        <v>49.801234240714798</v>
      </c>
    </row>
    <row r="1314" spans="1:11" ht="41.4" x14ac:dyDescent="0.3">
      <c r="A1314" s="10">
        <v>48</v>
      </c>
      <c r="B1314" s="10" t="s">
        <v>1632</v>
      </c>
      <c r="C1314" s="10" t="str" cm="1">
        <f t="array" ref="C1314">_xlfn.IFS(A1314&lt;20, "ภาคกลาง", A1314&lt;30, "ภาคตะวันออก", A1314&lt;50, "ภาคตะวันออกเฉียงเหนือ", A1314&lt;60, "ภาคเหนือ", A1314&lt;80, "ภาคกลาง/ตะวันตก", A1314&gt;=80, "ภาคใต้")</f>
        <v>ภาคตะวันออกเฉียงเหนือ</v>
      </c>
      <c r="D1314" s="64">
        <v>4806</v>
      </c>
      <c r="E1314" s="10" t="s">
        <v>1638</v>
      </c>
      <c r="F1314" s="11">
        <v>35289</v>
      </c>
      <c r="G1314" s="11">
        <v>35882</v>
      </c>
      <c r="H1314" s="11">
        <v>71171</v>
      </c>
      <c r="I1314" s="11">
        <v>23042</v>
      </c>
      <c r="J1314" s="66">
        <f t="shared" si="76"/>
        <v>49.583397732222394</v>
      </c>
      <c r="K1314" s="66">
        <f t="shared" si="77"/>
        <v>50.416602267777613</v>
      </c>
    </row>
    <row r="1315" spans="1:11" ht="41.4" x14ac:dyDescent="0.3">
      <c r="A1315" s="10">
        <v>48</v>
      </c>
      <c r="B1315" s="10" t="s">
        <v>1632</v>
      </c>
      <c r="C1315" s="10" t="str" cm="1">
        <f t="array" ref="C1315">_xlfn.IFS(A1315&lt;20, "ภาคกลาง", A1315&lt;30, "ภาคตะวันออก", A1315&lt;50, "ภาคตะวันออกเฉียงเหนือ", A1315&lt;60, "ภาคเหนือ", A1315&lt;80, "ภาคกลาง/ตะวันตก", A1315&gt;=80, "ภาคใต้")</f>
        <v>ภาคตะวันออกเฉียงเหนือ</v>
      </c>
      <c r="D1315" s="64">
        <v>4807</v>
      </c>
      <c r="E1315" s="10" t="s">
        <v>1639</v>
      </c>
      <c r="F1315" s="11">
        <v>20526</v>
      </c>
      <c r="G1315" s="11">
        <v>20541</v>
      </c>
      <c r="H1315" s="11">
        <v>41067</v>
      </c>
      <c r="I1315" s="11">
        <v>13624</v>
      </c>
      <c r="J1315" s="66">
        <f t="shared" si="76"/>
        <v>49.981737161224345</v>
      </c>
      <c r="K1315" s="66">
        <f t="shared" si="77"/>
        <v>50.018262838775662</v>
      </c>
    </row>
    <row r="1316" spans="1:11" ht="41.4" x14ac:dyDescent="0.3">
      <c r="A1316" s="10">
        <v>48</v>
      </c>
      <c r="B1316" s="10" t="s">
        <v>1632</v>
      </c>
      <c r="C1316" s="10" t="str" cm="1">
        <f t="array" ref="C1316">_xlfn.IFS(A1316&lt;20, "ภาคกลาง", A1316&lt;30, "ภาคตะวันออก", A1316&lt;50, "ภาคตะวันออกเฉียงเหนือ", A1316&lt;60, "ภาคเหนือ", A1316&lt;80, "ภาคกลาง/ตะวันตก", A1316&gt;=80, "ภาคใต้")</f>
        <v>ภาคตะวันออกเฉียงเหนือ</v>
      </c>
      <c r="D1316" s="64">
        <v>4808</v>
      </c>
      <c r="E1316" s="10" t="s">
        <v>1640</v>
      </c>
      <c r="F1316" s="11">
        <v>35610</v>
      </c>
      <c r="G1316" s="11">
        <v>36127</v>
      </c>
      <c r="H1316" s="11">
        <v>71737</v>
      </c>
      <c r="I1316" s="11">
        <v>22679</v>
      </c>
      <c r="J1316" s="66">
        <f t="shared" si="76"/>
        <v>49.639655965540797</v>
      </c>
      <c r="K1316" s="66">
        <f t="shared" si="77"/>
        <v>50.360344034459203</v>
      </c>
    </row>
    <row r="1317" spans="1:11" ht="41.4" x14ac:dyDescent="0.3">
      <c r="A1317" s="10">
        <v>48</v>
      </c>
      <c r="B1317" s="10" t="s">
        <v>1632</v>
      </c>
      <c r="C1317" s="10" t="str" cm="1">
        <f t="array" ref="C1317">_xlfn.IFS(A1317&lt;20, "ภาคกลาง", A1317&lt;30, "ภาคตะวันออก", A1317&lt;50, "ภาคตะวันออกเฉียงเหนือ", A1317&lt;60, "ภาคเหนือ", A1317&lt;80, "ภาคกลาง/ตะวันตก", A1317&gt;=80, "ภาคใต้")</f>
        <v>ภาคตะวันออกเฉียงเหนือ</v>
      </c>
      <c r="D1317" s="64">
        <v>4809</v>
      </c>
      <c r="E1317" s="10" t="s">
        <v>1641</v>
      </c>
      <c r="F1317" s="11">
        <v>31907</v>
      </c>
      <c r="G1317" s="11">
        <v>32302</v>
      </c>
      <c r="H1317" s="11">
        <v>64209</v>
      </c>
      <c r="I1317" s="11">
        <v>20234</v>
      </c>
      <c r="J1317" s="66">
        <f t="shared" si="76"/>
        <v>49.692410721238453</v>
      </c>
      <c r="K1317" s="66">
        <f t="shared" si="77"/>
        <v>50.307589278761547</v>
      </c>
    </row>
    <row r="1318" spans="1:11" ht="41.4" x14ac:dyDescent="0.3">
      <c r="A1318" s="10">
        <v>48</v>
      </c>
      <c r="B1318" s="10" t="s">
        <v>1632</v>
      </c>
      <c r="C1318" s="10" t="str" cm="1">
        <f t="array" ref="C1318">_xlfn.IFS(A1318&lt;20, "ภาคกลาง", A1318&lt;30, "ภาคตะวันออก", A1318&lt;50, "ภาคตะวันออกเฉียงเหนือ", A1318&lt;60, "ภาคเหนือ", A1318&lt;80, "ภาคกลาง/ตะวันตก", A1318&gt;=80, "ภาคใต้")</f>
        <v>ภาคตะวันออกเฉียงเหนือ</v>
      </c>
      <c r="D1318" s="64">
        <v>4810</v>
      </c>
      <c r="E1318" s="10" t="s">
        <v>1642</v>
      </c>
      <c r="F1318" s="11">
        <v>19847</v>
      </c>
      <c r="G1318" s="11">
        <v>19810</v>
      </c>
      <c r="H1318" s="11">
        <v>39657</v>
      </c>
      <c r="I1318" s="11">
        <v>14034</v>
      </c>
      <c r="J1318" s="66">
        <f t="shared" si="76"/>
        <v>50.046650023955422</v>
      </c>
      <c r="K1318" s="66">
        <f t="shared" si="77"/>
        <v>49.953349976044578</v>
      </c>
    </row>
    <row r="1319" spans="1:11" ht="41.4" x14ac:dyDescent="0.3">
      <c r="A1319" s="10">
        <v>48</v>
      </c>
      <c r="B1319" s="10" t="s">
        <v>1632</v>
      </c>
      <c r="C1319" s="10" t="str" cm="1">
        <f t="array" ref="C1319">_xlfn.IFS(A1319&lt;20, "ภาคกลาง", A1319&lt;30, "ภาคตะวันออก", A1319&lt;50, "ภาคตะวันออกเฉียงเหนือ", A1319&lt;60, "ภาคเหนือ", A1319&lt;80, "ภาคกลาง/ตะวันตก", A1319&gt;=80, "ภาคใต้")</f>
        <v>ภาคตะวันออกเฉียงเหนือ</v>
      </c>
      <c r="D1319" s="64">
        <v>4811</v>
      </c>
      <c r="E1319" s="10" t="s">
        <v>1643</v>
      </c>
      <c r="F1319" s="11">
        <v>26255</v>
      </c>
      <c r="G1319" s="11">
        <v>26346</v>
      </c>
      <c r="H1319" s="11">
        <v>52601</v>
      </c>
      <c r="I1319" s="11">
        <v>17720</v>
      </c>
      <c r="J1319" s="66">
        <f t="shared" si="76"/>
        <v>49.913499743350883</v>
      </c>
      <c r="K1319" s="66">
        <f t="shared" si="77"/>
        <v>50.086500256649117</v>
      </c>
    </row>
    <row r="1320" spans="1:11" ht="41.4" x14ac:dyDescent="0.3">
      <c r="A1320" s="10">
        <v>48</v>
      </c>
      <c r="B1320" s="10" t="s">
        <v>1632</v>
      </c>
      <c r="C1320" s="10" t="str" cm="1">
        <f t="array" ref="C1320">_xlfn.IFS(A1320&lt;20, "ภาคกลาง", A1320&lt;30, "ภาคตะวันออก", A1320&lt;50, "ภาคตะวันออกเฉียงเหนือ", A1320&lt;60, "ภาคเหนือ", A1320&lt;80, "ภาคกลาง/ตะวันตก", A1320&gt;=80, "ภาคใต้")</f>
        <v>ภาคตะวันออกเฉียงเหนือ</v>
      </c>
      <c r="D1320" s="64">
        <v>4812</v>
      </c>
      <c r="E1320" s="10" t="s">
        <v>1644</v>
      </c>
      <c r="F1320" s="11">
        <v>11815</v>
      </c>
      <c r="G1320" s="11">
        <v>11793</v>
      </c>
      <c r="H1320" s="11">
        <v>23608</v>
      </c>
      <c r="I1320" s="11">
        <v>7983</v>
      </c>
      <c r="J1320" s="66">
        <f t="shared" si="76"/>
        <v>50.046594374788214</v>
      </c>
      <c r="K1320" s="66">
        <f t="shared" si="77"/>
        <v>49.953405625211794</v>
      </c>
    </row>
    <row r="1321" spans="1:11" ht="41.4" x14ac:dyDescent="0.3">
      <c r="A1321" s="10">
        <v>48</v>
      </c>
      <c r="B1321" s="10" t="s">
        <v>1632</v>
      </c>
      <c r="C1321" s="10" t="str" cm="1">
        <f t="array" ref="C1321">_xlfn.IFS(A1321&lt;20, "ภาคกลาง", A1321&lt;30, "ภาคตะวันออก", A1321&lt;50, "ภาคตะวันออกเฉียงเหนือ", A1321&lt;60, "ภาคเหนือ", A1321&lt;80, "ภาคกลาง/ตะวันตก", A1321&gt;=80, "ภาคใต้")</f>
        <v>ภาคตะวันออกเฉียงเหนือ</v>
      </c>
      <c r="D1321" s="64">
        <v>4890</v>
      </c>
      <c r="E1321" s="10" t="s">
        <v>1645</v>
      </c>
      <c r="F1321" s="11">
        <v>7932</v>
      </c>
      <c r="G1321" s="11">
        <v>7732</v>
      </c>
      <c r="H1321" s="11">
        <v>15664</v>
      </c>
      <c r="I1321" s="11">
        <v>5021</v>
      </c>
      <c r="J1321" s="66">
        <f t="shared" si="76"/>
        <v>50.63840653728294</v>
      </c>
      <c r="K1321" s="66">
        <f t="shared" si="77"/>
        <v>49.36159346271706</v>
      </c>
    </row>
    <row r="1322" spans="1:11" ht="41.4" x14ac:dyDescent="0.3">
      <c r="A1322" s="10">
        <v>48</v>
      </c>
      <c r="B1322" s="10" t="s">
        <v>1632</v>
      </c>
      <c r="C1322" s="10" t="str" cm="1">
        <f t="array" ref="C1322">_xlfn.IFS(A1322&lt;20, "ภาคกลาง", A1322&lt;30, "ภาคตะวันออก", A1322&lt;50, "ภาคตะวันออกเฉียงเหนือ", A1322&lt;60, "ภาคเหนือ", A1322&lt;80, "ภาคกลาง/ตะวันตก", A1322&gt;=80, "ภาคใต้")</f>
        <v>ภาคตะวันออกเฉียงเหนือ</v>
      </c>
      <c r="D1322" s="64">
        <v>4891</v>
      </c>
      <c r="E1322" s="10" t="s">
        <v>1646</v>
      </c>
      <c r="F1322" s="11">
        <v>1871</v>
      </c>
      <c r="G1322" s="11">
        <v>2000</v>
      </c>
      <c r="H1322" s="11">
        <v>3871</v>
      </c>
      <c r="I1322" s="11">
        <v>1674</v>
      </c>
      <c r="J1322" s="66">
        <f t="shared" si="76"/>
        <v>48.333763885300954</v>
      </c>
      <c r="K1322" s="66">
        <f t="shared" si="77"/>
        <v>51.666236114699046</v>
      </c>
    </row>
    <row r="1323" spans="1:11" ht="41.4" x14ac:dyDescent="0.3">
      <c r="A1323" s="10">
        <v>48</v>
      </c>
      <c r="B1323" s="10" t="s">
        <v>1632</v>
      </c>
      <c r="C1323" s="10" t="str" cm="1">
        <f t="array" ref="C1323">_xlfn.IFS(A1323&lt;20, "ภาคกลาง", A1323&lt;30, "ภาคตะวันออก", A1323&lt;50, "ภาคตะวันออกเฉียงเหนือ", A1323&lt;60, "ภาคเหนือ", A1323&lt;80, "ภาคกลาง/ตะวันตก", A1323&gt;=80, "ภาคใต้")</f>
        <v>ภาคตะวันออกเฉียงเหนือ</v>
      </c>
      <c r="D1323" s="64">
        <v>4892</v>
      </c>
      <c r="E1323" s="10" t="s">
        <v>1647</v>
      </c>
      <c r="F1323" s="11">
        <v>2631</v>
      </c>
      <c r="G1323" s="11">
        <v>2674</v>
      </c>
      <c r="H1323" s="11">
        <v>5305</v>
      </c>
      <c r="I1323" s="11">
        <v>1945</v>
      </c>
      <c r="J1323" s="66">
        <f t="shared" si="76"/>
        <v>49.594721960414702</v>
      </c>
      <c r="K1323" s="66">
        <f t="shared" si="77"/>
        <v>50.405278039585298</v>
      </c>
    </row>
    <row r="1324" spans="1:11" ht="41.4" x14ac:dyDescent="0.3">
      <c r="A1324" s="10">
        <v>48</v>
      </c>
      <c r="B1324" s="10" t="s">
        <v>1632</v>
      </c>
      <c r="C1324" s="10" t="str" cm="1">
        <f t="array" ref="C1324">_xlfn.IFS(A1324&lt;20, "ภาคกลาง", A1324&lt;30, "ภาคตะวันออก", A1324&lt;50, "ภาคตะวันออกเฉียงเหนือ", A1324&lt;60, "ภาคเหนือ", A1324&lt;80, "ภาคกลาง/ตะวันตก", A1324&gt;=80, "ภาคใต้")</f>
        <v>ภาคตะวันออกเฉียงเหนือ</v>
      </c>
      <c r="D1324" s="64">
        <v>4893</v>
      </c>
      <c r="E1324" s="10" t="s">
        <v>1648</v>
      </c>
      <c r="F1324" s="11">
        <v>5915</v>
      </c>
      <c r="G1324" s="11">
        <v>6101</v>
      </c>
      <c r="H1324" s="11">
        <v>12016</v>
      </c>
      <c r="I1324" s="11">
        <v>4452</v>
      </c>
      <c r="J1324" s="66">
        <f t="shared" si="76"/>
        <v>49.226031957390148</v>
      </c>
      <c r="K1324" s="66">
        <f t="shared" si="77"/>
        <v>50.773968042609852</v>
      </c>
    </row>
    <row r="1325" spans="1:11" ht="41.4" x14ac:dyDescent="0.3">
      <c r="A1325" s="10">
        <v>48</v>
      </c>
      <c r="B1325" s="10" t="s">
        <v>1632</v>
      </c>
      <c r="C1325" s="10" t="str" cm="1">
        <f t="array" ref="C1325">_xlfn.IFS(A1325&lt;20, "ภาคกลาง", A1325&lt;30, "ภาคตะวันออก", A1325&lt;50, "ภาคตะวันออกเฉียงเหนือ", A1325&lt;60, "ภาคเหนือ", A1325&lt;80, "ภาคกลาง/ตะวันตก", A1325&gt;=80, "ภาคใต้")</f>
        <v>ภาคตะวันออกเฉียงเหนือ</v>
      </c>
      <c r="D1325" s="64">
        <v>4894</v>
      </c>
      <c r="E1325" s="10" t="s">
        <v>1649</v>
      </c>
      <c r="F1325" s="11">
        <v>2403</v>
      </c>
      <c r="G1325" s="11">
        <v>2513</v>
      </c>
      <c r="H1325" s="11">
        <v>4916</v>
      </c>
      <c r="I1325" s="11">
        <v>2713</v>
      </c>
      <c r="J1325" s="66">
        <f t="shared" si="76"/>
        <v>48.881204231082179</v>
      </c>
      <c r="K1325" s="66">
        <f t="shared" si="77"/>
        <v>51.118795768917821</v>
      </c>
    </row>
    <row r="1326" spans="1:11" ht="41.4" x14ac:dyDescent="0.3">
      <c r="A1326" s="10">
        <v>48</v>
      </c>
      <c r="B1326" s="10" t="s">
        <v>1632</v>
      </c>
      <c r="C1326" s="10" t="str" cm="1">
        <f t="array" ref="C1326">_xlfn.IFS(A1326&lt;20, "ภาคกลาง", A1326&lt;30, "ภาคตะวันออก", A1326&lt;50, "ภาคตะวันออกเฉียงเหนือ", A1326&lt;60, "ภาคเหนือ", A1326&lt;80, "ภาคกลาง/ตะวันตก", A1326&gt;=80, "ภาคใต้")</f>
        <v>ภาคตะวันออกเฉียงเหนือ</v>
      </c>
      <c r="D1326" s="64">
        <v>4895</v>
      </c>
      <c r="E1326" s="10" t="s">
        <v>1650</v>
      </c>
      <c r="F1326" s="11">
        <v>1959</v>
      </c>
      <c r="G1326" s="11">
        <v>2195</v>
      </c>
      <c r="H1326" s="11">
        <v>4154</v>
      </c>
      <c r="I1326" s="11">
        <v>2396</v>
      </c>
      <c r="J1326" s="66">
        <f t="shared" si="76"/>
        <v>47.15936446798267</v>
      </c>
      <c r="K1326" s="66">
        <f t="shared" si="77"/>
        <v>52.84063553201733</v>
      </c>
    </row>
    <row r="1327" spans="1:11" ht="41.4" x14ac:dyDescent="0.3">
      <c r="A1327" s="10">
        <v>48</v>
      </c>
      <c r="B1327" s="10" t="s">
        <v>1632</v>
      </c>
      <c r="C1327" s="10" t="str" cm="1">
        <f t="array" ref="C1327">_xlfn.IFS(A1327&lt;20, "ภาคกลาง", A1327&lt;30, "ภาคตะวันออก", A1327&lt;50, "ภาคตะวันออกเฉียงเหนือ", A1327&lt;60, "ภาคเหนือ", A1327&lt;80, "ภาคกลาง/ตะวันตก", A1327&gt;=80, "ภาคใต้")</f>
        <v>ภาคตะวันออกเฉียงเหนือ</v>
      </c>
      <c r="D1327" s="64">
        <v>4896</v>
      </c>
      <c r="E1327" s="10" t="s">
        <v>1651</v>
      </c>
      <c r="F1327" s="11">
        <v>2031</v>
      </c>
      <c r="G1327" s="11">
        <v>2280</v>
      </c>
      <c r="H1327" s="11">
        <v>4311</v>
      </c>
      <c r="I1327" s="11">
        <v>1753</v>
      </c>
      <c r="J1327" s="66">
        <f t="shared" si="76"/>
        <v>47.112038970076547</v>
      </c>
      <c r="K1327" s="66">
        <f t="shared" si="77"/>
        <v>52.887961029923446</v>
      </c>
    </row>
    <row r="1328" spans="1:11" ht="41.4" x14ac:dyDescent="0.3">
      <c r="A1328" s="10">
        <v>48</v>
      </c>
      <c r="B1328" s="10" t="s">
        <v>1632</v>
      </c>
      <c r="C1328" s="10" t="str" cm="1">
        <f t="array" ref="C1328">_xlfn.IFS(A1328&lt;20, "ภาคกลาง", A1328&lt;30, "ภาคตะวันออก", A1328&lt;50, "ภาคตะวันออกเฉียงเหนือ", A1328&lt;60, "ภาคเหนือ", A1328&lt;80, "ภาคกลาง/ตะวันตก", A1328&gt;=80, "ภาคใต้")</f>
        <v>ภาคตะวันออกเฉียงเหนือ</v>
      </c>
      <c r="D1328" s="64">
        <v>4897</v>
      </c>
      <c r="E1328" s="10" t="s">
        <v>1652</v>
      </c>
      <c r="F1328" s="11">
        <v>4675</v>
      </c>
      <c r="G1328" s="11">
        <v>4961</v>
      </c>
      <c r="H1328" s="11">
        <v>9636</v>
      </c>
      <c r="I1328" s="11">
        <v>4236</v>
      </c>
      <c r="J1328" s="66">
        <f t="shared" si="76"/>
        <v>48.515981735159819</v>
      </c>
      <c r="K1328" s="66">
        <f t="shared" si="77"/>
        <v>51.484018264840181</v>
      </c>
    </row>
    <row r="1329" spans="1:11" ht="41.4" x14ac:dyDescent="0.3">
      <c r="A1329" s="10">
        <v>48</v>
      </c>
      <c r="B1329" s="10" t="s">
        <v>1632</v>
      </c>
      <c r="C1329" s="10" t="str" cm="1">
        <f t="array" ref="C1329">_xlfn.IFS(A1329&lt;20, "ภาคกลาง", A1329&lt;30, "ภาคตะวันออก", A1329&lt;50, "ภาคตะวันออกเฉียงเหนือ", A1329&lt;60, "ภาคเหนือ", A1329&lt;80, "ภาคกลาง/ตะวันตก", A1329&gt;=80, "ภาคใต้")</f>
        <v>ภาคตะวันออกเฉียงเหนือ</v>
      </c>
      <c r="D1329" s="64">
        <v>4898</v>
      </c>
      <c r="E1329" s="10" t="s">
        <v>1653</v>
      </c>
      <c r="F1329" s="11">
        <v>4232</v>
      </c>
      <c r="G1329" s="11">
        <v>4379</v>
      </c>
      <c r="H1329" s="11">
        <v>8611</v>
      </c>
      <c r="I1329" s="11">
        <v>3866</v>
      </c>
      <c r="J1329" s="66">
        <f t="shared" si="76"/>
        <v>49.146440599233536</v>
      </c>
      <c r="K1329" s="66">
        <f t="shared" si="77"/>
        <v>50.853559400766457</v>
      </c>
    </row>
    <row r="1330" spans="1:11" ht="41.4" x14ac:dyDescent="0.3">
      <c r="A1330" s="10">
        <v>48</v>
      </c>
      <c r="B1330" s="10" t="s">
        <v>1632</v>
      </c>
      <c r="C1330" s="10" t="str" cm="1">
        <f t="array" ref="C1330">_xlfn.IFS(A1330&lt;20, "ภาคกลาง", A1330&lt;30, "ภาคตะวันออก", A1330&lt;50, "ภาคตะวันออกเฉียงเหนือ", A1330&lt;60, "ภาคเหนือ", A1330&lt;80, "ภาคกลาง/ตะวันตก", A1330&gt;=80, "ภาคใต้")</f>
        <v>ภาคตะวันออกเฉียงเหนือ</v>
      </c>
      <c r="D1330" s="64">
        <v>4899</v>
      </c>
      <c r="E1330" s="10" t="s">
        <v>1654</v>
      </c>
      <c r="F1330" s="11">
        <v>2278</v>
      </c>
      <c r="G1330" s="11">
        <v>2409</v>
      </c>
      <c r="H1330" s="11">
        <v>4687</v>
      </c>
      <c r="I1330" s="11">
        <v>2057</v>
      </c>
      <c r="J1330" s="66">
        <f t="shared" si="76"/>
        <v>48.60251760187753</v>
      </c>
      <c r="K1330" s="66">
        <f t="shared" si="77"/>
        <v>51.397482398122463</v>
      </c>
    </row>
    <row r="1331" spans="1:11" ht="41.4" hidden="1" x14ac:dyDescent="0.3">
      <c r="A1331" s="10">
        <v>48</v>
      </c>
      <c r="B1331" s="10" t="s">
        <v>1632</v>
      </c>
      <c r="C1331" s="10" t="str" cm="1">
        <f t="array" ref="C1331">_xlfn.IFS(A1331&lt;20, "ภาคกลาง", A1331&lt;30, "ภาคตะวันออก", A1331&lt;50, "ภาคตะวันออกเฉียงเหนือ", A1331&lt;60, "ภาคเหนือ", A1331&lt;80, "ภาคกลาง/ตะวันตก", A1331&gt;=80, "ภาคใต้")</f>
        <v>ภาคตะวันออกเฉียงเหนือ</v>
      </c>
      <c r="D1331" s="10">
        <v>0</v>
      </c>
      <c r="E1331" s="10" t="s">
        <v>343</v>
      </c>
      <c r="F1331" s="11">
        <v>12172</v>
      </c>
      <c r="G1331" s="11">
        <v>13875</v>
      </c>
      <c r="H1331" s="11">
        <v>26047</v>
      </c>
      <c r="I1331" s="11">
        <v>16152</v>
      </c>
      <c r="J1331"/>
      <c r="K1331"/>
    </row>
    <row r="1332" spans="1:11" ht="41.4" x14ac:dyDescent="0.3">
      <c r="A1332" s="10">
        <v>49</v>
      </c>
      <c r="B1332" s="10" t="s">
        <v>1655</v>
      </c>
      <c r="C1332" s="10" t="str" cm="1">
        <f t="array" ref="C1332">_xlfn.IFS(A1332&lt;20, "ภาคกลาง", A1332&lt;30, "ภาคตะวันออก", A1332&lt;50, "ภาคตะวันออกเฉียงเหนือ", A1332&lt;60, "ภาคเหนือ", A1332&lt;80, "ภาคกลาง/ตะวันตก", A1332&gt;=80, "ภาคใต้")</f>
        <v>ภาคตะวันออกเฉียงเหนือ</v>
      </c>
      <c r="D1332" s="64">
        <v>4901</v>
      </c>
      <c r="E1332" s="10" t="s">
        <v>1656</v>
      </c>
      <c r="F1332" s="11">
        <v>174977</v>
      </c>
      <c r="G1332" s="11">
        <v>175533</v>
      </c>
      <c r="H1332" s="11">
        <v>350510</v>
      </c>
      <c r="I1332" s="11">
        <v>126326</v>
      </c>
      <c r="J1332" s="66">
        <f t="shared" ref="J1332:J1346" si="78">F1332/H1332*100</f>
        <v>49.920686998944397</v>
      </c>
      <c r="K1332" s="66">
        <f t="shared" ref="K1332:K1346" si="79">G1332/H1332*100</f>
        <v>50.079313001055603</v>
      </c>
    </row>
    <row r="1333" spans="1:11" ht="41.4" x14ac:dyDescent="0.3">
      <c r="A1333" s="10">
        <v>49</v>
      </c>
      <c r="B1333" s="10" t="s">
        <v>1655</v>
      </c>
      <c r="C1333" s="10" t="str" cm="1">
        <f t="array" ref="C1333">_xlfn.IFS(A1333&lt;20, "ภาคกลาง", A1333&lt;30, "ภาคตะวันออก", A1333&lt;50, "ภาคตะวันออกเฉียงเหนือ", A1333&lt;60, "ภาคเหนือ", A1333&lt;80, "ภาคกลาง/ตะวันตก", A1333&gt;=80, "ภาคใต้")</f>
        <v>ภาคตะวันออกเฉียงเหนือ</v>
      </c>
      <c r="D1333" s="64">
        <v>4902</v>
      </c>
      <c r="E1333" s="10" t="s">
        <v>1657</v>
      </c>
      <c r="F1333" s="11">
        <v>40311</v>
      </c>
      <c r="G1333" s="11">
        <v>39830</v>
      </c>
      <c r="H1333" s="11">
        <v>80141</v>
      </c>
      <c r="I1333" s="11">
        <v>28489</v>
      </c>
      <c r="J1333" s="66">
        <f t="shared" si="78"/>
        <v>50.300096080657838</v>
      </c>
      <c r="K1333" s="66">
        <f t="shared" si="79"/>
        <v>49.699903919342162</v>
      </c>
    </row>
    <row r="1334" spans="1:11" ht="41.4" x14ac:dyDescent="0.3">
      <c r="A1334" s="10">
        <v>49</v>
      </c>
      <c r="B1334" s="10" t="s">
        <v>1655</v>
      </c>
      <c r="C1334" s="10" t="str" cm="1">
        <f t="array" ref="C1334">_xlfn.IFS(A1334&lt;20, "ภาคกลาง", A1334&lt;30, "ภาคตะวันออก", A1334&lt;50, "ภาคตะวันออกเฉียงเหนือ", A1334&lt;60, "ภาคเหนือ", A1334&lt;80, "ภาคกลาง/ตะวันตก", A1334&gt;=80, "ภาคใต้")</f>
        <v>ภาคตะวันออกเฉียงเหนือ</v>
      </c>
      <c r="D1334" s="64">
        <v>4903</v>
      </c>
      <c r="E1334" s="10" t="s">
        <v>1658</v>
      </c>
      <c r="F1334" s="11">
        <v>16930</v>
      </c>
      <c r="G1334" s="11">
        <v>17041</v>
      </c>
      <c r="H1334" s="11">
        <v>33971</v>
      </c>
      <c r="I1334" s="11">
        <v>10666</v>
      </c>
      <c r="J1334" s="66">
        <f t="shared" si="78"/>
        <v>49.836625356922085</v>
      </c>
      <c r="K1334" s="66">
        <f t="shared" si="79"/>
        <v>50.163374643077915</v>
      </c>
    </row>
    <row r="1335" spans="1:11" ht="41.4" x14ac:dyDescent="0.3">
      <c r="A1335" s="10">
        <v>49</v>
      </c>
      <c r="B1335" s="10" t="s">
        <v>1655</v>
      </c>
      <c r="C1335" s="10" t="str" cm="1">
        <f t="array" ref="C1335">_xlfn.IFS(A1335&lt;20, "ภาคกลาง", A1335&lt;30, "ภาคตะวันออก", A1335&lt;50, "ภาคตะวันออกเฉียงเหนือ", A1335&lt;60, "ภาคเหนือ", A1335&lt;80, "ภาคกลาง/ตะวันตก", A1335&gt;=80, "ภาคใต้")</f>
        <v>ภาคตะวันออกเฉียงเหนือ</v>
      </c>
      <c r="D1335" s="64">
        <v>4904</v>
      </c>
      <c r="E1335" s="10" t="s">
        <v>1659</v>
      </c>
      <c r="F1335" s="11">
        <v>19484</v>
      </c>
      <c r="G1335" s="11">
        <v>19276</v>
      </c>
      <c r="H1335" s="11">
        <v>38760</v>
      </c>
      <c r="I1335" s="11">
        <v>12387</v>
      </c>
      <c r="J1335" s="66">
        <f t="shared" si="78"/>
        <v>50.26831785345717</v>
      </c>
      <c r="K1335" s="66">
        <f t="shared" si="79"/>
        <v>49.73168214654283</v>
      </c>
    </row>
    <row r="1336" spans="1:11" ht="41.4" x14ac:dyDescent="0.3">
      <c r="A1336" s="10">
        <v>49</v>
      </c>
      <c r="B1336" s="10" t="s">
        <v>1655</v>
      </c>
      <c r="C1336" s="10" t="str" cm="1">
        <f t="array" ref="C1336">_xlfn.IFS(A1336&lt;20, "ภาคกลาง", A1336&lt;30, "ภาคตะวันออก", A1336&lt;50, "ภาคตะวันออกเฉียงเหนือ", A1336&lt;60, "ภาคเหนือ", A1336&lt;80, "ภาคกลาง/ตะวันตก", A1336&gt;=80, "ภาคใต้")</f>
        <v>ภาคตะวันออกเฉียงเหนือ</v>
      </c>
      <c r="D1336" s="64">
        <v>4905</v>
      </c>
      <c r="E1336" s="10" t="s">
        <v>1660</v>
      </c>
      <c r="F1336" s="11">
        <v>19725</v>
      </c>
      <c r="G1336" s="11">
        <v>19361</v>
      </c>
      <c r="H1336" s="11">
        <v>39086</v>
      </c>
      <c r="I1336" s="11">
        <v>12797</v>
      </c>
      <c r="J1336" s="66">
        <f t="shared" si="78"/>
        <v>50.465639871053568</v>
      </c>
      <c r="K1336" s="66">
        <f t="shared" si="79"/>
        <v>49.534360128946425</v>
      </c>
    </row>
    <row r="1337" spans="1:11" ht="41.4" x14ac:dyDescent="0.3">
      <c r="A1337" s="10">
        <v>49</v>
      </c>
      <c r="B1337" s="10" t="s">
        <v>1655</v>
      </c>
      <c r="C1337" s="10" t="str" cm="1">
        <f t="array" ref="C1337">_xlfn.IFS(A1337&lt;20, "ภาคกลาง", A1337&lt;30, "ภาคตะวันออก", A1337&lt;50, "ภาคตะวันออกเฉียงเหนือ", A1337&lt;60, "ภาคเหนือ", A1337&lt;80, "ภาคกลาง/ตะวันตก", A1337&gt;=80, "ภาคใต้")</f>
        <v>ภาคตะวันออกเฉียงเหนือ</v>
      </c>
      <c r="D1337" s="64">
        <v>4906</v>
      </c>
      <c r="E1337" s="10" t="s">
        <v>1661</v>
      </c>
      <c r="F1337" s="11">
        <v>21920</v>
      </c>
      <c r="G1337" s="11">
        <v>21985</v>
      </c>
      <c r="H1337" s="11">
        <v>43905</v>
      </c>
      <c r="I1337" s="11">
        <v>15234</v>
      </c>
      <c r="J1337" s="66">
        <f t="shared" si="78"/>
        <v>49.925976540257373</v>
      </c>
      <c r="K1337" s="66">
        <f t="shared" si="79"/>
        <v>50.074023459742619</v>
      </c>
    </row>
    <row r="1338" spans="1:11" ht="41.4" x14ac:dyDescent="0.3">
      <c r="A1338" s="10">
        <v>49</v>
      </c>
      <c r="B1338" s="10" t="s">
        <v>1655</v>
      </c>
      <c r="C1338" s="10" t="str" cm="1">
        <f t="array" ref="C1338">_xlfn.IFS(A1338&lt;20, "ภาคกลาง", A1338&lt;30, "ภาคตะวันออก", A1338&lt;50, "ภาคตะวันออกเฉียงเหนือ", A1338&lt;60, "ภาคเหนือ", A1338&lt;80, "ภาคกลาง/ตะวันตก", A1338&gt;=80, "ภาคใต้")</f>
        <v>ภาคตะวันออกเฉียงเหนือ</v>
      </c>
      <c r="D1338" s="64">
        <v>4907</v>
      </c>
      <c r="E1338" s="10" t="s">
        <v>1662</v>
      </c>
      <c r="F1338" s="11">
        <v>10068</v>
      </c>
      <c r="G1338" s="11">
        <v>10146</v>
      </c>
      <c r="H1338" s="11">
        <v>20214</v>
      </c>
      <c r="I1338" s="11">
        <v>6806</v>
      </c>
      <c r="J1338" s="66">
        <f t="shared" si="78"/>
        <v>49.807064410804394</v>
      </c>
      <c r="K1338" s="66">
        <f t="shared" si="79"/>
        <v>50.192935589195606</v>
      </c>
    </row>
    <row r="1339" spans="1:11" ht="41.4" x14ac:dyDescent="0.3">
      <c r="A1339" s="10">
        <v>49</v>
      </c>
      <c r="B1339" s="10" t="s">
        <v>1655</v>
      </c>
      <c r="C1339" s="10" t="str" cm="1">
        <f t="array" ref="C1339">_xlfn.IFS(A1339&lt;20, "ภาคกลาง", A1339&lt;30, "ภาคตะวันออก", A1339&lt;50, "ภาคตะวันออกเฉียงเหนือ", A1339&lt;60, "ภาคเหนือ", A1339&lt;80, "ภาคกลาง/ตะวันตก", A1339&gt;=80, "ภาคใต้")</f>
        <v>ภาคตะวันออกเฉียงเหนือ</v>
      </c>
      <c r="D1339" s="64">
        <v>4989</v>
      </c>
      <c r="E1339" s="10" t="s">
        <v>1663</v>
      </c>
      <c r="F1339" s="11">
        <v>10214</v>
      </c>
      <c r="G1339" s="11">
        <v>10290</v>
      </c>
      <c r="H1339" s="11">
        <v>20504</v>
      </c>
      <c r="I1339" s="11">
        <v>7795</v>
      </c>
      <c r="J1339" s="66">
        <f t="shared" si="78"/>
        <v>49.814670308232536</v>
      </c>
      <c r="K1339" s="66">
        <f t="shared" si="79"/>
        <v>50.185329691767457</v>
      </c>
    </row>
    <row r="1340" spans="1:11" ht="41.4" x14ac:dyDescent="0.3">
      <c r="A1340" s="10">
        <v>49</v>
      </c>
      <c r="B1340" s="10" t="s">
        <v>1655</v>
      </c>
      <c r="C1340" s="10" t="str" cm="1">
        <f t="array" ref="C1340">_xlfn.IFS(A1340&lt;20, "ภาคกลาง", A1340&lt;30, "ภาคตะวันออก", A1340&lt;50, "ภาคตะวันออกเฉียงเหนือ", A1340&lt;60, "ภาคเหนือ", A1340&lt;80, "ภาคกลาง/ตะวันตก", A1340&gt;=80, "ภาคใต้")</f>
        <v>ภาคตะวันออกเฉียงเหนือ</v>
      </c>
      <c r="D1340" s="64">
        <v>4993</v>
      </c>
      <c r="E1340" s="10" t="s">
        <v>1664</v>
      </c>
      <c r="F1340" s="11">
        <v>1699</v>
      </c>
      <c r="G1340" s="11">
        <v>1622</v>
      </c>
      <c r="H1340" s="11">
        <v>3321</v>
      </c>
      <c r="I1340" s="11">
        <v>1114</v>
      </c>
      <c r="J1340" s="66">
        <f t="shared" si="78"/>
        <v>51.15928937067148</v>
      </c>
      <c r="K1340" s="66">
        <f t="shared" si="79"/>
        <v>48.840710629328512</v>
      </c>
    </row>
    <row r="1341" spans="1:11" ht="41.4" x14ac:dyDescent="0.3">
      <c r="A1341" s="10">
        <v>49</v>
      </c>
      <c r="B1341" s="10" t="s">
        <v>1655</v>
      </c>
      <c r="C1341" s="10" t="str" cm="1">
        <f t="array" ref="C1341">_xlfn.IFS(A1341&lt;20, "ภาคกลาง", A1341&lt;30, "ภาคตะวันออก", A1341&lt;50, "ภาคตะวันออกเฉียงเหนือ", A1341&lt;60, "ภาคเหนือ", A1341&lt;80, "ภาคกลาง/ตะวันตก", A1341&gt;=80, "ภาคใต้")</f>
        <v>ภาคตะวันออกเฉียงเหนือ</v>
      </c>
      <c r="D1341" s="64">
        <v>4994</v>
      </c>
      <c r="E1341" s="10" t="s">
        <v>1665</v>
      </c>
      <c r="F1341" s="11">
        <v>1530</v>
      </c>
      <c r="G1341" s="11">
        <v>1553</v>
      </c>
      <c r="H1341" s="11">
        <v>3083</v>
      </c>
      <c r="I1341" s="11">
        <v>1041</v>
      </c>
      <c r="J1341" s="66">
        <f t="shared" si="78"/>
        <v>49.626986701265004</v>
      </c>
      <c r="K1341" s="66">
        <f t="shared" si="79"/>
        <v>50.373013298735003</v>
      </c>
    </row>
    <row r="1342" spans="1:11" ht="41.4" x14ac:dyDescent="0.3">
      <c r="A1342" s="10">
        <v>49</v>
      </c>
      <c r="B1342" s="10" t="s">
        <v>1655</v>
      </c>
      <c r="C1342" s="10" t="str" cm="1">
        <f t="array" ref="C1342">_xlfn.IFS(A1342&lt;20, "ภาคกลาง", A1342&lt;30, "ภาคตะวันออก", A1342&lt;50, "ภาคตะวันออกเฉียงเหนือ", A1342&lt;60, "ภาคเหนือ", A1342&lt;80, "ภาคกลาง/ตะวันตก", A1342&gt;=80, "ภาคใต้")</f>
        <v>ภาคตะวันออกเฉียงเหนือ</v>
      </c>
      <c r="D1342" s="64">
        <v>4995</v>
      </c>
      <c r="E1342" s="10" t="s">
        <v>1666</v>
      </c>
      <c r="F1342" s="11">
        <v>6547</v>
      </c>
      <c r="G1342" s="11">
        <v>6449</v>
      </c>
      <c r="H1342" s="11">
        <v>12996</v>
      </c>
      <c r="I1342" s="11">
        <v>5108</v>
      </c>
      <c r="J1342" s="66">
        <f t="shared" si="78"/>
        <v>50.377039088950447</v>
      </c>
      <c r="K1342" s="66">
        <f t="shared" si="79"/>
        <v>49.622960911049553</v>
      </c>
    </row>
    <row r="1343" spans="1:11" ht="41.4" x14ac:dyDescent="0.3">
      <c r="A1343" s="10">
        <v>49</v>
      </c>
      <c r="B1343" s="10" t="s">
        <v>1655</v>
      </c>
      <c r="C1343" s="10" t="str" cm="1">
        <f t="array" ref="C1343">_xlfn.IFS(A1343&lt;20, "ภาคกลาง", A1343&lt;30, "ภาคตะวันออก", A1343&lt;50, "ภาคตะวันออกเฉียงเหนือ", A1343&lt;60, "ภาคเหนือ", A1343&lt;80, "ภาคกลาง/ตะวันตก", A1343&gt;=80, "ภาคใต้")</f>
        <v>ภาคตะวันออกเฉียงเหนือ</v>
      </c>
      <c r="D1343" s="64">
        <v>4996</v>
      </c>
      <c r="E1343" s="10" t="s">
        <v>1667</v>
      </c>
      <c r="F1343" s="11">
        <v>5488</v>
      </c>
      <c r="G1343" s="11">
        <v>5273</v>
      </c>
      <c r="H1343" s="11">
        <v>10761</v>
      </c>
      <c r="I1343" s="11">
        <v>3202</v>
      </c>
      <c r="J1343" s="66">
        <f t="shared" si="78"/>
        <v>50.998977790168198</v>
      </c>
      <c r="K1343" s="66">
        <f t="shared" si="79"/>
        <v>49.001022209831802</v>
      </c>
    </row>
    <row r="1344" spans="1:11" ht="41.4" x14ac:dyDescent="0.3">
      <c r="A1344" s="10">
        <v>49</v>
      </c>
      <c r="B1344" s="10" t="s">
        <v>1655</v>
      </c>
      <c r="C1344" s="10" t="str" cm="1">
        <f t="array" ref="C1344">_xlfn.IFS(A1344&lt;20, "ภาคกลาง", A1344&lt;30, "ภาคตะวันออก", A1344&lt;50, "ภาคตะวันออกเฉียงเหนือ", A1344&lt;60, "ภาคเหนือ", A1344&lt;80, "ภาคกลาง/ตะวันตก", A1344&gt;=80, "ภาคใต้")</f>
        <v>ภาคตะวันออกเฉียงเหนือ</v>
      </c>
      <c r="D1344" s="64">
        <v>4997</v>
      </c>
      <c r="E1344" s="10" t="s">
        <v>1668</v>
      </c>
      <c r="F1344" s="11">
        <v>1131</v>
      </c>
      <c r="G1344" s="11">
        <v>1146</v>
      </c>
      <c r="H1344" s="11">
        <v>2277</v>
      </c>
      <c r="I1344" s="11">
        <v>1156</v>
      </c>
      <c r="J1344" s="66">
        <f t="shared" si="78"/>
        <v>49.670619235836625</v>
      </c>
      <c r="K1344" s="66">
        <f t="shared" si="79"/>
        <v>50.329380764163375</v>
      </c>
    </row>
    <row r="1345" spans="1:11" ht="41.4" x14ac:dyDescent="0.3">
      <c r="A1345" s="10">
        <v>49</v>
      </c>
      <c r="B1345" s="10" t="s">
        <v>1655</v>
      </c>
      <c r="C1345" s="10" t="str" cm="1">
        <f t="array" ref="C1345">_xlfn.IFS(A1345&lt;20, "ภาคกลาง", A1345&lt;30, "ภาคตะวันออก", A1345&lt;50, "ภาคตะวันออกเฉียงเหนือ", A1345&lt;60, "ภาคเหนือ", A1345&lt;80, "ภาคกลาง/ตะวันตก", A1345&gt;=80, "ภาคใต้")</f>
        <v>ภาคตะวันออกเฉียงเหนือ</v>
      </c>
      <c r="D1345" s="64">
        <v>4998</v>
      </c>
      <c r="E1345" s="10" t="s">
        <v>1669</v>
      </c>
      <c r="F1345" s="11">
        <v>1128</v>
      </c>
      <c r="G1345" s="11">
        <v>1295</v>
      </c>
      <c r="H1345" s="11">
        <v>2423</v>
      </c>
      <c r="I1345" s="11">
        <v>1003</v>
      </c>
      <c r="J1345" s="66">
        <f t="shared" si="78"/>
        <v>46.553858852661989</v>
      </c>
      <c r="K1345" s="66">
        <f t="shared" si="79"/>
        <v>53.446141147338011</v>
      </c>
    </row>
    <row r="1346" spans="1:11" ht="41.4" x14ac:dyDescent="0.3">
      <c r="A1346" s="10">
        <v>49</v>
      </c>
      <c r="B1346" s="10" t="s">
        <v>1655</v>
      </c>
      <c r="C1346" s="10" t="str" cm="1">
        <f t="array" ref="C1346">_xlfn.IFS(A1346&lt;20, "ภาคกลาง", A1346&lt;30, "ภาคตะวันออก", A1346&lt;50, "ภาคตะวันออกเฉียงเหนือ", A1346&lt;60, "ภาคเหนือ", A1346&lt;80, "ภาคกลาง/ตะวันตก", A1346&gt;=80, "ภาคใต้")</f>
        <v>ภาคตะวันออกเฉียงเหนือ</v>
      </c>
      <c r="D1346" s="64">
        <v>4999</v>
      </c>
      <c r="E1346" s="10" t="s">
        <v>1670</v>
      </c>
      <c r="F1346" s="11">
        <v>2948</v>
      </c>
      <c r="G1346" s="11">
        <v>3125</v>
      </c>
      <c r="H1346" s="11">
        <v>6073</v>
      </c>
      <c r="I1346" s="11">
        <v>2465</v>
      </c>
      <c r="J1346" s="66">
        <f t="shared" si="78"/>
        <v>48.542730116910917</v>
      </c>
      <c r="K1346" s="66">
        <f t="shared" si="79"/>
        <v>51.457269883089083</v>
      </c>
    </row>
    <row r="1347" spans="1:11" ht="41.4" hidden="1" x14ac:dyDescent="0.3">
      <c r="A1347" s="10">
        <v>49</v>
      </c>
      <c r="B1347" s="10" t="s">
        <v>1655</v>
      </c>
      <c r="C1347" s="10" t="str" cm="1">
        <f t="array" ref="C1347">_xlfn.IFS(A1347&lt;20, "ภาคกลาง", A1347&lt;30, "ภาคตะวันออก", A1347&lt;50, "ภาคตะวันออกเฉียงเหนือ", A1347&lt;60, "ภาคเหนือ", A1347&lt;80, "ภาคกลาง/ตะวันตก", A1347&gt;=80, "ภาคใต้")</f>
        <v>ภาคตะวันออกเฉียงเหนือ</v>
      </c>
      <c r="D1347" s="10">
        <v>0</v>
      </c>
      <c r="E1347" s="10" t="s">
        <v>343</v>
      </c>
      <c r="F1347" s="11">
        <v>15854</v>
      </c>
      <c r="G1347" s="11">
        <v>17141</v>
      </c>
      <c r="H1347" s="11">
        <v>32995</v>
      </c>
      <c r="I1347" s="11">
        <v>17063</v>
      </c>
      <c r="J1347"/>
      <c r="K1347"/>
    </row>
    <row r="1348" spans="1:11" x14ac:dyDescent="0.3">
      <c r="A1348" s="10">
        <v>50</v>
      </c>
      <c r="B1348" s="10" t="s">
        <v>1671</v>
      </c>
      <c r="C1348" s="10" t="str" cm="1">
        <f t="array" ref="C1348">_xlfn.IFS(A1348&lt;20, "ภาคกลาง", A1348&lt;30, "ภาคตะวันออก", A1348&lt;50, "ภาคตะวันออกเฉียงเหนือ", A1348&lt;60, "ภาคเหนือ", A1348&lt;80, "ภาคกลาง/ตะวันตก", A1348&gt;=80, "ภาคใต้")</f>
        <v>ภาคเหนือ</v>
      </c>
      <c r="D1348" s="64">
        <v>5001</v>
      </c>
      <c r="E1348" s="10" t="s">
        <v>1672</v>
      </c>
      <c r="F1348" s="11">
        <v>865486</v>
      </c>
      <c r="G1348" s="11">
        <v>933533</v>
      </c>
      <c r="H1348" s="11">
        <v>1799019</v>
      </c>
      <c r="I1348" s="11">
        <v>900484</v>
      </c>
      <c r="J1348" s="66">
        <f t="shared" ref="J1348:J1411" si="80">F1348/H1348*100</f>
        <v>48.108774837842176</v>
      </c>
      <c r="K1348" s="66">
        <f t="shared" ref="K1348:K1411" si="81">G1348/H1348*100</f>
        <v>51.891225162157816</v>
      </c>
    </row>
    <row r="1349" spans="1:11" x14ac:dyDescent="0.3">
      <c r="A1349" s="10">
        <v>50</v>
      </c>
      <c r="B1349" s="10" t="s">
        <v>1671</v>
      </c>
      <c r="C1349" s="10" t="str" cm="1">
        <f t="array" ref="C1349">_xlfn.IFS(A1349&lt;20, "ภาคกลาง", A1349&lt;30, "ภาคตะวันออก", A1349&lt;50, "ภาคตะวันออกเฉียงเหนือ", A1349&lt;60, "ภาคเหนือ", A1349&lt;80, "ภาคกลาง/ตะวันตก", A1349&gt;=80, "ภาคใต้")</f>
        <v>ภาคเหนือ</v>
      </c>
      <c r="D1349" s="64">
        <v>5002</v>
      </c>
      <c r="E1349" s="10" t="s">
        <v>1673</v>
      </c>
      <c r="F1349" s="11">
        <v>7069</v>
      </c>
      <c r="G1349" s="11">
        <v>8007</v>
      </c>
      <c r="H1349" s="11">
        <v>15076</v>
      </c>
      <c r="I1349" s="11">
        <v>12110</v>
      </c>
      <c r="J1349" s="66">
        <f t="shared" si="80"/>
        <v>46.889095250729632</v>
      </c>
      <c r="K1349" s="66">
        <f t="shared" si="81"/>
        <v>53.110904749270361</v>
      </c>
    </row>
    <row r="1350" spans="1:11" x14ac:dyDescent="0.3">
      <c r="A1350" s="10">
        <v>50</v>
      </c>
      <c r="B1350" s="10" t="s">
        <v>1671</v>
      </c>
      <c r="C1350" s="10" t="str" cm="1">
        <f t="array" ref="C1350">_xlfn.IFS(A1350&lt;20, "ภาคกลาง", A1350&lt;30, "ภาคตะวันออก", A1350&lt;50, "ภาคตะวันออกเฉียงเหนือ", A1350&lt;60, "ภาคเหนือ", A1350&lt;80, "ภาคกลาง/ตะวันตก", A1350&gt;=80, "ภาคใต้")</f>
        <v>ภาคเหนือ</v>
      </c>
      <c r="D1350" s="64">
        <v>5003</v>
      </c>
      <c r="E1350" s="10" t="s">
        <v>1674</v>
      </c>
      <c r="F1350" s="11">
        <v>27631</v>
      </c>
      <c r="G1350" s="11">
        <v>28893</v>
      </c>
      <c r="H1350" s="11">
        <v>56524</v>
      </c>
      <c r="I1350" s="11">
        <v>21254</v>
      </c>
      <c r="J1350" s="66">
        <f t="shared" si="80"/>
        <v>48.883660038213854</v>
      </c>
      <c r="K1350" s="66">
        <f t="shared" si="81"/>
        <v>51.116339961786139</v>
      </c>
    </row>
    <row r="1351" spans="1:11" x14ac:dyDescent="0.3">
      <c r="A1351" s="10">
        <v>50</v>
      </c>
      <c r="B1351" s="10" t="s">
        <v>1671</v>
      </c>
      <c r="C1351" s="10" t="str" cm="1">
        <f t="array" ref="C1351">_xlfn.IFS(A1351&lt;20, "ภาคกลาง", A1351&lt;30, "ภาคตะวันออก", A1351&lt;50, "ภาคตะวันออกเฉียงเหนือ", A1351&lt;60, "ภาคเหนือ", A1351&lt;80, "ภาคกลาง/ตะวันตก", A1351&gt;=80, "ภาคใต้")</f>
        <v>ภาคเหนือ</v>
      </c>
      <c r="D1351" s="64">
        <v>5004</v>
      </c>
      <c r="E1351" s="10" t="s">
        <v>1675</v>
      </c>
      <c r="F1351" s="11">
        <v>29447</v>
      </c>
      <c r="G1351" s="11">
        <v>28544</v>
      </c>
      <c r="H1351" s="11">
        <v>57991</v>
      </c>
      <c r="I1351" s="11">
        <v>19448</v>
      </c>
      <c r="J1351" s="66">
        <f t="shared" si="80"/>
        <v>50.778569088306803</v>
      </c>
      <c r="K1351" s="66">
        <f t="shared" si="81"/>
        <v>49.22143091169319</v>
      </c>
    </row>
    <row r="1352" spans="1:11" x14ac:dyDescent="0.3">
      <c r="A1352" s="10">
        <v>50</v>
      </c>
      <c r="B1352" s="10" t="s">
        <v>1671</v>
      </c>
      <c r="C1352" s="10" t="str" cm="1">
        <f t="array" ref="C1352">_xlfn.IFS(A1352&lt;20, "ภาคกลาง", A1352&lt;30, "ภาคตะวันออก", A1352&lt;50, "ภาคตะวันออกเฉียงเหนือ", A1352&lt;60, "ภาคเหนือ", A1352&lt;80, "ภาคกลาง/ตะวันตก", A1352&gt;=80, "ภาคใต้")</f>
        <v>ภาคเหนือ</v>
      </c>
      <c r="D1352" s="64">
        <v>5005</v>
      </c>
      <c r="E1352" s="10" t="s">
        <v>1676</v>
      </c>
      <c r="F1352" s="11">
        <v>13835</v>
      </c>
      <c r="G1352" s="11">
        <v>14392</v>
      </c>
      <c r="H1352" s="11">
        <v>28227</v>
      </c>
      <c r="I1352" s="11">
        <v>12238</v>
      </c>
      <c r="J1352" s="66">
        <f t="shared" si="80"/>
        <v>49.013356006660288</v>
      </c>
      <c r="K1352" s="66">
        <f t="shared" si="81"/>
        <v>50.986643993339712</v>
      </c>
    </row>
    <row r="1353" spans="1:11" x14ac:dyDescent="0.3">
      <c r="A1353" s="10">
        <v>50</v>
      </c>
      <c r="B1353" s="10" t="s">
        <v>1671</v>
      </c>
      <c r="C1353" s="10" t="str" cm="1">
        <f t="array" ref="C1353">_xlfn.IFS(A1353&lt;20, "ภาคกลาง", A1353&lt;30, "ภาคตะวันออก", A1353&lt;50, "ภาคตะวันออกเฉียงเหนือ", A1353&lt;60, "ภาคเหนือ", A1353&lt;80, "ภาคกลาง/ตะวันตก", A1353&gt;=80, "ภาคใต้")</f>
        <v>ภาคเหนือ</v>
      </c>
      <c r="D1353" s="64">
        <v>5006</v>
      </c>
      <c r="E1353" s="10" t="s">
        <v>1677</v>
      </c>
      <c r="F1353" s="11">
        <v>22787</v>
      </c>
      <c r="G1353" s="11">
        <v>25424</v>
      </c>
      <c r="H1353" s="11">
        <v>48211</v>
      </c>
      <c r="I1353" s="11">
        <v>25360</v>
      </c>
      <c r="J1353" s="66">
        <f t="shared" si="80"/>
        <v>47.265146958163072</v>
      </c>
      <c r="K1353" s="66">
        <f t="shared" si="81"/>
        <v>52.734853041836928</v>
      </c>
    </row>
    <row r="1354" spans="1:11" x14ac:dyDescent="0.3">
      <c r="A1354" s="10">
        <v>50</v>
      </c>
      <c r="B1354" s="10" t="s">
        <v>1671</v>
      </c>
      <c r="C1354" s="10" t="str" cm="1">
        <f t="array" ref="C1354">_xlfn.IFS(A1354&lt;20, "ภาคกลาง", A1354&lt;30, "ภาคตะวันออก", A1354&lt;50, "ภาคตะวันออกเฉียงเหนือ", A1354&lt;60, "ภาคเหนือ", A1354&lt;80, "ภาคกลาง/ตะวันตก", A1354&gt;=80, "ภาคใต้")</f>
        <v>ภาคเหนือ</v>
      </c>
      <c r="D1354" s="64">
        <v>5007</v>
      </c>
      <c r="E1354" s="10" t="s">
        <v>1678</v>
      </c>
      <c r="F1354" s="11">
        <v>29530</v>
      </c>
      <c r="G1354" s="11">
        <v>30077</v>
      </c>
      <c r="H1354" s="11">
        <v>59607</v>
      </c>
      <c r="I1354" s="11">
        <v>25979</v>
      </c>
      <c r="J1354" s="66">
        <f t="shared" si="80"/>
        <v>49.541161273004846</v>
      </c>
      <c r="K1354" s="66">
        <f t="shared" si="81"/>
        <v>50.458838726995147</v>
      </c>
    </row>
    <row r="1355" spans="1:11" x14ac:dyDescent="0.3">
      <c r="A1355" s="10">
        <v>50</v>
      </c>
      <c r="B1355" s="10" t="s">
        <v>1671</v>
      </c>
      <c r="C1355" s="10" t="str" cm="1">
        <f t="array" ref="C1355">_xlfn.IFS(A1355&lt;20, "ภาคกลาง", A1355&lt;30, "ภาคตะวันออก", A1355&lt;50, "ภาคตะวันออกเฉียงเหนือ", A1355&lt;60, "ภาคเหนือ", A1355&lt;80, "ภาคกลาง/ตะวันตก", A1355&gt;=80, "ภาคใต้")</f>
        <v>ภาคเหนือ</v>
      </c>
      <c r="D1355" s="64">
        <v>5008</v>
      </c>
      <c r="E1355" s="10" t="s">
        <v>1679</v>
      </c>
      <c r="F1355" s="11">
        <v>41106</v>
      </c>
      <c r="G1355" s="11">
        <v>43422</v>
      </c>
      <c r="H1355" s="11">
        <v>84528</v>
      </c>
      <c r="I1355" s="11">
        <v>40928</v>
      </c>
      <c r="J1355" s="66">
        <f t="shared" si="80"/>
        <v>48.630039750141961</v>
      </c>
      <c r="K1355" s="66">
        <f t="shared" si="81"/>
        <v>51.369960249858039</v>
      </c>
    </row>
    <row r="1356" spans="1:11" x14ac:dyDescent="0.3">
      <c r="A1356" s="10">
        <v>50</v>
      </c>
      <c r="B1356" s="10" t="s">
        <v>1671</v>
      </c>
      <c r="C1356" s="10" t="str" cm="1">
        <f t="array" ref="C1356">_xlfn.IFS(A1356&lt;20, "ภาคกลาง", A1356&lt;30, "ภาคตะวันออก", A1356&lt;50, "ภาคตะวันออกเฉียงเหนือ", A1356&lt;60, "ภาคเหนือ", A1356&lt;80, "ภาคกลาง/ตะวันตก", A1356&gt;=80, "ภาคใต้")</f>
        <v>ภาคเหนือ</v>
      </c>
      <c r="D1356" s="64">
        <v>5009</v>
      </c>
      <c r="E1356" s="10" t="s">
        <v>1680</v>
      </c>
      <c r="F1356" s="11">
        <v>9263</v>
      </c>
      <c r="G1356" s="11">
        <v>8966</v>
      </c>
      <c r="H1356" s="11">
        <v>18229</v>
      </c>
      <c r="I1356" s="11">
        <v>6406</v>
      </c>
      <c r="J1356" s="66">
        <f t="shared" si="80"/>
        <v>50.814636019529324</v>
      </c>
      <c r="K1356" s="66">
        <f t="shared" si="81"/>
        <v>49.185363980470683</v>
      </c>
    </row>
    <row r="1357" spans="1:11" x14ac:dyDescent="0.3">
      <c r="A1357" s="10">
        <v>50</v>
      </c>
      <c r="B1357" s="10" t="s">
        <v>1671</v>
      </c>
      <c r="C1357" s="10" t="str" cm="1">
        <f t="array" ref="C1357">_xlfn.IFS(A1357&lt;20, "ภาคกลาง", A1357&lt;30, "ภาคตะวันออก", A1357&lt;50, "ภาคตะวันออกเฉียงเหนือ", A1357&lt;60, "ภาคเหนือ", A1357&lt;80, "ภาคกลาง/ตะวันตก", A1357&gt;=80, "ภาคใต้")</f>
        <v>ภาคเหนือ</v>
      </c>
      <c r="D1357" s="64">
        <v>5010</v>
      </c>
      <c r="E1357" s="10" t="s">
        <v>1681</v>
      </c>
      <c r="F1357" s="11">
        <v>55758</v>
      </c>
      <c r="G1357" s="11">
        <v>56854</v>
      </c>
      <c r="H1357" s="11">
        <v>112612</v>
      </c>
      <c r="I1357" s="11">
        <v>43035</v>
      </c>
      <c r="J1357" s="66">
        <f t="shared" si="80"/>
        <v>49.513373352751039</v>
      </c>
      <c r="K1357" s="66">
        <f t="shared" si="81"/>
        <v>50.486626647248954</v>
      </c>
    </row>
    <row r="1358" spans="1:11" x14ac:dyDescent="0.3">
      <c r="A1358" s="10">
        <v>50</v>
      </c>
      <c r="B1358" s="10" t="s">
        <v>1671</v>
      </c>
      <c r="C1358" s="10" t="str" cm="1">
        <f t="array" ref="C1358">_xlfn.IFS(A1358&lt;20, "ภาคกลาง", A1358&lt;30, "ภาคตะวันออก", A1358&lt;50, "ภาคตะวันออกเฉียงเหนือ", A1358&lt;60, "ภาคเหนือ", A1358&lt;80, "ภาคกลาง/ตะวันตก", A1358&gt;=80, "ภาคใต้")</f>
        <v>ภาคเหนือ</v>
      </c>
      <c r="D1358" s="64">
        <v>5011</v>
      </c>
      <c r="E1358" s="10" t="s">
        <v>1682</v>
      </c>
      <c r="F1358" s="11">
        <v>34192</v>
      </c>
      <c r="G1358" s="11">
        <v>34339</v>
      </c>
      <c r="H1358" s="11">
        <v>68531</v>
      </c>
      <c r="I1358" s="11">
        <v>27309</v>
      </c>
      <c r="J1358" s="66">
        <f t="shared" si="80"/>
        <v>49.892749266755196</v>
      </c>
      <c r="K1358" s="66">
        <f t="shared" si="81"/>
        <v>50.107250733244811</v>
      </c>
    </row>
    <row r="1359" spans="1:11" x14ac:dyDescent="0.3">
      <c r="A1359" s="10">
        <v>50</v>
      </c>
      <c r="B1359" s="10" t="s">
        <v>1671</v>
      </c>
      <c r="C1359" s="10" t="str" cm="1">
        <f t="array" ref="C1359">_xlfn.IFS(A1359&lt;20, "ภาคกลาง", A1359&lt;30, "ภาคตะวันออก", A1359&lt;50, "ภาคตะวันออกเฉียงเหนือ", A1359&lt;60, "ภาคเหนือ", A1359&lt;80, "ภาคกลาง/ตะวันตก", A1359&gt;=80, "ภาคใต้")</f>
        <v>ภาคเหนือ</v>
      </c>
      <c r="D1359" s="64">
        <v>5012</v>
      </c>
      <c r="E1359" s="10" t="s">
        <v>1683</v>
      </c>
      <c r="F1359" s="11">
        <v>17755</v>
      </c>
      <c r="G1359" s="11">
        <v>18316</v>
      </c>
      <c r="H1359" s="11">
        <v>36071</v>
      </c>
      <c r="I1359" s="11">
        <v>16185</v>
      </c>
      <c r="J1359" s="66">
        <f t="shared" si="80"/>
        <v>49.22236699841978</v>
      </c>
      <c r="K1359" s="66">
        <f t="shared" si="81"/>
        <v>50.777633001580213</v>
      </c>
    </row>
    <row r="1360" spans="1:11" x14ac:dyDescent="0.3">
      <c r="A1360" s="10">
        <v>50</v>
      </c>
      <c r="B1360" s="10" t="s">
        <v>1671</v>
      </c>
      <c r="C1360" s="10" t="str" cm="1">
        <f t="array" ref="C1360">_xlfn.IFS(A1360&lt;20, "ภาคกลาง", A1360&lt;30, "ภาคตะวันออก", A1360&lt;50, "ภาคตะวันออกเฉียงเหนือ", A1360&lt;60, "ภาคเหนือ", A1360&lt;80, "ภาคกลาง/ตะวันตก", A1360&gt;=80, "ภาคใต้")</f>
        <v>ภาคเหนือ</v>
      </c>
      <c r="D1360" s="64">
        <v>5013</v>
      </c>
      <c r="E1360" s="10" t="s">
        <v>1684</v>
      </c>
      <c r="F1360" s="11">
        <v>27246</v>
      </c>
      <c r="G1360" s="11">
        <v>31155</v>
      </c>
      <c r="H1360" s="11">
        <v>58401</v>
      </c>
      <c r="I1360" s="11">
        <v>26903</v>
      </c>
      <c r="J1360" s="66">
        <f t="shared" si="80"/>
        <v>46.653310730980635</v>
      </c>
      <c r="K1360" s="66">
        <f t="shared" si="81"/>
        <v>53.346689269019365</v>
      </c>
    </row>
    <row r="1361" spans="1:11" x14ac:dyDescent="0.3">
      <c r="A1361" s="10">
        <v>50</v>
      </c>
      <c r="B1361" s="10" t="s">
        <v>1671</v>
      </c>
      <c r="C1361" s="10" t="str" cm="1">
        <f t="array" ref="C1361">_xlfn.IFS(A1361&lt;20, "ภาคกลาง", A1361&lt;30, "ภาคตะวันออก", A1361&lt;50, "ภาคตะวันออกเฉียงเหนือ", A1361&lt;60, "ภาคเหนือ", A1361&lt;80, "ภาคกลาง/ตะวันตก", A1361&gt;=80, "ภาคใต้")</f>
        <v>ภาคเหนือ</v>
      </c>
      <c r="D1361" s="64">
        <v>5014</v>
      </c>
      <c r="E1361" s="10" t="s">
        <v>1685</v>
      </c>
      <c r="F1361" s="11">
        <v>20708</v>
      </c>
      <c r="G1361" s="11">
        <v>23586</v>
      </c>
      <c r="H1361" s="11">
        <v>44294</v>
      </c>
      <c r="I1361" s="11">
        <v>24814</v>
      </c>
      <c r="J1361" s="66">
        <f t="shared" si="80"/>
        <v>46.751252991375807</v>
      </c>
      <c r="K1361" s="66">
        <f t="shared" si="81"/>
        <v>53.2487470086242</v>
      </c>
    </row>
    <row r="1362" spans="1:11" x14ac:dyDescent="0.3">
      <c r="A1362" s="10">
        <v>50</v>
      </c>
      <c r="B1362" s="10" t="s">
        <v>1671</v>
      </c>
      <c r="C1362" s="10" t="str" cm="1">
        <f t="array" ref="C1362">_xlfn.IFS(A1362&lt;20, "ภาคกลาง", A1362&lt;30, "ภาคตะวันออก", A1362&lt;50, "ภาคตะวันออกเฉียงเหนือ", A1362&lt;60, "ภาคเหนือ", A1362&lt;80, "ภาคกลาง/ตะวันตก", A1362&gt;=80, "ภาคใต้")</f>
        <v>ภาคเหนือ</v>
      </c>
      <c r="D1362" s="64">
        <v>5015</v>
      </c>
      <c r="E1362" s="10" t="s">
        <v>1686</v>
      </c>
      <c r="F1362" s="11">
        <v>10571</v>
      </c>
      <c r="G1362" s="11">
        <v>11916</v>
      </c>
      <c r="H1362" s="11">
        <v>22487</v>
      </c>
      <c r="I1362" s="11">
        <v>11713</v>
      </c>
      <c r="J1362" s="66">
        <f t="shared" si="80"/>
        <v>47.009383199181748</v>
      </c>
      <c r="K1362" s="66">
        <f t="shared" si="81"/>
        <v>52.990616800818245</v>
      </c>
    </row>
    <row r="1363" spans="1:11" x14ac:dyDescent="0.3">
      <c r="A1363" s="10">
        <v>50</v>
      </c>
      <c r="B1363" s="10" t="s">
        <v>1671</v>
      </c>
      <c r="C1363" s="10" t="str" cm="1">
        <f t="array" ref="C1363">_xlfn.IFS(A1363&lt;20, "ภาคกลาง", A1363&lt;30, "ภาคตะวันออก", A1363&lt;50, "ภาคตะวันออกเฉียงเหนือ", A1363&lt;60, "ภาคเหนือ", A1363&lt;80, "ภาคกลาง/ตะวันตก", A1363&gt;=80, "ภาคใต้")</f>
        <v>ภาคเหนือ</v>
      </c>
      <c r="D1363" s="64">
        <v>5016</v>
      </c>
      <c r="E1363" s="10" t="s">
        <v>1687</v>
      </c>
      <c r="F1363" s="11">
        <v>37284</v>
      </c>
      <c r="G1363" s="11">
        <v>42668</v>
      </c>
      <c r="H1363" s="11">
        <v>79952</v>
      </c>
      <c r="I1363" s="11">
        <v>48482</v>
      </c>
      <c r="J1363" s="66">
        <f t="shared" si="80"/>
        <v>46.632979787872728</v>
      </c>
      <c r="K1363" s="66">
        <f t="shared" si="81"/>
        <v>53.367020212127279</v>
      </c>
    </row>
    <row r="1364" spans="1:11" x14ac:dyDescent="0.3">
      <c r="A1364" s="10">
        <v>50</v>
      </c>
      <c r="B1364" s="10" t="s">
        <v>1671</v>
      </c>
      <c r="C1364" s="10" t="str" cm="1">
        <f t="array" ref="C1364">_xlfn.IFS(A1364&lt;20, "ภาคกลาง", A1364&lt;30, "ภาคตะวันออก", A1364&lt;50, "ภาคตะวันออกเฉียงเหนือ", A1364&lt;60, "ภาคเหนือ", A1364&lt;80, "ภาคกลาง/ตะวันตก", A1364&gt;=80, "ภาคใต้")</f>
        <v>ภาคเหนือ</v>
      </c>
      <c r="D1364" s="64">
        <v>5017</v>
      </c>
      <c r="E1364" s="10" t="s">
        <v>1688</v>
      </c>
      <c r="F1364" s="11">
        <v>12330</v>
      </c>
      <c r="G1364" s="11">
        <v>12633</v>
      </c>
      <c r="H1364" s="11">
        <v>24963</v>
      </c>
      <c r="I1364" s="11">
        <v>9985</v>
      </c>
      <c r="J1364" s="66">
        <f t="shared" si="80"/>
        <v>49.393101790650164</v>
      </c>
      <c r="K1364" s="66">
        <f t="shared" si="81"/>
        <v>50.606898209349836</v>
      </c>
    </row>
    <row r="1365" spans="1:11" x14ac:dyDescent="0.3">
      <c r="A1365" s="10">
        <v>50</v>
      </c>
      <c r="B1365" s="10" t="s">
        <v>1671</v>
      </c>
      <c r="C1365" s="10" t="str" cm="1">
        <f t="array" ref="C1365">_xlfn.IFS(A1365&lt;20, "ภาคกลาง", A1365&lt;30, "ภาคตะวันออก", A1365&lt;50, "ภาคตะวันออกเฉียงเหนือ", A1365&lt;60, "ภาคเหนือ", A1365&lt;80, "ภาคกลาง/ตะวันตก", A1365&gt;=80, "ภาคใต้")</f>
        <v>ภาคเหนือ</v>
      </c>
      <c r="D1365" s="64">
        <v>5018</v>
      </c>
      <c r="E1365" s="10" t="s">
        <v>1689</v>
      </c>
      <c r="F1365" s="11">
        <v>11095</v>
      </c>
      <c r="G1365" s="11">
        <v>11293</v>
      </c>
      <c r="H1365" s="11">
        <v>22388</v>
      </c>
      <c r="I1365" s="11">
        <v>8998</v>
      </c>
      <c r="J1365" s="66">
        <f t="shared" si="80"/>
        <v>49.557798820796854</v>
      </c>
      <c r="K1365" s="66">
        <f t="shared" si="81"/>
        <v>50.442201179203153</v>
      </c>
    </row>
    <row r="1366" spans="1:11" x14ac:dyDescent="0.3">
      <c r="A1366" s="10">
        <v>50</v>
      </c>
      <c r="B1366" s="10" t="s">
        <v>1671</v>
      </c>
      <c r="C1366" s="10" t="str" cm="1">
        <f t="array" ref="C1366">_xlfn.IFS(A1366&lt;20, "ภาคกลาง", A1366&lt;30, "ภาคตะวันออก", A1366&lt;50, "ภาคตะวันออกเฉียงเหนือ", A1366&lt;60, "ภาคเหนือ", A1366&lt;80, "ภาคกลาง/ตะวันตก", A1366&gt;=80, "ภาคใต้")</f>
        <v>ภาคเหนือ</v>
      </c>
      <c r="D1366" s="64">
        <v>5019</v>
      </c>
      <c r="E1366" s="10" t="s">
        <v>1690</v>
      </c>
      <c r="F1366" s="11">
        <v>31381</v>
      </c>
      <c r="G1366" s="11">
        <v>30976</v>
      </c>
      <c r="H1366" s="11">
        <v>62357</v>
      </c>
      <c r="I1366" s="11">
        <v>24185</v>
      </c>
      <c r="J1366" s="66">
        <f t="shared" si="80"/>
        <v>50.324743012011488</v>
      </c>
      <c r="K1366" s="66">
        <f t="shared" si="81"/>
        <v>49.675256987988519</v>
      </c>
    </row>
    <row r="1367" spans="1:11" x14ac:dyDescent="0.3">
      <c r="A1367" s="10">
        <v>50</v>
      </c>
      <c r="B1367" s="10" t="s">
        <v>1671</v>
      </c>
      <c r="C1367" s="10" t="str" cm="1">
        <f t="array" ref="C1367">_xlfn.IFS(A1367&lt;20, "ภาคกลาง", A1367&lt;30, "ภาคตะวันออก", A1367&lt;50, "ภาคตะวันออกเฉียงเหนือ", A1367&lt;60, "ภาคเหนือ", A1367&lt;80, "ภาคกลาง/ตะวันตก", A1367&gt;=80, "ภาคใต้")</f>
        <v>ภาคเหนือ</v>
      </c>
      <c r="D1367" s="64">
        <v>5020</v>
      </c>
      <c r="E1367" s="10" t="s">
        <v>1691</v>
      </c>
      <c r="F1367" s="11">
        <v>23372</v>
      </c>
      <c r="G1367" s="11">
        <v>27021</v>
      </c>
      <c r="H1367" s="11">
        <v>50393</v>
      </c>
      <c r="I1367" s="11">
        <v>26501</v>
      </c>
      <c r="J1367" s="66">
        <f t="shared" si="80"/>
        <v>46.379457464330365</v>
      </c>
      <c r="K1367" s="66">
        <f t="shared" si="81"/>
        <v>53.620542535669635</v>
      </c>
    </row>
    <row r="1368" spans="1:11" x14ac:dyDescent="0.3">
      <c r="A1368" s="10">
        <v>50</v>
      </c>
      <c r="B1368" s="10" t="s">
        <v>1671</v>
      </c>
      <c r="C1368" s="10" t="str" cm="1">
        <f t="array" ref="C1368">_xlfn.IFS(A1368&lt;20, "ภาคกลาง", A1368&lt;30, "ภาคตะวันออก", A1368&lt;50, "ภาคตะวันออกเฉียงเหนือ", A1368&lt;60, "ภาคเหนือ", A1368&lt;80, "ภาคกลาง/ตะวันตก", A1368&gt;=80, "ภาคใต้")</f>
        <v>ภาคเหนือ</v>
      </c>
      <c r="D1368" s="64">
        <v>5021</v>
      </c>
      <c r="E1368" s="10" t="s">
        <v>1692</v>
      </c>
      <c r="F1368" s="11">
        <v>27433</v>
      </c>
      <c r="G1368" s="11">
        <v>26776</v>
      </c>
      <c r="H1368" s="11">
        <v>54209</v>
      </c>
      <c r="I1368" s="11">
        <v>10301</v>
      </c>
      <c r="J1368" s="66">
        <f t="shared" si="80"/>
        <v>50.605987935582654</v>
      </c>
      <c r="K1368" s="66">
        <f t="shared" si="81"/>
        <v>49.394012064417346</v>
      </c>
    </row>
    <row r="1369" spans="1:11" x14ac:dyDescent="0.3">
      <c r="A1369" s="10">
        <v>50</v>
      </c>
      <c r="B1369" s="10" t="s">
        <v>1671</v>
      </c>
      <c r="C1369" s="10" t="str" cm="1">
        <f t="array" ref="C1369">_xlfn.IFS(A1369&lt;20, "ภาคกลาง", A1369&lt;30, "ภาคตะวันออก", A1369&lt;50, "ภาคตะวันออกเฉียงเหนือ", A1369&lt;60, "ภาคเหนือ", A1369&lt;80, "ภาคกลาง/ตะวันตก", A1369&gt;=80, "ภาคใต้")</f>
        <v>ภาคเหนือ</v>
      </c>
      <c r="D1369" s="64">
        <v>5022</v>
      </c>
      <c r="E1369" s="10" t="s">
        <v>1693</v>
      </c>
      <c r="F1369" s="11">
        <v>17706</v>
      </c>
      <c r="G1369" s="11">
        <v>17770</v>
      </c>
      <c r="H1369" s="11">
        <v>35476</v>
      </c>
      <c r="I1369" s="11">
        <v>12323</v>
      </c>
      <c r="J1369" s="66">
        <f t="shared" si="80"/>
        <v>49.909798173413009</v>
      </c>
      <c r="K1369" s="66">
        <f t="shared" si="81"/>
        <v>50.090201826586991</v>
      </c>
    </row>
    <row r="1370" spans="1:11" x14ac:dyDescent="0.3">
      <c r="A1370" s="10">
        <v>50</v>
      </c>
      <c r="B1370" s="10" t="s">
        <v>1671</v>
      </c>
      <c r="C1370" s="10" t="str" cm="1">
        <f t="array" ref="C1370">_xlfn.IFS(A1370&lt;20, "ภาคกลาง", A1370&lt;30, "ภาคตะวันออก", A1370&lt;50, "ภาคตะวันออกเฉียงเหนือ", A1370&lt;60, "ภาคเหนือ", A1370&lt;80, "ภาคกลาง/ตะวันตก", A1370&gt;=80, "ภาคใต้")</f>
        <v>ภาคเหนือ</v>
      </c>
      <c r="D1370" s="64">
        <v>5023</v>
      </c>
      <c r="E1370" s="10" t="s">
        <v>1694</v>
      </c>
      <c r="F1370" s="11">
        <v>13613</v>
      </c>
      <c r="G1370" s="11">
        <v>13833</v>
      </c>
      <c r="H1370" s="11">
        <v>27446</v>
      </c>
      <c r="I1370" s="11">
        <v>10423</v>
      </c>
      <c r="J1370" s="66">
        <f t="shared" si="80"/>
        <v>49.599213000072872</v>
      </c>
      <c r="K1370" s="66">
        <f t="shared" si="81"/>
        <v>50.400786999927128</v>
      </c>
    </row>
    <row r="1371" spans="1:11" x14ac:dyDescent="0.3">
      <c r="A1371" s="10">
        <v>50</v>
      </c>
      <c r="B1371" s="10" t="s">
        <v>1671</v>
      </c>
      <c r="C1371" s="10" t="str" cm="1">
        <f t="array" ref="C1371">_xlfn.IFS(A1371&lt;20, "ภาคกลาง", A1371&lt;30, "ภาคตะวันออก", A1371&lt;50, "ภาคตะวันออกเฉียงเหนือ", A1371&lt;60, "ภาคเหนือ", A1371&lt;80, "ภาคกลาง/ตะวันตก", A1371&gt;=80, "ภาคใต้")</f>
        <v>ภาคเหนือ</v>
      </c>
      <c r="D1371" s="64">
        <v>5024</v>
      </c>
      <c r="E1371" s="10" t="s">
        <v>1695</v>
      </c>
      <c r="F1371" s="11">
        <v>10211</v>
      </c>
      <c r="G1371" s="11">
        <v>10519</v>
      </c>
      <c r="H1371" s="11">
        <v>20730</v>
      </c>
      <c r="I1371" s="11">
        <v>10094</v>
      </c>
      <c r="J1371" s="66">
        <f t="shared" si="80"/>
        <v>49.257115291847562</v>
      </c>
      <c r="K1371" s="66">
        <f t="shared" si="81"/>
        <v>50.742884708152438</v>
      </c>
    </row>
    <row r="1372" spans="1:11" x14ac:dyDescent="0.3">
      <c r="A1372" s="10">
        <v>50</v>
      </c>
      <c r="B1372" s="10" t="s">
        <v>1671</v>
      </c>
      <c r="C1372" s="10" t="str" cm="1">
        <f t="array" ref="C1372">_xlfn.IFS(A1372&lt;20, "ภาคกลาง", A1372&lt;30, "ภาคตะวันออก", A1372&lt;50, "ภาคตะวันออกเฉียงเหนือ", A1372&lt;60, "ภาคเหนือ", A1372&lt;80, "ภาคกลาง/ตะวันตก", A1372&gt;=80, "ภาคใต้")</f>
        <v>ภาคเหนือ</v>
      </c>
      <c r="D1372" s="64">
        <v>5025</v>
      </c>
      <c r="E1372" s="10" t="s">
        <v>1696</v>
      </c>
      <c r="F1372" s="11">
        <v>11752</v>
      </c>
      <c r="G1372" s="11">
        <v>12633</v>
      </c>
      <c r="H1372" s="11">
        <v>24385</v>
      </c>
      <c r="I1372" s="11">
        <v>12068</v>
      </c>
      <c r="J1372" s="66">
        <f t="shared" si="80"/>
        <v>48.193561615747385</v>
      </c>
      <c r="K1372" s="66">
        <f t="shared" si="81"/>
        <v>51.806438384252615</v>
      </c>
    </row>
    <row r="1373" spans="1:11" x14ac:dyDescent="0.3">
      <c r="A1373" s="10">
        <v>50</v>
      </c>
      <c r="B1373" s="10" t="s">
        <v>1671</v>
      </c>
      <c r="C1373" s="10" t="str" cm="1">
        <f t="array" ref="C1373">_xlfn.IFS(A1373&lt;20, "ภาคกลาง", A1373&lt;30, "ภาคตะวันออก", A1373&lt;50, "ภาคตะวันออกเฉียงเหนือ", A1373&lt;60, "ภาคเหนือ", A1373&lt;80, "ภาคกลาง/ตะวันตก", A1373&gt;=80, "ภาคใต้")</f>
        <v>ภาคเหนือ</v>
      </c>
      <c r="D1373" s="64">
        <v>5040</v>
      </c>
      <c r="E1373" s="10" t="s">
        <v>1697</v>
      </c>
      <c r="F1373" s="11">
        <v>6709</v>
      </c>
      <c r="G1373" s="11">
        <v>6384</v>
      </c>
      <c r="H1373" s="11">
        <v>13093</v>
      </c>
      <c r="I1373" s="11">
        <v>4736</v>
      </c>
      <c r="J1373" s="66">
        <f t="shared" si="80"/>
        <v>51.241121209806764</v>
      </c>
      <c r="K1373" s="66">
        <f t="shared" si="81"/>
        <v>48.758878790193236</v>
      </c>
    </row>
    <row r="1374" spans="1:11" x14ac:dyDescent="0.3">
      <c r="A1374" s="10">
        <v>50</v>
      </c>
      <c r="B1374" s="10" t="s">
        <v>1671</v>
      </c>
      <c r="C1374" s="10" t="str" cm="1">
        <f t="array" ref="C1374">_xlfn.IFS(A1374&lt;20, "ภาคกลาง", A1374&lt;30, "ภาคตะวันออก", A1374&lt;50, "ภาคตะวันออกเฉียงเหนือ", A1374&lt;60, "ภาคเหนือ", A1374&lt;80, "ภาคกลาง/ตะวันตก", A1374&gt;=80, "ภาคใต้")</f>
        <v>ภาคเหนือ</v>
      </c>
      <c r="D1374" s="64">
        <v>5041</v>
      </c>
      <c r="E1374" s="10" t="s">
        <v>1698</v>
      </c>
      <c r="F1374" s="11">
        <v>4144</v>
      </c>
      <c r="G1374" s="11">
        <v>4631</v>
      </c>
      <c r="H1374" s="11">
        <v>8775</v>
      </c>
      <c r="I1374" s="11">
        <v>4322</v>
      </c>
      <c r="J1374" s="66">
        <f t="shared" si="80"/>
        <v>47.225071225071225</v>
      </c>
      <c r="K1374" s="66">
        <f t="shared" si="81"/>
        <v>52.774928774928775</v>
      </c>
    </row>
    <row r="1375" spans="1:11" x14ac:dyDescent="0.3">
      <c r="A1375" s="10">
        <v>50</v>
      </c>
      <c r="B1375" s="10" t="s">
        <v>1671</v>
      </c>
      <c r="C1375" s="10" t="str" cm="1">
        <f t="array" ref="C1375">_xlfn.IFS(A1375&lt;20, "ภาคกลาง", A1375&lt;30, "ภาคตะวันออก", A1375&lt;50, "ภาคตะวันออกเฉียงเหนือ", A1375&lt;60, "ภาคเหนือ", A1375&lt;80, "ภาคกลาง/ตะวันตก", A1375&gt;=80, "ภาคใต้")</f>
        <v>ภาคเหนือ</v>
      </c>
      <c r="D1375" s="64">
        <v>5042</v>
      </c>
      <c r="E1375" s="10" t="s">
        <v>1699</v>
      </c>
      <c r="F1375" s="11">
        <v>5939</v>
      </c>
      <c r="G1375" s="11">
        <v>5977</v>
      </c>
      <c r="H1375" s="11">
        <v>11916</v>
      </c>
      <c r="I1375" s="11">
        <v>3997</v>
      </c>
      <c r="J1375" s="66">
        <f t="shared" si="80"/>
        <v>49.840550520308831</v>
      </c>
      <c r="K1375" s="66">
        <f t="shared" si="81"/>
        <v>50.159449479691176</v>
      </c>
    </row>
    <row r="1376" spans="1:11" ht="27.6" x14ac:dyDescent="0.3">
      <c r="A1376" s="10">
        <v>50</v>
      </c>
      <c r="B1376" s="10" t="s">
        <v>1671</v>
      </c>
      <c r="C1376" s="10" t="str" cm="1">
        <f t="array" ref="C1376">_xlfn.IFS(A1376&lt;20, "ภาคกลาง", A1376&lt;30, "ภาคตะวันออก", A1376&lt;50, "ภาคตะวันออกเฉียงเหนือ", A1376&lt;60, "ภาคเหนือ", A1376&lt;80, "ภาคกลาง/ตะวันตก", A1376&gt;=80, "ภาคใต้")</f>
        <v>ภาคเหนือ</v>
      </c>
      <c r="D1376" s="64">
        <v>5043</v>
      </c>
      <c r="E1376" s="10" t="s">
        <v>1700</v>
      </c>
      <c r="F1376" s="11">
        <v>7491</v>
      </c>
      <c r="G1376" s="11">
        <v>8447</v>
      </c>
      <c r="H1376" s="11">
        <v>15938</v>
      </c>
      <c r="I1376" s="11">
        <v>7348</v>
      </c>
      <c r="J1376" s="66">
        <f t="shared" si="80"/>
        <v>47.000878403814781</v>
      </c>
      <c r="K1376" s="66">
        <f t="shared" si="81"/>
        <v>52.999121596185219</v>
      </c>
    </row>
    <row r="1377" spans="1:11" ht="27.6" x14ac:dyDescent="0.3">
      <c r="A1377" s="10">
        <v>50</v>
      </c>
      <c r="B1377" s="10" t="s">
        <v>1671</v>
      </c>
      <c r="C1377" s="10" t="str" cm="1">
        <f t="array" ref="C1377">_xlfn.IFS(A1377&lt;20, "ภาคกลาง", A1377&lt;30, "ภาคตะวันออก", A1377&lt;50, "ภาคตะวันออกเฉียงเหนือ", A1377&lt;60, "ภาคเหนือ", A1377&lt;80, "ภาคกลาง/ตะวันตก", A1377&gt;=80, "ภาคใต้")</f>
        <v>ภาคเหนือ</v>
      </c>
      <c r="D1377" s="64">
        <v>5044</v>
      </c>
      <c r="E1377" s="10" t="s">
        <v>1701</v>
      </c>
      <c r="F1377" s="11">
        <v>6367</v>
      </c>
      <c r="G1377" s="11">
        <v>7601</v>
      </c>
      <c r="H1377" s="11">
        <v>13968</v>
      </c>
      <c r="I1377" s="11">
        <v>8993</v>
      </c>
      <c r="J1377" s="66">
        <f t="shared" si="80"/>
        <v>45.582760595647194</v>
      </c>
      <c r="K1377" s="66">
        <f t="shared" si="81"/>
        <v>54.417239404352799</v>
      </c>
    </row>
    <row r="1378" spans="1:11" x14ac:dyDescent="0.3">
      <c r="A1378" s="10">
        <v>50</v>
      </c>
      <c r="B1378" s="10" t="s">
        <v>1671</v>
      </c>
      <c r="C1378" s="10" t="str" cm="1">
        <f t="array" ref="C1378">_xlfn.IFS(A1378&lt;20, "ภาคกลาง", A1378&lt;30, "ภาคตะวันออก", A1378&lt;50, "ภาคตะวันออกเฉียงเหนือ", A1378&lt;60, "ภาคเหนือ", A1378&lt;80, "ภาคกลาง/ตะวันตก", A1378&gt;=80, "ภาคใต้")</f>
        <v>ภาคเหนือ</v>
      </c>
      <c r="D1378" s="64">
        <v>5046</v>
      </c>
      <c r="E1378" s="10" t="s">
        <v>1702</v>
      </c>
      <c r="F1378" s="11">
        <v>2895</v>
      </c>
      <c r="G1378" s="11">
        <v>3462</v>
      </c>
      <c r="H1378" s="11">
        <v>6357</v>
      </c>
      <c r="I1378" s="11">
        <v>3683</v>
      </c>
      <c r="J1378" s="66">
        <f t="shared" si="80"/>
        <v>45.540349221330814</v>
      </c>
      <c r="K1378" s="66">
        <f t="shared" si="81"/>
        <v>54.459650778669186</v>
      </c>
    </row>
    <row r="1379" spans="1:11" x14ac:dyDescent="0.3">
      <c r="A1379" s="10">
        <v>50</v>
      </c>
      <c r="B1379" s="10" t="s">
        <v>1671</v>
      </c>
      <c r="C1379" s="10" t="str" cm="1">
        <f t="array" ref="C1379">_xlfn.IFS(A1379&lt;20, "ภาคกลาง", A1379&lt;30, "ภาคตะวันออก", A1379&lt;50, "ภาคตะวันออกเฉียงเหนือ", A1379&lt;60, "ภาคเหนือ", A1379&lt;80, "ภาคกลาง/ตะวันตก", A1379&gt;=80, "ภาคใต้")</f>
        <v>ภาคเหนือ</v>
      </c>
      <c r="D1379" s="64">
        <v>5049</v>
      </c>
      <c r="E1379" s="10" t="s">
        <v>1703</v>
      </c>
      <c r="F1379" s="11">
        <v>8623</v>
      </c>
      <c r="G1379" s="11">
        <v>10088</v>
      </c>
      <c r="H1379" s="11">
        <v>18711</v>
      </c>
      <c r="I1379" s="11">
        <v>10814</v>
      </c>
      <c r="J1379" s="66">
        <f t="shared" si="80"/>
        <v>46.085190529634971</v>
      </c>
      <c r="K1379" s="66">
        <f t="shared" si="81"/>
        <v>53.914809470365022</v>
      </c>
    </row>
    <row r="1380" spans="1:11" x14ac:dyDescent="0.3">
      <c r="A1380" s="10">
        <v>50</v>
      </c>
      <c r="B1380" s="10" t="s">
        <v>1671</v>
      </c>
      <c r="C1380" s="10" t="str" cm="1">
        <f t="array" ref="C1380">_xlfn.IFS(A1380&lt;20, "ภาคกลาง", A1380&lt;30, "ภาคตะวันออก", A1380&lt;50, "ภาคตะวันออกเฉียงเหนือ", A1380&lt;60, "ภาคเหนือ", A1380&lt;80, "ภาคกลาง/ตะวันตก", A1380&gt;=80, "ภาคใต้")</f>
        <v>ภาคเหนือ</v>
      </c>
      <c r="D1380" s="64">
        <v>5050</v>
      </c>
      <c r="E1380" s="10" t="s">
        <v>1704</v>
      </c>
      <c r="F1380" s="11">
        <v>3856</v>
      </c>
      <c r="G1380" s="11">
        <v>4201</v>
      </c>
      <c r="H1380" s="11">
        <v>8057</v>
      </c>
      <c r="I1380" s="11">
        <v>4053</v>
      </c>
      <c r="J1380" s="66">
        <f t="shared" si="80"/>
        <v>47.859004592280002</v>
      </c>
      <c r="K1380" s="66">
        <f t="shared" si="81"/>
        <v>52.140995407719991</v>
      </c>
    </row>
    <row r="1381" spans="1:11" ht="27.6" x14ac:dyDescent="0.3">
      <c r="A1381" s="10">
        <v>50</v>
      </c>
      <c r="B1381" s="10" t="s">
        <v>1671</v>
      </c>
      <c r="C1381" s="10" t="str" cm="1">
        <f t="array" ref="C1381">_xlfn.IFS(A1381&lt;20, "ภาคกลาง", A1381&lt;30, "ภาคตะวันออก", A1381&lt;50, "ภาคตะวันออกเฉียงเหนือ", A1381&lt;60, "ภาคเหนือ", A1381&lt;80, "ภาคกลาง/ตะวันตก", A1381&gt;=80, "ภาคใต้")</f>
        <v>ภาคเหนือ</v>
      </c>
      <c r="D1381" s="64">
        <v>5054</v>
      </c>
      <c r="E1381" s="10" t="s">
        <v>1705</v>
      </c>
      <c r="F1381" s="11">
        <v>18888</v>
      </c>
      <c r="G1381" s="11">
        <v>19505</v>
      </c>
      <c r="H1381" s="11">
        <v>38393</v>
      </c>
      <c r="I1381" s="11">
        <v>10171</v>
      </c>
      <c r="J1381" s="66">
        <f t="shared" si="80"/>
        <v>49.196468106165185</v>
      </c>
      <c r="K1381" s="66">
        <f t="shared" si="81"/>
        <v>50.803531893834815</v>
      </c>
    </row>
    <row r="1382" spans="1:11" x14ac:dyDescent="0.3">
      <c r="A1382" s="10">
        <v>50</v>
      </c>
      <c r="B1382" s="10" t="s">
        <v>1671</v>
      </c>
      <c r="C1382" s="10" t="str" cm="1">
        <f t="array" ref="C1382">_xlfn.IFS(A1382&lt;20, "ภาคกลาง", A1382&lt;30, "ภาคตะวันออก", A1382&lt;50, "ภาคตะวันออกเฉียงเหนือ", A1382&lt;60, "ภาคเหนือ", A1382&lt;80, "ภาคกลาง/ตะวันตก", A1382&gt;=80, "ภาคใต้")</f>
        <v>ภาคเหนือ</v>
      </c>
      <c r="D1382" s="64">
        <v>5055</v>
      </c>
      <c r="E1382" s="10" t="s">
        <v>1706</v>
      </c>
      <c r="F1382" s="11">
        <v>5607</v>
      </c>
      <c r="G1382" s="11">
        <v>5498</v>
      </c>
      <c r="H1382" s="11">
        <v>11105</v>
      </c>
      <c r="I1382" s="11">
        <v>3195</v>
      </c>
      <c r="J1382" s="66">
        <f t="shared" si="80"/>
        <v>50.490769923457904</v>
      </c>
      <c r="K1382" s="66">
        <f t="shared" si="81"/>
        <v>49.509230076542096</v>
      </c>
    </row>
    <row r="1383" spans="1:11" ht="27.6" x14ac:dyDescent="0.3">
      <c r="A1383" s="10">
        <v>50</v>
      </c>
      <c r="B1383" s="10" t="s">
        <v>1671</v>
      </c>
      <c r="C1383" s="10" t="str" cm="1">
        <f t="array" ref="C1383">_xlfn.IFS(A1383&lt;20, "ภาคกลาง", A1383&lt;30, "ภาคตะวันออก", A1383&lt;50, "ภาคตะวันออกเฉียงเหนือ", A1383&lt;60, "ภาคเหนือ", A1383&lt;80, "ภาคกลาง/ตะวันตก", A1383&gt;=80, "ภาคใต้")</f>
        <v>ภาคเหนือ</v>
      </c>
      <c r="D1383" s="64">
        <v>5056</v>
      </c>
      <c r="E1383" s="10" t="s">
        <v>1707</v>
      </c>
      <c r="F1383" s="11">
        <v>7631</v>
      </c>
      <c r="G1383" s="11">
        <v>6708</v>
      </c>
      <c r="H1383" s="11">
        <v>14339</v>
      </c>
      <c r="I1383" s="11">
        <v>4775</v>
      </c>
      <c r="J1383" s="66">
        <f t="shared" si="80"/>
        <v>53.218495013599274</v>
      </c>
      <c r="K1383" s="66">
        <f t="shared" si="81"/>
        <v>46.781504986400726</v>
      </c>
    </row>
    <row r="1384" spans="1:11" x14ac:dyDescent="0.3">
      <c r="A1384" s="10">
        <v>50</v>
      </c>
      <c r="B1384" s="10" t="s">
        <v>1671</v>
      </c>
      <c r="C1384" s="10" t="str" cm="1">
        <f t="array" ref="C1384">_xlfn.IFS(A1384&lt;20, "ภาคกลาง", A1384&lt;30, "ภาคตะวันออก", A1384&lt;50, "ภาคตะวันออกเฉียงเหนือ", A1384&lt;60, "ภาคเหนือ", A1384&lt;80, "ภาคกลาง/ตะวันตก", A1384&gt;=80, "ภาคใต้")</f>
        <v>ภาคเหนือ</v>
      </c>
      <c r="D1384" s="64">
        <v>5057</v>
      </c>
      <c r="E1384" s="10" t="s">
        <v>1708</v>
      </c>
      <c r="F1384" s="11">
        <v>1148</v>
      </c>
      <c r="G1384" s="11">
        <v>1213</v>
      </c>
      <c r="H1384" s="11">
        <v>2361</v>
      </c>
      <c r="I1384" s="11">
        <v>1213</v>
      </c>
      <c r="J1384" s="66">
        <f t="shared" si="80"/>
        <v>48.623464633629823</v>
      </c>
      <c r="K1384" s="66">
        <f t="shared" si="81"/>
        <v>51.376535366370177</v>
      </c>
    </row>
    <row r="1385" spans="1:11" x14ac:dyDescent="0.3">
      <c r="A1385" s="10">
        <v>50</v>
      </c>
      <c r="B1385" s="10" t="s">
        <v>1671</v>
      </c>
      <c r="C1385" s="10" t="str" cm="1">
        <f t="array" ref="C1385">_xlfn.IFS(A1385&lt;20, "ภาคกลาง", A1385&lt;30, "ภาคตะวันออก", A1385&lt;50, "ภาคตะวันออกเฉียงเหนือ", A1385&lt;60, "ภาคเหนือ", A1385&lt;80, "ภาคกลาง/ตะวันตก", A1385&gt;=80, "ภาคใต้")</f>
        <v>ภาคเหนือ</v>
      </c>
      <c r="D1385" s="64">
        <v>5058</v>
      </c>
      <c r="E1385" s="10" t="s">
        <v>1709</v>
      </c>
      <c r="F1385" s="11">
        <v>8924</v>
      </c>
      <c r="G1385" s="11">
        <v>11043</v>
      </c>
      <c r="H1385" s="11">
        <v>19967</v>
      </c>
      <c r="I1385" s="11">
        <v>14290</v>
      </c>
      <c r="J1385" s="66">
        <f t="shared" si="80"/>
        <v>44.693744678719888</v>
      </c>
      <c r="K1385" s="66">
        <f t="shared" si="81"/>
        <v>55.306255321280105</v>
      </c>
    </row>
    <row r="1386" spans="1:11" x14ac:dyDescent="0.3">
      <c r="A1386" s="10">
        <v>50</v>
      </c>
      <c r="B1386" s="10" t="s">
        <v>1671</v>
      </c>
      <c r="C1386" s="10" t="str" cm="1">
        <f t="array" ref="C1386">_xlfn.IFS(A1386&lt;20, "ภาคกลาง", A1386&lt;30, "ภาคตะวันออก", A1386&lt;50, "ภาคตะวันออกเฉียงเหนือ", A1386&lt;60, "ภาคเหนือ", A1386&lt;80, "ภาคกลาง/ตะวันตก", A1386&gt;=80, "ภาคใต้")</f>
        <v>ภาคเหนือ</v>
      </c>
      <c r="D1386" s="64">
        <v>5059</v>
      </c>
      <c r="E1386" s="10" t="s">
        <v>1710</v>
      </c>
      <c r="F1386" s="11">
        <v>3036</v>
      </c>
      <c r="G1386" s="11">
        <v>3518</v>
      </c>
      <c r="H1386" s="11">
        <v>6554</v>
      </c>
      <c r="I1386" s="11">
        <v>2911</v>
      </c>
      <c r="J1386" s="66">
        <f t="shared" si="80"/>
        <v>46.322856270979557</v>
      </c>
      <c r="K1386" s="66">
        <f t="shared" si="81"/>
        <v>53.67714372902045</v>
      </c>
    </row>
    <row r="1387" spans="1:11" ht="27.6" x14ac:dyDescent="0.3">
      <c r="A1387" s="10">
        <v>50</v>
      </c>
      <c r="B1387" s="10" t="s">
        <v>1671</v>
      </c>
      <c r="C1387" s="10" t="str" cm="1">
        <f t="array" ref="C1387">_xlfn.IFS(A1387&lt;20, "ภาคกลาง", A1387&lt;30, "ภาคตะวันออก", A1387&lt;50, "ภาคตะวันออกเฉียงเหนือ", A1387&lt;60, "ภาคเหนือ", A1387&lt;80, "ภาคกลาง/ตะวันตก", A1387&gt;=80, "ภาคใต้")</f>
        <v>ภาคเหนือ</v>
      </c>
      <c r="D1387" s="64">
        <v>5060</v>
      </c>
      <c r="E1387" s="10" t="s">
        <v>1711</v>
      </c>
      <c r="F1387" s="11">
        <v>3269</v>
      </c>
      <c r="G1387" s="11">
        <v>3909</v>
      </c>
      <c r="H1387" s="11">
        <v>7178</v>
      </c>
      <c r="I1387" s="11">
        <v>9881</v>
      </c>
      <c r="J1387" s="66">
        <f t="shared" si="80"/>
        <v>45.541933686263583</v>
      </c>
      <c r="K1387" s="66">
        <f t="shared" si="81"/>
        <v>54.458066313736417</v>
      </c>
    </row>
    <row r="1388" spans="1:11" ht="27.6" x14ac:dyDescent="0.3">
      <c r="A1388" s="10">
        <v>50</v>
      </c>
      <c r="B1388" s="10" t="s">
        <v>1671</v>
      </c>
      <c r="C1388" s="10" t="str" cm="1">
        <f t="array" ref="C1388">_xlfn.IFS(A1388&lt;20, "ภาคกลาง", A1388&lt;30, "ภาคตะวันออก", A1388&lt;50, "ภาคตะวันออกเฉียงเหนือ", A1388&lt;60, "ภาคเหนือ", A1388&lt;80, "ภาคกลาง/ตะวันตก", A1388&gt;=80, "ภาคใต้")</f>
        <v>ภาคเหนือ</v>
      </c>
      <c r="D1388" s="64">
        <v>5061</v>
      </c>
      <c r="E1388" s="10" t="s">
        <v>1712</v>
      </c>
      <c r="F1388" s="11">
        <v>7980</v>
      </c>
      <c r="G1388" s="11">
        <v>9626</v>
      </c>
      <c r="H1388" s="11">
        <v>17606</v>
      </c>
      <c r="I1388" s="11">
        <v>9887</v>
      </c>
      <c r="J1388" s="66">
        <f t="shared" si="80"/>
        <v>45.325457230489604</v>
      </c>
      <c r="K1388" s="66">
        <f t="shared" si="81"/>
        <v>54.674542769510396</v>
      </c>
    </row>
    <row r="1389" spans="1:11" x14ac:dyDescent="0.3">
      <c r="A1389" s="10">
        <v>50</v>
      </c>
      <c r="B1389" s="10" t="s">
        <v>1671</v>
      </c>
      <c r="C1389" s="10" t="str" cm="1">
        <f t="array" ref="C1389">_xlfn.IFS(A1389&lt;20, "ภาคกลาง", A1389&lt;30, "ภาคตะวันออก", A1389&lt;50, "ภาคตะวันออกเฉียงเหนือ", A1389&lt;60, "ภาคเหนือ", A1389&lt;80, "ภาคกลาง/ตะวันตก", A1389&gt;=80, "ภาคใต้")</f>
        <v>ภาคเหนือ</v>
      </c>
      <c r="D1389" s="64">
        <v>5062</v>
      </c>
      <c r="E1389" s="10" t="s">
        <v>1713</v>
      </c>
      <c r="F1389" s="11">
        <v>3578</v>
      </c>
      <c r="G1389" s="11">
        <v>4385</v>
      </c>
      <c r="H1389" s="11">
        <v>7963</v>
      </c>
      <c r="I1389" s="11">
        <v>5764</v>
      </c>
      <c r="J1389" s="66">
        <f t="shared" si="80"/>
        <v>44.932814265980156</v>
      </c>
      <c r="K1389" s="66">
        <f t="shared" si="81"/>
        <v>55.067185734019844</v>
      </c>
    </row>
    <row r="1390" spans="1:11" x14ac:dyDescent="0.3">
      <c r="A1390" s="10">
        <v>50</v>
      </c>
      <c r="B1390" s="10" t="s">
        <v>1671</v>
      </c>
      <c r="C1390" s="10" t="str" cm="1">
        <f t="array" ref="C1390">_xlfn.IFS(A1390&lt;20, "ภาคกลาง", A1390&lt;30, "ภาคตะวันออก", A1390&lt;50, "ภาคตะวันออกเฉียงเหนือ", A1390&lt;60, "ภาคเหนือ", A1390&lt;80, "ภาคกลาง/ตะวันตก", A1390&gt;=80, "ภาคใต้")</f>
        <v>ภาคเหนือ</v>
      </c>
      <c r="D1390" s="64">
        <v>5063</v>
      </c>
      <c r="E1390" s="10" t="s">
        <v>553</v>
      </c>
      <c r="F1390" s="11">
        <v>4164</v>
      </c>
      <c r="G1390" s="11">
        <v>4819</v>
      </c>
      <c r="H1390" s="11">
        <v>8983</v>
      </c>
      <c r="I1390" s="11">
        <v>4104</v>
      </c>
      <c r="J1390" s="66">
        <f t="shared" si="80"/>
        <v>46.354224646554606</v>
      </c>
      <c r="K1390" s="66">
        <f t="shared" si="81"/>
        <v>53.645775353445401</v>
      </c>
    </row>
    <row r="1391" spans="1:11" x14ac:dyDescent="0.3">
      <c r="A1391" s="10">
        <v>50</v>
      </c>
      <c r="B1391" s="10" t="s">
        <v>1671</v>
      </c>
      <c r="C1391" s="10" t="str" cm="1">
        <f t="array" ref="C1391">_xlfn.IFS(A1391&lt;20, "ภาคกลาง", A1391&lt;30, "ภาคตะวันออก", A1391&lt;50, "ภาคตะวันออกเฉียงเหนือ", A1391&lt;60, "ภาคเหนือ", A1391&lt;80, "ภาคกลาง/ตะวันตก", A1391&gt;=80, "ภาคใต้")</f>
        <v>ภาคเหนือ</v>
      </c>
      <c r="D1391" s="64">
        <v>5064</v>
      </c>
      <c r="E1391" s="10" t="s">
        <v>1714</v>
      </c>
      <c r="F1391" s="11">
        <v>3361</v>
      </c>
      <c r="G1391" s="11">
        <v>3936</v>
      </c>
      <c r="H1391" s="11">
        <v>7297</v>
      </c>
      <c r="I1391" s="11">
        <v>5723</v>
      </c>
      <c r="J1391" s="66">
        <f t="shared" si="80"/>
        <v>46.060024667671648</v>
      </c>
      <c r="K1391" s="66">
        <f t="shared" si="81"/>
        <v>53.939975332328352</v>
      </c>
    </row>
    <row r="1392" spans="1:11" ht="27.6" x14ac:dyDescent="0.3">
      <c r="A1392" s="10">
        <v>50</v>
      </c>
      <c r="B1392" s="10" t="s">
        <v>1671</v>
      </c>
      <c r="C1392" s="10" t="str" cm="1">
        <f t="array" ref="C1392">_xlfn.IFS(A1392&lt;20, "ภาคกลาง", A1392&lt;30, "ภาคตะวันออก", A1392&lt;50, "ภาคตะวันออกเฉียงเหนือ", A1392&lt;60, "ภาคเหนือ", A1392&lt;80, "ภาคกลาง/ตะวันตก", A1392&gt;=80, "ภาคใต้")</f>
        <v>ภาคเหนือ</v>
      </c>
      <c r="D1392" s="64">
        <v>5065</v>
      </c>
      <c r="E1392" s="10" t="s">
        <v>1715</v>
      </c>
      <c r="F1392" s="11">
        <v>7576</v>
      </c>
      <c r="G1392" s="11">
        <v>8926</v>
      </c>
      <c r="H1392" s="11">
        <v>16502</v>
      </c>
      <c r="I1392" s="11">
        <v>9418</v>
      </c>
      <c r="J1392" s="66">
        <f t="shared" si="80"/>
        <v>45.909586716761602</v>
      </c>
      <c r="K1392" s="66">
        <f t="shared" si="81"/>
        <v>54.090413283238391</v>
      </c>
    </row>
    <row r="1393" spans="1:11" x14ac:dyDescent="0.3">
      <c r="A1393" s="10">
        <v>50</v>
      </c>
      <c r="B1393" s="10" t="s">
        <v>1671</v>
      </c>
      <c r="C1393" s="10" t="str" cm="1">
        <f t="array" ref="C1393">_xlfn.IFS(A1393&lt;20, "ภาคกลาง", A1393&lt;30, "ภาคตะวันออก", A1393&lt;50, "ภาคตะวันออกเฉียงเหนือ", A1393&lt;60, "ภาคเหนือ", A1393&lt;80, "ภาคกลาง/ตะวันตก", A1393&gt;=80, "ภาคใต้")</f>
        <v>ภาคเหนือ</v>
      </c>
      <c r="D1393" s="64">
        <v>5066</v>
      </c>
      <c r="E1393" s="10" t="s">
        <v>1716</v>
      </c>
      <c r="F1393" s="11">
        <v>4059</v>
      </c>
      <c r="G1393" s="11">
        <v>4506</v>
      </c>
      <c r="H1393" s="11">
        <v>8565</v>
      </c>
      <c r="I1393" s="11">
        <v>4390</v>
      </c>
      <c r="J1393" s="66">
        <f t="shared" si="80"/>
        <v>47.390542907180382</v>
      </c>
      <c r="K1393" s="66">
        <f t="shared" si="81"/>
        <v>52.609457092819611</v>
      </c>
    </row>
    <row r="1394" spans="1:11" x14ac:dyDescent="0.3">
      <c r="A1394" s="10">
        <v>50</v>
      </c>
      <c r="B1394" s="10" t="s">
        <v>1671</v>
      </c>
      <c r="C1394" s="10" t="str" cm="1">
        <f t="array" ref="C1394">_xlfn.IFS(A1394&lt;20, "ภาคกลาง", A1394&lt;30, "ภาคตะวันออก", A1394&lt;50, "ภาคตะวันออกเฉียงเหนือ", A1394&lt;60, "ภาคเหนือ", A1394&lt;80, "ภาคกลาง/ตะวันตก", A1394&gt;=80, "ภาคใต้")</f>
        <v>ภาคเหนือ</v>
      </c>
      <c r="D1394" s="64">
        <v>5067</v>
      </c>
      <c r="E1394" s="10" t="s">
        <v>1717</v>
      </c>
      <c r="F1394" s="11">
        <v>2907</v>
      </c>
      <c r="G1394" s="11">
        <v>3032</v>
      </c>
      <c r="H1394" s="11">
        <v>5939</v>
      </c>
      <c r="I1394" s="11">
        <v>2749</v>
      </c>
      <c r="J1394" s="66">
        <f t="shared" si="80"/>
        <v>48.947634281865632</v>
      </c>
      <c r="K1394" s="66">
        <f t="shared" si="81"/>
        <v>51.052365718134361</v>
      </c>
    </row>
    <row r="1395" spans="1:11" x14ac:dyDescent="0.3">
      <c r="A1395" s="10">
        <v>50</v>
      </c>
      <c r="B1395" s="10" t="s">
        <v>1671</v>
      </c>
      <c r="C1395" s="10" t="str" cm="1">
        <f t="array" ref="C1395">_xlfn.IFS(A1395&lt;20, "ภาคกลาง", A1395&lt;30, "ภาคตะวันออก", A1395&lt;50, "ภาคตะวันออกเฉียงเหนือ", A1395&lt;60, "ภาคเหนือ", A1395&lt;80, "ภาคกลาง/ตะวันตก", A1395&gt;=80, "ภาคใต้")</f>
        <v>ภาคเหนือ</v>
      </c>
      <c r="D1395" s="64">
        <v>5068</v>
      </c>
      <c r="E1395" s="10" t="s">
        <v>1718</v>
      </c>
      <c r="F1395" s="11">
        <v>3791</v>
      </c>
      <c r="G1395" s="11">
        <v>4173</v>
      </c>
      <c r="H1395" s="11">
        <v>7964</v>
      </c>
      <c r="I1395" s="11">
        <v>3517</v>
      </c>
      <c r="J1395" s="66">
        <f t="shared" si="80"/>
        <v>47.60170768458061</v>
      </c>
      <c r="K1395" s="66">
        <f t="shared" si="81"/>
        <v>52.39829231541939</v>
      </c>
    </row>
    <row r="1396" spans="1:11" x14ac:dyDescent="0.3">
      <c r="A1396" s="10">
        <v>50</v>
      </c>
      <c r="B1396" s="10" t="s">
        <v>1671</v>
      </c>
      <c r="C1396" s="10" t="str" cm="1">
        <f t="array" ref="C1396">_xlfn.IFS(A1396&lt;20, "ภาคกลาง", A1396&lt;30, "ภาคตะวันออก", A1396&lt;50, "ภาคตะวันออกเฉียงเหนือ", A1396&lt;60, "ภาคเหนือ", A1396&lt;80, "ภาคกลาง/ตะวันตก", A1396&gt;=80, "ภาคใต้")</f>
        <v>ภาคเหนือ</v>
      </c>
      <c r="D1396" s="64">
        <v>5069</v>
      </c>
      <c r="E1396" s="10" t="s">
        <v>1719</v>
      </c>
      <c r="F1396" s="11">
        <v>8260</v>
      </c>
      <c r="G1396" s="11">
        <v>9858</v>
      </c>
      <c r="H1396" s="11">
        <v>18118</v>
      </c>
      <c r="I1396" s="11">
        <v>11719</v>
      </c>
      <c r="J1396" s="66">
        <f t="shared" si="80"/>
        <v>45.590020973617399</v>
      </c>
      <c r="K1396" s="66">
        <f t="shared" si="81"/>
        <v>54.409979026382601</v>
      </c>
    </row>
    <row r="1397" spans="1:11" ht="27.6" x14ac:dyDescent="0.3">
      <c r="A1397" s="10">
        <v>50</v>
      </c>
      <c r="B1397" s="10" t="s">
        <v>1671</v>
      </c>
      <c r="C1397" s="10" t="str" cm="1">
        <f t="array" ref="C1397">_xlfn.IFS(A1397&lt;20, "ภาคกลาง", A1397&lt;30, "ภาคตะวันออก", A1397&lt;50, "ภาคตะวันออกเฉียงเหนือ", A1397&lt;60, "ภาคเหนือ", A1397&lt;80, "ภาคกลาง/ตะวันตก", A1397&gt;=80, "ภาคใต้")</f>
        <v>ภาคเหนือ</v>
      </c>
      <c r="D1397" s="64">
        <v>5070</v>
      </c>
      <c r="E1397" s="10" t="s">
        <v>1720</v>
      </c>
      <c r="F1397" s="11">
        <v>8281</v>
      </c>
      <c r="G1397" s="11">
        <v>8592</v>
      </c>
      <c r="H1397" s="11">
        <v>16873</v>
      </c>
      <c r="I1397" s="11">
        <v>11842</v>
      </c>
      <c r="J1397" s="66">
        <f t="shared" si="80"/>
        <v>49.078409292953239</v>
      </c>
      <c r="K1397" s="66">
        <f t="shared" si="81"/>
        <v>50.921590707046761</v>
      </c>
    </row>
    <row r="1398" spans="1:11" x14ac:dyDescent="0.3">
      <c r="A1398" s="10">
        <v>50</v>
      </c>
      <c r="B1398" s="10" t="s">
        <v>1671</v>
      </c>
      <c r="C1398" s="10" t="str" cm="1">
        <f t="array" ref="C1398">_xlfn.IFS(A1398&lt;20, "ภาคกลาง", A1398&lt;30, "ภาคตะวันออก", A1398&lt;50, "ภาคตะวันออกเฉียงเหนือ", A1398&lt;60, "ภาคเหนือ", A1398&lt;80, "ภาคกลาง/ตะวันตก", A1398&gt;=80, "ภาคใต้")</f>
        <v>ภาคเหนือ</v>
      </c>
      <c r="D1398" s="64">
        <v>5071</v>
      </c>
      <c r="E1398" s="10" t="s">
        <v>1721</v>
      </c>
      <c r="F1398" s="11">
        <v>3459</v>
      </c>
      <c r="G1398" s="11">
        <v>3911</v>
      </c>
      <c r="H1398" s="11">
        <v>7370</v>
      </c>
      <c r="I1398" s="11">
        <v>6486</v>
      </c>
      <c r="J1398" s="66">
        <f t="shared" si="80"/>
        <v>46.933514246947084</v>
      </c>
      <c r="K1398" s="66">
        <f t="shared" si="81"/>
        <v>53.066485753052916</v>
      </c>
    </row>
    <row r="1399" spans="1:11" ht="27.6" x14ac:dyDescent="0.3">
      <c r="A1399" s="10">
        <v>50</v>
      </c>
      <c r="B1399" s="10" t="s">
        <v>1671</v>
      </c>
      <c r="C1399" s="10" t="str" cm="1">
        <f t="array" ref="C1399">_xlfn.IFS(A1399&lt;20, "ภาคกลาง", A1399&lt;30, "ภาคตะวันออก", A1399&lt;50, "ภาคตะวันออกเฉียงเหนือ", A1399&lt;60, "ภาคเหนือ", A1399&lt;80, "ภาคกลาง/ตะวันตก", A1399&gt;=80, "ภาคใต้")</f>
        <v>ภาคเหนือ</v>
      </c>
      <c r="D1399" s="64">
        <v>5072</v>
      </c>
      <c r="E1399" s="10" t="s">
        <v>1722</v>
      </c>
      <c r="F1399" s="11">
        <v>2125</v>
      </c>
      <c r="G1399" s="11">
        <v>2374</v>
      </c>
      <c r="H1399" s="11">
        <v>4499</v>
      </c>
      <c r="I1399" s="11">
        <v>2331</v>
      </c>
      <c r="J1399" s="66">
        <f t="shared" si="80"/>
        <v>47.232718381862639</v>
      </c>
      <c r="K1399" s="66">
        <f t="shared" si="81"/>
        <v>52.767281618137361</v>
      </c>
    </row>
    <row r="1400" spans="1:11" x14ac:dyDescent="0.3">
      <c r="A1400" s="10">
        <v>50</v>
      </c>
      <c r="B1400" s="10" t="s">
        <v>1671</v>
      </c>
      <c r="C1400" s="10" t="str" cm="1">
        <f t="array" ref="C1400">_xlfn.IFS(A1400&lt;20, "ภาคกลาง", A1400&lt;30, "ภาคตะวันออก", A1400&lt;50, "ภาคตะวันออกเฉียงเหนือ", A1400&lt;60, "ภาคเหนือ", A1400&lt;80, "ภาคกลาง/ตะวันตก", A1400&gt;=80, "ภาคใต้")</f>
        <v>ภาคเหนือ</v>
      </c>
      <c r="D1400" s="64">
        <v>5073</v>
      </c>
      <c r="E1400" s="10" t="s">
        <v>1723</v>
      </c>
      <c r="F1400" s="11">
        <v>7257</v>
      </c>
      <c r="G1400" s="11">
        <v>8055</v>
      </c>
      <c r="H1400" s="11">
        <v>15312</v>
      </c>
      <c r="I1400" s="11">
        <v>6763</v>
      </c>
      <c r="J1400" s="66">
        <f t="shared" si="80"/>
        <v>47.394200626959247</v>
      </c>
      <c r="K1400" s="66">
        <f t="shared" si="81"/>
        <v>52.605799373040753</v>
      </c>
    </row>
    <row r="1401" spans="1:11" x14ac:dyDescent="0.3">
      <c r="A1401" s="10">
        <v>50</v>
      </c>
      <c r="B1401" s="10" t="s">
        <v>1671</v>
      </c>
      <c r="C1401" s="10" t="str" cm="1">
        <f t="array" ref="C1401">_xlfn.IFS(A1401&lt;20, "ภาคกลาง", A1401&lt;30, "ภาคตะวันออก", A1401&lt;50, "ภาคตะวันออกเฉียงเหนือ", A1401&lt;60, "ภาคเหนือ", A1401&lt;80, "ภาคกลาง/ตะวันตก", A1401&gt;=80, "ภาคใต้")</f>
        <v>ภาคเหนือ</v>
      </c>
      <c r="D1401" s="64">
        <v>5074</v>
      </c>
      <c r="E1401" s="10" t="s">
        <v>1724</v>
      </c>
      <c r="F1401" s="11">
        <v>5079</v>
      </c>
      <c r="G1401" s="11">
        <v>6100</v>
      </c>
      <c r="H1401" s="11">
        <v>11179</v>
      </c>
      <c r="I1401" s="11">
        <v>6319</v>
      </c>
      <c r="J1401" s="66">
        <f t="shared" si="80"/>
        <v>45.433401914303609</v>
      </c>
      <c r="K1401" s="66">
        <f t="shared" si="81"/>
        <v>54.566598085696391</v>
      </c>
    </row>
    <row r="1402" spans="1:11" ht="27.6" x14ac:dyDescent="0.3">
      <c r="A1402" s="10">
        <v>50</v>
      </c>
      <c r="B1402" s="10" t="s">
        <v>1671</v>
      </c>
      <c r="C1402" s="10" t="str" cm="1">
        <f t="array" ref="C1402">_xlfn.IFS(A1402&lt;20, "ภาคกลาง", A1402&lt;30, "ภาคตะวันออก", A1402&lt;50, "ภาคตะวันออกเฉียงเหนือ", A1402&lt;60, "ภาคเหนือ", A1402&lt;80, "ภาคกลาง/ตะวันตก", A1402&gt;=80, "ภาคใต้")</f>
        <v>ภาคเหนือ</v>
      </c>
      <c r="D1402" s="64">
        <v>5075</v>
      </c>
      <c r="E1402" s="10" t="s">
        <v>1725</v>
      </c>
      <c r="F1402" s="10">
        <v>546</v>
      </c>
      <c r="G1402" s="10">
        <v>507</v>
      </c>
      <c r="H1402" s="11">
        <v>1053</v>
      </c>
      <c r="I1402" s="10">
        <v>858</v>
      </c>
      <c r="J1402" s="66">
        <f t="shared" si="80"/>
        <v>51.851851851851848</v>
      </c>
      <c r="K1402" s="66">
        <f t="shared" si="81"/>
        <v>48.148148148148145</v>
      </c>
    </row>
    <row r="1403" spans="1:11" x14ac:dyDescent="0.3">
      <c r="A1403" s="10">
        <v>50</v>
      </c>
      <c r="B1403" s="10" t="s">
        <v>1671</v>
      </c>
      <c r="C1403" s="10" t="str" cm="1">
        <f t="array" ref="C1403">_xlfn.IFS(A1403&lt;20, "ภาคกลาง", A1403&lt;30, "ภาคตะวันออก", A1403&lt;50, "ภาคตะวันออกเฉียงเหนือ", A1403&lt;60, "ภาคเหนือ", A1403&lt;80, "ภาคกลาง/ตะวันตก", A1403&gt;=80, "ภาคใต้")</f>
        <v>ภาคเหนือ</v>
      </c>
      <c r="D1403" s="64">
        <v>5076</v>
      </c>
      <c r="E1403" s="10" t="s">
        <v>815</v>
      </c>
      <c r="F1403" s="11">
        <v>2003</v>
      </c>
      <c r="G1403" s="11">
        <v>2139</v>
      </c>
      <c r="H1403" s="11">
        <v>4142</v>
      </c>
      <c r="I1403" s="11">
        <v>1916</v>
      </c>
      <c r="J1403" s="66">
        <f t="shared" si="80"/>
        <v>48.358281023660069</v>
      </c>
      <c r="K1403" s="66">
        <f t="shared" si="81"/>
        <v>51.641718976339931</v>
      </c>
    </row>
    <row r="1404" spans="1:11" x14ac:dyDescent="0.3">
      <c r="A1404" s="10">
        <v>50</v>
      </c>
      <c r="B1404" s="10" t="s">
        <v>1671</v>
      </c>
      <c r="C1404" s="10" t="str" cm="1">
        <f t="array" ref="C1404">_xlfn.IFS(A1404&lt;20, "ภาคกลาง", A1404&lt;30, "ภาคตะวันออก", A1404&lt;50, "ภาคตะวันออกเฉียงเหนือ", A1404&lt;60, "ภาคเหนือ", A1404&lt;80, "ภาคกลาง/ตะวันตก", A1404&gt;=80, "ภาคใต้")</f>
        <v>ภาคเหนือ</v>
      </c>
      <c r="D1404" s="64">
        <v>5077</v>
      </c>
      <c r="E1404" s="10" t="s">
        <v>1726</v>
      </c>
      <c r="F1404" s="11">
        <v>2665</v>
      </c>
      <c r="G1404" s="11">
        <v>2894</v>
      </c>
      <c r="H1404" s="11">
        <v>5559</v>
      </c>
      <c r="I1404" s="11">
        <v>3679</v>
      </c>
      <c r="J1404" s="66">
        <f t="shared" si="80"/>
        <v>47.940277028242491</v>
      </c>
      <c r="K1404" s="66">
        <f t="shared" si="81"/>
        <v>52.059722971757502</v>
      </c>
    </row>
    <row r="1405" spans="1:11" ht="27.6" x14ac:dyDescent="0.3">
      <c r="A1405" s="10">
        <v>50</v>
      </c>
      <c r="B1405" s="10" t="s">
        <v>1671</v>
      </c>
      <c r="C1405" s="10" t="str" cm="1">
        <f t="array" ref="C1405">_xlfn.IFS(A1405&lt;20, "ภาคกลาง", A1405&lt;30, "ภาคตะวันออก", A1405&lt;50, "ภาคตะวันออกเฉียงเหนือ", A1405&lt;60, "ภาคเหนือ", A1405&lt;80, "ภาคกลาง/ตะวันตก", A1405&gt;=80, "ภาคใต้")</f>
        <v>ภาคเหนือ</v>
      </c>
      <c r="D1405" s="64">
        <v>5078</v>
      </c>
      <c r="E1405" s="10" t="s">
        <v>1727</v>
      </c>
      <c r="F1405" s="11">
        <v>2902</v>
      </c>
      <c r="G1405" s="11">
        <v>3539</v>
      </c>
      <c r="H1405" s="11">
        <v>6441</v>
      </c>
      <c r="I1405" s="11">
        <v>4099</v>
      </c>
      <c r="J1405" s="66">
        <f t="shared" si="80"/>
        <v>45.055115665269369</v>
      </c>
      <c r="K1405" s="66">
        <f t="shared" si="81"/>
        <v>54.944884334730638</v>
      </c>
    </row>
    <row r="1406" spans="1:11" ht="27.6" x14ac:dyDescent="0.3">
      <c r="A1406" s="10">
        <v>50</v>
      </c>
      <c r="B1406" s="10" t="s">
        <v>1671</v>
      </c>
      <c r="C1406" s="10" t="str" cm="1">
        <f t="array" ref="C1406">_xlfn.IFS(A1406&lt;20, "ภาคกลาง", A1406&lt;30, "ภาคตะวันออก", A1406&lt;50, "ภาคตะวันออกเฉียงเหนือ", A1406&lt;60, "ภาคเหนือ", A1406&lt;80, "ภาคกลาง/ตะวันตก", A1406&gt;=80, "ภาคใต้")</f>
        <v>ภาคเหนือ</v>
      </c>
      <c r="D1406" s="64">
        <v>5079</v>
      </c>
      <c r="E1406" s="10" t="s">
        <v>1728</v>
      </c>
      <c r="F1406" s="11">
        <v>3746</v>
      </c>
      <c r="G1406" s="11">
        <v>4396</v>
      </c>
      <c r="H1406" s="11">
        <v>8142</v>
      </c>
      <c r="I1406" s="11">
        <v>3698</v>
      </c>
      <c r="J1406" s="66">
        <f t="shared" si="80"/>
        <v>46.008351756325226</v>
      </c>
      <c r="K1406" s="66">
        <f t="shared" si="81"/>
        <v>53.991648243674774</v>
      </c>
    </row>
    <row r="1407" spans="1:11" x14ac:dyDescent="0.3">
      <c r="A1407" s="10">
        <v>50</v>
      </c>
      <c r="B1407" s="10" t="s">
        <v>1671</v>
      </c>
      <c r="C1407" s="10" t="str" cm="1">
        <f t="array" ref="C1407">_xlfn.IFS(A1407&lt;20, "ภาคกลาง", A1407&lt;30, "ภาคตะวันออก", A1407&lt;50, "ภาคตะวันออกเฉียงเหนือ", A1407&lt;60, "ภาคเหนือ", A1407&lt;80, "ภาคกลาง/ตะวันตก", A1407&gt;=80, "ภาคใต้")</f>
        <v>ภาคเหนือ</v>
      </c>
      <c r="D1407" s="64">
        <v>5080</v>
      </c>
      <c r="E1407" s="10" t="s">
        <v>1729</v>
      </c>
      <c r="F1407" s="11">
        <v>13385</v>
      </c>
      <c r="G1407" s="11">
        <v>16149</v>
      </c>
      <c r="H1407" s="11">
        <v>29534</v>
      </c>
      <c r="I1407" s="11">
        <v>17318</v>
      </c>
      <c r="J1407" s="66">
        <f t="shared" si="80"/>
        <v>45.320647389449448</v>
      </c>
      <c r="K1407" s="66">
        <f t="shared" si="81"/>
        <v>54.679352610550545</v>
      </c>
    </row>
    <row r="1408" spans="1:11" ht="27.6" x14ac:dyDescent="0.3">
      <c r="A1408" s="10">
        <v>50</v>
      </c>
      <c r="B1408" s="10" t="s">
        <v>1671</v>
      </c>
      <c r="C1408" s="10" t="str" cm="1">
        <f t="array" ref="C1408">_xlfn.IFS(A1408&lt;20, "ภาคกลาง", A1408&lt;30, "ภาคตะวันออก", A1408&lt;50, "ภาคตะวันออกเฉียงเหนือ", A1408&lt;60, "ภาคเหนือ", A1408&lt;80, "ภาคกลาง/ตะวันตก", A1408&gt;=80, "ภาคใต้")</f>
        <v>ภาคเหนือ</v>
      </c>
      <c r="D1408" s="64">
        <v>5081</v>
      </c>
      <c r="E1408" s="10" t="s">
        <v>1730</v>
      </c>
      <c r="F1408" s="11">
        <v>10540</v>
      </c>
      <c r="G1408" s="11">
        <v>12648</v>
      </c>
      <c r="H1408" s="11">
        <v>23188</v>
      </c>
      <c r="I1408" s="11">
        <v>15532</v>
      </c>
      <c r="J1408" s="66">
        <f t="shared" si="80"/>
        <v>45.454545454545453</v>
      </c>
      <c r="K1408" s="66">
        <f t="shared" si="81"/>
        <v>54.54545454545454</v>
      </c>
    </row>
    <row r="1409" spans="1:11" x14ac:dyDescent="0.3">
      <c r="A1409" s="10">
        <v>50</v>
      </c>
      <c r="B1409" s="10" t="s">
        <v>1671</v>
      </c>
      <c r="C1409" s="10" t="str" cm="1">
        <f t="array" ref="C1409">_xlfn.IFS(A1409&lt;20, "ภาคกลาง", A1409&lt;30, "ภาคตะวันออก", A1409&lt;50, "ภาคตะวันออกเฉียงเหนือ", A1409&lt;60, "ภาคเหนือ", A1409&lt;80, "ภาคกลาง/ตะวันตก", A1409&gt;=80, "ภาคใต้")</f>
        <v>ภาคเหนือ</v>
      </c>
      <c r="D1409" s="64">
        <v>5082</v>
      </c>
      <c r="E1409" s="10" t="s">
        <v>1731</v>
      </c>
      <c r="F1409" s="11">
        <v>8044</v>
      </c>
      <c r="G1409" s="11">
        <v>9406</v>
      </c>
      <c r="H1409" s="11">
        <v>17450</v>
      </c>
      <c r="I1409" s="11">
        <v>9638</v>
      </c>
      <c r="J1409" s="66">
        <f t="shared" si="80"/>
        <v>46.097421203438394</v>
      </c>
      <c r="K1409" s="66">
        <f t="shared" si="81"/>
        <v>53.902578796561606</v>
      </c>
    </row>
    <row r="1410" spans="1:11" ht="27.6" x14ac:dyDescent="0.3">
      <c r="A1410" s="10">
        <v>50</v>
      </c>
      <c r="B1410" s="10" t="s">
        <v>1671</v>
      </c>
      <c r="C1410" s="10" t="str" cm="1">
        <f t="array" ref="C1410">_xlfn.IFS(A1410&lt;20, "ภาคกลาง", A1410&lt;30, "ภาคตะวันออก", A1410&lt;50, "ภาคตะวันออกเฉียงเหนือ", A1410&lt;60, "ภาคเหนือ", A1410&lt;80, "ภาคกลาง/ตะวันตก", A1410&gt;=80, "ภาคใต้")</f>
        <v>ภาคเหนือ</v>
      </c>
      <c r="D1410" s="64">
        <v>5083</v>
      </c>
      <c r="E1410" s="10" t="s">
        <v>1732</v>
      </c>
      <c r="F1410" s="11">
        <v>9345</v>
      </c>
      <c r="G1410" s="11">
        <v>11337</v>
      </c>
      <c r="H1410" s="11">
        <v>20682</v>
      </c>
      <c r="I1410" s="11">
        <v>14372</v>
      </c>
      <c r="J1410" s="66">
        <f t="shared" si="80"/>
        <v>45.18421816071946</v>
      </c>
      <c r="K1410" s="66">
        <f t="shared" si="81"/>
        <v>54.815781839280532</v>
      </c>
    </row>
    <row r="1411" spans="1:11" ht="27.6" x14ac:dyDescent="0.3">
      <c r="A1411" s="10">
        <v>50</v>
      </c>
      <c r="B1411" s="10" t="s">
        <v>1671</v>
      </c>
      <c r="C1411" s="10" t="str" cm="1">
        <f t="array" ref="C1411">_xlfn.IFS(A1411&lt;20, "ภาคกลาง", A1411&lt;30, "ภาคตะวันออก", A1411&lt;50, "ภาคตะวันออกเฉียงเหนือ", A1411&lt;60, "ภาคเหนือ", A1411&lt;80, "ภาคกลาง/ตะวันตก", A1411&gt;=80, "ภาคใต้")</f>
        <v>ภาคเหนือ</v>
      </c>
      <c r="D1411" s="64">
        <v>5084</v>
      </c>
      <c r="E1411" s="10" t="s">
        <v>450</v>
      </c>
      <c r="F1411" s="11">
        <v>1926</v>
      </c>
      <c r="G1411" s="11">
        <v>2305</v>
      </c>
      <c r="H1411" s="11">
        <v>4231</v>
      </c>
      <c r="I1411" s="11">
        <v>2849</v>
      </c>
      <c r="J1411" s="66">
        <f t="shared" si="80"/>
        <v>45.521153391633185</v>
      </c>
      <c r="K1411" s="66">
        <f t="shared" si="81"/>
        <v>54.478846608366815</v>
      </c>
    </row>
    <row r="1412" spans="1:11" ht="27.6" x14ac:dyDescent="0.3">
      <c r="A1412" s="10">
        <v>50</v>
      </c>
      <c r="B1412" s="10" t="s">
        <v>1671</v>
      </c>
      <c r="C1412" s="10" t="str" cm="1">
        <f t="array" ref="C1412">_xlfn.IFS(A1412&lt;20, "ภาคกลาง", A1412&lt;30, "ภาคตะวันออก", A1412&lt;50, "ภาคตะวันออกเฉียงเหนือ", A1412&lt;60, "ภาคเหนือ", A1412&lt;80, "ภาคกลาง/ตะวันตก", A1412&gt;=80, "ภาคใต้")</f>
        <v>ภาคเหนือ</v>
      </c>
      <c r="D1412" s="64">
        <v>5085</v>
      </c>
      <c r="E1412" s="10" t="s">
        <v>1733</v>
      </c>
      <c r="F1412" s="11">
        <v>4788</v>
      </c>
      <c r="G1412" s="11">
        <v>5461</v>
      </c>
      <c r="H1412" s="11">
        <v>10249</v>
      </c>
      <c r="I1412" s="11">
        <v>5652</v>
      </c>
      <c r="J1412" s="66">
        <f t="shared" ref="J1412:J1426" si="82">F1412/H1412*100</f>
        <v>46.716752853936974</v>
      </c>
      <c r="K1412" s="66">
        <f t="shared" ref="K1412:K1426" si="83">G1412/H1412*100</f>
        <v>53.283247146063026</v>
      </c>
    </row>
    <row r="1413" spans="1:11" x14ac:dyDescent="0.3">
      <c r="A1413" s="10">
        <v>50</v>
      </c>
      <c r="B1413" s="10" t="s">
        <v>1671</v>
      </c>
      <c r="C1413" s="10" t="str" cm="1">
        <f t="array" ref="C1413">_xlfn.IFS(A1413&lt;20, "ภาคกลาง", A1413&lt;30, "ภาคตะวันออก", A1413&lt;50, "ภาคตะวันออกเฉียงเหนือ", A1413&lt;60, "ภาคเหนือ", A1413&lt;80, "ภาคกลาง/ตะวันตก", A1413&gt;=80, "ภาคใต้")</f>
        <v>ภาคเหนือ</v>
      </c>
      <c r="D1413" s="64">
        <v>5086</v>
      </c>
      <c r="E1413" s="10" t="s">
        <v>1734</v>
      </c>
      <c r="F1413" s="11">
        <v>2035</v>
      </c>
      <c r="G1413" s="11">
        <v>2415</v>
      </c>
      <c r="H1413" s="11">
        <v>4450</v>
      </c>
      <c r="I1413" s="11">
        <v>2908</v>
      </c>
      <c r="J1413" s="66">
        <f t="shared" si="82"/>
        <v>45.730337078651687</v>
      </c>
      <c r="K1413" s="66">
        <f t="shared" si="83"/>
        <v>54.269662921348313</v>
      </c>
    </row>
    <row r="1414" spans="1:11" x14ac:dyDescent="0.3">
      <c r="A1414" s="10">
        <v>50</v>
      </c>
      <c r="B1414" s="10" t="s">
        <v>1671</v>
      </c>
      <c r="C1414" s="10" t="str" cm="1">
        <f t="array" ref="C1414">_xlfn.IFS(A1414&lt;20, "ภาคกลาง", A1414&lt;30, "ภาคตะวันออก", A1414&lt;50, "ภาคตะวันออกเฉียงเหนือ", A1414&lt;60, "ภาคเหนือ", A1414&lt;80, "ภาคกลาง/ตะวันตก", A1414&gt;=80, "ภาคใต้")</f>
        <v>ภาคเหนือ</v>
      </c>
      <c r="D1414" s="64">
        <v>5087</v>
      </c>
      <c r="E1414" s="10" t="s">
        <v>1735</v>
      </c>
      <c r="F1414" s="11">
        <v>4953</v>
      </c>
      <c r="G1414" s="11">
        <v>5420</v>
      </c>
      <c r="H1414" s="11">
        <v>10373</v>
      </c>
      <c r="I1414" s="11">
        <v>4579</v>
      </c>
      <c r="J1414" s="66">
        <f t="shared" si="82"/>
        <v>47.748963655644459</v>
      </c>
      <c r="K1414" s="66">
        <f t="shared" si="83"/>
        <v>52.251036344355541</v>
      </c>
    </row>
    <row r="1415" spans="1:11" ht="27.6" x14ac:dyDescent="0.3">
      <c r="A1415" s="10">
        <v>50</v>
      </c>
      <c r="B1415" s="10" t="s">
        <v>1671</v>
      </c>
      <c r="C1415" s="10" t="str" cm="1">
        <f t="array" ref="C1415">_xlfn.IFS(A1415&lt;20, "ภาคกลาง", A1415&lt;30, "ภาคตะวันออก", A1415&lt;50, "ภาคตะวันออกเฉียงเหนือ", A1415&lt;60, "ภาคเหนือ", A1415&lt;80, "ภาคกลาง/ตะวันตก", A1415&gt;=80, "ภาคใต้")</f>
        <v>ภาคเหนือ</v>
      </c>
      <c r="D1415" s="64">
        <v>5088</v>
      </c>
      <c r="E1415" s="10" t="s">
        <v>1736</v>
      </c>
      <c r="F1415" s="11">
        <v>3945</v>
      </c>
      <c r="G1415" s="11">
        <v>4271</v>
      </c>
      <c r="H1415" s="11">
        <v>8216</v>
      </c>
      <c r="I1415" s="11">
        <v>4065</v>
      </c>
      <c r="J1415" s="66">
        <f t="shared" si="82"/>
        <v>48.01606621226874</v>
      </c>
      <c r="K1415" s="66">
        <f t="shared" si="83"/>
        <v>51.983933787731253</v>
      </c>
    </row>
    <row r="1416" spans="1:11" ht="27.6" x14ac:dyDescent="0.3">
      <c r="A1416" s="10">
        <v>50</v>
      </c>
      <c r="B1416" s="10" t="s">
        <v>1671</v>
      </c>
      <c r="C1416" s="10" t="str" cm="1">
        <f t="array" ref="C1416">_xlfn.IFS(A1416&lt;20, "ภาคกลาง", A1416&lt;30, "ภาคตะวันออก", A1416&lt;50, "ภาคตะวันออกเฉียงเหนือ", A1416&lt;60, "ภาคเหนือ", A1416&lt;80, "ภาคกลาง/ตะวันตก", A1416&gt;=80, "ภาคใต้")</f>
        <v>ภาคเหนือ</v>
      </c>
      <c r="D1416" s="64">
        <v>5089</v>
      </c>
      <c r="E1416" s="10" t="s">
        <v>1737</v>
      </c>
      <c r="F1416" s="10">
        <v>891</v>
      </c>
      <c r="G1416" s="10">
        <v>938</v>
      </c>
      <c r="H1416" s="11">
        <v>1829</v>
      </c>
      <c r="I1416" s="10">
        <v>874</v>
      </c>
      <c r="J1416" s="66">
        <f t="shared" si="82"/>
        <v>48.715144887916892</v>
      </c>
      <c r="K1416" s="66">
        <f t="shared" si="83"/>
        <v>51.284855112083108</v>
      </c>
    </row>
    <row r="1417" spans="1:11" x14ac:dyDescent="0.3">
      <c r="A1417" s="10">
        <v>50</v>
      </c>
      <c r="B1417" s="10" t="s">
        <v>1671</v>
      </c>
      <c r="C1417" s="10" t="str" cm="1">
        <f t="array" ref="C1417">_xlfn.IFS(A1417&lt;20, "ภาคกลาง", A1417&lt;30, "ภาคตะวันออก", A1417&lt;50, "ภาคตะวันออกเฉียงเหนือ", A1417&lt;60, "ภาคเหนือ", A1417&lt;80, "ภาคกลาง/ตะวันตก", A1417&gt;=80, "ภาคใต้")</f>
        <v>ภาคเหนือ</v>
      </c>
      <c r="D1417" s="64">
        <v>5090</v>
      </c>
      <c r="E1417" s="10" t="s">
        <v>1738</v>
      </c>
      <c r="F1417" s="11">
        <v>2612</v>
      </c>
      <c r="G1417" s="11">
        <v>2654</v>
      </c>
      <c r="H1417" s="11">
        <v>5266</v>
      </c>
      <c r="I1417" s="11">
        <v>2807</v>
      </c>
      <c r="J1417" s="66">
        <f t="shared" si="82"/>
        <v>49.601215343714394</v>
      </c>
      <c r="K1417" s="66">
        <f t="shared" si="83"/>
        <v>50.398784656285613</v>
      </c>
    </row>
    <row r="1418" spans="1:11" ht="27.6" x14ac:dyDescent="0.3">
      <c r="A1418" s="10">
        <v>50</v>
      </c>
      <c r="B1418" s="10" t="s">
        <v>1671</v>
      </c>
      <c r="C1418" s="10" t="str" cm="1">
        <f t="array" ref="C1418">_xlfn.IFS(A1418&lt;20, "ภาคกลาง", A1418&lt;30, "ภาคตะวันออก", A1418&lt;50, "ภาคตะวันออกเฉียงเหนือ", A1418&lt;60, "ภาคเหนือ", A1418&lt;80, "ภาคกลาง/ตะวันตก", A1418&gt;=80, "ภาคใต้")</f>
        <v>ภาคเหนือ</v>
      </c>
      <c r="D1418" s="64">
        <v>5091</v>
      </c>
      <c r="E1418" s="10" t="s">
        <v>1739</v>
      </c>
      <c r="F1418" s="11">
        <v>4238</v>
      </c>
      <c r="G1418" s="11">
        <v>4887</v>
      </c>
      <c r="H1418" s="11">
        <v>9125</v>
      </c>
      <c r="I1418" s="11">
        <v>6000</v>
      </c>
      <c r="J1418" s="66">
        <f t="shared" si="82"/>
        <v>46.443835616438356</v>
      </c>
      <c r="K1418" s="66">
        <f t="shared" si="83"/>
        <v>53.556164383561644</v>
      </c>
    </row>
    <row r="1419" spans="1:11" ht="27.6" x14ac:dyDescent="0.3">
      <c r="A1419" s="10">
        <v>50</v>
      </c>
      <c r="B1419" s="10" t="s">
        <v>1671</v>
      </c>
      <c r="C1419" s="10" t="str" cm="1">
        <f t="array" ref="C1419">_xlfn.IFS(A1419&lt;20, "ภาคกลาง", A1419&lt;30, "ภาคตะวันออก", A1419&lt;50, "ภาคตะวันออกเฉียงเหนือ", A1419&lt;60, "ภาคเหนือ", A1419&lt;80, "ภาคกลาง/ตะวันตก", A1419&gt;=80, "ภาคใต้")</f>
        <v>ภาคเหนือ</v>
      </c>
      <c r="D1419" s="64">
        <v>5092</v>
      </c>
      <c r="E1419" s="10" t="s">
        <v>1740</v>
      </c>
      <c r="F1419" s="11">
        <v>3814</v>
      </c>
      <c r="G1419" s="11">
        <v>4348</v>
      </c>
      <c r="H1419" s="11">
        <v>8162</v>
      </c>
      <c r="I1419" s="11">
        <v>5282</v>
      </c>
      <c r="J1419" s="66">
        <f t="shared" si="82"/>
        <v>46.728742955158047</v>
      </c>
      <c r="K1419" s="66">
        <f t="shared" si="83"/>
        <v>53.271257044841946</v>
      </c>
    </row>
    <row r="1420" spans="1:11" ht="27.6" x14ac:dyDescent="0.3">
      <c r="A1420" s="10">
        <v>50</v>
      </c>
      <c r="B1420" s="10" t="s">
        <v>1671</v>
      </c>
      <c r="C1420" s="10" t="str" cm="1">
        <f t="array" ref="C1420">_xlfn.IFS(A1420&lt;20, "ภาคกลาง", A1420&lt;30, "ภาคตะวันออก", A1420&lt;50, "ภาคตะวันออกเฉียงเหนือ", A1420&lt;60, "ภาคเหนือ", A1420&lt;80, "ภาคกลาง/ตะวันตก", A1420&gt;=80, "ภาคใต้")</f>
        <v>ภาคเหนือ</v>
      </c>
      <c r="D1420" s="64">
        <v>5093</v>
      </c>
      <c r="E1420" s="10" t="s">
        <v>1741</v>
      </c>
      <c r="F1420" s="11">
        <v>5648</v>
      </c>
      <c r="G1420" s="11">
        <v>6256</v>
      </c>
      <c r="H1420" s="11">
        <v>11904</v>
      </c>
      <c r="I1420" s="11">
        <v>5904</v>
      </c>
      <c r="J1420" s="66">
        <f t="shared" si="82"/>
        <v>47.446236559139784</v>
      </c>
      <c r="K1420" s="66">
        <f t="shared" si="83"/>
        <v>52.553763440860216</v>
      </c>
    </row>
    <row r="1421" spans="1:11" ht="27.6" x14ac:dyDescent="0.3">
      <c r="A1421" s="10">
        <v>50</v>
      </c>
      <c r="B1421" s="10" t="s">
        <v>1671</v>
      </c>
      <c r="C1421" s="10" t="str" cm="1">
        <f t="array" ref="C1421">_xlfn.IFS(A1421&lt;20, "ภาคกลาง", A1421&lt;30, "ภาคตะวันออก", A1421&lt;50, "ภาคตะวันออกเฉียงเหนือ", A1421&lt;60, "ภาคเหนือ", A1421&lt;80, "ภาคกลาง/ตะวันตก", A1421&gt;=80, "ภาคใต้")</f>
        <v>ภาคเหนือ</v>
      </c>
      <c r="D1421" s="64">
        <v>5094</v>
      </c>
      <c r="E1421" s="10" t="s">
        <v>1742</v>
      </c>
      <c r="F1421" s="11">
        <v>1836</v>
      </c>
      <c r="G1421" s="11">
        <v>2131</v>
      </c>
      <c r="H1421" s="11">
        <v>3967</v>
      </c>
      <c r="I1421" s="11">
        <v>2212</v>
      </c>
      <c r="J1421" s="66">
        <f t="shared" si="82"/>
        <v>46.281825056717921</v>
      </c>
      <c r="K1421" s="66">
        <f t="shared" si="83"/>
        <v>53.718174943282079</v>
      </c>
    </row>
    <row r="1422" spans="1:11" ht="27.6" x14ac:dyDescent="0.3">
      <c r="A1422" s="10">
        <v>50</v>
      </c>
      <c r="B1422" s="10" t="s">
        <v>1671</v>
      </c>
      <c r="C1422" s="10" t="str" cm="1">
        <f t="array" ref="C1422">_xlfn.IFS(A1422&lt;20, "ภาคกลาง", A1422&lt;30, "ภาคตะวันออก", A1422&lt;50, "ภาคตะวันออกเฉียงเหนือ", A1422&lt;60, "ภาคเหนือ", A1422&lt;80, "ภาคกลาง/ตะวันตก", A1422&gt;=80, "ภาคใต้")</f>
        <v>ภาคเหนือ</v>
      </c>
      <c r="D1422" s="64">
        <v>5095</v>
      </c>
      <c r="E1422" s="10" t="s">
        <v>1743</v>
      </c>
      <c r="F1422" s="11">
        <v>1725</v>
      </c>
      <c r="G1422" s="11">
        <v>1983</v>
      </c>
      <c r="H1422" s="11">
        <v>3708</v>
      </c>
      <c r="I1422" s="11">
        <v>2068</v>
      </c>
      <c r="J1422" s="66">
        <f t="shared" si="82"/>
        <v>46.521035598705502</v>
      </c>
      <c r="K1422" s="66">
        <f t="shared" si="83"/>
        <v>53.47896440129449</v>
      </c>
    </row>
    <row r="1423" spans="1:11" x14ac:dyDescent="0.3">
      <c r="A1423" s="10">
        <v>50</v>
      </c>
      <c r="B1423" s="10" t="s">
        <v>1671</v>
      </c>
      <c r="C1423" s="10" t="str" cm="1">
        <f t="array" ref="C1423">_xlfn.IFS(A1423&lt;20, "ภาคกลาง", A1423&lt;30, "ภาคตะวันออก", A1423&lt;50, "ภาคตะวันออกเฉียงเหนือ", A1423&lt;60, "ภาคเหนือ", A1423&lt;80, "ภาคกลาง/ตะวันตก", A1423&gt;=80, "ภาคใต้")</f>
        <v>ภาคเหนือ</v>
      </c>
      <c r="D1423" s="64">
        <v>5096</v>
      </c>
      <c r="E1423" s="10" t="s">
        <v>1744</v>
      </c>
      <c r="F1423" s="11">
        <v>1717</v>
      </c>
      <c r="G1423" s="11">
        <v>1970</v>
      </c>
      <c r="H1423" s="11">
        <v>3687</v>
      </c>
      <c r="I1423" s="11">
        <v>2421</v>
      </c>
      <c r="J1423" s="66">
        <f t="shared" si="82"/>
        <v>46.56902630865202</v>
      </c>
      <c r="K1423" s="66">
        <f t="shared" si="83"/>
        <v>53.43097369134798</v>
      </c>
    </row>
    <row r="1424" spans="1:11" x14ac:dyDescent="0.3">
      <c r="A1424" s="10">
        <v>50</v>
      </c>
      <c r="B1424" s="10" t="s">
        <v>1671</v>
      </c>
      <c r="C1424" s="10" t="str" cm="1">
        <f t="array" ref="C1424">_xlfn.IFS(A1424&lt;20, "ภาคกลาง", A1424&lt;30, "ภาคตะวันออก", A1424&lt;50, "ภาคตะวันออกเฉียงเหนือ", A1424&lt;60, "ภาคเหนือ", A1424&lt;80, "ภาคกลาง/ตะวันตก", A1424&gt;=80, "ภาคใต้")</f>
        <v>ภาคเหนือ</v>
      </c>
      <c r="D1424" s="64">
        <v>5097</v>
      </c>
      <c r="E1424" s="10" t="s">
        <v>1269</v>
      </c>
      <c r="F1424" s="11">
        <v>1233</v>
      </c>
      <c r="G1424" s="11">
        <v>1293</v>
      </c>
      <c r="H1424" s="11">
        <v>2526</v>
      </c>
      <c r="I1424" s="11">
        <v>1697</v>
      </c>
      <c r="J1424" s="66">
        <f t="shared" si="82"/>
        <v>48.812351543942995</v>
      </c>
      <c r="K1424" s="66">
        <f t="shared" si="83"/>
        <v>51.187648456057012</v>
      </c>
    </row>
    <row r="1425" spans="1:11" ht="27.6" x14ac:dyDescent="0.3">
      <c r="A1425" s="10">
        <v>50</v>
      </c>
      <c r="B1425" s="10" t="s">
        <v>1671</v>
      </c>
      <c r="C1425" s="10" t="str" cm="1">
        <f t="array" ref="C1425">_xlfn.IFS(A1425&lt;20, "ภาคกลาง", A1425&lt;30, "ภาคตะวันออก", A1425&lt;50, "ภาคตะวันออกเฉียงเหนือ", A1425&lt;60, "ภาคเหนือ", A1425&lt;80, "ภาคกลาง/ตะวันตก", A1425&gt;=80, "ภาคใต้")</f>
        <v>ภาคเหนือ</v>
      </c>
      <c r="D1425" s="64">
        <v>5098</v>
      </c>
      <c r="E1425" s="10" t="s">
        <v>1745</v>
      </c>
      <c r="F1425" s="11">
        <v>4083</v>
      </c>
      <c r="G1425" s="11">
        <v>4818</v>
      </c>
      <c r="H1425" s="11">
        <v>8901</v>
      </c>
      <c r="I1425" s="11">
        <v>4662</v>
      </c>
      <c r="J1425" s="66">
        <f t="shared" si="82"/>
        <v>45.871250421300978</v>
      </c>
      <c r="K1425" s="66">
        <f t="shared" si="83"/>
        <v>54.128749578699022</v>
      </c>
    </row>
    <row r="1426" spans="1:11" x14ac:dyDescent="0.3">
      <c r="A1426" s="10">
        <v>50</v>
      </c>
      <c r="B1426" s="10" t="s">
        <v>1671</v>
      </c>
      <c r="C1426" s="10" t="str" cm="1">
        <f t="array" ref="C1426">_xlfn.IFS(A1426&lt;20, "ภาคกลาง", A1426&lt;30, "ภาคตะวันออก", A1426&lt;50, "ภาคตะวันออกเฉียงเหนือ", A1426&lt;60, "ภาคเหนือ", A1426&lt;80, "ภาคกลาง/ตะวันตก", A1426&gt;=80, "ภาคใต้")</f>
        <v>ภาคเหนือ</v>
      </c>
      <c r="D1426" s="64">
        <v>5099</v>
      </c>
      <c r="E1426" s="10" t="s">
        <v>1746</v>
      </c>
      <c r="F1426" s="11">
        <v>4097</v>
      </c>
      <c r="G1426" s="11">
        <v>4638</v>
      </c>
      <c r="H1426" s="11">
        <v>8735</v>
      </c>
      <c r="I1426" s="11">
        <v>9515</v>
      </c>
      <c r="J1426" s="66">
        <f t="shared" si="82"/>
        <v>46.903262736119061</v>
      </c>
      <c r="K1426" s="66">
        <f t="shared" si="83"/>
        <v>53.096737263880947</v>
      </c>
    </row>
    <row r="1427" spans="1:11" hidden="1" x14ac:dyDescent="0.3">
      <c r="A1427" s="10">
        <v>50</v>
      </c>
      <c r="B1427" s="10" t="s">
        <v>1671</v>
      </c>
      <c r="C1427" s="10" t="str" cm="1">
        <f t="array" ref="C1427">_xlfn.IFS(A1427&lt;20, "ภาคกลาง", A1427&lt;30, "ภาคตะวันออก", A1427&lt;50, "ภาคตะวันออกเฉียงเหนือ", A1427&lt;60, "ภาคเหนือ", A1427&lt;80, "ภาคกลาง/ตะวันตก", A1427&gt;=80, "ภาคใต้")</f>
        <v>ภาคเหนือ</v>
      </c>
      <c r="D1427" s="10">
        <v>0</v>
      </c>
      <c r="E1427" s="10" t="s">
        <v>343</v>
      </c>
      <c r="F1427" s="11">
        <v>53290</v>
      </c>
      <c r="G1427" s="11">
        <v>60239</v>
      </c>
      <c r="H1427" s="11">
        <v>113529</v>
      </c>
      <c r="I1427" s="11">
        <v>93443</v>
      </c>
      <c r="J1427"/>
      <c r="K1427"/>
    </row>
    <row r="1428" spans="1:11" x14ac:dyDescent="0.3">
      <c r="A1428" s="10">
        <v>51</v>
      </c>
      <c r="B1428" s="10" t="s">
        <v>1747</v>
      </c>
      <c r="C1428" s="10" t="str" cm="1">
        <f t="array" ref="C1428">_xlfn.IFS(A1428&lt;20, "ภาคกลาง", A1428&lt;30, "ภาคตะวันออก", A1428&lt;50, "ภาคตะวันออกเฉียงเหนือ", A1428&lt;60, "ภาคเหนือ", A1428&lt;80, "ภาคกลาง/ตะวันตก", A1428&gt;=80, "ภาคใต้")</f>
        <v>ภาคเหนือ</v>
      </c>
      <c r="D1428" s="64">
        <v>5101</v>
      </c>
      <c r="E1428" s="10" t="s">
        <v>1748</v>
      </c>
      <c r="F1428" s="11">
        <v>189647</v>
      </c>
      <c r="G1428" s="11">
        <v>207106</v>
      </c>
      <c r="H1428" s="11">
        <v>396753</v>
      </c>
      <c r="I1428" s="11">
        <v>193492</v>
      </c>
      <c r="J1428" s="66">
        <f t="shared" ref="J1428:J1458" si="84">F1428/H1428*100</f>
        <v>47.799764589051627</v>
      </c>
      <c r="K1428" s="66">
        <f t="shared" ref="K1428:K1458" si="85">G1428/H1428*100</f>
        <v>52.200235410948373</v>
      </c>
    </row>
    <row r="1429" spans="1:11" x14ac:dyDescent="0.3">
      <c r="A1429" s="10">
        <v>51</v>
      </c>
      <c r="B1429" s="10" t="s">
        <v>1747</v>
      </c>
      <c r="C1429" s="10" t="str" cm="1">
        <f t="array" ref="C1429">_xlfn.IFS(A1429&lt;20, "ภาคกลาง", A1429&lt;30, "ภาคตะวันออก", A1429&lt;50, "ภาคตะวันออกเฉียงเหนือ", A1429&lt;60, "ภาคเหนือ", A1429&lt;80, "ภาคกลาง/ตะวันตก", A1429&gt;=80, "ภาคใต้")</f>
        <v>ภาคเหนือ</v>
      </c>
      <c r="D1429" s="64">
        <v>5102</v>
      </c>
      <c r="E1429" s="10" t="s">
        <v>1749</v>
      </c>
      <c r="F1429" s="11">
        <v>28343</v>
      </c>
      <c r="G1429" s="11">
        <v>31894</v>
      </c>
      <c r="H1429" s="11">
        <v>60237</v>
      </c>
      <c r="I1429" s="11">
        <v>30277</v>
      </c>
      <c r="J1429" s="66">
        <f t="shared" si="84"/>
        <v>47.052476052924277</v>
      </c>
      <c r="K1429" s="66">
        <f t="shared" si="85"/>
        <v>52.947523947075716</v>
      </c>
    </row>
    <row r="1430" spans="1:11" x14ac:dyDescent="0.3">
      <c r="A1430" s="10">
        <v>51</v>
      </c>
      <c r="B1430" s="10" t="s">
        <v>1747</v>
      </c>
      <c r="C1430" s="10" t="str" cm="1">
        <f t="array" ref="C1430">_xlfn.IFS(A1430&lt;20, "ภาคกลาง", A1430&lt;30, "ภาคตะวันออก", A1430&lt;50, "ภาคตะวันออกเฉียงเหนือ", A1430&lt;60, "ภาคเหนือ", A1430&lt;80, "ภาคกลาง/ตะวันตก", A1430&gt;=80, "ภาคใต้")</f>
        <v>ภาคเหนือ</v>
      </c>
      <c r="D1430" s="64">
        <v>5103</v>
      </c>
      <c r="E1430" s="10" t="s">
        <v>1750</v>
      </c>
      <c r="F1430" s="11">
        <v>11892</v>
      </c>
      <c r="G1430" s="11">
        <v>12374</v>
      </c>
      <c r="H1430" s="11">
        <v>24266</v>
      </c>
      <c r="I1430" s="11">
        <v>11016</v>
      </c>
      <c r="J1430" s="66">
        <f t="shared" si="84"/>
        <v>49.006840847276024</v>
      </c>
      <c r="K1430" s="66">
        <f t="shared" si="85"/>
        <v>50.993159152723976</v>
      </c>
    </row>
    <row r="1431" spans="1:11" x14ac:dyDescent="0.3">
      <c r="A1431" s="10">
        <v>51</v>
      </c>
      <c r="B1431" s="10" t="s">
        <v>1747</v>
      </c>
      <c r="C1431" s="10" t="str" cm="1">
        <f t="array" ref="C1431">_xlfn.IFS(A1431&lt;20, "ภาคกลาง", A1431&lt;30, "ภาคตะวันออก", A1431&lt;50, "ภาคตะวันออกเฉียงเหนือ", A1431&lt;60, "ภาคเหนือ", A1431&lt;80, "ภาคกลาง/ตะวันตก", A1431&gt;=80, "ภาคใต้")</f>
        <v>ภาคเหนือ</v>
      </c>
      <c r="D1431" s="64">
        <v>5104</v>
      </c>
      <c r="E1431" s="10" t="s">
        <v>1751</v>
      </c>
      <c r="F1431" s="11">
        <v>12199</v>
      </c>
      <c r="G1431" s="11">
        <v>12882</v>
      </c>
      <c r="H1431" s="11">
        <v>25081</v>
      </c>
      <c r="I1431" s="11">
        <v>10660</v>
      </c>
      <c r="J1431" s="66">
        <f t="shared" si="84"/>
        <v>48.638411546589047</v>
      </c>
      <c r="K1431" s="66">
        <f t="shared" si="85"/>
        <v>51.361588453410945</v>
      </c>
    </row>
    <row r="1432" spans="1:11" x14ac:dyDescent="0.3">
      <c r="A1432" s="10">
        <v>51</v>
      </c>
      <c r="B1432" s="10" t="s">
        <v>1747</v>
      </c>
      <c r="C1432" s="10" t="str" cm="1">
        <f t="array" ref="C1432">_xlfn.IFS(A1432&lt;20, "ภาคกลาง", A1432&lt;30, "ภาคตะวันออก", A1432&lt;50, "ภาคตะวันออกเฉียงเหนือ", A1432&lt;60, "ภาคเหนือ", A1432&lt;80, "ภาคกลาง/ตะวันตก", A1432&gt;=80, "ภาคใต้")</f>
        <v>ภาคเหนือ</v>
      </c>
      <c r="D1432" s="64">
        <v>5105</v>
      </c>
      <c r="E1432" s="10" t="s">
        <v>1752</v>
      </c>
      <c r="F1432" s="11">
        <v>30251</v>
      </c>
      <c r="G1432" s="11">
        <v>30099</v>
      </c>
      <c r="H1432" s="11">
        <v>60350</v>
      </c>
      <c r="I1432" s="11">
        <v>22195</v>
      </c>
      <c r="J1432" s="66">
        <f t="shared" si="84"/>
        <v>50.125932062966029</v>
      </c>
      <c r="K1432" s="66">
        <f t="shared" si="85"/>
        <v>49.874067937033963</v>
      </c>
    </row>
    <row r="1433" spans="1:11" x14ac:dyDescent="0.3">
      <c r="A1433" s="10">
        <v>51</v>
      </c>
      <c r="B1433" s="10" t="s">
        <v>1747</v>
      </c>
      <c r="C1433" s="10" t="str" cm="1">
        <f t="array" ref="C1433">_xlfn.IFS(A1433&lt;20, "ภาคกลาง", A1433&lt;30, "ภาคตะวันออก", A1433&lt;50, "ภาคตะวันออกเฉียงเหนือ", A1433&lt;60, "ภาคเหนือ", A1433&lt;80, "ภาคกลาง/ตะวันตก", A1433&gt;=80, "ภาคใต้")</f>
        <v>ภาคเหนือ</v>
      </c>
      <c r="D1433" s="64">
        <v>5106</v>
      </c>
      <c r="E1433" s="10" t="s">
        <v>1753</v>
      </c>
      <c r="F1433" s="11">
        <v>8706</v>
      </c>
      <c r="G1433" s="11">
        <v>8728</v>
      </c>
      <c r="H1433" s="11">
        <v>17434</v>
      </c>
      <c r="I1433" s="11">
        <v>6684</v>
      </c>
      <c r="J1433" s="66">
        <f t="shared" si="84"/>
        <v>49.936904898474246</v>
      </c>
      <c r="K1433" s="66">
        <f t="shared" si="85"/>
        <v>50.063095101525754</v>
      </c>
    </row>
    <row r="1434" spans="1:11" x14ac:dyDescent="0.3">
      <c r="A1434" s="10">
        <v>51</v>
      </c>
      <c r="B1434" s="10" t="s">
        <v>1747</v>
      </c>
      <c r="C1434" s="10" t="str" cm="1">
        <f t="array" ref="C1434">_xlfn.IFS(A1434&lt;20, "ภาคกลาง", A1434&lt;30, "ภาคตะวันออก", A1434&lt;50, "ภาคตะวันออกเฉียงเหนือ", A1434&lt;60, "ภาคเหนือ", A1434&lt;80, "ภาคกลาง/ตะวันตก", A1434&gt;=80, "ภาคใต้")</f>
        <v>ภาคเหนือ</v>
      </c>
      <c r="D1434" s="64">
        <v>5107</v>
      </c>
      <c r="E1434" s="10" t="s">
        <v>1754</v>
      </c>
      <c r="F1434" s="11">
        <v>13391</v>
      </c>
      <c r="G1434" s="11">
        <v>14354</v>
      </c>
      <c r="H1434" s="11">
        <v>27745</v>
      </c>
      <c r="I1434" s="11">
        <v>13244</v>
      </c>
      <c r="J1434" s="66">
        <f t="shared" si="84"/>
        <v>48.264552171562443</v>
      </c>
      <c r="K1434" s="66">
        <f t="shared" si="85"/>
        <v>51.73544782843755</v>
      </c>
    </row>
    <row r="1435" spans="1:11" x14ac:dyDescent="0.3">
      <c r="A1435" s="10">
        <v>51</v>
      </c>
      <c r="B1435" s="10" t="s">
        <v>1747</v>
      </c>
      <c r="C1435" s="10" t="str" cm="1">
        <f t="array" ref="C1435">_xlfn.IFS(A1435&lt;20, "ภาคกลาง", A1435&lt;30, "ภาคตะวันออก", A1435&lt;50, "ภาคตะวันออกเฉียงเหนือ", A1435&lt;60, "ภาคเหนือ", A1435&lt;80, "ภาคกลาง/ตะวันตก", A1435&gt;=80, "ภาคใต้")</f>
        <v>ภาคเหนือ</v>
      </c>
      <c r="D1435" s="64">
        <v>5176</v>
      </c>
      <c r="E1435" s="10" t="s">
        <v>1755</v>
      </c>
      <c r="F1435" s="11">
        <v>3768</v>
      </c>
      <c r="G1435" s="11">
        <v>4173</v>
      </c>
      <c r="H1435" s="11">
        <v>7941</v>
      </c>
      <c r="I1435" s="11">
        <v>3525</v>
      </c>
      <c r="J1435" s="66">
        <f t="shared" si="84"/>
        <v>47.449943332074049</v>
      </c>
      <c r="K1435" s="66">
        <f t="shared" si="85"/>
        <v>52.550056667925951</v>
      </c>
    </row>
    <row r="1436" spans="1:11" ht="27.6" x14ac:dyDescent="0.3">
      <c r="A1436" s="10">
        <v>51</v>
      </c>
      <c r="B1436" s="10" t="s">
        <v>1747</v>
      </c>
      <c r="C1436" s="10" t="str" cm="1">
        <f t="array" ref="C1436">_xlfn.IFS(A1436&lt;20, "ภาคกลาง", A1436&lt;30, "ภาคตะวันออก", A1436&lt;50, "ภาคตะวันออกเฉียงเหนือ", A1436&lt;60, "ภาคเหนือ", A1436&lt;80, "ภาคกลาง/ตะวันตก", A1436&gt;=80, "ภาคใต้")</f>
        <v>ภาคเหนือ</v>
      </c>
      <c r="D1436" s="64">
        <v>5177</v>
      </c>
      <c r="E1436" s="10" t="s">
        <v>1756</v>
      </c>
      <c r="F1436" s="11">
        <v>2512</v>
      </c>
      <c r="G1436" s="11">
        <v>2741</v>
      </c>
      <c r="H1436" s="11">
        <v>5253</v>
      </c>
      <c r="I1436" s="11">
        <v>2311</v>
      </c>
      <c r="J1436" s="66">
        <f t="shared" si="84"/>
        <v>47.820293165810014</v>
      </c>
      <c r="K1436" s="66">
        <f t="shared" si="85"/>
        <v>52.179706834189986</v>
      </c>
    </row>
    <row r="1437" spans="1:11" ht="27.6" x14ac:dyDescent="0.3">
      <c r="A1437" s="10">
        <v>51</v>
      </c>
      <c r="B1437" s="10" t="s">
        <v>1747</v>
      </c>
      <c r="C1437" s="10" t="str" cm="1">
        <f t="array" ref="C1437">_xlfn.IFS(A1437&lt;20, "ภาคกลาง", A1437&lt;30, "ภาคตะวันออก", A1437&lt;50, "ภาคตะวันออกเฉียงเหนือ", A1437&lt;60, "ภาคเหนือ", A1437&lt;80, "ภาคกลาง/ตะวันตก", A1437&gt;=80, "ภาคใต้")</f>
        <v>ภาคเหนือ</v>
      </c>
      <c r="D1437" s="64">
        <v>5178</v>
      </c>
      <c r="E1437" s="10" t="s">
        <v>1757</v>
      </c>
      <c r="F1437" s="11">
        <v>2380</v>
      </c>
      <c r="G1437" s="11">
        <v>2502</v>
      </c>
      <c r="H1437" s="11">
        <v>4882</v>
      </c>
      <c r="I1437" s="11">
        <v>2374</v>
      </c>
      <c r="J1437" s="66">
        <f t="shared" si="84"/>
        <v>48.750512085210978</v>
      </c>
      <c r="K1437" s="66">
        <f t="shared" si="85"/>
        <v>51.249487914789015</v>
      </c>
    </row>
    <row r="1438" spans="1:11" ht="27.6" x14ac:dyDescent="0.3">
      <c r="A1438" s="10">
        <v>51</v>
      </c>
      <c r="B1438" s="10" t="s">
        <v>1747</v>
      </c>
      <c r="C1438" s="10" t="str" cm="1">
        <f t="array" ref="C1438">_xlfn.IFS(A1438&lt;20, "ภาคกลาง", A1438&lt;30, "ภาคตะวันออก", A1438&lt;50, "ภาคตะวันออกเฉียงเหนือ", A1438&lt;60, "ภาคเหนือ", A1438&lt;80, "ภาคกลาง/ตะวันตก", A1438&gt;=80, "ภาคใต้")</f>
        <v>ภาคเหนือ</v>
      </c>
      <c r="D1438" s="64">
        <v>5179</v>
      </c>
      <c r="E1438" s="10" t="s">
        <v>1758</v>
      </c>
      <c r="F1438" s="11">
        <v>2576</v>
      </c>
      <c r="G1438" s="11">
        <v>2792</v>
      </c>
      <c r="H1438" s="11">
        <v>5368</v>
      </c>
      <c r="I1438" s="11">
        <v>2622</v>
      </c>
      <c r="J1438" s="66">
        <f t="shared" si="84"/>
        <v>47.988077496274215</v>
      </c>
      <c r="K1438" s="66">
        <f t="shared" si="85"/>
        <v>52.011922503725785</v>
      </c>
    </row>
    <row r="1439" spans="1:11" x14ac:dyDescent="0.3">
      <c r="A1439" s="10">
        <v>51</v>
      </c>
      <c r="B1439" s="10" t="s">
        <v>1747</v>
      </c>
      <c r="C1439" s="10" t="str" cm="1">
        <f t="array" ref="C1439">_xlfn.IFS(A1439&lt;20, "ภาคกลาง", A1439&lt;30, "ภาคตะวันออก", A1439&lt;50, "ภาคตะวันออกเฉียงเหนือ", A1439&lt;60, "ภาคเหนือ", A1439&lt;80, "ภาคกลาง/ตะวันตก", A1439&gt;=80, "ภาคใต้")</f>
        <v>ภาคเหนือ</v>
      </c>
      <c r="D1439" s="64">
        <v>5180</v>
      </c>
      <c r="E1439" s="10" t="s">
        <v>1759</v>
      </c>
      <c r="F1439" s="11">
        <v>1671</v>
      </c>
      <c r="G1439" s="11">
        <v>1831</v>
      </c>
      <c r="H1439" s="11">
        <v>3502</v>
      </c>
      <c r="I1439" s="11">
        <v>1832</v>
      </c>
      <c r="J1439" s="66">
        <f t="shared" si="84"/>
        <v>47.715591090805255</v>
      </c>
      <c r="K1439" s="66">
        <f t="shared" si="85"/>
        <v>52.284408909194745</v>
      </c>
    </row>
    <row r="1440" spans="1:11" ht="27.6" x14ac:dyDescent="0.3">
      <c r="A1440" s="10">
        <v>51</v>
      </c>
      <c r="B1440" s="10" t="s">
        <v>1747</v>
      </c>
      <c r="C1440" s="10" t="str" cm="1">
        <f t="array" ref="C1440">_xlfn.IFS(A1440&lt;20, "ภาคกลาง", A1440&lt;30, "ภาคตะวันออก", A1440&lt;50, "ภาคตะวันออกเฉียงเหนือ", A1440&lt;60, "ภาคเหนือ", A1440&lt;80, "ภาคกลาง/ตะวันตก", A1440&gt;=80, "ภาคใต้")</f>
        <v>ภาคเหนือ</v>
      </c>
      <c r="D1440" s="64">
        <v>5181</v>
      </c>
      <c r="E1440" s="10" t="s">
        <v>1760</v>
      </c>
      <c r="F1440" s="11">
        <v>2348</v>
      </c>
      <c r="G1440" s="11">
        <v>2682</v>
      </c>
      <c r="H1440" s="11">
        <v>5030</v>
      </c>
      <c r="I1440" s="11">
        <v>2449</v>
      </c>
      <c r="J1440" s="66">
        <f t="shared" si="84"/>
        <v>46.679920477137173</v>
      </c>
      <c r="K1440" s="66">
        <f t="shared" si="85"/>
        <v>53.320079522862819</v>
      </c>
    </row>
    <row r="1441" spans="1:11" ht="27.6" x14ac:dyDescent="0.3">
      <c r="A1441" s="10">
        <v>51</v>
      </c>
      <c r="B1441" s="10" t="s">
        <v>1747</v>
      </c>
      <c r="C1441" s="10" t="str" cm="1">
        <f t="array" ref="C1441">_xlfn.IFS(A1441&lt;20, "ภาคกลาง", A1441&lt;30, "ภาคตะวันออก", A1441&lt;50, "ภาคตะวันออกเฉียงเหนือ", A1441&lt;60, "ภาคเหนือ", A1441&lt;80, "ภาคกลาง/ตะวันตก", A1441&gt;=80, "ภาคใต้")</f>
        <v>ภาคเหนือ</v>
      </c>
      <c r="D1441" s="64">
        <v>5182</v>
      </c>
      <c r="E1441" s="10" t="s">
        <v>1761</v>
      </c>
      <c r="F1441" s="11">
        <v>7849</v>
      </c>
      <c r="G1441" s="11">
        <v>8654</v>
      </c>
      <c r="H1441" s="11">
        <v>16503</v>
      </c>
      <c r="I1441" s="11">
        <v>9548</v>
      </c>
      <c r="J1441" s="66">
        <f t="shared" si="84"/>
        <v>47.561049506150397</v>
      </c>
      <c r="K1441" s="66">
        <f t="shared" si="85"/>
        <v>52.438950493849603</v>
      </c>
    </row>
    <row r="1442" spans="1:11" ht="27.6" x14ac:dyDescent="0.3">
      <c r="A1442" s="10">
        <v>51</v>
      </c>
      <c r="B1442" s="10" t="s">
        <v>1747</v>
      </c>
      <c r="C1442" s="10" t="str" cm="1">
        <f t="array" ref="C1442">_xlfn.IFS(A1442&lt;20, "ภาคกลาง", A1442&lt;30, "ภาคตะวันออก", A1442&lt;50, "ภาคตะวันออกเฉียงเหนือ", A1442&lt;60, "ภาคเหนือ", A1442&lt;80, "ภาคกลาง/ตะวันตก", A1442&gt;=80, "ภาคใต้")</f>
        <v>ภาคเหนือ</v>
      </c>
      <c r="D1442" s="64">
        <v>5183</v>
      </c>
      <c r="E1442" s="10" t="s">
        <v>450</v>
      </c>
      <c r="F1442" s="11">
        <v>3413</v>
      </c>
      <c r="G1442" s="11">
        <v>4008</v>
      </c>
      <c r="H1442" s="11">
        <v>7421</v>
      </c>
      <c r="I1442" s="11">
        <v>4146</v>
      </c>
      <c r="J1442" s="66">
        <f t="shared" si="84"/>
        <v>45.991106319902983</v>
      </c>
      <c r="K1442" s="66">
        <f t="shared" si="85"/>
        <v>54.008893680097025</v>
      </c>
    </row>
    <row r="1443" spans="1:11" ht="27.6" x14ac:dyDescent="0.3">
      <c r="A1443" s="10">
        <v>51</v>
      </c>
      <c r="B1443" s="10" t="s">
        <v>1747</v>
      </c>
      <c r="C1443" s="10" t="str" cm="1">
        <f t="array" ref="C1443">_xlfn.IFS(A1443&lt;20, "ภาคกลาง", A1443&lt;30, "ภาคตะวันออก", A1443&lt;50, "ภาคตะวันออกเฉียงเหนือ", A1443&lt;60, "ภาคเหนือ", A1443&lt;80, "ภาคกลาง/ตะวันตก", A1443&gt;=80, "ภาคใต้")</f>
        <v>ภาคเหนือ</v>
      </c>
      <c r="D1443" s="64">
        <v>5184</v>
      </c>
      <c r="E1443" s="10" t="s">
        <v>1762</v>
      </c>
      <c r="F1443" s="11">
        <v>5506</v>
      </c>
      <c r="G1443" s="11">
        <v>6478</v>
      </c>
      <c r="H1443" s="11">
        <v>11984</v>
      </c>
      <c r="I1443" s="11">
        <v>11743</v>
      </c>
      <c r="J1443" s="66">
        <f t="shared" si="84"/>
        <v>45.944592790387183</v>
      </c>
      <c r="K1443" s="66">
        <f t="shared" si="85"/>
        <v>54.055407209612817</v>
      </c>
    </row>
    <row r="1444" spans="1:11" x14ac:dyDescent="0.3">
      <c r="A1444" s="10">
        <v>51</v>
      </c>
      <c r="B1444" s="10" t="s">
        <v>1747</v>
      </c>
      <c r="C1444" s="10" t="str" cm="1">
        <f t="array" ref="C1444">_xlfn.IFS(A1444&lt;20, "ภาคกลาง", A1444&lt;30, "ภาคตะวันออก", A1444&lt;50, "ภาคตะวันออกเฉียงเหนือ", A1444&lt;60, "ภาคเหนือ", A1444&lt;80, "ภาคกลาง/ตะวันตก", A1444&gt;=80, "ภาคใต้")</f>
        <v>ภาคเหนือ</v>
      </c>
      <c r="D1444" s="64">
        <v>5185</v>
      </c>
      <c r="E1444" s="10" t="s">
        <v>1763</v>
      </c>
      <c r="F1444" s="11">
        <v>7364</v>
      </c>
      <c r="G1444" s="11">
        <v>8932</v>
      </c>
      <c r="H1444" s="11">
        <v>16296</v>
      </c>
      <c r="I1444" s="11">
        <v>8903</v>
      </c>
      <c r="J1444" s="66">
        <f t="shared" si="84"/>
        <v>45.18900343642612</v>
      </c>
      <c r="K1444" s="66">
        <f t="shared" si="85"/>
        <v>54.810996563573887</v>
      </c>
    </row>
    <row r="1445" spans="1:11" x14ac:dyDescent="0.3">
      <c r="A1445" s="10">
        <v>51</v>
      </c>
      <c r="B1445" s="10" t="s">
        <v>1747</v>
      </c>
      <c r="C1445" s="10" t="str" cm="1">
        <f t="array" ref="C1445">_xlfn.IFS(A1445&lt;20, "ภาคกลาง", A1445&lt;30, "ภาคตะวันออก", A1445&lt;50, "ภาคตะวันออกเฉียงเหนือ", A1445&lt;60, "ภาคเหนือ", A1445&lt;80, "ภาคกลาง/ตะวันตก", A1445&gt;=80, "ภาคใต้")</f>
        <v>ภาคเหนือ</v>
      </c>
      <c r="D1445" s="64">
        <v>5186</v>
      </c>
      <c r="E1445" s="10" t="s">
        <v>1764</v>
      </c>
      <c r="F1445" s="11">
        <v>3242</v>
      </c>
      <c r="G1445" s="11">
        <v>3583</v>
      </c>
      <c r="H1445" s="11">
        <v>6825</v>
      </c>
      <c r="I1445" s="11">
        <v>2794</v>
      </c>
      <c r="J1445" s="66">
        <f t="shared" si="84"/>
        <v>47.501831501831504</v>
      </c>
      <c r="K1445" s="66">
        <f t="shared" si="85"/>
        <v>52.498168498168496</v>
      </c>
    </row>
    <row r="1446" spans="1:11" x14ac:dyDescent="0.3">
      <c r="A1446" s="10">
        <v>51</v>
      </c>
      <c r="B1446" s="10" t="s">
        <v>1747</v>
      </c>
      <c r="C1446" s="10" t="str" cm="1">
        <f t="array" ref="C1446">_xlfn.IFS(A1446&lt;20, "ภาคกลาง", A1446&lt;30, "ภาคตะวันออก", A1446&lt;50, "ภาคตะวันออกเฉียงเหนือ", A1446&lt;60, "ภาคเหนือ", A1446&lt;80, "ภาคกลาง/ตะวันตก", A1446&gt;=80, "ภาคใต้")</f>
        <v>ภาคเหนือ</v>
      </c>
      <c r="D1446" s="64">
        <v>5187</v>
      </c>
      <c r="E1446" s="10" t="s">
        <v>1765</v>
      </c>
      <c r="F1446" s="11">
        <v>4438</v>
      </c>
      <c r="G1446" s="11">
        <v>4908</v>
      </c>
      <c r="H1446" s="11">
        <v>9346</v>
      </c>
      <c r="I1446" s="11">
        <v>4615</v>
      </c>
      <c r="J1446" s="66">
        <f t="shared" si="84"/>
        <v>47.48555531778301</v>
      </c>
      <c r="K1446" s="66">
        <f t="shared" si="85"/>
        <v>52.51444468221699</v>
      </c>
    </row>
    <row r="1447" spans="1:11" x14ac:dyDescent="0.3">
      <c r="A1447" s="10">
        <v>51</v>
      </c>
      <c r="B1447" s="10" t="s">
        <v>1747</v>
      </c>
      <c r="C1447" s="10" t="str" cm="1">
        <f t="array" ref="C1447">_xlfn.IFS(A1447&lt;20, "ภาคกลาง", A1447&lt;30, "ภาคตะวันออก", A1447&lt;50, "ภาคตะวันออกเฉียงเหนือ", A1447&lt;60, "ภาคเหนือ", A1447&lt;80, "ภาคกลาง/ตะวันตก", A1447&gt;=80, "ภาคใต้")</f>
        <v>ภาคเหนือ</v>
      </c>
      <c r="D1447" s="64">
        <v>5188</v>
      </c>
      <c r="E1447" s="10" t="s">
        <v>1766</v>
      </c>
      <c r="F1447" s="11">
        <v>3470</v>
      </c>
      <c r="G1447" s="11">
        <v>3877</v>
      </c>
      <c r="H1447" s="11">
        <v>7347</v>
      </c>
      <c r="I1447" s="11">
        <v>3334</v>
      </c>
      <c r="J1447" s="66">
        <f t="shared" si="84"/>
        <v>47.230161970872466</v>
      </c>
      <c r="K1447" s="66">
        <f t="shared" si="85"/>
        <v>52.769838029127534</v>
      </c>
    </row>
    <row r="1448" spans="1:11" x14ac:dyDescent="0.3">
      <c r="A1448" s="10">
        <v>51</v>
      </c>
      <c r="B1448" s="10" t="s">
        <v>1747</v>
      </c>
      <c r="C1448" s="10" t="str" cm="1">
        <f t="array" ref="C1448">_xlfn.IFS(A1448&lt;20, "ภาคกลาง", A1448&lt;30, "ภาคตะวันออก", A1448&lt;50, "ภาคตะวันออกเฉียงเหนือ", A1448&lt;60, "ภาคเหนือ", A1448&lt;80, "ภาคกลาง/ตะวันตก", A1448&gt;=80, "ภาคใต้")</f>
        <v>ภาคเหนือ</v>
      </c>
      <c r="D1448" s="64">
        <v>5189</v>
      </c>
      <c r="E1448" s="10" t="s">
        <v>1767</v>
      </c>
      <c r="F1448" s="11">
        <v>1868</v>
      </c>
      <c r="G1448" s="11">
        <v>2192</v>
      </c>
      <c r="H1448" s="11">
        <v>4060</v>
      </c>
      <c r="I1448" s="11">
        <v>2029</v>
      </c>
      <c r="J1448" s="66">
        <f t="shared" si="84"/>
        <v>46.009852216748769</v>
      </c>
      <c r="K1448" s="66">
        <f t="shared" si="85"/>
        <v>53.990147783251231</v>
      </c>
    </row>
    <row r="1449" spans="1:11" ht="27.6" x14ac:dyDescent="0.3">
      <c r="A1449" s="10">
        <v>51</v>
      </c>
      <c r="B1449" s="10" t="s">
        <v>1747</v>
      </c>
      <c r="C1449" s="10" t="str" cm="1">
        <f t="array" ref="C1449">_xlfn.IFS(A1449&lt;20, "ภาคกลาง", A1449&lt;30, "ภาคตะวันออก", A1449&lt;50, "ภาคตะวันออกเฉียงเหนือ", A1449&lt;60, "ภาคเหนือ", A1449&lt;80, "ภาคกลาง/ตะวันตก", A1449&gt;=80, "ภาคใต้")</f>
        <v>ภาคเหนือ</v>
      </c>
      <c r="D1449" s="64">
        <v>5190</v>
      </c>
      <c r="E1449" s="10" t="s">
        <v>1768</v>
      </c>
      <c r="F1449" s="11">
        <v>3674</v>
      </c>
      <c r="G1449" s="11">
        <v>4398</v>
      </c>
      <c r="H1449" s="11">
        <v>8072</v>
      </c>
      <c r="I1449" s="11">
        <v>4306</v>
      </c>
      <c r="J1449" s="66">
        <f t="shared" si="84"/>
        <v>45.515361744301288</v>
      </c>
      <c r="K1449" s="66">
        <f t="shared" si="85"/>
        <v>54.484638255698712</v>
      </c>
    </row>
    <row r="1450" spans="1:11" x14ac:dyDescent="0.3">
      <c r="A1450" s="10">
        <v>51</v>
      </c>
      <c r="B1450" s="10" t="s">
        <v>1747</v>
      </c>
      <c r="C1450" s="10" t="str" cm="1">
        <f t="array" ref="C1450">_xlfn.IFS(A1450&lt;20, "ภาคกลาง", A1450&lt;30, "ภาคตะวันออก", A1450&lt;50, "ภาคตะวันออกเฉียงเหนือ", A1450&lt;60, "ภาคเหนือ", A1450&lt;80, "ภาคกลาง/ตะวันตก", A1450&gt;=80, "ภาคใต้")</f>
        <v>ภาคเหนือ</v>
      </c>
      <c r="D1450" s="64">
        <v>5191</v>
      </c>
      <c r="E1450" s="10" t="s">
        <v>1769</v>
      </c>
      <c r="F1450" s="11">
        <v>1262</v>
      </c>
      <c r="G1450" s="11">
        <v>1271</v>
      </c>
      <c r="H1450" s="11">
        <v>2533</v>
      </c>
      <c r="I1450" s="11">
        <v>1315</v>
      </c>
      <c r="J1450" s="66">
        <f t="shared" si="84"/>
        <v>49.822345045400709</v>
      </c>
      <c r="K1450" s="66">
        <f t="shared" si="85"/>
        <v>50.177654954599291</v>
      </c>
    </row>
    <row r="1451" spans="1:11" x14ac:dyDescent="0.3">
      <c r="A1451" s="10">
        <v>51</v>
      </c>
      <c r="B1451" s="10" t="s">
        <v>1747</v>
      </c>
      <c r="C1451" s="10" t="str" cm="1">
        <f t="array" ref="C1451">_xlfn.IFS(A1451&lt;20, "ภาคกลาง", A1451&lt;30, "ภาคตะวันออก", A1451&lt;50, "ภาคตะวันออกเฉียงเหนือ", A1451&lt;60, "ภาคเหนือ", A1451&lt;80, "ภาคกลาง/ตะวันตก", A1451&gt;=80, "ภาคใต้")</f>
        <v>ภาคเหนือ</v>
      </c>
      <c r="D1451" s="64">
        <v>5192</v>
      </c>
      <c r="E1451" s="10" t="s">
        <v>1770</v>
      </c>
      <c r="F1451" s="11">
        <v>2015</v>
      </c>
      <c r="G1451" s="11">
        <v>2168</v>
      </c>
      <c r="H1451" s="11">
        <v>4183</v>
      </c>
      <c r="I1451" s="11">
        <v>2843</v>
      </c>
      <c r="J1451" s="66">
        <f t="shared" si="84"/>
        <v>48.171169017451589</v>
      </c>
      <c r="K1451" s="66">
        <f t="shared" si="85"/>
        <v>51.828830982548411</v>
      </c>
    </row>
    <row r="1452" spans="1:11" x14ac:dyDescent="0.3">
      <c r="A1452" s="10">
        <v>51</v>
      </c>
      <c r="B1452" s="10" t="s">
        <v>1747</v>
      </c>
      <c r="C1452" s="10" t="str" cm="1">
        <f t="array" ref="C1452">_xlfn.IFS(A1452&lt;20, "ภาคกลาง", A1452&lt;30, "ภาคตะวันออก", A1452&lt;50, "ภาคตะวันออกเฉียงเหนือ", A1452&lt;60, "ภาคเหนือ", A1452&lt;80, "ภาคกลาง/ตะวันตก", A1452&gt;=80, "ภาคใต้")</f>
        <v>ภาคเหนือ</v>
      </c>
      <c r="D1452" s="64">
        <v>5193</v>
      </c>
      <c r="E1452" s="10" t="s">
        <v>1771</v>
      </c>
      <c r="F1452" s="11">
        <v>1575</v>
      </c>
      <c r="G1452" s="11">
        <v>1751</v>
      </c>
      <c r="H1452" s="11">
        <v>3326</v>
      </c>
      <c r="I1452" s="11">
        <v>1378</v>
      </c>
      <c r="J1452" s="66">
        <f t="shared" si="84"/>
        <v>47.354179194227299</v>
      </c>
      <c r="K1452" s="66">
        <f t="shared" si="85"/>
        <v>52.645820805772701</v>
      </c>
    </row>
    <row r="1453" spans="1:11" ht="27.6" x14ac:dyDescent="0.3">
      <c r="A1453" s="10">
        <v>51</v>
      </c>
      <c r="B1453" s="10" t="s">
        <v>1747</v>
      </c>
      <c r="C1453" s="10" t="str" cm="1">
        <f t="array" ref="C1453">_xlfn.IFS(A1453&lt;20, "ภาคกลาง", A1453&lt;30, "ภาคตะวันออก", A1453&lt;50, "ภาคตะวันออกเฉียงเหนือ", A1453&lt;60, "ภาคเหนือ", A1453&lt;80, "ภาคกลาง/ตะวันตก", A1453&gt;=80, "ภาคใต้")</f>
        <v>ภาคเหนือ</v>
      </c>
      <c r="D1453" s="64">
        <v>5194</v>
      </c>
      <c r="E1453" s="10" t="s">
        <v>1772</v>
      </c>
      <c r="F1453" s="11">
        <v>3301</v>
      </c>
      <c r="G1453" s="11">
        <v>3971</v>
      </c>
      <c r="H1453" s="11">
        <v>7272</v>
      </c>
      <c r="I1453" s="11">
        <v>3728</v>
      </c>
      <c r="J1453" s="66">
        <f t="shared" si="84"/>
        <v>45.393289328932894</v>
      </c>
      <c r="K1453" s="66">
        <f t="shared" si="85"/>
        <v>54.606710671067106</v>
      </c>
    </row>
    <row r="1454" spans="1:11" x14ac:dyDescent="0.3">
      <c r="A1454" s="10">
        <v>51</v>
      </c>
      <c r="B1454" s="10" t="s">
        <v>1747</v>
      </c>
      <c r="C1454" s="10" t="str" cm="1">
        <f t="array" ref="C1454">_xlfn.IFS(A1454&lt;20, "ภาคกลาง", A1454&lt;30, "ภาคตะวันออก", A1454&lt;50, "ภาคตะวันออกเฉียงเหนือ", A1454&lt;60, "ภาคเหนือ", A1454&lt;80, "ภาคกลาง/ตะวันตก", A1454&gt;=80, "ภาคใต้")</f>
        <v>ภาคเหนือ</v>
      </c>
      <c r="D1454" s="64">
        <v>5195</v>
      </c>
      <c r="E1454" s="10" t="s">
        <v>1773</v>
      </c>
      <c r="F1454" s="11">
        <v>2505</v>
      </c>
      <c r="G1454" s="11">
        <v>2659</v>
      </c>
      <c r="H1454" s="11">
        <v>5164</v>
      </c>
      <c r="I1454" s="11">
        <v>2607</v>
      </c>
      <c r="J1454" s="66">
        <f t="shared" si="84"/>
        <v>48.508907823392718</v>
      </c>
      <c r="K1454" s="66">
        <f t="shared" si="85"/>
        <v>51.491092176607282</v>
      </c>
    </row>
    <row r="1455" spans="1:11" x14ac:dyDescent="0.3">
      <c r="A1455" s="10">
        <v>51</v>
      </c>
      <c r="B1455" s="10" t="s">
        <v>1747</v>
      </c>
      <c r="C1455" s="10" t="str" cm="1">
        <f t="array" ref="C1455">_xlfn.IFS(A1455&lt;20, "ภาคกลาง", A1455&lt;30, "ภาคตะวันออก", A1455&lt;50, "ภาคตะวันออกเฉียงเหนือ", A1455&lt;60, "ภาคเหนือ", A1455&lt;80, "ภาคกลาง/ตะวันตก", A1455&gt;=80, "ภาคใต้")</f>
        <v>ภาคเหนือ</v>
      </c>
      <c r="D1455" s="64">
        <v>5196</v>
      </c>
      <c r="E1455" s="10" t="s">
        <v>1774</v>
      </c>
      <c r="F1455" s="11">
        <v>1353</v>
      </c>
      <c r="G1455" s="11">
        <v>1508</v>
      </c>
      <c r="H1455" s="11">
        <v>2861</v>
      </c>
      <c r="I1455" s="11">
        <v>1424</v>
      </c>
      <c r="J1455" s="66">
        <f t="shared" si="84"/>
        <v>47.291156938133518</v>
      </c>
      <c r="K1455" s="66">
        <f t="shared" si="85"/>
        <v>52.708843061866482</v>
      </c>
    </row>
    <row r="1456" spans="1:11" x14ac:dyDescent="0.3">
      <c r="A1456" s="10">
        <v>51</v>
      </c>
      <c r="B1456" s="10" t="s">
        <v>1747</v>
      </c>
      <c r="C1456" s="10" t="str" cm="1">
        <f t="array" ref="C1456">_xlfn.IFS(A1456&lt;20, "ภาคกลาง", A1456&lt;30, "ภาคตะวันออก", A1456&lt;50, "ภาคตะวันออกเฉียงเหนือ", A1456&lt;60, "ภาคเหนือ", A1456&lt;80, "ภาคกลาง/ตะวันตก", A1456&gt;=80, "ภาคใต้")</f>
        <v>ภาคเหนือ</v>
      </c>
      <c r="D1456" s="64">
        <v>5197</v>
      </c>
      <c r="E1456" s="10" t="s">
        <v>1775</v>
      </c>
      <c r="F1456" s="11">
        <v>5875</v>
      </c>
      <c r="G1456" s="11">
        <v>6767</v>
      </c>
      <c r="H1456" s="11">
        <v>12642</v>
      </c>
      <c r="I1456" s="11">
        <v>6261</v>
      </c>
      <c r="J1456" s="66">
        <f t="shared" si="84"/>
        <v>46.472077202974212</v>
      </c>
      <c r="K1456" s="66">
        <f t="shared" si="85"/>
        <v>53.527922797025781</v>
      </c>
    </row>
    <row r="1457" spans="1:11" ht="27.6" x14ac:dyDescent="0.3">
      <c r="A1457" s="10">
        <v>51</v>
      </c>
      <c r="B1457" s="10" t="s">
        <v>1747</v>
      </c>
      <c r="C1457" s="10" t="str" cm="1">
        <f t="array" ref="C1457">_xlfn.IFS(A1457&lt;20, "ภาคกลาง", A1457&lt;30, "ภาคตะวันออก", A1457&lt;50, "ภาคตะวันออกเฉียงเหนือ", A1457&lt;60, "ภาคเหนือ", A1457&lt;80, "ภาคกลาง/ตะวันตก", A1457&gt;=80, "ภาคใต้")</f>
        <v>ภาคเหนือ</v>
      </c>
      <c r="D1457" s="64">
        <v>5198</v>
      </c>
      <c r="E1457" s="10" t="s">
        <v>1776</v>
      </c>
      <c r="F1457" s="11">
        <v>3075</v>
      </c>
      <c r="G1457" s="11">
        <v>3573</v>
      </c>
      <c r="H1457" s="11">
        <v>6648</v>
      </c>
      <c r="I1457" s="11">
        <v>3029</v>
      </c>
      <c r="J1457" s="66">
        <f t="shared" si="84"/>
        <v>46.254512635379065</v>
      </c>
      <c r="K1457" s="66">
        <f t="shared" si="85"/>
        <v>53.745487364620935</v>
      </c>
    </row>
    <row r="1458" spans="1:11" x14ac:dyDescent="0.3">
      <c r="A1458" s="10">
        <v>51</v>
      </c>
      <c r="B1458" s="10" t="s">
        <v>1747</v>
      </c>
      <c r="C1458" s="10" t="str" cm="1">
        <f t="array" ref="C1458">_xlfn.IFS(A1458&lt;20, "ภาคกลาง", A1458&lt;30, "ภาคตะวันออก", A1458&lt;50, "ภาคตะวันออกเฉียงเหนือ", A1458&lt;60, "ภาคเหนือ", A1458&lt;80, "ภาคกลาง/ตะวันตก", A1458&gt;=80, "ภาคใต้")</f>
        <v>ภาคเหนือ</v>
      </c>
      <c r="D1458" s="64">
        <v>5199</v>
      </c>
      <c r="E1458" s="10" t="s">
        <v>1777</v>
      </c>
      <c r="F1458" s="11">
        <v>2881</v>
      </c>
      <c r="G1458" s="11">
        <v>3340</v>
      </c>
      <c r="H1458" s="11">
        <v>6221</v>
      </c>
      <c r="I1458" s="11">
        <v>3018</v>
      </c>
      <c r="J1458" s="66">
        <f t="shared" si="84"/>
        <v>46.310882494775754</v>
      </c>
      <c r="K1458" s="66">
        <f t="shared" si="85"/>
        <v>53.689117505224239</v>
      </c>
    </row>
    <row r="1459" spans="1:11" hidden="1" x14ac:dyDescent="0.3">
      <c r="A1459" s="10">
        <v>51</v>
      </c>
      <c r="B1459" s="10" t="s">
        <v>1747</v>
      </c>
      <c r="C1459" s="10" t="str" cm="1">
        <f t="array" ref="C1459">_xlfn.IFS(A1459&lt;20, "ภาคกลาง", A1459&lt;30, "ภาคตะวันออก", A1459&lt;50, "ภาคตะวันออกเฉียงเหนือ", A1459&lt;60, "ภาคเหนือ", A1459&lt;80, "ภาคกลาง/ตะวันตก", A1459&gt;=80, "ภาคใต้")</f>
        <v>ภาคเหนือ</v>
      </c>
      <c r="D1459" s="10">
        <v>0</v>
      </c>
      <c r="E1459" s="10" t="s">
        <v>343</v>
      </c>
      <c r="F1459" s="11">
        <v>4944</v>
      </c>
      <c r="G1459" s="11">
        <v>6016</v>
      </c>
      <c r="H1459" s="11">
        <v>10960</v>
      </c>
      <c r="I1459" s="11">
        <v>7282</v>
      </c>
      <c r="J1459"/>
      <c r="K1459"/>
    </row>
    <row r="1460" spans="1:11" x14ac:dyDescent="0.3">
      <c r="A1460" s="10">
        <v>52</v>
      </c>
      <c r="B1460" s="10" t="s">
        <v>1778</v>
      </c>
      <c r="C1460" s="10" t="str" cm="1">
        <f t="array" ref="C1460">_xlfn.IFS(A1460&lt;20, "ภาคกลาง", A1460&lt;30, "ภาคตะวันออก", A1460&lt;50, "ภาคตะวันออกเฉียงเหนือ", A1460&lt;60, "ภาคเหนือ", A1460&lt;80, "ภาคกลาง/ตะวันตก", A1460&gt;=80, "ภาคใต้")</f>
        <v>ภาคเหนือ</v>
      </c>
      <c r="D1460" s="64">
        <v>5201</v>
      </c>
      <c r="E1460" s="10" t="s">
        <v>1779</v>
      </c>
      <c r="F1460" s="11">
        <v>341663</v>
      </c>
      <c r="G1460" s="11">
        <v>362463</v>
      </c>
      <c r="H1460" s="11">
        <v>704126</v>
      </c>
      <c r="I1460" s="11">
        <v>307969</v>
      </c>
      <c r="J1460" s="66">
        <f t="shared" ref="J1460:J1495" si="86">F1460/H1460*100</f>
        <v>48.522991623658271</v>
      </c>
      <c r="K1460" s="66">
        <f t="shared" ref="K1460:K1495" si="87">G1460/H1460*100</f>
        <v>51.477008376341736</v>
      </c>
    </row>
    <row r="1461" spans="1:11" x14ac:dyDescent="0.3">
      <c r="A1461" s="10">
        <v>52</v>
      </c>
      <c r="B1461" s="10" t="s">
        <v>1778</v>
      </c>
      <c r="C1461" s="10" t="str" cm="1">
        <f t="array" ref="C1461">_xlfn.IFS(A1461&lt;20, "ภาคกลาง", A1461&lt;30, "ภาคตะวันออก", A1461&lt;50, "ภาคตะวันออกเฉียงเหนือ", A1461&lt;60, "ภาคเหนือ", A1461&lt;80, "ภาคกลาง/ตะวันตก", A1461&gt;=80, "ภาคใต้")</f>
        <v>ภาคเหนือ</v>
      </c>
      <c r="D1461" s="64">
        <v>5202</v>
      </c>
      <c r="E1461" s="10" t="s">
        <v>1780</v>
      </c>
      <c r="F1461" s="11">
        <v>43427</v>
      </c>
      <c r="G1461" s="11">
        <v>45584</v>
      </c>
      <c r="H1461" s="11">
        <v>89011</v>
      </c>
      <c r="I1461" s="11">
        <v>40170</v>
      </c>
      <c r="J1461" s="66">
        <f t="shared" si="86"/>
        <v>48.788352001438021</v>
      </c>
      <c r="K1461" s="66">
        <f t="shared" si="87"/>
        <v>51.211647998561972</v>
      </c>
    </row>
    <row r="1462" spans="1:11" x14ac:dyDescent="0.3">
      <c r="A1462" s="10">
        <v>52</v>
      </c>
      <c r="B1462" s="10" t="s">
        <v>1778</v>
      </c>
      <c r="C1462" s="10" t="str" cm="1">
        <f t="array" ref="C1462">_xlfn.IFS(A1462&lt;20, "ภาคกลาง", A1462&lt;30, "ภาคตะวันออก", A1462&lt;50, "ภาคตะวันออกเฉียงเหนือ", A1462&lt;60, "ภาคเหนือ", A1462&lt;80, "ภาคกลาง/ตะวันตก", A1462&gt;=80, "ภาคใต้")</f>
        <v>ภาคเหนือ</v>
      </c>
      <c r="D1462" s="64">
        <v>5203</v>
      </c>
      <c r="E1462" s="10" t="s">
        <v>1781</v>
      </c>
      <c r="F1462" s="11">
        <v>11858</v>
      </c>
      <c r="G1462" s="11">
        <v>11751</v>
      </c>
      <c r="H1462" s="11">
        <v>23609</v>
      </c>
      <c r="I1462" s="11">
        <v>9557</v>
      </c>
      <c r="J1462" s="66">
        <f t="shared" si="86"/>
        <v>50.22660849675971</v>
      </c>
      <c r="K1462" s="66">
        <f t="shared" si="87"/>
        <v>49.77339150324029</v>
      </c>
    </row>
    <row r="1463" spans="1:11" x14ac:dyDescent="0.3">
      <c r="A1463" s="10">
        <v>52</v>
      </c>
      <c r="B1463" s="10" t="s">
        <v>1778</v>
      </c>
      <c r="C1463" s="10" t="str" cm="1">
        <f t="array" ref="C1463">_xlfn.IFS(A1463&lt;20, "ภาคกลาง", A1463&lt;30, "ภาคตะวันออก", A1463&lt;50, "ภาคตะวันออกเฉียงเหนือ", A1463&lt;60, "ภาคเหนือ", A1463&lt;80, "ภาคกลาง/ตะวันตก", A1463&gt;=80, "ภาคใต้")</f>
        <v>ภาคเหนือ</v>
      </c>
      <c r="D1463" s="64">
        <v>5204</v>
      </c>
      <c r="E1463" s="10" t="s">
        <v>1782</v>
      </c>
      <c r="F1463" s="11">
        <v>16776</v>
      </c>
      <c r="G1463" s="11">
        <v>18105</v>
      </c>
      <c r="H1463" s="11">
        <v>34881</v>
      </c>
      <c r="I1463" s="11">
        <v>13670</v>
      </c>
      <c r="J1463" s="66">
        <f t="shared" si="86"/>
        <v>48.094951406209688</v>
      </c>
      <c r="K1463" s="66">
        <f t="shared" si="87"/>
        <v>51.905048593790312</v>
      </c>
    </row>
    <row r="1464" spans="1:11" x14ac:dyDescent="0.3">
      <c r="A1464" s="10">
        <v>52</v>
      </c>
      <c r="B1464" s="10" t="s">
        <v>1778</v>
      </c>
      <c r="C1464" s="10" t="str" cm="1">
        <f t="array" ref="C1464">_xlfn.IFS(A1464&lt;20, "ภาคกลาง", A1464&lt;30, "ภาคตะวันออก", A1464&lt;50, "ภาคตะวันออกเฉียงเหนือ", A1464&lt;60, "ภาคเหนือ", A1464&lt;80, "ภาคกลาง/ตะวันตก", A1464&gt;=80, "ภาคใต้")</f>
        <v>ภาคเหนือ</v>
      </c>
      <c r="D1464" s="64">
        <v>5205</v>
      </c>
      <c r="E1464" s="10" t="s">
        <v>1783</v>
      </c>
      <c r="F1464" s="11">
        <v>10803</v>
      </c>
      <c r="G1464" s="11">
        <v>10820</v>
      </c>
      <c r="H1464" s="11">
        <v>21623</v>
      </c>
      <c r="I1464" s="11">
        <v>7887</v>
      </c>
      <c r="J1464" s="66">
        <f t="shared" si="86"/>
        <v>49.960690006012115</v>
      </c>
      <c r="K1464" s="66">
        <f t="shared" si="87"/>
        <v>50.039309993987878</v>
      </c>
    </row>
    <row r="1465" spans="1:11" x14ac:dyDescent="0.3">
      <c r="A1465" s="10">
        <v>52</v>
      </c>
      <c r="B1465" s="10" t="s">
        <v>1778</v>
      </c>
      <c r="C1465" s="10" t="str" cm="1">
        <f t="array" ref="C1465">_xlfn.IFS(A1465&lt;20, "ภาคกลาง", A1465&lt;30, "ภาคตะวันออก", A1465&lt;50, "ภาคตะวันออกเฉียงเหนือ", A1465&lt;60, "ภาคเหนือ", A1465&lt;80, "ภาคกลาง/ตะวันตก", A1465&gt;=80, "ภาคใต้")</f>
        <v>ภาคเหนือ</v>
      </c>
      <c r="D1465" s="64">
        <v>5206</v>
      </c>
      <c r="E1465" s="10" t="s">
        <v>1784</v>
      </c>
      <c r="F1465" s="11">
        <v>23538</v>
      </c>
      <c r="G1465" s="11">
        <v>23659</v>
      </c>
      <c r="H1465" s="11">
        <v>47197</v>
      </c>
      <c r="I1465" s="11">
        <v>18643</v>
      </c>
      <c r="J1465" s="66">
        <f t="shared" si="86"/>
        <v>49.871813886475834</v>
      </c>
      <c r="K1465" s="66">
        <f t="shared" si="87"/>
        <v>50.128186113524166</v>
      </c>
    </row>
    <row r="1466" spans="1:11" x14ac:dyDescent="0.3">
      <c r="A1466" s="10">
        <v>52</v>
      </c>
      <c r="B1466" s="10" t="s">
        <v>1778</v>
      </c>
      <c r="C1466" s="10" t="str" cm="1">
        <f t="array" ref="C1466">_xlfn.IFS(A1466&lt;20, "ภาคกลาง", A1466&lt;30, "ภาคตะวันออก", A1466&lt;50, "ภาคตะวันออกเฉียงเหนือ", A1466&lt;60, "ภาคเหนือ", A1466&lt;80, "ภาคกลาง/ตะวันตก", A1466&gt;=80, "ภาคใต้")</f>
        <v>ภาคเหนือ</v>
      </c>
      <c r="D1466" s="64">
        <v>5207</v>
      </c>
      <c r="E1466" s="10" t="s">
        <v>1785</v>
      </c>
      <c r="F1466" s="11">
        <v>16508</v>
      </c>
      <c r="G1466" s="11">
        <v>17069</v>
      </c>
      <c r="H1466" s="11">
        <v>33577</v>
      </c>
      <c r="I1466" s="11">
        <v>13441</v>
      </c>
      <c r="J1466" s="66">
        <f t="shared" si="86"/>
        <v>49.164606724841406</v>
      </c>
      <c r="K1466" s="66">
        <f t="shared" si="87"/>
        <v>50.835393275158594</v>
      </c>
    </row>
    <row r="1467" spans="1:11" x14ac:dyDescent="0.3">
      <c r="A1467" s="10">
        <v>52</v>
      </c>
      <c r="B1467" s="10" t="s">
        <v>1778</v>
      </c>
      <c r="C1467" s="10" t="str" cm="1">
        <f t="array" ref="C1467">_xlfn.IFS(A1467&lt;20, "ภาคกลาง", A1467&lt;30, "ภาคตะวันออก", A1467&lt;50, "ภาคตะวันออกเฉียงเหนือ", A1467&lt;60, "ภาคเหนือ", A1467&lt;80, "ภาคกลาง/ตะวันตก", A1467&gt;=80, "ภาคใต้")</f>
        <v>ภาคเหนือ</v>
      </c>
      <c r="D1467" s="64">
        <v>5208</v>
      </c>
      <c r="E1467" s="10" t="s">
        <v>1786</v>
      </c>
      <c r="F1467" s="11">
        <v>17981</v>
      </c>
      <c r="G1467" s="11">
        <v>17869</v>
      </c>
      <c r="H1467" s="11">
        <v>35850</v>
      </c>
      <c r="I1467" s="11">
        <v>13756</v>
      </c>
      <c r="J1467" s="66">
        <f t="shared" si="86"/>
        <v>50.156206415620645</v>
      </c>
      <c r="K1467" s="66">
        <f t="shared" si="87"/>
        <v>49.843793584379355</v>
      </c>
    </row>
    <row r="1468" spans="1:11" x14ac:dyDescent="0.3">
      <c r="A1468" s="10">
        <v>52</v>
      </c>
      <c r="B1468" s="10" t="s">
        <v>1778</v>
      </c>
      <c r="C1468" s="10" t="str" cm="1">
        <f t="array" ref="C1468">_xlfn.IFS(A1468&lt;20, "ภาคกลาง", A1468&lt;30, "ภาคตะวันออก", A1468&lt;50, "ภาคตะวันออกเฉียงเหนือ", A1468&lt;60, "ภาคเหนือ", A1468&lt;80, "ภาคกลาง/ตะวันตก", A1468&gt;=80, "ภาคใต้")</f>
        <v>ภาคเหนือ</v>
      </c>
      <c r="D1468" s="64">
        <v>5209</v>
      </c>
      <c r="E1468" s="10" t="s">
        <v>1787</v>
      </c>
      <c r="F1468" s="11">
        <v>15845</v>
      </c>
      <c r="G1468" s="11">
        <v>16423</v>
      </c>
      <c r="H1468" s="11">
        <v>32268</v>
      </c>
      <c r="I1468" s="11">
        <v>11762</v>
      </c>
      <c r="J1468" s="66">
        <f t="shared" si="86"/>
        <v>49.10437585223751</v>
      </c>
      <c r="K1468" s="66">
        <f t="shared" si="87"/>
        <v>50.895624147762483</v>
      </c>
    </row>
    <row r="1469" spans="1:11" x14ac:dyDescent="0.3">
      <c r="A1469" s="10">
        <v>52</v>
      </c>
      <c r="B1469" s="10" t="s">
        <v>1778</v>
      </c>
      <c r="C1469" s="10" t="str" cm="1">
        <f t="array" ref="C1469">_xlfn.IFS(A1469&lt;20, "ภาคกลาง", A1469&lt;30, "ภาคตะวันออก", A1469&lt;50, "ภาคตะวันออกเฉียงเหนือ", A1469&lt;60, "ภาคเหนือ", A1469&lt;80, "ภาคกลาง/ตะวันตก", A1469&gt;=80, "ภาคใต้")</f>
        <v>ภาคเหนือ</v>
      </c>
      <c r="D1469" s="64">
        <v>5210</v>
      </c>
      <c r="E1469" s="10" t="s">
        <v>1788</v>
      </c>
      <c r="F1469" s="11">
        <v>4405</v>
      </c>
      <c r="G1469" s="11">
        <v>4561</v>
      </c>
      <c r="H1469" s="11">
        <v>8966</v>
      </c>
      <c r="I1469" s="11">
        <v>3302</v>
      </c>
      <c r="J1469" s="66">
        <f t="shared" si="86"/>
        <v>49.130046843631497</v>
      </c>
      <c r="K1469" s="66">
        <f t="shared" si="87"/>
        <v>50.86995315636851</v>
      </c>
    </row>
    <row r="1470" spans="1:11" x14ac:dyDescent="0.3">
      <c r="A1470" s="10">
        <v>52</v>
      </c>
      <c r="B1470" s="10" t="s">
        <v>1778</v>
      </c>
      <c r="C1470" s="10" t="str" cm="1">
        <f t="array" ref="C1470">_xlfn.IFS(A1470&lt;20, "ภาคกลาง", A1470&lt;30, "ภาคตะวันออก", A1470&lt;50, "ภาคตะวันออกเฉียงเหนือ", A1470&lt;60, "ภาคเหนือ", A1470&lt;80, "ภาคกลาง/ตะวันตก", A1470&gt;=80, "ภาคใต้")</f>
        <v>ภาคเหนือ</v>
      </c>
      <c r="D1470" s="64">
        <v>5211</v>
      </c>
      <c r="E1470" s="10" t="s">
        <v>1789</v>
      </c>
      <c r="F1470" s="11">
        <v>13239</v>
      </c>
      <c r="G1470" s="11">
        <v>13656</v>
      </c>
      <c r="H1470" s="11">
        <v>26895</v>
      </c>
      <c r="I1470" s="11">
        <v>11044</v>
      </c>
      <c r="J1470" s="66">
        <f t="shared" si="86"/>
        <v>49.224762967094257</v>
      </c>
      <c r="K1470" s="66">
        <f t="shared" si="87"/>
        <v>50.775237032905743</v>
      </c>
    </row>
    <row r="1471" spans="1:11" x14ac:dyDescent="0.3">
      <c r="A1471" s="10">
        <v>52</v>
      </c>
      <c r="B1471" s="10" t="s">
        <v>1778</v>
      </c>
      <c r="C1471" s="10" t="str" cm="1">
        <f t="array" ref="C1471">_xlfn.IFS(A1471&lt;20, "ภาคกลาง", A1471&lt;30, "ภาคตะวันออก", A1471&lt;50, "ภาคตะวันออกเฉียงเหนือ", A1471&lt;60, "ภาคเหนือ", A1471&lt;80, "ภาคกลาง/ตะวันตก", A1471&gt;=80, "ภาคใต้")</f>
        <v>ภาคเหนือ</v>
      </c>
      <c r="D1471" s="64">
        <v>5212</v>
      </c>
      <c r="E1471" s="10" t="s">
        <v>1790</v>
      </c>
      <c r="F1471" s="11">
        <v>10098</v>
      </c>
      <c r="G1471" s="11">
        <v>10464</v>
      </c>
      <c r="H1471" s="11">
        <v>20562</v>
      </c>
      <c r="I1471" s="11">
        <v>6794</v>
      </c>
      <c r="J1471" s="66">
        <f t="shared" si="86"/>
        <v>49.110008754012256</v>
      </c>
      <c r="K1471" s="66">
        <f t="shared" si="87"/>
        <v>50.889991245987744</v>
      </c>
    </row>
    <row r="1472" spans="1:11" x14ac:dyDescent="0.3">
      <c r="A1472" s="10">
        <v>52</v>
      </c>
      <c r="B1472" s="10" t="s">
        <v>1778</v>
      </c>
      <c r="C1472" s="10" t="str" cm="1">
        <f t="array" ref="C1472">_xlfn.IFS(A1472&lt;20, "ภาคกลาง", A1472&lt;30, "ภาคตะวันออก", A1472&lt;50, "ภาคตะวันออกเฉียงเหนือ", A1472&lt;60, "ภาคเหนือ", A1472&lt;80, "ภาคกลาง/ตะวันตก", A1472&gt;=80, "ภาคใต้")</f>
        <v>ภาคเหนือ</v>
      </c>
      <c r="D1472" s="64">
        <v>5213</v>
      </c>
      <c r="E1472" s="10" t="s">
        <v>1791</v>
      </c>
      <c r="F1472" s="11">
        <v>22314</v>
      </c>
      <c r="G1472" s="11">
        <v>23265</v>
      </c>
      <c r="H1472" s="11">
        <v>45579</v>
      </c>
      <c r="I1472" s="11">
        <v>20049</v>
      </c>
      <c r="J1472" s="66">
        <f t="shared" si="86"/>
        <v>48.956756400974136</v>
      </c>
      <c r="K1472" s="66">
        <f t="shared" si="87"/>
        <v>51.043243599025864</v>
      </c>
    </row>
    <row r="1473" spans="1:11" x14ac:dyDescent="0.3">
      <c r="A1473" s="10">
        <v>52</v>
      </c>
      <c r="B1473" s="10" t="s">
        <v>1778</v>
      </c>
      <c r="C1473" s="10" t="str" cm="1">
        <f t="array" ref="C1473">_xlfn.IFS(A1473&lt;20, "ภาคกลาง", A1473&lt;30, "ภาคตะวันออก", A1473&lt;50, "ภาคตะวันออกเฉียงเหนือ", A1473&lt;60, "ภาคเหนือ", A1473&lt;80, "ภาคกลาง/ตะวันตก", A1473&gt;=80, "ภาคใต้")</f>
        <v>ภาคเหนือ</v>
      </c>
      <c r="D1473" s="64">
        <v>5275</v>
      </c>
      <c r="E1473" s="10" t="s">
        <v>1792</v>
      </c>
      <c r="F1473" s="11">
        <v>15810</v>
      </c>
      <c r="G1473" s="11">
        <v>15926</v>
      </c>
      <c r="H1473" s="11">
        <v>31736</v>
      </c>
      <c r="I1473" s="11">
        <v>12619</v>
      </c>
      <c r="J1473" s="66">
        <f t="shared" si="86"/>
        <v>49.817242248550542</v>
      </c>
      <c r="K1473" s="66">
        <f t="shared" si="87"/>
        <v>50.182757751449458</v>
      </c>
    </row>
    <row r="1474" spans="1:11" x14ac:dyDescent="0.3">
      <c r="A1474" s="10">
        <v>52</v>
      </c>
      <c r="B1474" s="10" t="s">
        <v>1778</v>
      </c>
      <c r="C1474" s="10" t="str" cm="1">
        <f t="array" ref="C1474">_xlfn.IFS(A1474&lt;20, "ภาคกลาง", A1474&lt;30, "ภาคตะวันออก", A1474&lt;50, "ภาคตะวันออกเฉียงเหนือ", A1474&lt;60, "ภาคเหนือ", A1474&lt;80, "ภาคกลาง/ตะวันตก", A1474&gt;=80, "ภาคใต้")</f>
        <v>ภาคเหนือ</v>
      </c>
      <c r="D1474" s="64">
        <v>5276</v>
      </c>
      <c r="E1474" s="10" t="s">
        <v>1793</v>
      </c>
      <c r="F1474" s="11">
        <v>4518</v>
      </c>
      <c r="G1474" s="11">
        <v>4750</v>
      </c>
      <c r="H1474" s="11">
        <v>9268</v>
      </c>
      <c r="I1474" s="11">
        <v>3589</v>
      </c>
      <c r="J1474" s="66">
        <f t="shared" si="86"/>
        <v>48.748381527837722</v>
      </c>
      <c r="K1474" s="66">
        <f t="shared" si="87"/>
        <v>51.251618472162278</v>
      </c>
    </row>
    <row r="1475" spans="1:11" x14ac:dyDescent="0.3">
      <c r="A1475" s="10">
        <v>52</v>
      </c>
      <c r="B1475" s="10" t="s">
        <v>1778</v>
      </c>
      <c r="C1475" s="10" t="str" cm="1">
        <f t="array" ref="C1475">_xlfn.IFS(A1475&lt;20, "ภาคกลาง", A1475&lt;30, "ภาคตะวันออก", A1475&lt;50, "ภาคตะวันออกเฉียงเหนือ", A1475&lt;60, "ภาคเหนือ", A1475&lt;80, "ภาคกลาง/ตะวันตก", A1475&gt;=80, "ภาคใต้")</f>
        <v>ภาคเหนือ</v>
      </c>
      <c r="D1475" s="64">
        <v>5279</v>
      </c>
      <c r="E1475" s="10" t="s">
        <v>1794</v>
      </c>
      <c r="F1475" s="11">
        <v>3063</v>
      </c>
      <c r="G1475" s="11">
        <v>3211</v>
      </c>
      <c r="H1475" s="11">
        <v>6274</v>
      </c>
      <c r="I1475" s="11">
        <v>3058</v>
      </c>
      <c r="J1475" s="66">
        <f t="shared" si="86"/>
        <v>48.820529167994899</v>
      </c>
      <c r="K1475" s="66">
        <f t="shared" si="87"/>
        <v>51.179470832005101</v>
      </c>
    </row>
    <row r="1476" spans="1:11" ht="27.6" x14ac:dyDescent="0.3">
      <c r="A1476" s="10">
        <v>52</v>
      </c>
      <c r="B1476" s="10" t="s">
        <v>1778</v>
      </c>
      <c r="C1476" s="10" t="str" cm="1">
        <f t="array" ref="C1476">_xlfn.IFS(A1476&lt;20, "ภาคกลาง", A1476&lt;30, "ภาคตะวันออก", A1476&lt;50, "ภาคตะวันออกเฉียงเหนือ", A1476&lt;60, "ภาคเหนือ", A1476&lt;80, "ภาคกลาง/ตะวันตก", A1476&gt;=80, "ภาคใต้")</f>
        <v>ภาคเหนือ</v>
      </c>
      <c r="D1476" s="64">
        <v>5280</v>
      </c>
      <c r="E1476" s="10" t="s">
        <v>1795</v>
      </c>
      <c r="F1476" s="11">
        <v>4197</v>
      </c>
      <c r="G1476" s="11">
        <v>4444</v>
      </c>
      <c r="H1476" s="11">
        <v>8641</v>
      </c>
      <c r="I1476" s="11">
        <v>3248</v>
      </c>
      <c r="J1476" s="66">
        <f t="shared" si="86"/>
        <v>48.570767272306448</v>
      </c>
      <c r="K1476" s="66">
        <f t="shared" si="87"/>
        <v>51.429232727693552</v>
      </c>
    </row>
    <row r="1477" spans="1:11" x14ac:dyDescent="0.3">
      <c r="A1477" s="10">
        <v>52</v>
      </c>
      <c r="B1477" s="10" t="s">
        <v>1778</v>
      </c>
      <c r="C1477" s="10" t="str" cm="1">
        <f t="array" ref="C1477">_xlfn.IFS(A1477&lt;20, "ภาคกลาง", A1477&lt;30, "ภาคตะวันออก", A1477&lt;50, "ภาคตะวันออกเฉียงเหนือ", A1477&lt;60, "ภาคเหนือ", A1477&lt;80, "ภาคกลาง/ตะวันตก", A1477&gt;=80, "ภาคใต้")</f>
        <v>ภาคเหนือ</v>
      </c>
      <c r="D1477" s="64">
        <v>5281</v>
      </c>
      <c r="E1477" s="10" t="s">
        <v>1796</v>
      </c>
      <c r="F1477" s="11">
        <v>4215</v>
      </c>
      <c r="G1477" s="11">
        <v>4676</v>
      </c>
      <c r="H1477" s="11">
        <v>8891</v>
      </c>
      <c r="I1477" s="11">
        <v>3432</v>
      </c>
      <c r="J1477" s="66">
        <f t="shared" si="86"/>
        <v>47.407490720953774</v>
      </c>
      <c r="K1477" s="66">
        <f t="shared" si="87"/>
        <v>52.592509279046226</v>
      </c>
    </row>
    <row r="1478" spans="1:11" x14ac:dyDescent="0.3">
      <c r="A1478" s="10">
        <v>52</v>
      </c>
      <c r="B1478" s="10" t="s">
        <v>1778</v>
      </c>
      <c r="C1478" s="10" t="str" cm="1">
        <f t="array" ref="C1478">_xlfn.IFS(A1478&lt;20, "ภาคกลาง", A1478&lt;30, "ภาคตะวันออก", A1478&lt;50, "ภาคตะวันออกเฉียงเหนือ", A1478&lt;60, "ภาคเหนือ", A1478&lt;80, "ภาคกลาง/ตะวันตก", A1478&gt;=80, "ภาคใต้")</f>
        <v>ภาคเหนือ</v>
      </c>
      <c r="D1478" s="64">
        <v>5282</v>
      </c>
      <c r="E1478" s="10" t="s">
        <v>1797</v>
      </c>
      <c r="F1478" s="11">
        <v>2287</v>
      </c>
      <c r="G1478" s="11">
        <v>2191</v>
      </c>
      <c r="H1478" s="11">
        <v>4478</v>
      </c>
      <c r="I1478" s="11">
        <v>1639</v>
      </c>
      <c r="J1478" s="66">
        <f t="shared" si="86"/>
        <v>51.071907101384554</v>
      </c>
      <c r="K1478" s="66">
        <f t="shared" si="87"/>
        <v>48.928092898615454</v>
      </c>
    </row>
    <row r="1479" spans="1:11" ht="27.6" x14ac:dyDescent="0.3">
      <c r="A1479" s="10">
        <v>52</v>
      </c>
      <c r="B1479" s="10" t="s">
        <v>1778</v>
      </c>
      <c r="C1479" s="10" t="str" cm="1">
        <f t="array" ref="C1479">_xlfn.IFS(A1479&lt;20, "ภาคกลาง", A1479&lt;30, "ภาคตะวันออก", A1479&lt;50, "ภาคตะวันออกเฉียงเหนือ", A1479&lt;60, "ภาคเหนือ", A1479&lt;80, "ภาคกลาง/ตะวันตก", A1479&gt;=80, "ภาคใต้")</f>
        <v>ภาคเหนือ</v>
      </c>
      <c r="D1479" s="64">
        <v>5283</v>
      </c>
      <c r="E1479" s="10" t="s">
        <v>1798</v>
      </c>
      <c r="F1479" s="11">
        <v>7206</v>
      </c>
      <c r="G1479" s="11">
        <v>7605</v>
      </c>
      <c r="H1479" s="11">
        <v>14811</v>
      </c>
      <c r="I1479" s="11">
        <v>8891</v>
      </c>
      <c r="J1479" s="66">
        <f t="shared" si="86"/>
        <v>48.653028154749848</v>
      </c>
      <c r="K1479" s="66">
        <f t="shared" si="87"/>
        <v>51.346971845250152</v>
      </c>
    </row>
    <row r="1480" spans="1:11" x14ac:dyDescent="0.3">
      <c r="A1480" s="10">
        <v>52</v>
      </c>
      <c r="B1480" s="10" t="s">
        <v>1778</v>
      </c>
      <c r="C1480" s="10" t="str" cm="1">
        <f t="array" ref="C1480">_xlfn.IFS(A1480&lt;20, "ภาคกลาง", A1480&lt;30, "ภาคตะวันออก", A1480&lt;50, "ภาคตะวันออกเฉียงเหนือ", A1480&lt;60, "ภาคเหนือ", A1480&lt;80, "ภาคกลาง/ตะวันตก", A1480&gt;=80, "ภาคใต้")</f>
        <v>ภาคเหนือ</v>
      </c>
      <c r="D1480" s="64">
        <v>5284</v>
      </c>
      <c r="E1480" s="10" t="s">
        <v>1799</v>
      </c>
      <c r="F1480" s="11">
        <v>4980</v>
      </c>
      <c r="G1480" s="11">
        <v>5032</v>
      </c>
      <c r="H1480" s="11">
        <v>10012</v>
      </c>
      <c r="I1480" s="11">
        <v>3645</v>
      </c>
      <c r="J1480" s="66">
        <f t="shared" si="86"/>
        <v>49.740311626048737</v>
      </c>
      <c r="K1480" s="66">
        <f t="shared" si="87"/>
        <v>50.259688373951263</v>
      </c>
    </row>
    <row r="1481" spans="1:11" x14ac:dyDescent="0.3">
      <c r="A1481" s="10">
        <v>52</v>
      </c>
      <c r="B1481" s="10" t="s">
        <v>1778</v>
      </c>
      <c r="C1481" s="10" t="str" cm="1">
        <f t="array" ref="C1481">_xlfn.IFS(A1481&lt;20, "ภาคกลาง", A1481&lt;30, "ภาคตะวันออก", A1481&lt;50, "ภาคตะวันออกเฉียงเหนือ", A1481&lt;60, "ภาคเหนือ", A1481&lt;80, "ภาคกลาง/ตะวันตก", A1481&gt;=80, "ภาคใต้")</f>
        <v>ภาคเหนือ</v>
      </c>
      <c r="D1481" s="64">
        <v>5285</v>
      </c>
      <c r="E1481" s="10" t="s">
        <v>1800</v>
      </c>
      <c r="F1481" s="11">
        <v>1196</v>
      </c>
      <c r="G1481" s="11">
        <v>1478</v>
      </c>
      <c r="H1481" s="11">
        <v>2674</v>
      </c>
      <c r="I1481" s="11">
        <v>1339</v>
      </c>
      <c r="J1481" s="66">
        <f t="shared" si="86"/>
        <v>44.727000747943158</v>
      </c>
      <c r="K1481" s="66">
        <f t="shared" si="87"/>
        <v>55.272999252056842</v>
      </c>
    </row>
    <row r="1482" spans="1:11" ht="27.6" x14ac:dyDescent="0.3">
      <c r="A1482" s="10">
        <v>52</v>
      </c>
      <c r="B1482" s="10" t="s">
        <v>1778</v>
      </c>
      <c r="C1482" s="10" t="str" cm="1">
        <f t="array" ref="C1482">_xlfn.IFS(A1482&lt;20, "ภาคกลาง", A1482&lt;30, "ภาคตะวันออก", A1482&lt;50, "ภาคตะวันออกเฉียงเหนือ", A1482&lt;60, "ภาคเหนือ", A1482&lt;80, "ภาคกลาง/ตะวันตก", A1482&gt;=80, "ภาคใต้")</f>
        <v>ภาคเหนือ</v>
      </c>
      <c r="D1482" s="64">
        <v>5286</v>
      </c>
      <c r="E1482" s="10" t="s">
        <v>1801</v>
      </c>
      <c r="F1482" s="11">
        <v>2516</v>
      </c>
      <c r="G1482" s="11">
        <v>2798</v>
      </c>
      <c r="H1482" s="11">
        <v>5314</v>
      </c>
      <c r="I1482" s="11">
        <v>2141</v>
      </c>
      <c r="J1482" s="66">
        <f t="shared" si="86"/>
        <v>47.346631539330069</v>
      </c>
      <c r="K1482" s="66">
        <f t="shared" si="87"/>
        <v>52.653368460669924</v>
      </c>
    </row>
    <row r="1483" spans="1:11" x14ac:dyDescent="0.3">
      <c r="A1483" s="10">
        <v>52</v>
      </c>
      <c r="B1483" s="10" t="s">
        <v>1778</v>
      </c>
      <c r="C1483" s="10" t="str" cm="1">
        <f t="array" ref="C1483">_xlfn.IFS(A1483&lt;20, "ภาคกลาง", A1483&lt;30, "ภาคตะวันออก", A1483&lt;50, "ภาคตะวันออกเฉียงเหนือ", A1483&lt;60, "ภาคเหนือ", A1483&lt;80, "ภาคกลาง/ตะวันตก", A1483&gt;=80, "ภาคใต้")</f>
        <v>ภาคเหนือ</v>
      </c>
      <c r="D1483" s="64">
        <v>5287</v>
      </c>
      <c r="E1483" s="10" t="s">
        <v>1802</v>
      </c>
      <c r="F1483" s="11">
        <v>3637</v>
      </c>
      <c r="G1483" s="11">
        <v>3887</v>
      </c>
      <c r="H1483" s="11">
        <v>7524</v>
      </c>
      <c r="I1483" s="11">
        <v>3053</v>
      </c>
      <c r="J1483" s="66">
        <f t="shared" si="86"/>
        <v>48.338649654439131</v>
      </c>
      <c r="K1483" s="66">
        <f t="shared" si="87"/>
        <v>51.661350345560876</v>
      </c>
    </row>
    <row r="1484" spans="1:11" x14ac:dyDescent="0.3">
      <c r="A1484" s="10">
        <v>52</v>
      </c>
      <c r="B1484" s="10" t="s">
        <v>1778</v>
      </c>
      <c r="C1484" s="10" t="str" cm="1">
        <f t="array" ref="C1484">_xlfn.IFS(A1484&lt;20, "ภาคกลาง", A1484&lt;30, "ภาคตะวันออก", A1484&lt;50, "ภาคตะวันออกเฉียงเหนือ", A1484&lt;60, "ภาคเหนือ", A1484&lt;80, "ภาคกลาง/ตะวันตก", A1484&gt;=80, "ภาคใต้")</f>
        <v>ภาคเหนือ</v>
      </c>
      <c r="D1484" s="64">
        <v>5288</v>
      </c>
      <c r="E1484" s="10" t="s">
        <v>1803</v>
      </c>
      <c r="F1484" s="11">
        <v>1148</v>
      </c>
      <c r="G1484" s="11">
        <v>1283</v>
      </c>
      <c r="H1484" s="11">
        <v>2431</v>
      </c>
      <c r="I1484" s="11">
        <v>1164</v>
      </c>
      <c r="J1484" s="66">
        <f t="shared" si="86"/>
        <v>47.223364870423694</v>
      </c>
      <c r="K1484" s="66">
        <f t="shared" si="87"/>
        <v>52.776635129576313</v>
      </c>
    </row>
    <row r="1485" spans="1:11" x14ac:dyDescent="0.3">
      <c r="A1485" s="10">
        <v>52</v>
      </c>
      <c r="B1485" s="10" t="s">
        <v>1778</v>
      </c>
      <c r="C1485" s="10" t="str" cm="1">
        <f t="array" ref="C1485">_xlfn.IFS(A1485&lt;20, "ภาคกลาง", A1485&lt;30, "ภาคตะวันออก", A1485&lt;50, "ภาคตะวันออกเฉียงเหนือ", A1485&lt;60, "ภาคเหนือ", A1485&lt;80, "ภาคกลาง/ตะวันตก", A1485&gt;=80, "ภาคใต้")</f>
        <v>ภาคเหนือ</v>
      </c>
      <c r="D1485" s="64">
        <v>5289</v>
      </c>
      <c r="E1485" s="10" t="s">
        <v>1804</v>
      </c>
      <c r="F1485" s="11">
        <v>1721</v>
      </c>
      <c r="G1485" s="11">
        <v>1928</v>
      </c>
      <c r="H1485" s="11">
        <v>3649</v>
      </c>
      <c r="I1485" s="11">
        <v>1372</v>
      </c>
      <c r="J1485" s="66">
        <f t="shared" si="86"/>
        <v>47.163606467525348</v>
      </c>
      <c r="K1485" s="66">
        <f t="shared" si="87"/>
        <v>52.836393532474645</v>
      </c>
    </row>
    <row r="1486" spans="1:11" x14ac:dyDescent="0.3">
      <c r="A1486" s="10">
        <v>52</v>
      </c>
      <c r="B1486" s="10" t="s">
        <v>1778</v>
      </c>
      <c r="C1486" s="10" t="str" cm="1">
        <f t="array" ref="C1486">_xlfn.IFS(A1486&lt;20, "ภาคกลาง", A1486&lt;30, "ภาคตะวันออก", A1486&lt;50, "ภาคตะวันออกเฉียงเหนือ", A1486&lt;60, "ภาคเหนือ", A1486&lt;80, "ภาคกลาง/ตะวันตก", A1486&gt;=80, "ภาคใต้")</f>
        <v>ภาคเหนือ</v>
      </c>
      <c r="D1486" s="64">
        <v>5290</v>
      </c>
      <c r="E1486" s="10" t="s">
        <v>1805</v>
      </c>
      <c r="F1486" s="11">
        <v>6226</v>
      </c>
      <c r="G1486" s="11">
        <v>7266</v>
      </c>
      <c r="H1486" s="11">
        <v>13492</v>
      </c>
      <c r="I1486" s="11">
        <v>7321</v>
      </c>
      <c r="J1486" s="66">
        <f t="shared" si="86"/>
        <v>46.145864215831608</v>
      </c>
      <c r="K1486" s="66">
        <f t="shared" si="87"/>
        <v>53.854135784168399</v>
      </c>
    </row>
    <row r="1487" spans="1:11" x14ac:dyDescent="0.3">
      <c r="A1487" s="10">
        <v>52</v>
      </c>
      <c r="B1487" s="10" t="s">
        <v>1778</v>
      </c>
      <c r="C1487" s="10" t="str" cm="1">
        <f t="array" ref="C1487">_xlfn.IFS(A1487&lt;20, "ภาคกลาง", A1487&lt;30, "ภาคตะวันออก", A1487&lt;50, "ภาคตะวันออกเฉียงเหนือ", A1487&lt;60, "ภาคเหนือ", A1487&lt;80, "ภาคกลาง/ตะวันตก", A1487&gt;=80, "ภาคใต้")</f>
        <v>ภาคเหนือ</v>
      </c>
      <c r="D1487" s="64">
        <v>5291</v>
      </c>
      <c r="E1487" s="10" t="s">
        <v>1806</v>
      </c>
      <c r="F1487" s="11">
        <v>1924</v>
      </c>
      <c r="G1487" s="11">
        <v>1943</v>
      </c>
      <c r="H1487" s="11">
        <v>3867</v>
      </c>
      <c r="I1487" s="11">
        <v>2027</v>
      </c>
      <c r="J1487" s="66">
        <f t="shared" si="86"/>
        <v>49.754331523144558</v>
      </c>
      <c r="K1487" s="66">
        <f t="shared" si="87"/>
        <v>50.245668476855442</v>
      </c>
    </row>
    <row r="1488" spans="1:11" x14ac:dyDescent="0.3">
      <c r="A1488" s="10">
        <v>52</v>
      </c>
      <c r="B1488" s="10" t="s">
        <v>1778</v>
      </c>
      <c r="C1488" s="10" t="str" cm="1">
        <f t="array" ref="C1488">_xlfn.IFS(A1488&lt;20, "ภาคกลาง", A1488&lt;30, "ภาคตะวันออก", A1488&lt;50, "ภาคตะวันออกเฉียงเหนือ", A1488&lt;60, "ภาคเหนือ", A1488&lt;80, "ภาคกลาง/ตะวันตก", A1488&gt;=80, "ภาคใต้")</f>
        <v>ภาคเหนือ</v>
      </c>
      <c r="D1488" s="64">
        <v>5292</v>
      </c>
      <c r="E1488" s="10" t="s">
        <v>1807</v>
      </c>
      <c r="F1488" s="11">
        <v>1203</v>
      </c>
      <c r="G1488" s="11">
        <v>1239</v>
      </c>
      <c r="H1488" s="11">
        <v>2442</v>
      </c>
      <c r="I1488" s="10">
        <v>903</v>
      </c>
      <c r="J1488" s="66">
        <f t="shared" si="86"/>
        <v>49.262899262899261</v>
      </c>
      <c r="K1488" s="66">
        <f t="shared" si="87"/>
        <v>50.737100737100739</v>
      </c>
    </row>
    <row r="1489" spans="1:11" x14ac:dyDescent="0.3">
      <c r="A1489" s="10">
        <v>52</v>
      </c>
      <c r="B1489" s="10" t="s">
        <v>1778</v>
      </c>
      <c r="C1489" s="10" t="str" cm="1">
        <f t="array" ref="C1489">_xlfn.IFS(A1489&lt;20, "ภาคกลาง", A1489&lt;30, "ภาคตะวันออก", A1489&lt;50, "ภาคตะวันออกเฉียงเหนือ", A1489&lt;60, "ภาคเหนือ", A1489&lt;80, "ภาคกลาง/ตะวันตก", A1489&gt;=80, "ภาคใต้")</f>
        <v>ภาคเหนือ</v>
      </c>
      <c r="D1489" s="64">
        <v>5293</v>
      </c>
      <c r="E1489" s="10" t="s">
        <v>1808</v>
      </c>
      <c r="F1489" s="11">
        <v>1539</v>
      </c>
      <c r="G1489" s="11">
        <v>1723</v>
      </c>
      <c r="H1489" s="11">
        <v>3262</v>
      </c>
      <c r="I1489" s="11">
        <v>1710</v>
      </c>
      <c r="J1489" s="66">
        <f t="shared" si="86"/>
        <v>47.179644389944819</v>
      </c>
      <c r="K1489" s="66">
        <f t="shared" si="87"/>
        <v>52.820355610055181</v>
      </c>
    </row>
    <row r="1490" spans="1:11" ht="27.6" x14ac:dyDescent="0.3">
      <c r="A1490" s="10">
        <v>52</v>
      </c>
      <c r="B1490" s="10" t="s">
        <v>1778</v>
      </c>
      <c r="C1490" s="10" t="str" cm="1">
        <f t="array" ref="C1490">_xlfn.IFS(A1490&lt;20, "ภาคกลาง", A1490&lt;30, "ภาคตะวันออก", A1490&lt;50, "ภาคตะวันออกเฉียงเหนือ", A1490&lt;60, "ภาคเหนือ", A1490&lt;80, "ภาคกลาง/ตะวันตก", A1490&gt;=80, "ภาคใต้")</f>
        <v>ภาคเหนือ</v>
      </c>
      <c r="D1490" s="64">
        <v>5294</v>
      </c>
      <c r="E1490" s="10" t="s">
        <v>1809</v>
      </c>
      <c r="F1490" s="11">
        <v>3934</v>
      </c>
      <c r="G1490" s="11">
        <v>4043</v>
      </c>
      <c r="H1490" s="11">
        <v>7977</v>
      </c>
      <c r="I1490" s="11">
        <v>3138</v>
      </c>
      <c r="J1490" s="66">
        <f t="shared" si="86"/>
        <v>49.316785759057289</v>
      </c>
      <c r="K1490" s="66">
        <f t="shared" si="87"/>
        <v>50.683214240942711</v>
      </c>
    </row>
    <row r="1491" spans="1:11" x14ac:dyDescent="0.3">
      <c r="A1491" s="10">
        <v>52</v>
      </c>
      <c r="B1491" s="10" t="s">
        <v>1778</v>
      </c>
      <c r="C1491" s="10" t="str" cm="1">
        <f t="array" ref="C1491">_xlfn.IFS(A1491&lt;20, "ภาคกลาง", A1491&lt;30, "ภาคตะวันออก", A1491&lt;50, "ภาคตะวันออกเฉียงเหนือ", A1491&lt;60, "ภาคเหนือ", A1491&lt;80, "ภาคกลาง/ตะวันตก", A1491&gt;=80, "ภาคใต้")</f>
        <v>ภาคเหนือ</v>
      </c>
      <c r="D1491" s="64">
        <v>5295</v>
      </c>
      <c r="E1491" s="10" t="s">
        <v>1810</v>
      </c>
      <c r="F1491" s="11">
        <v>1846</v>
      </c>
      <c r="G1491" s="11">
        <v>2098</v>
      </c>
      <c r="H1491" s="11">
        <v>3944</v>
      </c>
      <c r="I1491" s="11">
        <v>2411</v>
      </c>
      <c r="J1491" s="66">
        <f t="shared" si="86"/>
        <v>46.8052738336714</v>
      </c>
      <c r="K1491" s="66">
        <f t="shared" si="87"/>
        <v>53.1947261663286</v>
      </c>
    </row>
    <row r="1492" spans="1:11" x14ac:dyDescent="0.3">
      <c r="A1492" s="10">
        <v>52</v>
      </c>
      <c r="B1492" s="10" t="s">
        <v>1778</v>
      </c>
      <c r="C1492" s="10" t="str" cm="1">
        <f t="array" ref="C1492">_xlfn.IFS(A1492&lt;20, "ภาคกลาง", A1492&lt;30, "ภาคตะวันออก", A1492&lt;50, "ภาคตะวันออกเฉียงเหนือ", A1492&lt;60, "ภาคเหนือ", A1492&lt;80, "ภาคกลาง/ตะวันตก", A1492&gt;=80, "ภาคใต้")</f>
        <v>ภาคเหนือ</v>
      </c>
      <c r="D1492" s="64">
        <v>5296</v>
      </c>
      <c r="E1492" s="10" t="s">
        <v>1811</v>
      </c>
      <c r="F1492" s="11">
        <v>2014</v>
      </c>
      <c r="G1492" s="11">
        <v>2344</v>
      </c>
      <c r="H1492" s="11">
        <v>4358</v>
      </c>
      <c r="I1492" s="11">
        <v>2438</v>
      </c>
      <c r="J1492" s="66">
        <f t="shared" si="86"/>
        <v>46.213859568609458</v>
      </c>
      <c r="K1492" s="66">
        <f t="shared" si="87"/>
        <v>53.78614043139055</v>
      </c>
    </row>
    <row r="1493" spans="1:11" x14ac:dyDescent="0.3">
      <c r="A1493" s="10">
        <v>52</v>
      </c>
      <c r="B1493" s="10" t="s">
        <v>1778</v>
      </c>
      <c r="C1493" s="10" t="str" cm="1">
        <f t="array" ref="C1493">_xlfn.IFS(A1493&lt;20, "ภาคกลาง", A1493&lt;30, "ภาคตะวันออก", A1493&lt;50, "ภาคตะวันออกเฉียงเหนือ", A1493&lt;60, "ภาคเหนือ", A1493&lt;80, "ภาคกลาง/ตะวันตก", A1493&gt;=80, "ภาคใต้")</f>
        <v>ภาคเหนือ</v>
      </c>
      <c r="D1493" s="64">
        <v>5297</v>
      </c>
      <c r="E1493" s="10" t="s">
        <v>1812</v>
      </c>
      <c r="F1493" s="11">
        <v>6130</v>
      </c>
      <c r="G1493" s="11">
        <v>7063</v>
      </c>
      <c r="H1493" s="11">
        <v>13193</v>
      </c>
      <c r="I1493" s="11">
        <v>6707</v>
      </c>
      <c r="J1493" s="66">
        <f t="shared" si="86"/>
        <v>46.464033957401654</v>
      </c>
      <c r="K1493" s="66">
        <f t="shared" si="87"/>
        <v>53.535966042598346</v>
      </c>
    </row>
    <row r="1494" spans="1:11" ht="27.6" x14ac:dyDescent="0.3">
      <c r="A1494" s="10">
        <v>52</v>
      </c>
      <c r="B1494" s="10" t="s">
        <v>1778</v>
      </c>
      <c r="C1494" s="10" t="str" cm="1">
        <f t="array" ref="C1494">_xlfn.IFS(A1494&lt;20, "ภาคกลาง", A1494&lt;30, "ภาคตะวันออก", A1494&lt;50, "ภาคตะวันออกเฉียงเหนือ", A1494&lt;60, "ภาคเหนือ", A1494&lt;80, "ภาคกลาง/ตะวันตก", A1494&gt;=80, "ภาคใต้")</f>
        <v>ภาคเหนือ</v>
      </c>
      <c r="D1494" s="64">
        <v>5298</v>
      </c>
      <c r="E1494" s="10" t="s">
        <v>1813</v>
      </c>
      <c r="F1494" s="11">
        <v>4499</v>
      </c>
      <c r="G1494" s="11">
        <v>5033</v>
      </c>
      <c r="H1494" s="11">
        <v>9532</v>
      </c>
      <c r="I1494" s="11">
        <v>4619</v>
      </c>
      <c r="J1494" s="66">
        <f t="shared" si="86"/>
        <v>47.198908938313053</v>
      </c>
      <c r="K1494" s="66">
        <f t="shared" si="87"/>
        <v>52.801091061686947</v>
      </c>
    </row>
    <row r="1495" spans="1:11" x14ac:dyDescent="0.3">
      <c r="A1495" s="10">
        <v>52</v>
      </c>
      <c r="B1495" s="10" t="s">
        <v>1778</v>
      </c>
      <c r="C1495" s="10" t="str" cm="1">
        <f t="array" ref="C1495">_xlfn.IFS(A1495&lt;20, "ภาคกลาง", A1495&lt;30, "ภาคตะวันออก", A1495&lt;50, "ภาคตะวันออกเฉียงเหนือ", A1495&lt;60, "ภาคเหนือ", A1495&lt;80, "ภาคกลาง/ตะวันตก", A1495&gt;=80, "ภาคใต้")</f>
        <v>ภาคเหนือ</v>
      </c>
      <c r="D1495" s="64">
        <v>5299</v>
      </c>
      <c r="E1495" s="10" t="s">
        <v>1814</v>
      </c>
      <c r="F1495" s="11">
        <v>27691</v>
      </c>
      <c r="G1495" s="11">
        <v>30883</v>
      </c>
      <c r="H1495" s="11">
        <v>58574</v>
      </c>
      <c r="I1495" s="11">
        <v>27329</v>
      </c>
      <c r="J1495" s="66">
        <f t="shared" si="86"/>
        <v>47.275241574760138</v>
      </c>
      <c r="K1495" s="66">
        <f t="shared" si="87"/>
        <v>52.72475842523987</v>
      </c>
    </row>
    <row r="1496" spans="1:11" hidden="1" x14ac:dyDescent="0.3">
      <c r="A1496" s="10">
        <v>52</v>
      </c>
      <c r="B1496" s="10" t="s">
        <v>1778</v>
      </c>
      <c r="C1496" s="10" t="str" cm="1">
        <f t="array" ref="C1496">_xlfn.IFS(A1496&lt;20, "ภาคกลาง", A1496&lt;30, "ภาคตะวันออก", A1496&lt;50, "ภาคตะวันออกเฉียงเหนือ", A1496&lt;60, "ภาคเหนือ", A1496&lt;80, "ภาคกลาง/ตะวันตก", A1496&gt;=80, "ภาคใต้")</f>
        <v>ภาคเหนือ</v>
      </c>
      <c r="D1496" s="10">
        <v>0</v>
      </c>
      <c r="E1496" s="10" t="s">
        <v>343</v>
      </c>
      <c r="F1496" s="11">
        <v>21371</v>
      </c>
      <c r="G1496" s="11">
        <v>26393</v>
      </c>
      <c r="H1496" s="11">
        <v>47764</v>
      </c>
      <c r="I1496" s="11">
        <v>30101</v>
      </c>
      <c r="J1496"/>
      <c r="K1496"/>
    </row>
    <row r="1497" spans="1:11" x14ac:dyDescent="0.3">
      <c r="A1497" s="10">
        <v>53</v>
      </c>
      <c r="B1497" s="10" t="s">
        <v>1815</v>
      </c>
      <c r="C1497" s="10" t="str" cm="1">
        <f t="array" ref="C1497">_xlfn.IFS(A1497&lt;20, "ภาคกลาง", A1497&lt;30, "ภาคตะวันออก", A1497&lt;50, "ภาคตะวันออกเฉียงเหนือ", A1497&lt;60, "ภาคเหนือ", A1497&lt;80, "ภาคกลาง/ตะวันตก", A1497&gt;=80, "ภาคใต้")</f>
        <v>ภาคเหนือ</v>
      </c>
      <c r="D1497" s="64">
        <v>5301</v>
      </c>
      <c r="E1497" s="10" t="s">
        <v>1816</v>
      </c>
      <c r="F1497" s="11">
        <v>212005</v>
      </c>
      <c r="G1497" s="11">
        <v>224278</v>
      </c>
      <c r="H1497" s="11">
        <v>436283</v>
      </c>
      <c r="I1497" s="11">
        <v>179308</v>
      </c>
      <c r="J1497" s="66">
        <f t="shared" ref="J1497:J1528" si="88">F1497/H1497*100</f>
        <v>48.593458832913498</v>
      </c>
      <c r="K1497" s="66">
        <f t="shared" ref="K1497:K1528" si="89">G1497/H1497*100</f>
        <v>51.406541167086509</v>
      </c>
    </row>
    <row r="1498" spans="1:11" x14ac:dyDescent="0.3">
      <c r="A1498" s="10">
        <v>53</v>
      </c>
      <c r="B1498" s="10" t="s">
        <v>1815</v>
      </c>
      <c r="C1498" s="10" t="str" cm="1">
        <f t="array" ref="C1498">_xlfn.IFS(A1498&lt;20, "ภาคกลาง", A1498&lt;30, "ภาคตะวันออก", A1498&lt;50, "ภาคตะวันออกเฉียงเหนือ", A1498&lt;60, "ภาคเหนือ", A1498&lt;80, "ภาคกลาง/ตะวันตก", A1498&gt;=80, "ภาคใต้")</f>
        <v>ภาคเหนือ</v>
      </c>
      <c r="D1498" s="64">
        <v>5302</v>
      </c>
      <c r="E1498" s="10" t="s">
        <v>1817</v>
      </c>
      <c r="F1498" s="11">
        <v>21966</v>
      </c>
      <c r="G1498" s="11">
        <v>23217</v>
      </c>
      <c r="H1498" s="11">
        <v>45183</v>
      </c>
      <c r="I1498" s="11">
        <v>18462</v>
      </c>
      <c r="J1498" s="66">
        <f t="shared" si="88"/>
        <v>48.615629772259474</v>
      </c>
      <c r="K1498" s="66">
        <f t="shared" si="89"/>
        <v>51.384370227740519</v>
      </c>
    </row>
    <row r="1499" spans="1:11" x14ac:dyDescent="0.3">
      <c r="A1499" s="10">
        <v>53</v>
      </c>
      <c r="B1499" s="10" t="s">
        <v>1815</v>
      </c>
      <c r="C1499" s="10" t="str" cm="1">
        <f t="array" ref="C1499">_xlfn.IFS(A1499&lt;20, "ภาคกลาง", A1499&lt;30, "ภาคตะวันออก", A1499&lt;50, "ภาคตะวันออกเฉียงเหนือ", A1499&lt;60, "ภาคเหนือ", A1499&lt;80, "ภาคกลาง/ตะวันตก", A1499&gt;=80, "ภาคใต้")</f>
        <v>ภาคเหนือ</v>
      </c>
      <c r="D1499" s="64">
        <v>5303</v>
      </c>
      <c r="E1499" s="10" t="s">
        <v>1818</v>
      </c>
      <c r="F1499" s="11">
        <v>14046</v>
      </c>
      <c r="G1499" s="11">
        <v>14939</v>
      </c>
      <c r="H1499" s="11">
        <v>28985</v>
      </c>
      <c r="I1499" s="11">
        <v>10370</v>
      </c>
      <c r="J1499" s="66">
        <f t="shared" si="88"/>
        <v>48.459548042090738</v>
      </c>
      <c r="K1499" s="66">
        <f t="shared" si="89"/>
        <v>51.540451957909262</v>
      </c>
    </row>
    <row r="1500" spans="1:11" x14ac:dyDescent="0.3">
      <c r="A1500" s="10">
        <v>53</v>
      </c>
      <c r="B1500" s="10" t="s">
        <v>1815</v>
      </c>
      <c r="C1500" s="10" t="str" cm="1">
        <f t="array" ref="C1500">_xlfn.IFS(A1500&lt;20, "ภาคกลาง", A1500&lt;30, "ภาคตะวันออก", A1500&lt;50, "ภาคตะวันออกเฉียงเหนือ", A1500&lt;60, "ภาคเหนือ", A1500&lt;80, "ภาคกลาง/ตะวันตก", A1500&gt;=80, "ภาคใต้")</f>
        <v>ภาคเหนือ</v>
      </c>
      <c r="D1500" s="64">
        <v>5304</v>
      </c>
      <c r="E1500" s="10" t="s">
        <v>1819</v>
      </c>
      <c r="F1500" s="11">
        <v>14059</v>
      </c>
      <c r="G1500" s="11">
        <v>14283</v>
      </c>
      <c r="H1500" s="11">
        <v>28342</v>
      </c>
      <c r="I1500" s="11">
        <v>10207</v>
      </c>
      <c r="J1500" s="66">
        <f t="shared" si="88"/>
        <v>49.604826758873756</v>
      </c>
      <c r="K1500" s="66">
        <f t="shared" si="89"/>
        <v>50.395173241126244</v>
      </c>
    </row>
    <row r="1501" spans="1:11" x14ac:dyDescent="0.3">
      <c r="A1501" s="10">
        <v>53</v>
      </c>
      <c r="B1501" s="10" t="s">
        <v>1815</v>
      </c>
      <c r="C1501" s="10" t="str" cm="1">
        <f t="array" ref="C1501">_xlfn.IFS(A1501&lt;20, "ภาคกลาง", A1501&lt;30, "ภาคตะวันออก", A1501&lt;50, "ภาคตะวันออกเฉียงเหนือ", A1501&lt;60, "ภาคเหนือ", A1501&lt;80, "ภาคกลาง/ตะวันตก", A1501&gt;=80, "ภาคใต้")</f>
        <v>ภาคเหนือ</v>
      </c>
      <c r="D1501" s="64">
        <v>5305</v>
      </c>
      <c r="E1501" s="10" t="s">
        <v>1820</v>
      </c>
      <c r="F1501" s="11">
        <v>16210</v>
      </c>
      <c r="G1501" s="11">
        <v>16299</v>
      </c>
      <c r="H1501" s="11">
        <v>32509</v>
      </c>
      <c r="I1501" s="11">
        <v>12376</v>
      </c>
      <c r="J1501" s="66">
        <f t="shared" si="88"/>
        <v>49.863114829739459</v>
      </c>
      <c r="K1501" s="66">
        <f t="shared" si="89"/>
        <v>50.136885170260548</v>
      </c>
    </row>
    <row r="1502" spans="1:11" x14ac:dyDescent="0.3">
      <c r="A1502" s="10">
        <v>53</v>
      </c>
      <c r="B1502" s="10" t="s">
        <v>1815</v>
      </c>
      <c r="C1502" s="10" t="str" cm="1">
        <f t="array" ref="C1502">_xlfn.IFS(A1502&lt;20, "ภาคกลาง", A1502&lt;30, "ภาคตะวันออก", A1502&lt;50, "ภาคตะวันออกเฉียงเหนือ", A1502&lt;60, "ภาคเหนือ", A1502&lt;80, "ภาคกลาง/ตะวันตก", A1502&gt;=80, "ภาคใต้")</f>
        <v>ภาคเหนือ</v>
      </c>
      <c r="D1502" s="64">
        <v>5306</v>
      </c>
      <c r="E1502" s="10" t="s">
        <v>1821</v>
      </c>
      <c r="F1502" s="11">
        <v>6226</v>
      </c>
      <c r="G1502" s="11">
        <v>6629</v>
      </c>
      <c r="H1502" s="11">
        <v>12855</v>
      </c>
      <c r="I1502" s="11">
        <v>5273</v>
      </c>
      <c r="J1502" s="66">
        <f t="shared" si="88"/>
        <v>48.432516530532865</v>
      </c>
      <c r="K1502" s="66">
        <f t="shared" si="89"/>
        <v>51.567483469467135</v>
      </c>
    </row>
    <row r="1503" spans="1:11" x14ac:dyDescent="0.3">
      <c r="A1503" s="10">
        <v>53</v>
      </c>
      <c r="B1503" s="10" t="s">
        <v>1815</v>
      </c>
      <c r="C1503" s="10" t="str" cm="1">
        <f t="array" ref="C1503">_xlfn.IFS(A1503&lt;20, "ภาคกลาง", A1503&lt;30, "ภาคตะวันออก", A1503&lt;50, "ภาคตะวันออกเฉียงเหนือ", A1503&lt;60, "ภาคเหนือ", A1503&lt;80, "ภาคกลาง/ตะวันตก", A1503&gt;=80, "ภาคใต้")</f>
        <v>ภาคเหนือ</v>
      </c>
      <c r="D1503" s="64">
        <v>5307</v>
      </c>
      <c r="E1503" s="10" t="s">
        <v>1822</v>
      </c>
      <c r="F1503" s="11">
        <v>5199</v>
      </c>
      <c r="G1503" s="11">
        <v>5082</v>
      </c>
      <c r="H1503" s="11">
        <v>10281</v>
      </c>
      <c r="I1503" s="11">
        <v>4683</v>
      </c>
      <c r="J1503" s="66">
        <f t="shared" si="88"/>
        <v>50.56901079661511</v>
      </c>
      <c r="K1503" s="66">
        <f t="shared" si="89"/>
        <v>49.430989203384883</v>
      </c>
    </row>
    <row r="1504" spans="1:11" x14ac:dyDescent="0.3">
      <c r="A1504" s="10">
        <v>53</v>
      </c>
      <c r="B1504" s="10" t="s">
        <v>1815</v>
      </c>
      <c r="C1504" s="10" t="str" cm="1">
        <f t="array" ref="C1504">_xlfn.IFS(A1504&lt;20, "ภาคกลาง", A1504&lt;30, "ภาคตะวันออก", A1504&lt;50, "ภาคตะวันออกเฉียงเหนือ", A1504&lt;60, "ภาคเหนือ", A1504&lt;80, "ภาคกลาง/ตะวันตก", A1504&gt;=80, "ภาคใต้")</f>
        <v>ภาคเหนือ</v>
      </c>
      <c r="D1504" s="64">
        <v>5308</v>
      </c>
      <c r="E1504" s="10" t="s">
        <v>1823</v>
      </c>
      <c r="F1504" s="11">
        <v>33965</v>
      </c>
      <c r="G1504" s="11">
        <v>36035</v>
      </c>
      <c r="H1504" s="11">
        <v>70000</v>
      </c>
      <c r="I1504" s="11">
        <v>26684</v>
      </c>
      <c r="J1504" s="66">
        <f t="shared" si="88"/>
        <v>48.521428571428572</v>
      </c>
      <c r="K1504" s="66">
        <f t="shared" si="89"/>
        <v>51.478571428571428</v>
      </c>
    </row>
    <row r="1505" spans="1:11" x14ac:dyDescent="0.3">
      <c r="A1505" s="10">
        <v>53</v>
      </c>
      <c r="B1505" s="10" t="s">
        <v>1815</v>
      </c>
      <c r="C1505" s="10" t="str" cm="1">
        <f t="array" ref="C1505">_xlfn.IFS(A1505&lt;20, "ภาคกลาง", A1505&lt;30, "ภาคตะวันออก", A1505&lt;50, "ภาคตะวันออกเฉียงเหนือ", A1505&lt;60, "ภาคเหนือ", A1505&lt;80, "ภาคกลาง/ตะวันตก", A1505&gt;=80, "ภาคใต้")</f>
        <v>ภาคเหนือ</v>
      </c>
      <c r="D1505" s="64">
        <v>5309</v>
      </c>
      <c r="E1505" s="10" t="s">
        <v>1824</v>
      </c>
      <c r="F1505" s="11">
        <v>17729</v>
      </c>
      <c r="G1505" s="11">
        <v>18187</v>
      </c>
      <c r="H1505" s="11">
        <v>35916</v>
      </c>
      <c r="I1505" s="11">
        <v>15646</v>
      </c>
      <c r="J1505" s="66">
        <f t="shared" si="88"/>
        <v>49.362401158258159</v>
      </c>
      <c r="K1505" s="66">
        <f t="shared" si="89"/>
        <v>50.637598841741834</v>
      </c>
    </row>
    <row r="1506" spans="1:11" x14ac:dyDescent="0.3">
      <c r="A1506" s="10">
        <v>53</v>
      </c>
      <c r="B1506" s="10" t="s">
        <v>1815</v>
      </c>
      <c r="C1506" s="10" t="str" cm="1">
        <f t="array" ref="C1506">_xlfn.IFS(A1506&lt;20, "ภาคกลาง", A1506&lt;30, "ภาคตะวันออก", A1506&lt;50, "ภาคตะวันออกเฉียงเหนือ", A1506&lt;60, "ภาคเหนือ", A1506&lt;80, "ภาคกลาง/ตะวันตก", A1506&gt;=80, "ภาคใต้")</f>
        <v>ภาคเหนือ</v>
      </c>
      <c r="D1506" s="64">
        <v>5377</v>
      </c>
      <c r="E1506" s="10" t="s">
        <v>1825</v>
      </c>
      <c r="F1506" s="11">
        <v>12740</v>
      </c>
      <c r="G1506" s="11">
        <v>13076</v>
      </c>
      <c r="H1506" s="11">
        <v>25816</v>
      </c>
      <c r="I1506" s="11">
        <v>9842</v>
      </c>
      <c r="J1506" s="66">
        <f t="shared" si="88"/>
        <v>49.34924078091106</v>
      </c>
      <c r="K1506" s="66">
        <f t="shared" si="89"/>
        <v>50.65075921908894</v>
      </c>
    </row>
    <row r="1507" spans="1:11" x14ac:dyDescent="0.3">
      <c r="A1507" s="10">
        <v>53</v>
      </c>
      <c r="B1507" s="10" t="s">
        <v>1815</v>
      </c>
      <c r="C1507" s="10" t="str" cm="1">
        <f t="array" ref="C1507">_xlfn.IFS(A1507&lt;20, "ภาคกลาง", A1507&lt;30, "ภาคตะวันออก", A1507&lt;50, "ภาคตะวันออกเฉียงเหนือ", A1507&lt;60, "ภาคเหนือ", A1507&lt;80, "ภาคกลาง/ตะวันตก", A1507&gt;=80, "ภาคใต้")</f>
        <v>ภาคเหนือ</v>
      </c>
      <c r="D1507" s="64">
        <v>5378</v>
      </c>
      <c r="E1507" s="10" t="s">
        <v>1826</v>
      </c>
      <c r="F1507" s="11">
        <v>7531</v>
      </c>
      <c r="G1507" s="11">
        <v>7357</v>
      </c>
      <c r="H1507" s="11">
        <v>14888</v>
      </c>
      <c r="I1507" s="11">
        <v>7999</v>
      </c>
      <c r="J1507" s="66">
        <f t="shared" si="88"/>
        <v>50.584363245566898</v>
      </c>
      <c r="K1507" s="66">
        <f t="shared" si="89"/>
        <v>49.415636754433102</v>
      </c>
    </row>
    <row r="1508" spans="1:11" ht="27.6" x14ac:dyDescent="0.3">
      <c r="A1508" s="10">
        <v>53</v>
      </c>
      <c r="B1508" s="10" t="s">
        <v>1815</v>
      </c>
      <c r="C1508" s="10" t="str" cm="1">
        <f t="array" ref="C1508">_xlfn.IFS(A1508&lt;20, "ภาคกลาง", A1508&lt;30, "ภาคตะวันออก", A1508&lt;50, "ภาคตะวันออกเฉียงเหนือ", A1508&lt;60, "ภาคเหนือ", A1508&lt;80, "ภาคกลาง/ตะวันตก", A1508&gt;=80, "ภาคใต้")</f>
        <v>ภาคเหนือ</v>
      </c>
      <c r="D1508" s="64">
        <v>5379</v>
      </c>
      <c r="E1508" s="10" t="s">
        <v>1827</v>
      </c>
      <c r="F1508" s="11">
        <v>3326</v>
      </c>
      <c r="G1508" s="11">
        <v>3507</v>
      </c>
      <c r="H1508" s="11">
        <v>6833</v>
      </c>
      <c r="I1508" s="11">
        <v>2681</v>
      </c>
      <c r="J1508" s="66">
        <f t="shared" si="88"/>
        <v>48.675545148543833</v>
      </c>
      <c r="K1508" s="66">
        <f t="shared" si="89"/>
        <v>51.324454851456167</v>
      </c>
    </row>
    <row r="1509" spans="1:11" x14ac:dyDescent="0.3">
      <c r="A1509" s="10">
        <v>53</v>
      </c>
      <c r="B1509" s="10" t="s">
        <v>1815</v>
      </c>
      <c r="C1509" s="10" t="str" cm="1">
        <f t="array" ref="C1509">_xlfn.IFS(A1509&lt;20, "ภาคกลาง", A1509&lt;30, "ภาคตะวันออก", A1509&lt;50, "ภาคตะวันออกเฉียงเหนือ", A1509&lt;60, "ภาคเหนือ", A1509&lt;80, "ภาคกลาง/ตะวันตก", A1509&gt;=80, "ภาคใต้")</f>
        <v>ภาคเหนือ</v>
      </c>
      <c r="D1509" s="64">
        <v>5380</v>
      </c>
      <c r="E1509" s="10" t="s">
        <v>1828</v>
      </c>
      <c r="F1509" s="11">
        <v>3582</v>
      </c>
      <c r="G1509" s="11">
        <v>3896</v>
      </c>
      <c r="H1509" s="11">
        <v>7478</v>
      </c>
      <c r="I1509" s="11">
        <v>2736</v>
      </c>
      <c r="J1509" s="66">
        <f t="shared" si="88"/>
        <v>47.900508157261299</v>
      </c>
      <c r="K1509" s="66">
        <f t="shared" si="89"/>
        <v>52.099491842738701</v>
      </c>
    </row>
    <row r="1510" spans="1:11" ht="27.6" x14ac:dyDescent="0.3">
      <c r="A1510" s="10">
        <v>53</v>
      </c>
      <c r="B1510" s="10" t="s">
        <v>1815</v>
      </c>
      <c r="C1510" s="10" t="str" cm="1">
        <f t="array" ref="C1510">_xlfn.IFS(A1510&lt;20, "ภาคกลาง", A1510&lt;30, "ภาคตะวันออก", A1510&lt;50, "ภาคตะวันออกเฉียงเหนือ", A1510&lt;60, "ภาคเหนือ", A1510&lt;80, "ภาคกลาง/ตะวันตก", A1510&gt;=80, "ภาคใต้")</f>
        <v>ภาคเหนือ</v>
      </c>
      <c r="D1510" s="64">
        <v>5381</v>
      </c>
      <c r="E1510" s="10" t="s">
        <v>1829</v>
      </c>
      <c r="F1510" s="11">
        <v>4227</v>
      </c>
      <c r="G1510" s="11">
        <v>4082</v>
      </c>
      <c r="H1510" s="11">
        <v>8309</v>
      </c>
      <c r="I1510" s="11">
        <v>2371</v>
      </c>
      <c r="J1510" s="66">
        <f t="shared" si="88"/>
        <v>50.872547839691897</v>
      </c>
      <c r="K1510" s="66">
        <f t="shared" si="89"/>
        <v>49.127452160308103</v>
      </c>
    </row>
    <row r="1511" spans="1:11" x14ac:dyDescent="0.3">
      <c r="A1511" s="10">
        <v>53</v>
      </c>
      <c r="B1511" s="10" t="s">
        <v>1815</v>
      </c>
      <c r="C1511" s="10" t="str" cm="1">
        <f t="array" ref="C1511">_xlfn.IFS(A1511&lt;20, "ภาคกลาง", A1511&lt;30, "ภาคตะวันออก", A1511&lt;50, "ภาคตะวันออกเฉียงเหนือ", A1511&lt;60, "ภาคเหนือ", A1511&lt;80, "ภาคกลาง/ตะวันตก", A1511&gt;=80, "ภาคใต้")</f>
        <v>ภาคเหนือ</v>
      </c>
      <c r="D1511" s="64">
        <v>5382</v>
      </c>
      <c r="E1511" s="10" t="s">
        <v>1830</v>
      </c>
      <c r="F1511" s="11">
        <v>4214</v>
      </c>
      <c r="G1511" s="11">
        <v>4521</v>
      </c>
      <c r="H1511" s="11">
        <v>8735</v>
      </c>
      <c r="I1511" s="11">
        <v>3612</v>
      </c>
      <c r="J1511" s="66">
        <f t="shared" si="88"/>
        <v>48.242701774470518</v>
      </c>
      <c r="K1511" s="66">
        <f t="shared" si="89"/>
        <v>51.757298225529482</v>
      </c>
    </row>
    <row r="1512" spans="1:11" ht="27.6" x14ac:dyDescent="0.3">
      <c r="A1512" s="10">
        <v>53</v>
      </c>
      <c r="B1512" s="10" t="s">
        <v>1815</v>
      </c>
      <c r="C1512" s="10" t="str" cm="1">
        <f t="array" ref="C1512">_xlfn.IFS(A1512&lt;20, "ภาคกลาง", A1512&lt;30, "ภาคตะวันออก", A1512&lt;50, "ภาคตะวันออกเฉียงเหนือ", A1512&lt;60, "ภาคเหนือ", A1512&lt;80, "ภาคกลาง/ตะวันตก", A1512&gt;=80, "ภาคใต้")</f>
        <v>ภาคเหนือ</v>
      </c>
      <c r="D1512" s="64">
        <v>5383</v>
      </c>
      <c r="E1512" s="10" t="s">
        <v>1831</v>
      </c>
      <c r="F1512" s="11">
        <v>3796</v>
      </c>
      <c r="G1512" s="11">
        <v>4116</v>
      </c>
      <c r="H1512" s="11">
        <v>7912</v>
      </c>
      <c r="I1512" s="11">
        <v>3163</v>
      </c>
      <c r="J1512" s="66">
        <f t="shared" si="88"/>
        <v>47.977755308392318</v>
      </c>
      <c r="K1512" s="66">
        <f t="shared" si="89"/>
        <v>52.022244691607689</v>
      </c>
    </row>
    <row r="1513" spans="1:11" ht="27.6" x14ac:dyDescent="0.3">
      <c r="A1513" s="10">
        <v>53</v>
      </c>
      <c r="B1513" s="10" t="s">
        <v>1815</v>
      </c>
      <c r="C1513" s="10" t="str" cm="1">
        <f t="array" ref="C1513">_xlfn.IFS(A1513&lt;20, "ภาคกลาง", A1513&lt;30, "ภาคตะวันออก", A1513&lt;50, "ภาคตะวันออกเฉียงเหนือ", A1513&lt;60, "ภาคเหนือ", A1513&lt;80, "ภาคกลาง/ตะวันตก", A1513&gt;=80, "ภาคใต้")</f>
        <v>ภาคเหนือ</v>
      </c>
      <c r="D1513" s="64">
        <v>5384</v>
      </c>
      <c r="E1513" s="10" t="s">
        <v>1832</v>
      </c>
      <c r="F1513" s="11">
        <v>4369</v>
      </c>
      <c r="G1513" s="11">
        <v>5087</v>
      </c>
      <c r="H1513" s="11">
        <v>9456</v>
      </c>
      <c r="I1513" s="11">
        <v>4033</v>
      </c>
      <c r="J1513" s="66">
        <f t="shared" si="88"/>
        <v>46.203468697123519</v>
      </c>
      <c r="K1513" s="66">
        <f t="shared" si="89"/>
        <v>53.796531302876481</v>
      </c>
    </row>
    <row r="1514" spans="1:11" x14ac:dyDescent="0.3">
      <c r="A1514" s="10">
        <v>53</v>
      </c>
      <c r="B1514" s="10" t="s">
        <v>1815</v>
      </c>
      <c r="C1514" s="10" t="str" cm="1">
        <f t="array" ref="C1514">_xlfn.IFS(A1514&lt;20, "ภาคกลาง", A1514&lt;30, "ภาคตะวันออก", A1514&lt;50, "ภาคตะวันออกเฉียงเหนือ", A1514&lt;60, "ภาคเหนือ", A1514&lt;80, "ภาคกลาง/ตะวันตก", A1514&gt;=80, "ภาคใต้")</f>
        <v>ภาคเหนือ</v>
      </c>
      <c r="D1514" s="64">
        <v>5385</v>
      </c>
      <c r="E1514" s="10" t="s">
        <v>1833</v>
      </c>
      <c r="F1514" s="11">
        <v>2127</v>
      </c>
      <c r="G1514" s="11">
        <v>2313</v>
      </c>
      <c r="H1514" s="11">
        <v>4440</v>
      </c>
      <c r="I1514" s="11">
        <v>1870</v>
      </c>
      <c r="J1514" s="66">
        <f t="shared" si="88"/>
        <v>47.905405405405403</v>
      </c>
      <c r="K1514" s="66">
        <f t="shared" si="89"/>
        <v>52.094594594594589</v>
      </c>
    </row>
    <row r="1515" spans="1:11" x14ac:dyDescent="0.3">
      <c r="A1515" s="10">
        <v>53</v>
      </c>
      <c r="B1515" s="10" t="s">
        <v>1815</v>
      </c>
      <c r="C1515" s="10" t="str" cm="1">
        <f t="array" ref="C1515">_xlfn.IFS(A1515&lt;20, "ภาคกลาง", A1515&lt;30, "ภาคตะวันออก", A1515&lt;50, "ภาคตะวันออกเฉียงเหนือ", A1515&lt;60, "ภาคเหนือ", A1515&lt;80, "ภาคกลาง/ตะวันตก", A1515&gt;=80, "ภาคใต้")</f>
        <v>ภาคเหนือ</v>
      </c>
      <c r="D1515" s="64">
        <v>5386</v>
      </c>
      <c r="E1515" s="10" t="s">
        <v>1834</v>
      </c>
      <c r="F1515" s="11">
        <v>2613</v>
      </c>
      <c r="G1515" s="11">
        <v>2784</v>
      </c>
      <c r="H1515" s="11">
        <v>5397</v>
      </c>
      <c r="I1515" s="11">
        <v>2230</v>
      </c>
      <c r="J1515" s="66">
        <f t="shared" si="88"/>
        <v>48.415786548082266</v>
      </c>
      <c r="K1515" s="66">
        <f t="shared" si="89"/>
        <v>51.584213451917741</v>
      </c>
    </row>
    <row r="1516" spans="1:11" x14ac:dyDescent="0.3">
      <c r="A1516" s="10">
        <v>53</v>
      </c>
      <c r="B1516" s="10" t="s">
        <v>1815</v>
      </c>
      <c r="C1516" s="10" t="str" cm="1">
        <f t="array" ref="C1516">_xlfn.IFS(A1516&lt;20, "ภาคกลาง", A1516&lt;30, "ภาคตะวันออก", A1516&lt;50, "ภาคตะวันออกเฉียงเหนือ", A1516&lt;60, "ภาคเหนือ", A1516&lt;80, "ภาคกลาง/ตะวันตก", A1516&gt;=80, "ภาคใต้")</f>
        <v>ภาคเหนือ</v>
      </c>
      <c r="D1516" s="64">
        <v>5387</v>
      </c>
      <c r="E1516" s="10" t="s">
        <v>1835</v>
      </c>
      <c r="F1516" s="11">
        <v>4488</v>
      </c>
      <c r="G1516" s="11">
        <v>5194</v>
      </c>
      <c r="H1516" s="11">
        <v>9682</v>
      </c>
      <c r="I1516" s="11">
        <v>4296</v>
      </c>
      <c r="J1516" s="66">
        <f t="shared" si="88"/>
        <v>46.354059078702747</v>
      </c>
      <c r="K1516" s="66">
        <f t="shared" si="89"/>
        <v>53.645940921297253</v>
      </c>
    </row>
    <row r="1517" spans="1:11" x14ac:dyDescent="0.3">
      <c r="A1517" s="10">
        <v>53</v>
      </c>
      <c r="B1517" s="10" t="s">
        <v>1815</v>
      </c>
      <c r="C1517" s="10" t="str" cm="1">
        <f t="array" ref="C1517">_xlfn.IFS(A1517&lt;20, "ภาคกลาง", A1517&lt;30, "ภาคตะวันออก", A1517&lt;50, "ภาคตะวันออกเฉียงเหนือ", A1517&lt;60, "ภาคเหนือ", A1517&lt;80, "ภาคกลาง/ตะวันตก", A1517&gt;=80, "ภาคใต้")</f>
        <v>ภาคเหนือ</v>
      </c>
      <c r="D1517" s="64">
        <v>5388</v>
      </c>
      <c r="E1517" s="10" t="s">
        <v>1836</v>
      </c>
      <c r="F1517" s="10">
        <v>790</v>
      </c>
      <c r="G1517" s="10">
        <v>951</v>
      </c>
      <c r="H1517" s="11">
        <v>1741</v>
      </c>
      <c r="I1517" s="11">
        <v>1018</v>
      </c>
      <c r="J1517" s="66">
        <f t="shared" si="88"/>
        <v>45.376220562894886</v>
      </c>
      <c r="K1517" s="66">
        <f t="shared" si="89"/>
        <v>54.623779437105114</v>
      </c>
    </row>
    <row r="1518" spans="1:11" x14ac:dyDescent="0.3">
      <c r="A1518" s="10">
        <v>53</v>
      </c>
      <c r="B1518" s="10" t="s">
        <v>1815</v>
      </c>
      <c r="C1518" s="10" t="str" cm="1">
        <f t="array" ref="C1518">_xlfn.IFS(A1518&lt;20, "ภาคกลาง", A1518&lt;30, "ภาคตะวันออก", A1518&lt;50, "ภาคตะวันออกเฉียงเหนือ", A1518&lt;60, "ภาคเหนือ", A1518&lt;80, "ภาคกลาง/ตะวันตก", A1518&gt;=80, "ภาคใต้")</f>
        <v>ภาคเหนือ</v>
      </c>
      <c r="D1518" s="64">
        <v>5389</v>
      </c>
      <c r="E1518" s="10" t="s">
        <v>1267</v>
      </c>
      <c r="F1518" s="10">
        <v>545</v>
      </c>
      <c r="G1518" s="10">
        <v>623</v>
      </c>
      <c r="H1518" s="11">
        <v>1168</v>
      </c>
      <c r="I1518" s="10">
        <v>592</v>
      </c>
      <c r="J1518" s="66">
        <f t="shared" si="88"/>
        <v>46.660958904109592</v>
      </c>
      <c r="K1518" s="66">
        <f t="shared" si="89"/>
        <v>53.339041095890416</v>
      </c>
    </row>
    <row r="1519" spans="1:11" x14ac:dyDescent="0.3">
      <c r="A1519" s="10">
        <v>53</v>
      </c>
      <c r="B1519" s="10" t="s">
        <v>1815</v>
      </c>
      <c r="C1519" s="10" t="str" cm="1">
        <f t="array" ref="C1519">_xlfn.IFS(A1519&lt;20, "ภาคกลาง", A1519&lt;30, "ภาคตะวันออก", A1519&lt;50, "ภาคตะวันออกเฉียงเหนือ", A1519&lt;60, "ภาคเหนือ", A1519&lt;80, "ภาคกลาง/ตะวันตก", A1519&gt;=80, "ภาคใต้")</f>
        <v>ภาคเหนือ</v>
      </c>
      <c r="D1519" s="64">
        <v>5390</v>
      </c>
      <c r="E1519" s="10" t="s">
        <v>1837</v>
      </c>
      <c r="F1519" s="11">
        <v>1920</v>
      </c>
      <c r="G1519" s="11">
        <v>1910</v>
      </c>
      <c r="H1519" s="11">
        <v>3830</v>
      </c>
      <c r="I1519" s="11">
        <v>1976</v>
      </c>
      <c r="J1519" s="66">
        <f t="shared" si="88"/>
        <v>50.130548302872057</v>
      </c>
      <c r="K1519" s="66">
        <f t="shared" si="89"/>
        <v>49.869451697127936</v>
      </c>
    </row>
    <row r="1520" spans="1:11" x14ac:dyDescent="0.3">
      <c r="A1520" s="10">
        <v>53</v>
      </c>
      <c r="B1520" s="10" t="s">
        <v>1815</v>
      </c>
      <c r="C1520" s="10" t="str" cm="1">
        <f t="array" ref="C1520">_xlfn.IFS(A1520&lt;20, "ภาคกลาง", A1520&lt;30, "ภาคตะวันออก", A1520&lt;50, "ภาคตะวันออกเฉียงเหนือ", A1520&lt;60, "ภาคเหนือ", A1520&lt;80, "ภาคกลาง/ตะวันตก", A1520&gt;=80, "ภาคใต้")</f>
        <v>ภาคเหนือ</v>
      </c>
      <c r="D1520" s="64">
        <v>5391</v>
      </c>
      <c r="E1520" s="10" t="s">
        <v>1838</v>
      </c>
      <c r="F1520" s="10">
        <v>429</v>
      </c>
      <c r="G1520" s="10">
        <v>397</v>
      </c>
      <c r="H1520" s="10">
        <v>826</v>
      </c>
      <c r="I1520" s="10">
        <v>433</v>
      </c>
      <c r="J1520" s="66">
        <f t="shared" si="88"/>
        <v>51.937046004842614</v>
      </c>
      <c r="K1520" s="66">
        <f t="shared" si="89"/>
        <v>48.062953995157386</v>
      </c>
    </row>
    <row r="1521" spans="1:11" x14ac:dyDescent="0.3">
      <c r="A1521" s="10">
        <v>53</v>
      </c>
      <c r="B1521" s="10" t="s">
        <v>1815</v>
      </c>
      <c r="C1521" s="10" t="str" cm="1">
        <f t="array" ref="C1521">_xlfn.IFS(A1521&lt;20, "ภาคกลาง", A1521&lt;30, "ภาคตะวันออก", A1521&lt;50, "ภาคตะวันออกเฉียงเหนือ", A1521&lt;60, "ภาคเหนือ", A1521&lt;80, "ภาคกลาง/ตะวันตก", A1521&gt;=80, "ภาคใต้")</f>
        <v>ภาคเหนือ</v>
      </c>
      <c r="D1521" s="64">
        <v>5392</v>
      </c>
      <c r="E1521" s="10" t="s">
        <v>1839</v>
      </c>
      <c r="F1521" s="11">
        <v>1325</v>
      </c>
      <c r="G1521" s="11">
        <v>1450</v>
      </c>
      <c r="H1521" s="11">
        <v>2775</v>
      </c>
      <c r="I1521" s="11">
        <v>1618</v>
      </c>
      <c r="J1521" s="66">
        <f t="shared" si="88"/>
        <v>47.747747747747752</v>
      </c>
      <c r="K1521" s="66">
        <f t="shared" si="89"/>
        <v>52.252252252252248</v>
      </c>
    </row>
    <row r="1522" spans="1:11" x14ac:dyDescent="0.3">
      <c r="A1522" s="10">
        <v>53</v>
      </c>
      <c r="B1522" s="10" t="s">
        <v>1815</v>
      </c>
      <c r="C1522" s="10" t="str" cm="1">
        <f t="array" ref="C1522">_xlfn.IFS(A1522&lt;20, "ภาคกลาง", A1522&lt;30, "ภาคตะวันออก", A1522&lt;50, "ภาคตะวันออกเฉียงเหนือ", A1522&lt;60, "ภาคเหนือ", A1522&lt;80, "ภาคกลาง/ตะวันตก", A1522&gt;=80, "ภาคใต้")</f>
        <v>ภาคเหนือ</v>
      </c>
      <c r="D1522" s="64">
        <v>5393</v>
      </c>
      <c r="E1522" s="10" t="s">
        <v>1840</v>
      </c>
      <c r="F1522" s="11">
        <v>1560</v>
      </c>
      <c r="G1522" s="11">
        <v>1750</v>
      </c>
      <c r="H1522" s="11">
        <v>3310</v>
      </c>
      <c r="I1522" s="11">
        <v>1242</v>
      </c>
      <c r="J1522" s="66">
        <f t="shared" si="88"/>
        <v>47.129909365558916</v>
      </c>
      <c r="K1522" s="66">
        <f t="shared" si="89"/>
        <v>52.870090634441091</v>
      </c>
    </row>
    <row r="1523" spans="1:11" x14ac:dyDescent="0.3">
      <c r="A1523" s="10">
        <v>53</v>
      </c>
      <c r="B1523" s="10" t="s">
        <v>1815</v>
      </c>
      <c r="C1523" s="10" t="str" cm="1">
        <f t="array" ref="C1523">_xlfn.IFS(A1523&lt;20, "ภาคกลาง", A1523&lt;30, "ภาคตะวันออก", A1523&lt;50, "ภาคตะวันออกเฉียงเหนือ", A1523&lt;60, "ภาคเหนือ", A1523&lt;80, "ภาคกลาง/ตะวันตก", A1523&gt;=80, "ภาคใต้")</f>
        <v>ภาคเหนือ</v>
      </c>
      <c r="D1523" s="64">
        <v>5394</v>
      </c>
      <c r="E1523" s="10" t="s">
        <v>1841</v>
      </c>
      <c r="F1523" s="11">
        <v>1039</v>
      </c>
      <c r="G1523" s="11">
        <v>1141</v>
      </c>
      <c r="H1523" s="11">
        <v>2180</v>
      </c>
      <c r="I1523" s="10">
        <v>993</v>
      </c>
      <c r="J1523" s="66">
        <f t="shared" si="88"/>
        <v>47.660550458715598</v>
      </c>
      <c r="K1523" s="66">
        <f t="shared" si="89"/>
        <v>52.339449541284402</v>
      </c>
    </row>
    <row r="1524" spans="1:11" x14ac:dyDescent="0.3">
      <c r="A1524" s="10">
        <v>53</v>
      </c>
      <c r="B1524" s="10" t="s">
        <v>1815</v>
      </c>
      <c r="C1524" s="10" t="str" cm="1">
        <f t="array" ref="C1524">_xlfn.IFS(A1524&lt;20, "ภาคกลาง", A1524&lt;30, "ภาคตะวันออก", A1524&lt;50, "ภาคตะวันออกเฉียงเหนือ", A1524&lt;60, "ภาคเหนือ", A1524&lt;80, "ภาคกลาง/ตะวันตก", A1524&gt;=80, "ภาคใต้")</f>
        <v>ภาคเหนือ</v>
      </c>
      <c r="D1524" s="64">
        <v>5395</v>
      </c>
      <c r="E1524" s="10" t="s">
        <v>1842</v>
      </c>
      <c r="F1524" s="10">
        <v>996</v>
      </c>
      <c r="G1524" s="11">
        <v>1066</v>
      </c>
      <c r="H1524" s="11">
        <v>2062</v>
      </c>
      <c r="I1524" s="10">
        <v>904</v>
      </c>
      <c r="J1524" s="66">
        <f t="shared" si="88"/>
        <v>48.302618816682831</v>
      </c>
      <c r="K1524" s="66">
        <f t="shared" si="89"/>
        <v>51.697381183317169</v>
      </c>
    </row>
    <row r="1525" spans="1:11" x14ac:dyDescent="0.3">
      <c r="A1525" s="10">
        <v>53</v>
      </c>
      <c r="B1525" s="10" t="s">
        <v>1815</v>
      </c>
      <c r="C1525" s="10" t="str" cm="1">
        <f t="array" ref="C1525">_xlfn.IFS(A1525&lt;20, "ภาคกลาง", A1525&lt;30, "ภาคตะวันออก", A1525&lt;50, "ภาคตะวันออกเฉียงเหนือ", A1525&lt;60, "ภาคเหนือ", A1525&lt;80, "ภาคกลาง/ตะวันตก", A1525&gt;=80, "ภาคใต้")</f>
        <v>ภาคเหนือ</v>
      </c>
      <c r="D1525" s="64">
        <v>5396</v>
      </c>
      <c r="E1525" s="10" t="s">
        <v>1843</v>
      </c>
      <c r="F1525" s="10">
        <v>796</v>
      </c>
      <c r="G1525" s="10">
        <v>872</v>
      </c>
      <c r="H1525" s="11">
        <v>1668</v>
      </c>
      <c r="I1525" s="10">
        <v>706</v>
      </c>
      <c r="J1525" s="66">
        <f t="shared" si="88"/>
        <v>47.721822541966425</v>
      </c>
      <c r="K1525" s="66">
        <f t="shared" si="89"/>
        <v>52.278177458033568</v>
      </c>
    </row>
    <row r="1526" spans="1:11" ht="27.6" x14ac:dyDescent="0.3">
      <c r="A1526" s="10">
        <v>53</v>
      </c>
      <c r="B1526" s="10" t="s">
        <v>1815</v>
      </c>
      <c r="C1526" s="10" t="str" cm="1">
        <f t="array" ref="C1526">_xlfn.IFS(A1526&lt;20, "ภาคกลาง", A1526&lt;30, "ภาคตะวันออก", A1526&lt;50, "ภาคตะวันออกเฉียงเหนือ", A1526&lt;60, "ภาคเหนือ", A1526&lt;80, "ภาคกลาง/ตะวันตก", A1526&gt;=80, "ภาคใต้")</f>
        <v>ภาคเหนือ</v>
      </c>
      <c r="D1526" s="64">
        <v>5397</v>
      </c>
      <c r="E1526" s="10" t="s">
        <v>1844</v>
      </c>
      <c r="F1526" s="11">
        <v>4403</v>
      </c>
      <c r="G1526" s="11">
        <v>4996</v>
      </c>
      <c r="H1526" s="11">
        <v>9399</v>
      </c>
      <c r="I1526" s="11">
        <v>3511</v>
      </c>
      <c r="J1526" s="66">
        <f t="shared" si="88"/>
        <v>46.845409086072983</v>
      </c>
      <c r="K1526" s="66">
        <f t="shared" si="89"/>
        <v>53.154590913927017</v>
      </c>
    </row>
    <row r="1527" spans="1:11" ht="27.6" x14ac:dyDescent="0.3">
      <c r="A1527" s="10">
        <v>53</v>
      </c>
      <c r="B1527" s="10" t="s">
        <v>1815</v>
      </c>
      <c r="C1527" s="10" t="str" cm="1">
        <f t="array" ref="C1527">_xlfn.IFS(A1527&lt;20, "ภาคกลาง", A1527&lt;30, "ภาคตะวันออก", A1527&lt;50, "ภาคตะวันออกเฉียงเหนือ", A1527&lt;60, "ภาคเหนือ", A1527&lt;80, "ภาคกลาง/ตะวันตก", A1527&gt;=80, "ภาคใต้")</f>
        <v>ภาคเหนือ</v>
      </c>
      <c r="D1527" s="64">
        <v>5398</v>
      </c>
      <c r="E1527" s="10" t="s">
        <v>1845</v>
      </c>
      <c r="F1527" s="11">
        <v>1809</v>
      </c>
      <c r="G1527" s="11">
        <v>1929</v>
      </c>
      <c r="H1527" s="11">
        <v>3738</v>
      </c>
      <c r="I1527" s="11">
        <v>1414</v>
      </c>
      <c r="J1527" s="66">
        <f t="shared" si="88"/>
        <v>48.394863563402893</v>
      </c>
      <c r="K1527" s="66">
        <f t="shared" si="89"/>
        <v>51.605136436597107</v>
      </c>
    </row>
    <row r="1528" spans="1:11" x14ac:dyDescent="0.3">
      <c r="A1528" s="10">
        <v>53</v>
      </c>
      <c r="B1528" s="10" t="s">
        <v>1815</v>
      </c>
      <c r="C1528" s="10" t="str" cm="1">
        <f t="array" ref="C1528">_xlfn.IFS(A1528&lt;20, "ภาคกลาง", A1528&lt;30, "ภาคตะวันออก", A1528&lt;50, "ภาคตะวันออกเฉียงเหนือ", A1528&lt;60, "ภาคเหนือ", A1528&lt;80, "ภาคกลาง/ตะวันตก", A1528&gt;=80, "ภาคใต้")</f>
        <v>ภาคเหนือ</v>
      </c>
      <c r="D1528" s="64">
        <v>5399</v>
      </c>
      <c r="E1528" s="10" t="s">
        <v>1846</v>
      </c>
      <c r="F1528" s="11">
        <v>1262</v>
      </c>
      <c r="G1528" s="11">
        <v>1492</v>
      </c>
      <c r="H1528" s="11">
        <v>2754</v>
      </c>
      <c r="I1528" s="11">
        <v>1217</v>
      </c>
      <c r="J1528" s="66">
        <f t="shared" si="88"/>
        <v>45.824255628177198</v>
      </c>
      <c r="K1528" s="66">
        <f t="shared" si="89"/>
        <v>54.175744371822802</v>
      </c>
    </row>
    <row r="1529" spans="1:11" hidden="1" x14ac:dyDescent="0.3">
      <c r="A1529" s="10">
        <v>53</v>
      </c>
      <c r="B1529" s="10" t="s">
        <v>1815</v>
      </c>
      <c r="C1529" s="10" t="str" cm="1">
        <f t="array" ref="C1529">_xlfn.IFS(A1529&lt;20, "ภาคกลาง", A1529&lt;30, "ภาคตะวันออก", A1529&lt;50, "ภาคตะวันออกเฉียงเหนือ", A1529&lt;60, "ภาคเหนือ", A1529&lt;80, "ภาคกลาง/ตะวันตก", A1529&gt;=80, "ภาคใต้")</f>
        <v>ภาคเหนือ</v>
      </c>
      <c r="D1529" s="10">
        <v>0</v>
      </c>
      <c r="E1529" s="10" t="s">
        <v>343</v>
      </c>
      <c r="F1529" s="11">
        <v>12718</v>
      </c>
      <c r="G1529" s="11">
        <v>15097</v>
      </c>
      <c r="H1529" s="11">
        <v>27815</v>
      </c>
      <c r="I1529" s="11">
        <v>15150</v>
      </c>
      <c r="J1529"/>
      <c r="K1529"/>
    </row>
    <row r="1530" spans="1:11" x14ac:dyDescent="0.3">
      <c r="A1530" s="10">
        <v>54</v>
      </c>
      <c r="B1530" s="10" t="s">
        <v>1847</v>
      </c>
      <c r="C1530" s="10" t="str" cm="1">
        <f t="array" ref="C1530">_xlfn.IFS(A1530&lt;20, "ภาคกลาง", A1530&lt;30, "ภาคตะวันออก", A1530&lt;50, "ภาคตะวันออกเฉียงเหนือ", A1530&lt;60, "ภาคเหนือ", A1530&lt;80, "ภาคกลาง/ตะวันตก", A1530&gt;=80, "ภาคใต้")</f>
        <v>ภาคเหนือ</v>
      </c>
      <c r="D1530" s="64">
        <v>5401</v>
      </c>
      <c r="E1530" s="10" t="s">
        <v>1848</v>
      </c>
      <c r="F1530" s="11">
        <v>202378</v>
      </c>
      <c r="G1530" s="11">
        <v>219367</v>
      </c>
      <c r="H1530" s="11">
        <v>421745</v>
      </c>
      <c r="I1530" s="11">
        <v>185874</v>
      </c>
      <c r="J1530" s="66">
        <f t="shared" ref="J1530:J1555" si="90">F1530/H1530*100</f>
        <v>47.985868237916272</v>
      </c>
      <c r="K1530" s="66">
        <f t="shared" ref="K1530:K1555" si="91">G1530/H1530*100</f>
        <v>52.014131762083728</v>
      </c>
    </row>
    <row r="1531" spans="1:11" x14ac:dyDescent="0.3">
      <c r="A1531" s="10">
        <v>54</v>
      </c>
      <c r="B1531" s="10" t="s">
        <v>1847</v>
      </c>
      <c r="C1531" s="10" t="str" cm="1">
        <f t="array" ref="C1531">_xlfn.IFS(A1531&lt;20, "ภาคกลาง", A1531&lt;30, "ภาคตะวันออก", A1531&lt;50, "ภาคตะวันออกเฉียงเหนือ", A1531&lt;60, "ภาคเหนือ", A1531&lt;80, "ภาคกลาง/ตะวันตก", A1531&gt;=80, "ภาคใต้")</f>
        <v>ภาคเหนือ</v>
      </c>
      <c r="D1531" s="64">
        <v>5402</v>
      </c>
      <c r="E1531" s="10" t="s">
        <v>1849</v>
      </c>
      <c r="F1531" s="11">
        <v>28699</v>
      </c>
      <c r="G1531" s="11">
        <v>32615</v>
      </c>
      <c r="H1531" s="11">
        <v>61314</v>
      </c>
      <c r="I1531" s="11">
        <v>28617</v>
      </c>
      <c r="J1531" s="66">
        <f t="shared" si="90"/>
        <v>46.80660208109078</v>
      </c>
      <c r="K1531" s="66">
        <f t="shared" si="91"/>
        <v>53.193397918909227</v>
      </c>
    </row>
    <row r="1532" spans="1:11" x14ac:dyDescent="0.3">
      <c r="A1532" s="10">
        <v>54</v>
      </c>
      <c r="B1532" s="10" t="s">
        <v>1847</v>
      </c>
      <c r="C1532" s="10" t="str" cm="1">
        <f t="array" ref="C1532">_xlfn.IFS(A1532&lt;20, "ภาคกลาง", A1532&lt;30, "ภาคตะวันออก", A1532&lt;50, "ภาคตะวันออกเฉียงเหนือ", A1532&lt;60, "ภาคเหนือ", A1532&lt;80, "ภาคกลาง/ตะวันตก", A1532&gt;=80, "ภาคใต้")</f>
        <v>ภาคเหนือ</v>
      </c>
      <c r="D1532" s="64">
        <v>5403</v>
      </c>
      <c r="E1532" s="10" t="s">
        <v>1850</v>
      </c>
      <c r="F1532" s="11">
        <v>16518</v>
      </c>
      <c r="G1532" s="11">
        <v>17855</v>
      </c>
      <c r="H1532" s="11">
        <v>34373</v>
      </c>
      <c r="I1532" s="11">
        <v>13142</v>
      </c>
      <c r="J1532" s="66">
        <f t="shared" si="90"/>
        <v>48.055159572920608</v>
      </c>
      <c r="K1532" s="66">
        <f t="shared" si="91"/>
        <v>51.944840427079399</v>
      </c>
    </row>
    <row r="1533" spans="1:11" x14ac:dyDescent="0.3">
      <c r="A1533" s="10">
        <v>54</v>
      </c>
      <c r="B1533" s="10" t="s">
        <v>1847</v>
      </c>
      <c r="C1533" s="10" t="str" cm="1">
        <f t="array" ref="C1533">_xlfn.IFS(A1533&lt;20, "ภาคกลาง", A1533&lt;30, "ภาคตะวันออก", A1533&lt;50, "ภาคตะวันออกเฉียงเหนือ", A1533&lt;60, "ภาคเหนือ", A1533&lt;80, "ภาคกลาง/ตะวันตก", A1533&gt;=80, "ภาคใต้")</f>
        <v>ภาคเหนือ</v>
      </c>
      <c r="D1533" s="64">
        <v>5404</v>
      </c>
      <c r="E1533" s="10" t="s">
        <v>1851</v>
      </c>
      <c r="F1533" s="11">
        <v>14713</v>
      </c>
      <c r="G1533" s="11">
        <v>14999</v>
      </c>
      <c r="H1533" s="11">
        <v>29712</v>
      </c>
      <c r="I1533" s="11">
        <v>11762</v>
      </c>
      <c r="J1533" s="66">
        <f t="shared" si="90"/>
        <v>49.518712977921382</v>
      </c>
      <c r="K1533" s="66">
        <f t="shared" si="91"/>
        <v>50.481287022078625</v>
      </c>
    </row>
    <row r="1534" spans="1:11" x14ac:dyDescent="0.3">
      <c r="A1534" s="10">
        <v>54</v>
      </c>
      <c r="B1534" s="10" t="s">
        <v>1847</v>
      </c>
      <c r="C1534" s="10" t="str" cm="1">
        <f t="array" ref="C1534">_xlfn.IFS(A1534&lt;20, "ภาคกลาง", A1534&lt;30, "ภาคตะวันออก", A1534&lt;50, "ภาคตะวันออกเฉียงเหนือ", A1534&lt;60, "ภาคเหนือ", A1534&lt;80, "ภาคกลาง/ตะวันตก", A1534&gt;=80, "ภาคใต้")</f>
        <v>ภาคเหนือ</v>
      </c>
      <c r="D1534" s="64">
        <v>5405</v>
      </c>
      <c r="E1534" s="10" t="s">
        <v>1852</v>
      </c>
      <c r="F1534" s="11">
        <v>31494</v>
      </c>
      <c r="G1534" s="11">
        <v>34969</v>
      </c>
      <c r="H1534" s="11">
        <v>66463</v>
      </c>
      <c r="I1534" s="11">
        <v>28710</v>
      </c>
      <c r="J1534" s="66">
        <f t="shared" si="90"/>
        <v>47.385763507515463</v>
      </c>
      <c r="K1534" s="66">
        <f t="shared" si="91"/>
        <v>52.614236492484544</v>
      </c>
    </row>
    <row r="1535" spans="1:11" x14ac:dyDescent="0.3">
      <c r="A1535" s="10">
        <v>54</v>
      </c>
      <c r="B1535" s="10" t="s">
        <v>1847</v>
      </c>
      <c r="C1535" s="10" t="str" cm="1">
        <f t="array" ref="C1535">_xlfn.IFS(A1535&lt;20, "ภาคกลาง", A1535&lt;30, "ภาคตะวันออก", A1535&lt;50, "ภาคตะวันออกเฉียงเหนือ", A1535&lt;60, "ภาคเหนือ", A1535&lt;80, "ภาคกลาง/ตะวันตก", A1535&gt;=80, "ภาคใต้")</f>
        <v>ภาคเหนือ</v>
      </c>
      <c r="D1535" s="64">
        <v>5406</v>
      </c>
      <c r="E1535" s="10" t="s">
        <v>1853</v>
      </c>
      <c r="F1535" s="11">
        <v>9912</v>
      </c>
      <c r="G1535" s="11">
        <v>9446</v>
      </c>
      <c r="H1535" s="11">
        <v>19358</v>
      </c>
      <c r="I1535" s="11">
        <v>8691</v>
      </c>
      <c r="J1535" s="66">
        <f t="shared" si="90"/>
        <v>51.20363673933258</v>
      </c>
      <c r="K1535" s="66">
        <f t="shared" si="91"/>
        <v>48.796363260667427</v>
      </c>
    </row>
    <row r="1536" spans="1:11" x14ac:dyDescent="0.3">
      <c r="A1536" s="10">
        <v>54</v>
      </c>
      <c r="B1536" s="10" t="s">
        <v>1847</v>
      </c>
      <c r="C1536" s="10" t="str" cm="1">
        <f t="array" ref="C1536">_xlfn.IFS(A1536&lt;20, "ภาคกลาง", A1536&lt;30, "ภาคตะวันออก", A1536&lt;50, "ภาคตะวันออกเฉียงเหนือ", A1536&lt;60, "ภาคเหนือ", A1536&lt;80, "ภาคกลาง/ตะวันตก", A1536&gt;=80, "ภาคใต้")</f>
        <v>ภาคเหนือ</v>
      </c>
      <c r="D1536" s="64">
        <v>5407</v>
      </c>
      <c r="E1536" s="10" t="s">
        <v>1854</v>
      </c>
      <c r="F1536" s="11">
        <v>19928</v>
      </c>
      <c r="G1536" s="11">
        <v>20891</v>
      </c>
      <c r="H1536" s="11">
        <v>40819</v>
      </c>
      <c r="I1536" s="11">
        <v>16762</v>
      </c>
      <c r="J1536" s="66">
        <f t="shared" si="90"/>
        <v>48.820402263651729</v>
      </c>
      <c r="K1536" s="66">
        <f t="shared" si="91"/>
        <v>51.179597736348271</v>
      </c>
    </row>
    <row r="1537" spans="1:11" x14ac:dyDescent="0.3">
      <c r="A1537" s="10">
        <v>54</v>
      </c>
      <c r="B1537" s="10" t="s">
        <v>1847</v>
      </c>
      <c r="C1537" s="10" t="str" cm="1">
        <f t="array" ref="C1537">_xlfn.IFS(A1537&lt;20, "ภาคกลาง", A1537&lt;30, "ภาคตะวันออก", A1537&lt;50, "ภาคตะวันออกเฉียงเหนือ", A1537&lt;60, "ภาคเหนือ", A1537&lt;80, "ภาคกลาง/ตะวันตก", A1537&gt;=80, "ภาคใต้")</f>
        <v>ภาคเหนือ</v>
      </c>
      <c r="D1537" s="64">
        <v>5408</v>
      </c>
      <c r="E1537" s="10" t="s">
        <v>1855</v>
      </c>
      <c r="F1537" s="11">
        <v>20605</v>
      </c>
      <c r="G1537" s="11">
        <v>20790</v>
      </c>
      <c r="H1537" s="11">
        <v>41395</v>
      </c>
      <c r="I1537" s="11">
        <v>15835</v>
      </c>
      <c r="J1537" s="66">
        <f t="shared" si="90"/>
        <v>49.776543060756126</v>
      </c>
      <c r="K1537" s="66">
        <f t="shared" si="91"/>
        <v>50.223456939243874</v>
      </c>
    </row>
    <row r="1538" spans="1:11" ht="27.6" x14ac:dyDescent="0.3">
      <c r="A1538" s="10">
        <v>54</v>
      </c>
      <c r="B1538" s="10" t="s">
        <v>1847</v>
      </c>
      <c r="C1538" s="10" t="str" cm="1">
        <f t="array" ref="C1538">_xlfn.IFS(A1538&lt;20, "ภาคกลาง", A1538&lt;30, "ภาคตะวันออก", A1538&lt;50, "ภาคตะวันออกเฉียงเหนือ", A1538&lt;60, "ภาคเหนือ", A1538&lt;80, "ภาคกลาง/ตะวันตก", A1538&gt;=80, "ภาคใต้")</f>
        <v>ภาคเหนือ</v>
      </c>
      <c r="D1538" s="64">
        <v>5482</v>
      </c>
      <c r="E1538" s="10" t="s">
        <v>1856</v>
      </c>
      <c r="F1538" s="11">
        <v>5656</v>
      </c>
      <c r="G1538" s="11">
        <v>6514</v>
      </c>
      <c r="H1538" s="11">
        <v>12170</v>
      </c>
      <c r="I1538" s="11">
        <v>5136</v>
      </c>
      <c r="J1538" s="66">
        <f t="shared" si="90"/>
        <v>46.474938373048481</v>
      </c>
      <c r="K1538" s="66">
        <f t="shared" si="91"/>
        <v>53.525061626951519</v>
      </c>
    </row>
    <row r="1539" spans="1:11" x14ac:dyDescent="0.3">
      <c r="A1539" s="10">
        <v>54</v>
      </c>
      <c r="B1539" s="10" t="s">
        <v>1847</v>
      </c>
      <c r="C1539" s="10" t="str" cm="1">
        <f t="array" ref="C1539">_xlfn.IFS(A1539&lt;20, "ภาคกลาง", A1539&lt;30, "ภาคตะวันออก", A1539&lt;50, "ภาคตะวันออกเฉียงเหนือ", A1539&lt;60, "ภาคเหนือ", A1539&lt;80, "ภาคกลาง/ตะวันตก", A1539&gt;=80, "ภาคใต้")</f>
        <v>ภาคเหนือ</v>
      </c>
      <c r="D1539" s="64">
        <v>5483</v>
      </c>
      <c r="E1539" s="10" t="s">
        <v>1857</v>
      </c>
      <c r="F1539" s="11">
        <v>3117</v>
      </c>
      <c r="G1539" s="11">
        <v>3277</v>
      </c>
      <c r="H1539" s="11">
        <v>6394</v>
      </c>
      <c r="I1539" s="11">
        <v>2771</v>
      </c>
      <c r="J1539" s="66">
        <f t="shared" si="90"/>
        <v>48.748827025336254</v>
      </c>
      <c r="K1539" s="66">
        <f t="shared" si="91"/>
        <v>51.251172974663753</v>
      </c>
    </row>
    <row r="1540" spans="1:11" x14ac:dyDescent="0.3">
      <c r="A1540" s="10">
        <v>54</v>
      </c>
      <c r="B1540" s="10" t="s">
        <v>1847</v>
      </c>
      <c r="C1540" s="10" t="str" cm="1">
        <f t="array" ref="C1540">_xlfn.IFS(A1540&lt;20, "ภาคกลาง", A1540&lt;30, "ภาคตะวันออก", A1540&lt;50, "ภาคตะวันออกเฉียงเหนือ", A1540&lt;60, "ภาคเหนือ", A1540&lt;80, "ภาคกลาง/ตะวันตก", A1540&gt;=80, "ภาคใต้")</f>
        <v>ภาคเหนือ</v>
      </c>
      <c r="D1540" s="64">
        <v>5484</v>
      </c>
      <c r="E1540" s="10" t="s">
        <v>1858</v>
      </c>
      <c r="F1540" s="11">
        <v>1403</v>
      </c>
      <c r="G1540" s="11">
        <v>1400</v>
      </c>
      <c r="H1540" s="11">
        <v>2803</v>
      </c>
      <c r="I1540" s="11">
        <v>1173</v>
      </c>
      <c r="J1540" s="66">
        <f t="shared" si="90"/>
        <v>50.053514092044239</v>
      </c>
      <c r="K1540" s="66">
        <f t="shared" si="91"/>
        <v>49.946485907955761</v>
      </c>
    </row>
    <row r="1541" spans="1:11" x14ac:dyDescent="0.3">
      <c r="A1541" s="10">
        <v>54</v>
      </c>
      <c r="B1541" s="10" t="s">
        <v>1847</v>
      </c>
      <c r="C1541" s="10" t="str" cm="1">
        <f t="array" ref="C1541">_xlfn.IFS(A1541&lt;20, "ภาคกลาง", A1541&lt;30, "ภาคตะวันออก", A1541&lt;50, "ภาคตะวันออกเฉียงเหนือ", A1541&lt;60, "ภาคเหนือ", A1541&lt;80, "ภาคกลาง/ตะวันตก", A1541&gt;=80, "ภาคใต้")</f>
        <v>ภาคเหนือ</v>
      </c>
      <c r="D1541" s="64">
        <v>5485</v>
      </c>
      <c r="E1541" s="10" t="s">
        <v>1859</v>
      </c>
      <c r="F1541" s="11">
        <v>3066</v>
      </c>
      <c r="G1541" s="11">
        <v>3034</v>
      </c>
      <c r="H1541" s="11">
        <v>6100</v>
      </c>
      <c r="I1541" s="11">
        <v>2509</v>
      </c>
      <c r="J1541" s="66">
        <f t="shared" si="90"/>
        <v>50.26229508196721</v>
      </c>
      <c r="K1541" s="66">
        <f t="shared" si="91"/>
        <v>49.73770491803279</v>
      </c>
    </row>
    <row r="1542" spans="1:11" x14ac:dyDescent="0.3">
      <c r="A1542" s="10">
        <v>54</v>
      </c>
      <c r="B1542" s="10" t="s">
        <v>1847</v>
      </c>
      <c r="C1542" s="10" t="str" cm="1">
        <f t="array" ref="C1542">_xlfn.IFS(A1542&lt;20, "ภาคกลาง", A1542&lt;30, "ภาคตะวันออก", A1542&lt;50, "ภาคตะวันออกเฉียงเหนือ", A1542&lt;60, "ภาคเหนือ", A1542&lt;80, "ภาคกลาง/ตะวันตก", A1542&gt;=80, "ภาคใต้")</f>
        <v>ภาคเหนือ</v>
      </c>
      <c r="D1542" s="64">
        <v>5486</v>
      </c>
      <c r="E1542" s="10" t="s">
        <v>1860</v>
      </c>
      <c r="F1542" s="11">
        <v>5522</v>
      </c>
      <c r="G1542" s="11">
        <v>6348</v>
      </c>
      <c r="H1542" s="11">
        <v>11870</v>
      </c>
      <c r="I1542" s="11">
        <v>5180</v>
      </c>
      <c r="J1542" s="66">
        <f t="shared" si="90"/>
        <v>46.52064026958719</v>
      </c>
      <c r="K1542" s="66">
        <f t="shared" si="91"/>
        <v>53.479359730412803</v>
      </c>
    </row>
    <row r="1543" spans="1:11" ht="27.6" x14ac:dyDescent="0.3">
      <c r="A1543" s="10">
        <v>54</v>
      </c>
      <c r="B1543" s="10" t="s">
        <v>1847</v>
      </c>
      <c r="C1543" s="10" t="str" cm="1">
        <f t="array" ref="C1543">_xlfn.IFS(A1543&lt;20, "ภาคกลาง", A1543&lt;30, "ภาคตะวันออก", A1543&lt;50, "ภาคตะวันออกเฉียงเหนือ", A1543&lt;60, "ภาคเหนือ", A1543&lt;80, "ภาคกลาง/ตะวันตก", A1543&gt;=80, "ภาคใต้")</f>
        <v>ภาคเหนือ</v>
      </c>
      <c r="D1543" s="64">
        <v>5487</v>
      </c>
      <c r="E1543" s="10" t="s">
        <v>1861</v>
      </c>
      <c r="F1543" s="11">
        <v>3376</v>
      </c>
      <c r="G1543" s="11">
        <v>3568</v>
      </c>
      <c r="H1543" s="11">
        <v>6944</v>
      </c>
      <c r="I1543" s="11">
        <v>2781</v>
      </c>
      <c r="J1543" s="66">
        <f t="shared" si="90"/>
        <v>48.617511520737331</v>
      </c>
      <c r="K1543" s="66">
        <f t="shared" si="91"/>
        <v>51.382488479262676</v>
      </c>
    </row>
    <row r="1544" spans="1:11" x14ac:dyDescent="0.3">
      <c r="A1544" s="10">
        <v>54</v>
      </c>
      <c r="B1544" s="10" t="s">
        <v>1847</v>
      </c>
      <c r="C1544" s="10" t="str" cm="1">
        <f t="array" ref="C1544">_xlfn.IFS(A1544&lt;20, "ภาคกลาง", A1544&lt;30, "ภาคตะวันออก", A1544&lt;50, "ภาคตะวันออกเฉียงเหนือ", A1544&lt;60, "ภาคเหนือ", A1544&lt;80, "ภาคกลาง/ตะวันตก", A1544&gt;=80, "ภาคใต้")</f>
        <v>ภาคเหนือ</v>
      </c>
      <c r="D1544" s="64">
        <v>5488</v>
      </c>
      <c r="E1544" s="10" t="s">
        <v>1862</v>
      </c>
      <c r="F1544" s="11">
        <v>1954</v>
      </c>
      <c r="G1544" s="11">
        <v>2280</v>
      </c>
      <c r="H1544" s="11">
        <v>4234</v>
      </c>
      <c r="I1544" s="11">
        <v>1934</v>
      </c>
      <c r="J1544" s="66">
        <f t="shared" si="90"/>
        <v>46.150212564950401</v>
      </c>
      <c r="K1544" s="66">
        <f t="shared" si="91"/>
        <v>53.849787435049599</v>
      </c>
    </row>
    <row r="1545" spans="1:11" x14ac:dyDescent="0.3">
      <c r="A1545" s="10">
        <v>54</v>
      </c>
      <c r="B1545" s="10" t="s">
        <v>1847</v>
      </c>
      <c r="C1545" s="10" t="str" cm="1">
        <f t="array" ref="C1545">_xlfn.IFS(A1545&lt;20, "ภาคกลาง", A1545&lt;30, "ภาคตะวันออก", A1545&lt;50, "ภาคตะวันออกเฉียงเหนือ", A1545&lt;60, "ภาคเหนือ", A1545&lt;80, "ภาคกลาง/ตะวันตก", A1545&gt;=80, "ภาคใต้")</f>
        <v>ภาคเหนือ</v>
      </c>
      <c r="D1545" s="64">
        <v>5489</v>
      </c>
      <c r="E1545" s="10" t="s">
        <v>1863</v>
      </c>
      <c r="F1545" s="11">
        <v>1339</v>
      </c>
      <c r="G1545" s="11">
        <v>1418</v>
      </c>
      <c r="H1545" s="11">
        <v>2757</v>
      </c>
      <c r="I1545" s="11">
        <v>1475</v>
      </c>
      <c r="J1545" s="66">
        <f t="shared" si="90"/>
        <v>48.567283278926368</v>
      </c>
      <c r="K1545" s="66">
        <f t="shared" si="91"/>
        <v>51.432716721073632</v>
      </c>
    </row>
    <row r="1546" spans="1:11" x14ac:dyDescent="0.3">
      <c r="A1546" s="10">
        <v>54</v>
      </c>
      <c r="B1546" s="10" t="s">
        <v>1847</v>
      </c>
      <c r="C1546" s="10" t="str" cm="1">
        <f t="array" ref="C1546">_xlfn.IFS(A1546&lt;20, "ภาคกลาง", A1546&lt;30, "ภาคตะวันออก", A1546&lt;50, "ภาคตะวันออกเฉียงเหนือ", A1546&lt;60, "ภาคเหนือ", A1546&lt;80, "ภาคกลาง/ตะวันตก", A1546&gt;=80, "ภาคใต้")</f>
        <v>ภาคเหนือ</v>
      </c>
      <c r="D1546" s="64">
        <v>5490</v>
      </c>
      <c r="E1546" s="10" t="s">
        <v>1864</v>
      </c>
      <c r="F1546" s="11">
        <v>2840</v>
      </c>
      <c r="G1546" s="11">
        <v>3394</v>
      </c>
      <c r="H1546" s="11">
        <v>6234</v>
      </c>
      <c r="I1546" s="11">
        <v>3181</v>
      </c>
      <c r="J1546" s="66">
        <f t="shared" si="90"/>
        <v>45.556624959897334</v>
      </c>
      <c r="K1546" s="66">
        <f t="shared" si="91"/>
        <v>54.443375040102659</v>
      </c>
    </row>
    <row r="1547" spans="1:11" x14ac:dyDescent="0.3">
      <c r="A1547" s="10">
        <v>54</v>
      </c>
      <c r="B1547" s="10" t="s">
        <v>1847</v>
      </c>
      <c r="C1547" s="10" t="str" cm="1">
        <f t="array" ref="C1547">_xlfn.IFS(A1547&lt;20, "ภาคกลาง", A1547&lt;30, "ภาคตะวันออก", A1547&lt;50, "ภาคตะวันออกเฉียงเหนือ", A1547&lt;60, "ภาคเหนือ", A1547&lt;80, "ภาคกลาง/ตะวันตก", A1547&gt;=80, "ภาคใต้")</f>
        <v>ภาคเหนือ</v>
      </c>
      <c r="D1547" s="64">
        <v>5491</v>
      </c>
      <c r="E1547" s="10" t="s">
        <v>1865</v>
      </c>
      <c r="F1547" s="11">
        <v>1725</v>
      </c>
      <c r="G1547" s="11">
        <v>1890</v>
      </c>
      <c r="H1547" s="11">
        <v>3615</v>
      </c>
      <c r="I1547" s="11">
        <v>1605</v>
      </c>
      <c r="J1547" s="66">
        <f t="shared" si="90"/>
        <v>47.717842323651453</v>
      </c>
      <c r="K1547" s="66">
        <f t="shared" si="91"/>
        <v>52.282157676348554</v>
      </c>
    </row>
    <row r="1548" spans="1:11" x14ac:dyDescent="0.3">
      <c r="A1548" s="10">
        <v>54</v>
      </c>
      <c r="B1548" s="10" t="s">
        <v>1847</v>
      </c>
      <c r="C1548" s="10" t="str" cm="1">
        <f t="array" ref="C1548">_xlfn.IFS(A1548&lt;20, "ภาคกลาง", A1548&lt;30, "ภาคตะวันออก", A1548&lt;50, "ภาคตะวันออกเฉียงเหนือ", A1548&lt;60, "ภาคเหนือ", A1548&lt;80, "ภาคกลาง/ตะวันตก", A1548&gt;=80, "ภาคใต้")</f>
        <v>ภาคเหนือ</v>
      </c>
      <c r="D1548" s="64">
        <v>5492</v>
      </c>
      <c r="E1548" s="10" t="s">
        <v>1866</v>
      </c>
      <c r="F1548" s="11">
        <v>4950</v>
      </c>
      <c r="G1548" s="11">
        <v>5509</v>
      </c>
      <c r="H1548" s="11">
        <v>10459</v>
      </c>
      <c r="I1548" s="11">
        <v>5316</v>
      </c>
      <c r="J1548" s="66">
        <f t="shared" si="90"/>
        <v>47.327660388182423</v>
      </c>
      <c r="K1548" s="66">
        <f t="shared" si="91"/>
        <v>52.672339611817577</v>
      </c>
    </row>
    <row r="1549" spans="1:11" x14ac:dyDescent="0.3">
      <c r="A1549" s="10">
        <v>54</v>
      </c>
      <c r="B1549" s="10" t="s">
        <v>1847</v>
      </c>
      <c r="C1549" s="10" t="str" cm="1">
        <f t="array" ref="C1549">_xlfn.IFS(A1549&lt;20, "ภาคกลาง", A1549&lt;30, "ภาคตะวันออก", A1549&lt;50, "ภาคตะวันออกเฉียงเหนือ", A1549&lt;60, "ภาคเหนือ", A1549&lt;80, "ภาคกลาง/ตะวันตก", A1549&gt;=80, "ภาคใต้")</f>
        <v>ภาคเหนือ</v>
      </c>
      <c r="D1549" s="64">
        <v>5493</v>
      </c>
      <c r="E1549" s="10" t="s">
        <v>1867</v>
      </c>
      <c r="F1549" s="11">
        <v>1650</v>
      </c>
      <c r="G1549" s="11">
        <v>1896</v>
      </c>
      <c r="H1549" s="11">
        <v>3546</v>
      </c>
      <c r="I1549" s="11">
        <v>1967</v>
      </c>
      <c r="J1549" s="66">
        <f t="shared" si="90"/>
        <v>46.531302876480538</v>
      </c>
      <c r="K1549" s="66">
        <f t="shared" si="91"/>
        <v>53.468697123519462</v>
      </c>
    </row>
    <row r="1550" spans="1:11" x14ac:dyDescent="0.3">
      <c r="A1550" s="10">
        <v>54</v>
      </c>
      <c r="B1550" s="10" t="s">
        <v>1847</v>
      </c>
      <c r="C1550" s="10" t="str" cm="1">
        <f t="array" ref="C1550">_xlfn.IFS(A1550&lt;20, "ภาคกลาง", A1550&lt;30, "ภาคตะวันออก", A1550&lt;50, "ภาคตะวันออกเฉียงเหนือ", A1550&lt;60, "ภาคเหนือ", A1550&lt;80, "ภาคกลาง/ตะวันตก", A1550&gt;=80, "ภาคใต้")</f>
        <v>ภาคเหนือ</v>
      </c>
      <c r="D1550" s="64">
        <v>5494</v>
      </c>
      <c r="E1550" s="10" t="s">
        <v>1868</v>
      </c>
      <c r="F1550" s="11">
        <v>2156</v>
      </c>
      <c r="G1550" s="11">
        <v>2440</v>
      </c>
      <c r="H1550" s="11">
        <v>4596</v>
      </c>
      <c r="I1550" s="11">
        <v>2259</v>
      </c>
      <c r="J1550" s="66">
        <f t="shared" si="90"/>
        <v>46.910356832027851</v>
      </c>
      <c r="K1550" s="66">
        <f t="shared" si="91"/>
        <v>53.089643167972142</v>
      </c>
    </row>
    <row r="1551" spans="1:11" x14ac:dyDescent="0.3">
      <c r="A1551" s="10">
        <v>54</v>
      </c>
      <c r="B1551" s="10" t="s">
        <v>1847</v>
      </c>
      <c r="C1551" s="10" t="str" cm="1">
        <f t="array" ref="C1551">_xlfn.IFS(A1551&lt;20, "ภาคกลาง", A1551&lt;30, "ภาคตะวันออก", A1551&lt;50, "ภาคตะวันออกเฉียงเหนือ", A1551&lt;60, "ภาคเหนือ", A1551&lt;80, "ภาคกลาง/ตะวันตก", A1551&gt;=80, "ภาคใต้")</f>
        <v>ภาคเหนือ</v>
      </c>
      <c r="D1551" s="64">
        <v>5495</v>
      </c>
      <c r="E1551" s="10" t="s">
        <v>1869</v>
      </c>
      <c r="F1551" s="10">
        <v>978</v>
      </c>
      <c r="G1551" s="11">
        <v>1159</v>
      </c>
      <c r="H1551" s="11">
        <v>2137</v>
      </c>
      <c r="I1551" s="10">
        <v>834</v>
      </c>
      <c r="J1551" s="66">
        <f t="shared" si="90"/>
        <v>45.765091249415072</v>
      </c>
      <c r="K1551" s="66">
        <f t="shared" si="91"/>
        <v>54.234908750584928</v>
      </c>
    </row>
    <row r="1552" spans="1:11" x14ac:dyDescent="0.3">
      <c r="A1552" s="10">
        <v>54</v>
      </c>
      <c r="B1552" s="10" t="s">
        <v>1847</v>
      </c>
      <c r="C1552" s="10" t="str" cm="1">
        <f t="array" ref="C1552">_xlfn.IFS(A1552&lt;20, "ภาคกลาง", A1552&lt;30, "ภาคตะวันออก", A1552&lt;50, "ภาคตะวันออกเฉียงเหนือ", A1552&lt;60, "ภาคเหนือ", A1552&lt;80, "ภาคกลาง/ตะวันตก", A1552&gt;=80, "ภาคใต้")</f>
        <v>ภาคเหนือ</v>
      </c>
      <c r="D1552" s="64">
        <v>5496</v>
      </c>
      <c r="E1552" s="10" t="s">
        <v>1870</v>
      </c>
      <c r="F1552" s="11">
        <v>5619</v>
      </c>
      <c r="G1552" s="11">
        <v>6310</v>
      </c>
      <c r="H1552" s="11">
        <v>11929</v>
      </c>
      <c r="I1552" s="11">
        <v>6164</v>
      </c>
      <c r="J1552" s="66">
        <f t="shared" si="90"/>
        <v>47.103696873166236</v>
      </c>
      <c r="K1552" s="66">
        <f t="shared" si="91"/>
        <v>52.896303126833764</v>
      </c>
    </row>
    <row r="1553" spans="1:11" x14ac:dyDescent="0.3">
      <c r="A1553" s="10">
        <v>54</v>
      </c>
      <c r="B1553" s="10" t="s">
        <v>1847</v>
      </c>
      <c r="C1553" s="10" t="str" cm="1">
        <f t="array" ref="C1553">_xlfn.IFS(A1553&lt;20, "ภาคกลาง", A1553&lt;30, "ภาคตะวันออก", A1553&lt;50, "ภาคตะวันออกเฉียงเหนือ", A1553&lt;60, "ภาคเหนือ", A1553&lt;80, "ภาคกลาง/ตะวันตก", A1553&gt;=80, "ภาคใต้")</f>
        <v>ภาคเหนือ</v>
      </c>
      <c r="D1553" s="64">
        <v>5497</v>
      </c>
      <c r="E1553" s="10" t="s">
        <v>1871</v>
      </c>
      <c r="F1553" s="11">
        <v>1940</v>
      </c>
      <c r="G1553" s="11">
        <v>2299</v>
      </c>
      <c r="H1553" s="11">
        <v>4239</v>
      </c>
      <c r="I1553" s="11">
        <v>2062</v>
      </c>
      <c r="J1553" s="66">
        <f t="shared" si="90"/>
        <v>45.765510733663604</v>
      </c>
      <c r="K1553" s="66">
        <f t="shared" si="91"/>
        <v>54.234489266336404</v>
      </c>
    </row>
    <row r="1554" spans="1:11" x14ac:dyDescent="0.3">
      <c r="A1554" s="10">
        <v>54</v>
      </c>
      <c r="B1554" s="10" t="s">
        <v>1847</v>
      </c>
      <c r="C1554" s="10" t="str" cm="1">
        <f t="array" ref="C1554">_xlfn.IFS(A1554&lt;20, "ภาคกลาง", A1554&lt;30, "ภาคตะวันออก", A1554&lt;50, "ภาคตะวันออกเฉียงเหนือ", A1554&lt;60, "ภาคเหนือ", A1554&lt;80, "ภาคกลาง/ตะวันตก", A1554&gt;=80, "ภาคใต้")</f>
        <v>ภาคเหนือ</v>
      </c>
      <c r="D1554" s="64">
        <v>5498</v>
      </c>
      <c r="E1554" s="10" t="s">
        <v>1872</v>
      </c>
      <c r="F1554" s="11">
        <v>2812</v>
      </c>
      <c r="G1554" s="11">
        <v>3255</v>
      </c>
      <c r="H1554" s="11">
        <v>6067</v>
      </c>
      <c r="I1554" s="11">
        <v>3322</v>
      </c>
      <c r="J1554" s="66">
        <f t="shared" si="90"/>
        <v>46.349101697708917</v>
      </c>
      <c r="K1554" s="66">
        <f t="shared" si="91"/>
        <v>53.650898302291083</v>
      </c>
    </row>
    <row r="1555" spans="1:11" x14ac:dyDescent="0.3">
      <c r="A1555" s="10">
        <v>54</v>
      </c>
      <c r="B1555" s="10" t="s">
        <v>1847</v>
      </c>
      <c r="C1555" s="10" t="str" cm="1">
        <f t="array" ref="C1555">_xlfn.IFS(A1555&lt;20, "ภาคกลาง", A1555&lt;30, "ภาคตะวันออก", A1555&lt;50, "ภาคตะวันออกเฉียงเหนือ", A1555&lt;60, "ภาคเหนือ", A1555&lt;80, "ภาคกลาง/ตะวันตก", A1555&gt;=80, "ภาคใต้")</f>
        <v>ภาคเหนือ</v>
      </c>
      <c r="D1555" s="64">
        <v>5499</v>
      </c>
      <c r="E1555" s="10" t="s">
        <v>1873</v>
      </c>
      <c r="F1555" s="11">
        <v>4105</v>
      </c>
      <c r="G1555" s="11">
        <v>4396</v>
      </c>
      <c r="H1555" s="11">
        <v>8501</v>
      </c>
      <c r="I1555" s="11">
        <v>3812</v>
      </c>
      <c r="J1555" s="66">
        <f t="shared" si="90"/>
        <v>48.288436654511237</v>
      </c>
      <c r="K1555" s="66">
        <f t="shared" si="91"/>
        <v>51.711563345488763</v>
      </c>
    </row>
    <row r="1556" spans="1:11" hidden="1" x14ac:dyDescent="0.3">
      <c r="A1556" s="10">
        <v>54</v>
      </c>
      <c r="B1556" s="10" t="s">
        <v>1847</v>
      </c>
      <c r="C1556" s="10" t="str" cm="1">
        <f t="array" ref="C1556">_xlfn.IFS(A1556&lt;20, "ภาคกลาง", A1556&lt;30, "ภาคตะวันออก", A1556&lt;50, "ภาคตะวันออกเฉียงเหนือ", A1556&lt;60, "ภาคเหนือ", A1556&lt;80, "ภาคกลาง/ตะวันตก", A1556&gt;=80, "ภาคใต้")</f>
        <v>ภาคเหนือ</v>
      </c>
      <c r="D1556" s="10">
        <v>0</v>
      </c>
      <c r="E1556" s="10" t="s">
        <v>343</v>
      </c>
      <c r="F1556" s="11">
        <v>6301</v>
      </c>
      <c r="G1556" s="11">
        <v>7415</v>
      </c>
      <c r="H1556" s="11">
        <v>13716</v>
      </c>
      <c r="I1556" s="11">
        <v>8874</v>
      </c>
      <c r="J1556"/>
      <c r="K1556"/>
    </row>
    <row r="1557" spans="1:11" x14ac:dyDescent="0.3">
      <c r="A1557" s="10">
        <v>55</v>
      </c>
      <c r="B1557" s="10" t="s">
        <v>1874</v>
      </c>
      <c r="C1557" s="10" t="str" cm="1">
        <f t="array" ref="C1557">_xlfn.IFS(A1557&lt;20, "ภาคกลาง", A1557&lt;30, "ภาคตะวันออก", A1557&lt;50, "ภาคตะวันออกเฉียงเหนือ", A1557&lt;60, "ภาคเหนือ", A1557&lt;80, "ภาคกลาง/ตะวันตก", A1557&gt;=80, "ภาคใต้")</f>
        <v>ภาคเหนือ</v>
      </c>
      <c r="D1557" s="64">
        <v>5501</v>
      </c>
      <c r="E1557" s="10" t="s">
        <v>1875</v>
      </c>
      <c r="F1557" s="11">
        <v>234647</v>
      </c>
      <c r="G1557" s="11">
        <v>235860</v>
      </c>
      <c r="H1557" s="11">
        <v>470507</v>
      </c>
      <c r="I1557" s="11">
        <v>180461</v>
      </c>
      <c r="J1557" s="66">
        <f t="shared" ref="J1557:J1578" si="92">F1557/H1557*100</f>
        <v>49.871096498032976</v>
      </c>
      <c r="K1557" s="66">
        <f t="shared" ref="K1557:K1578" si="93">G1557/H1557*100</f>
        <v>50.128903501967024</v>
      </c>
    </row>
    <row r="1558" spans="1:11" x14ac:dyDescent="0.3">
      <c r="A1558" s="10">
        <v>55</v>
      </c>
      <c r="B1558" s="10" t="s">
        <v>1874</v>
      </c>
      <c r="C1558" s="10" t="str" cm="1">
        <f t="array" ref="C1558">_xlfn.IFS(A1558&lt;20, "ภาคกลาง", A1558&lt;30, "ภาคตะวันออก", A1558&lt;50, "ภาคตะวันออกเฉียงเหนือ", A1558&lt;60, "ภาคเหนือ", A1558&lt;80, "ภาคกลาง/ตะวันตก", A1558&gt;=80, "ภาคใต้")</f>
        <v>ภาคเหนือ</v>
      </c>
      <c r="D1558" s="64">
        <v>5502</v>
      </c>
      <c r="E1558" s="10" t="s">
        <v>1876</v>
      </c>
      <c r="F1558" s="11">
        <v>31351</v>
      </c>
      <c r="G1558" s="11">
        <v>31760</v>
      </c>
      <c r="H1558" s="11">
        <v>63111</v>
      </c>
      <c r="I1558" s="11">
        <v>26511</v>
      </c>
      <c r="J1558" s="66">
        <f t="shared" si="92"/>
        <v>49.675967739379821</v>
      </c>
      <c r="K1558" s="66">
        <f t="shared" si="93"/>
        <v>50.324032260620179</v>
      </c>
    </row>
    <row r="1559" spans="1:11" x14ac:dyDescent="0.3">
      <c r="A1559" s="10">
        <v>55</v>
      </c>
      <c r="B1559" s="10" t="s">
        <v>1874</v>
      </c>
      <c r="C1559" s="10" t="str" cm="1">
        <f t="array" ref="C1559">_xlfn.IFS(A1559&lt;20, "ภาคกลาง", A1559&lt;30, "ภาคตะวันออก", A1559&lt;50, "ภาคตะวันออกเฉียงเหนือ", A1559&lt;60, "ภาคเหนือ", A1559&lt;80, "ภาคกลาง/ตะวันตก", A1559&gt;=80, "ภาคใต้")</f>
        <v>ภาคเหนือ</v>
      </c>
      <c r="D1559" s="64">
        <v>5503</v>
      </c>
      <c r="E1559" s="10" t="s">
        <v>1877</v>
      </c>
      <c r="F1559" s="11">
        <v>8397</v>
      </c>
      <c r="G1559" s="11">
        <v>8025</v>
      </c>
      <c r="H1559" s="11">
        <v>16422</v>
      </c>
      <c r="I1559" s="11">
        <v>5048</v>
      </c>
      <c r="J1559" s="66">
        <f t="shared" si="92"/>
        <v>51.132626963829011</v>
      </c>
      <c r="K1559" s="66">
        <f t="shared" si="93"/>
        <v>48.867373036170989</v>
      </c>
    </row>
    <row r="1560" spans="1:11" x14ac:dyDescent="0.3">
      <c r="A1560" s="10">
        <v>55</v>
      </c>
      <c r="B1560" s="10" t="s">
        <v>1874</v>
      </c>
      <c r="C1560" s="10" t="str" cm="1">
        <f t="array" ref="C1560">_xlfn.IFS(A1560&lt;20, "ภาคกลาง", A1560&lt;30, "ภาคตะวันออก", A1560&lt;50, "ภาคตะวันออกเฉียงเหนือ", A1560&lt;60, "ภาคเหนือ", A1560&lt;80, "ภาคกลาง/ตะวันตก", A1560&gt;=80, "ภาคใต้")</f>
        <v>ภาคเหนือ</v>
      </c>
      <c r="D1560" s="64">
        <v>5504</v>
      </c>
      <c r="E1560" s="10" t="s">
        <v>1878</v>
      </c>
      <c r="F1560" s="11">
        <v>5628</v>
      </c>
      <c r="G1560" s="11">
        <v>5552</v>
      </c>
      <c r="H1560" s="11">
        <v>11180</v>
      </c>
      <c r="I1560" s="11">
        <v>4054</v>
      </c>
      <c r="J1560" s="66">
        <f t="shared" si="92"/>
        <v>50.339892665474061</v>
      </c>
      <c r="K1560" s="66">
        <f t="shared" si="93"/>
        <v>49.660107334525939</v>
      </c>
    </row>
    <row r="1561" spans="1:11" x14ac:dyDescent="0.3">
      <c r="A1561" s="10">
        <v>55</v>
      </c>
      <c r="B1561" s="10" t="s">
        <v>1874</v>
      </c>
      <c r="C1561" s="10" t="str" cm="1">
        <f t="array" ref="C1561">_xlfn.IFS(A1561&lt;20, "ภาคกลาง", A1561&lt;30, "ภาคตะวันออก", A1561&lt;50, "ภาคตะวันออกเฉียงเหนือ", A1561&lt;60, "ภาคเหนือ", A1561&lt;80, "ภาคกลาง/ตะวันตก", A1561&gt;=80, "ภาคใต้")</f>
        <v>ภาคเหนือ</v>
      </c>
      <c r="D1561" s="64">
        <v>5505</v>
      </c>
      <c r="E1561" s="10" t="s">
        <v>1879</v>
      </c>
      <c r="F1561" s="11">
        <v>14745</v>
      </c>
      <c r="G1561" s="11">
        <v>14650</v>
      </c>
      <c r="H1561" s="11">
        <v>29395</v>
      </c>
      <c r="I1561" s="11">
        <v>10803</v>
      </c>
      <c r="J1561" s="66">
        <f t="shared" si="92"/>
        <v>50.161592107501271</v>
      </c>
      <c r="K1561" s="66">
        <f t="shared" si="93"/>
        <v>49.838407892498729</v>
      </c>
    </row>
    <row r="1562" spans="1:11" x14ac:dyDescent="0.3">
      <c r="A1562" s="10">
        <v>55</v>
      </c>
      <c r="B1562" s="10" t="s">
        <v>1874</v>
      </c>
      <c r="C1562" s="10" t="str" cm="1">
        <f t="array" ref="C1562">_xlfn.IFS(A1562&lt;20, "ภาคกลาง", A1562&lt;30, "ภาคตะวันออก", A1562&lt;50, "ภาคตะวันออกเฉียงเหนือ", A1562&lt;60, "ภาคเหนือ", A1562&lt;80, "ภาคกลาง/ตะวันตก", A1562&gt;=80, "ภาคใต้")</f>
        <v>ภาคเหนือ</v>
      </c>
      <c r="D1562" s="64">
        <v>5506</v>
      </c>
      <c r="E1562" s="10" t="s">
        <v>1880</v>
      </c>
      <c r="F1562" s="11">
        <v>26457</v>
      </c>
      <c r="G1562" s="11">
        <v>26887</v>
      </c>
      <c r="H1562" s="11">
        <v>53344</v>
      </c>
      <c r="I1562" s="11">
        <v>16887</v>
      </c>
      <c r="J1562" s="66">
        <f t="shared" si="92"/>
        <v>49.596955608878226</v>
      </c>
      <c r="K1562" s="66">
        <f t="shared" si="93"/>
        <v>50.403044391121774</v>
      </c>
    </row>
    <row r="1563" spans="1:11" x14ac:dyDescent="0.3">
      <c r="A1563" s="10">
        <v>55</v>
      </c>
      <c r="B1563" s="10" t="s">
        <v>1874</v>
      </c>
      <c r="C1563" s="10" t="str" cm="1">
        <f t="array" ref="C1563">_xlfn.IFS(A1563&lt;20, "ภาคกลาง", A1563&lt;30, "ภาคตะวันออก", A1563&lt;50, "ภาคตะวันออกเฉียงเหนือ", A1563&lt;60, "ภาคเหนือ", A1563&lt;80, "ภาคกลาง/ตะวันตก", A1563&gt;=80, "ภาคใต้")</f>
        <v>ภาคเหนือ</v>
      </c>
      <c r="D1563" s="64">
        <v>5507</v>
      </c>
      <c r="E1563" s="10" t="s">
        <v>1881</v>
      </c>
      <c r="F1563" s="11">
        <v>22256</v>
      </c>
      <c r="G1563" s="11">
        <v>22457</v>
      </c>
      <c r="H1563" s="11">
        <v>44713</v>
      </c>
      <c r="I1563" s="11">
        <v>15254</v>
      </c>
      <c r="J1563" s="66">
        <f t="shared" si="92"/>
        <v>49.775233153668957</v>
      </c>
      <c r="K1563" s="66">
        <f t="shared" si="93"/>
        <v>50.22476684633105</v>
      </c>
    </row>
    <row r="1564" spans="1:11" x14ac:dyDescent="0.3">
      <c r="A1564" s="10">
        <v>55</v>
      </c>
      <c r="B1564" s="10" t="s">
        <v>1874</v>
      </c>
      <c r="C1564" s="10" t="str" cm="1">
        <f t="array" ref="C1564">_xlfn.IFS(A1564&lt;20, "ภาคกลาง", A1564&lt;30, "ภาคตะวันออก", A1564&lt;50, "ภาคตะวันออกเฉียงเหนือ", A1564&lt;60, "ภาคเหนือ", A1564&lt;80, "ภาคกลาง/ตะวันตก", A1564&gt;=80, "ภาคใต้")</f>
        <v>ภาคเหนือ</v>
      </c>
      <c r="D1564" s="64">
        <v>5508</v>
      </c>
      <c r="E1564" s="10" t="s">
        <v>1882</v>
      </c>
      <c r="F1564" s="11">
        <v>32759</v>
      </c>
      <c r="G1564" s="11">
        <v>32720</v>
      </c>
      <c r="H1564" s="11">
        <v>65479</v>
      </c>
      <c r="I1564" s="11">
        <v>25695</v>
      </c>
      <c r="J1564" s="66">
        <f t="shared" si="92"/>
        <v>50.029780540325909</v>
      </c>
      <c r="K1564" s="66">
        <f t="shared" si="93"/>
        <v>49.970219459674091</v>
      </c>
    </row>
    <row r="1565" spans="1:11" x14ac:dyDescent="0.3">
      <c r="A1565" s="10">
        <v>55</v>
      </c>
      <c r="B1565" s="10" t="s">
        <v>1874</v>
      </c>
      <c r="C1565" s="10" t="str" cm="1">
        <f t="array" ref="C1565">_xlfn.IFS(A1565&lt;20, "ภาคกลาง", A1565&lt;30, "ภาคตะวันออก", A1565&lt;50, "ภาคตะวันออกเฉียงเหนือ", A1565&lt;60, "ภาคเหนือ", A1565&lt;80, "ภาคกลาง/ตะวันตก", A1565&gt;=80, "ภาคใต้")</f>
        <v>ภาคเหนือ</v>
      </c>
      <c r="D1565" s="64">
        <v>5509</v>
      </c>
      <c r="E1565" s="10" t="s">
        <v>1883</v>
      </c>
      <c r="F1565" s="11">
        <v>7884</v>
      </c>
      <c r="G1565" s="11">
        <v>7774</v>
      </c>
      <c r="H1565" s="11">
        <v>15658</v>
      </c>
      <c r="I1565" s="11">
        <v>5349</v>
      </c>
      <c r="J1565" s="66">
        <f t="shared" si="92"/>
        <v>50.351258142802401</v>
      </c>
      <c r="K1565" s="66">
        <f t="shared" si="93"/>
        <v>49.648741857197599</v>
      </c>
    </row>
    <row r="1566" spans="1:11" x14ac:dyDescent="0.3">
      <c r="A1566" s="10">
        <v>55</v>
      </c>
      <c r="B1566" s="10" t="s">
        <v>1874</v>
      </c>
      <c r="C1566" s="10" t="str" cm="1">
        <f t="array" ref="C1566">_xlfn.IFS(A1566&lt;20, "ภาคกลาง", A1566&lt;30, "ภาคตะวันออก", A1566&lt;50, "ภาคตะวันออกเฉียงเหนือ", A1566&lt;60, "ภาคเหนือ", A1566&lt;80, "ภาคกลาง/ตะวันตก", A1566&gt;=80, "ภาคใต้")</f>
        <v>ภาคเหนือ</v>
      </c>
      <c r="D1566" s="64">
        <v>5510</v>
      </c>
      <c r="E1566" s="10" t="s">
        <v>1884</v>
      </c>
      <c r="F1566" s="11">
        <v>8446</v>
      </c>
      <c r="G1566" s="11">
        <v>8656</v>
      </c>
      <c r="H1566" s="11">
        <v>17102</v>
      </c>
      <c r="I1566" s="11">
        <v>6043</v>
      </c>
      <c r="J1566" s="66">
        <f t="shared" si="92"/>
        <v>49.386036720851365</v>
      </c>
      <c r="K1566" s="66">
        <f t="shared" si="93"/>
        <v>50.613963279148635</v>
      </c>
    </row>
    <row r="1567" spans="1:11" x14ac:dyDescent="0.3">
      <c r="A1567" s="10">
        <v>55</v>
      </c>
      <c r="B1567" s="10" t="s">
        <v>1874</v>
      </c>
      <c r="C1567" s="10" t="str" cm="1">
        <f t="array" ref="C1567">_xlfn.IFS(A1567&lt;20, "ภาคกลาง", A1567&lt;30, "ภาคตะวันออก", A1567&lt;50, "ภาคตะวันออกเฉียงเหนือ", A1567&lt;60, "ภาคเหนือ", A1567&lt;80, "ภาคกลาง/ตะวันตก", A1567&gt;=80, "ภาคใต้")</f>
        <v>ภาคเหนือ</v>
      </c>
      <c r="D1567" s="64">
        <v>5511</v>
      </c>
      <c r="E1567" s="10" t="s">
        <v>1885</v>
      </c>
      <c r="F1567" s="11">
        <v>6950</v>
      </c>
      <c r="G1567" s="11">
        <v>6904</v>
      </c>
      <c r="H1567" s="11">
        <v>13854</v>
      </c>
      <c r="I1567" s="11">
        <v>4652</v>
      </c>
      <c r="J1567" s="66">
        <f t="shared" si="92"/>
        <v>50.166017034791402</v>
      </c>
      <c r="K1567" s="66">
        <f t="shared" si="93"/>
        <v>49.833982965208605</v>
      </c>
    </row>
    <row r="1568" spans="1:11" x14ac:dyDescent="0.3">
      <c r="A1568" s="10">
        <v>55</v>
      </c>
      <c r="B1568" s="10" t="s">
        <v>1874</v>
      </c>
      <c r="C1568" s="10" t="str" cm="1">
        <f t="array" ref="C1568">_xlfn.IFS(A1568&lt;20, "ภาคกลาง", A1568&lt;30, "ภาคตะวันออก", A1568&lt;50, "ภาคตะวันออกเฉียงเหนือ", A1568&lt;60, "ภาคเหนือ", A1568&lt;80, "ภาคกลาง/ตะวันตก", A1568&gt;=80, "ภาคใต้")</f>
        <v>ภาคเหนือ</v>
      </c>
      <c r="D1568" s="64">
        <v>5512</v>
      </c>
      <c r="E1568" s="10" t="s">
        <v>1886</v>
      </c>
      <c r="F1568" s="11">
        <v>7927</v>
      </c>
      <c r="G1568" s="11">
        <v>7544</v>
      </c>
      <c r="H1568" s="11">
        <v>15471</v>
      </c>
      <c r="I1568" s="11">
        <v>5373</v>
      </c>
      <c r="J1568" s="66">
        <f t="shared" si="92"/>
        <v>51.237799754379168</v>
      </c>
      <c r="K1568" s="66">
        <f t="shared" si="93"/>
        <v>48.762200245620839</v>
      </c>
    </row>
    <row r="1569" spans="1:11" x14ac:dyDescent="0.3">
      <c r="A1569" s="10">
        <v>55</v>
      </c>
      <c r="B1569" s="10" t="s">
        <v>1874</v>
      </c>
      <c r="C1569" s="10" t="str" cm="1">
        <f t="array" ref="C1569">_xlfn.IFS(A1569&lt;20, "ภาคกลาง", A1569&lt;30, "ภาคตะวันออก", A1569&lt;50, "ภาคตะวันออกเฉียงเหนือ", A1569&lt;60, "ภาคเหนือ", A1569&lt;80, "ภาคกลาง/ตะวันตก", A1569&gt;=80, "ภาคใต้")</f>
        <v>ภาคเหนือ</v>
      </c>
      <c r="D1569" s="64">
        <v>5513</v>
      </c>
      <c r="E1569" s="10" t="s">
        <v>1887</v>
      </c>
      <c r="F1569" s="11">
        <v>7877</v>
      </c>
      <c r="G1569" s="11">
        <v>7518</v>
      </c>
      <c r="H1569" s="11">
        <v>15395</v>
      </c>
      <c r="I1569" s="11">
        <v>5357</v>
      </c>
      <c r="J1569" s="66">
        <f t="shared" si="92"/>
        <v>51.165962974991885</v>
      </c>
      <c r="K1569" s="66">
        <f t="shared" si="93"/>
        <v>48.834037025008122</v>
      </c>
    </row>
    <row r="1570" spans="1:11" x14ac:dyDescent="0.3">
      <c r="A1570" s="10">
        <v>55</v>
      </c>
      <c r="B1570" s="10" t="s">
        <v>1874</v>
      </c>
      <c r="C1570" s="10" t="str" cm="1">
        <f t="array" ref="C1570">_xlfn.IFS(A1570&lt;20, "ภาคกลาง", A1570&lt;30, "ภาคตะวันออก", A1570&lt;50, "ภาคตะวันออกเฉียงเหนือ", A1570&lt;60, "ภาคเหนือ", A1570&lt;80, "ภาคกลาง/ตะวันตก", A1570&gt;=80, "ภาคใต้")</f>
        <v>ภาคเหนือ</v>
      </c>
      <c r="D1570" s="64">
        <v>5514</v>
      </c>
      <c r="E1570" s="10" t="s">
        <v>1888</v>
      </c>
      <c r="F1570" s="11">
        <v>6390</v>
      </c>
      <c r="G1570" s="11">
        <v>6002</v>
      </c>
      <c r="H1570" s="11">
        <v>12392</v>
      </c>
      <c r="I1570" s="11">
        <v>4034</v>
      </c>
      <c r="J1570" s="66">
        <f t="shared" si="92"/>
        <v>51.565526145900584</v>
      </c>
      <c r="K1570" s="66">
        <f t="shared" si="93"/>
        <v>48.434473854099416</v>
      </c>
    </row>
    <row r="1571" spans="1:11" x14ac:dyDescent="0.3">
      <c r="A1571" s="10">
        <v>55</v>
      </c>
      <c r="B1571" s="10" t="s">
        <v>1874</v>
      </c>
      <c r="C1571" s="10" t="str" cm="1">
        <f t="array" ref="C1571">_xlfn.IFS(A1571&lt;20, "ภาคกลาง", A1571&lt;30, "ภาคตะวันออก", A1571&lt;50, "ภาคตะวันออกเฉียงเหนือ", A1571&lt;60, "ภาคเหนือ", A1571&lt;80, "ภาคกลาง/ตะวันตก", A1571&gt;=80, "ภาคใต้")</f>
        <v>ภาคเหนือ</v>
      </c>
      <c r="D1571" s="64">
        <v>5515</v>
      </c>
      <c r="E1571" s="10" t="s">
        <v>621</v>
      </c>
      <c r="F1571" s="11">
        <v>17567</v>
      </c>
      <c r="G1571" s="11">
        <v>18134</v>
      </c>
      <c r="H1571" s="11">
        <v>35701</v>
      </c>
      <c r="I1571" s="11">
        <v>14578</v>
      </c>
      <c r="J1571" s="66">
        <f t="shared" si="92"/>
        <v>49.205904596509903</v>
      </c>
      <c r="K1571" s="66">
        <f t="shared" si="93"/>
        <v>50.794095403490104</v>
      </c>
    </row>
    <row r="1572" spans="1:11" ht="27.6" x14ac:dyDescent="0.3">
      <c r="A1572" s="10">
        <v>55</v>
      </c>
      <c r="B1572" s="10" t="s">
        <v>1874</v>
      </c>
      <c r="C1572" s="10" t="str" cm="1">
        <f t="array" ref="C1572">_xlfn.IFS(A1572&lt;20, "ภาคกลาง", A1572&lt;30, "ภาคตะวันออก", A1572&lt;50, "ภาคตะวันออกเฉียงเหนือ", A1572&lt;60, "ภาคเหนือ", A1572&lt;80, "ภาคกลาง/ตะวันตก", A1572&gt;=80, "ภาคใต้")</f>
        <v>ภาคเหนือ</v>
      </c>
      <c r="D1572" s="64">
        <v>5592</v>
      </c>
      <c r="E1572" s="10" t="s">
        <v>1889</v>
      </c>
      <c r="F1572" s="11">
        <v>5018</v>
      </c>
      <c r="G1572" s="11">
        <v>4752</v>
      </c>
      <c r="H1572" s="11">
        <v>9770</v>
      </c>
      <c r="I1572" s="11">
        <v>3497</v>
      </c>
      <c r="J1572" s="66">
        <f t="shared" si="92"/>
        <v>51.361310133060393</v>
      </c>
      <c r="K1572" s="66">
        <f t="shared" si="93"/>
        <v>48.638689866939607</v>
      </c>
    </row>
    <row r="1573" spans="1:11" x14ac:dyDescent="0.3">
      <c r="A1573" s="10">
        <v>55</v>
      </c>
      <c r="B1573" s="10" t="s">
        <v>1874</v>
      </c>
      <c r="C1573" s="10" t="str" cm="1">
        <f t="array" ref="C1573">_xlfn.IFS(A1573&lt;20, "ภาคกลาง", A1573&lt;30, "ภาคตะวันออก", A1573&lt;50, "ภาคตะวันออกเฉียงเหนือ", A1573&lt;60, "ภาคเหนือ", A1573&lt;80, "ภาคกลาง/ตะวันตก", A1573&gt;=80, "ภาคใต้")</f>
        <v>ภาคเหนือ</v>
      </c>
      <c r="D1573" s="64">
        <v>5593</v>
      </c>
      <c r="E1573" s="10" t="s">
        <v>1890</v>
      </c>
      <c r="F1573" s="11">
        <v>4627</v>
      </c>
      <c r="G1573" s="11">
        <v>4785</v>
      </c>
      <c r="H1573" s="11">
        <v>9412</v>
      </c>
      <c r="I1573" s="11">
        <v>4104</v>
      </c>
      <c r="J1573" s="66">
        <f t="shared" si="92"/>
        <v>49.160645983850401</v>
      </c>
      <c r="K1573" s="66">
        <f t="shared" si="93"/>
        <v>50.839354016149599</v>
      </c>
    </row>
    <row r="1574" spans="1:11" x14ac:dyDescent="0.3">
      <c r="A1574" s="10">
        <v>55</v>
      </c>
      <c r="B1574" s="10" t="s">
        <v>1874</v>
      </c>
      <c r="C1574" s="10" t="str" cm="1">
        <f t="array" ref="C1574">_xlfn.IFS(A1574&lt;20, "ภาคกลาง", A1574&lt;30, "ภาคตะวันออก", A1574&lt;50, "ภาคตะวันออกเฉียงเหนือ", A1574&lt;60, "ภาคเหนือ", A1574&lt;80, "ภาคกลาง/ตะวันตก", A1574&gt;=80, "ภาคใต้")</f>
        <v>ภาคเหนือ</v>
      </c>
      <c r="D1574" s="64">
        <v>5594</v>
      </c>
      <c r="E1574" s="10" t="s">
        <v>1891</v>
      </c>
      <c r="F1574" s="11">
        <v>1625</v>
      </c>
      <c r="G1574" s="11">
        <v>1610</v>
      </c>
      <c r="H1574" s="11">
        <v>3235</v>
      </c>
      <c r="I1574" s="11">
        <v>1469</v>
      </c>
      <c r="J1574" s="66">
        <f t="shared" si="92"/>
        <v>50.231839258114377</v>
      </c>
      <c r="K1574" s="66">
        <f t="shared" si="93"/>
        <v>49.768160741885623</v>
      </c>
    </row>
    <row r="1575" spans="1:11" x14ac:dyDescent="0.3">
      <c r="A1575" s="10">
        <v>55</v>
      </c>
      <c r="B1575" s="10" t="s">
        <v>1874</v>
      </c>
      <c r="C1575" s="10" t="str" cm="1">
        <f t="array" ref="C1575">_xlfn.IFS(A1575&lt;20, "ภาคกลาง", A1575&lt;30, "ภาคตะวันออก", A1575&lt;50, "ภาคตะวันออกเฉียงเหนือ", A1575&lt;60, "ภาคเหนือ", A1575&lt;80, "ภาคกลาง/ตะวันตก", A1575&gt;=80, "ภาคใต้")</f>
        <v>ภาคเหนือ</v>
      </c>
      <c r="D1575" s="64">
        <v>5595</v>
      </c>
      <c r="E1575" s="10" t="s">
        <v>1892</v>
      </c>
      <c r="F1575" s="11">
        <v>1229</v>
      </c>
      <c r="G1575" s="11">
        <v>1434</v>
      </c>
      <c r="H1575" s="11">
        <v>2663</v>
      </c>
      <c r="I1575" s="11">
        <v>1344</v>
      </c>
      <c r="J1575" s="66">
        <f t="shared" si="92"/>
        <v>46.150957566654149</v>
      </c>
      <c r="K1575" s="66">
        <f t="shared" si="93"/>
        <v>53.849042433345851</v>
      </c>
    </row>
    <row r="1576" spans="1:11" x14ac:dyDescent="0.3">
      <c r="A1576" s="10">
        <v>55</v>
      </c>
      <c r="B1576" s="10" t="s">
        <v>1874</v>
      </c>
      <c r="C1576" s="10" t="str" cm="1">
        <f t="array" ref="C1576">_xlfn.IFS(A1576&lt;20, "ภาคกลาง", A1576&lt;30, "ภาคตะวันออก", A1576&lt;50, "ภาคตะวันออกเฉียงเหนือ", A1576&lt;60, "ภาคเหนือ", A1576&lt;80, "ภาคกลาง/ตะวันตก", A1576&gt;=80, "ภาคใต้")</f>
        <v>ภาคเหนือ</v>
      </c>
      <c r="D1576" s="64">
        <v>5596</v>
      </c>
      <c r="E1576" s="10" t="s">
        <v>1893</v>
      </c>
      <c r="F1576" s="11">
        <v>2438</v>
      </c>
      <c r="G1576" s="11">
        <v>2696</v>
      </c>
      <c r="H1576" s="11">
        <v>5134</v>
      </c>
      <c r="I1576" s="11">
        <v>2852</v>
      </c>
      <c r="J1576" s="66">
        <f t="shared" si="92"/>
        <v>47.487339306583557</v>
      </c>
      <c r="K1576" s="66">
        <f t="shared" si="93"/>
        <v>52.512660693416436</v>
      </c>
    </row>
    <row r="1577" spans="1:11" x14ac:dyDescent="0.3">
      <c r="A1577" s="10">
        <v>55</v>
      </c>
      <c r="B1577" s="10" t="s">
        <v>1874</v>
      </c>
      <c r="C1577" s="10" t="str" cm="1">
        <f t="array" ref="C1577">_xlfn.IFS(A1577&lt;20, "ภาคกลาง", A1577&lt;30, "ภาคตะวันออก", A1577&lt;50, "ภาคตะวันออกเฉียงเหนือ", A1577&lt;60, "ภาคเหนือ", A1577&lt;80, "ภาคกลาง/ตะวันตก", A1577&gt;=80, "ภาคใต้")</f>
        <v>ภาคเหนือ</v>
      </c>
      <c r="D1577" s="64">
        <v>5597</v>
      </c>
      <c r="E1577" s="10" t="s">
        <v>1894</v>
      </c>
      <c r="F1577" s="11">
        <v>5003</v>
      </c>
      <c r="G1577" s="11">
        <v>5370</v>
      </c>
      <c r="H1577" s="11">
        <v>10373</v>
      </c>
      <c r="I1577" s="11">
        <v>5223</v>
      </c>
      <c r="J1577" s="66">
        <f t="shared" si="92"/>
        <v>48.230984286127452</v>
      </c>
      <c r="K1577" s="66">
        <f t="shared" si="93"/>
        <v>51.769015713872555</v>
      </c>
    </row>
    <row r="1578" spans="1:11" x14ac:dyDescent="0.3">
      <c r="A1578" s="10">
        <v>55</v>
      </c>
      <c r="B1578" s="10" t="s">
        <v>1874</v>
      </c>
      <c r="C1578" s="10" t="str" cm="1">
        <f t="array" ref="C1578">_xlfn.IFS(A1578&lt;20, "ภาคกลาง", A1578&lt;30, "ภาคตะวันออก", A1578&lt;50, "ภาคตะวันออกเฉียงเหนือ", A1578&lt;60, "ภาคเหนือ", A1578&lt;80, "ภาคกลาง/ตะวันตก", A1578&gt;=80, "ภาคใต้")</f>
        <v>ภาคเหนือ</v>
      </c>
      <c r="D1578" s="64">
        <v>5599</v>
      </c>
      <c r="E1578" s="10" t="s">
        <v>1895</v>
      </c>
      <c r="F1578" s="11">
        <v>1067</v>
      </c>
      <c r="G1578" s="11">
        <v>1219</v>
      </c>
      <c r="H1578" s="11">
        <v>2286</v>
      </c>
      <c r="I1578" s="11">
        <v>1285</v>
      </c>
      <c r="J1578" s="66">
        <f t="shared" si="92"/>
        <v>46.675415573053371</v>
      </c>
      <c r="K1578" s="66">
        <f t="shared" si="93"/>
        <v>53.324584426946629</v>
      </c>
    </row>
    <row r="1579" spans="1:11" hidden="1" x14ac:dyDescent="0.3">
      <c r="A1579" s="10">
        <v>55</v>
      </c>
      <c r="B1579" s="10" t="s">
        <v>1874</v>
      </c>
      <c r="C1579" s="10" t="str" cm="1">
        <f t="array" ref="C1579">_xlfn.IFS(A1579&lt;20, "ภาคกลาง", A1579&lt;30, "ภาคตะวันออก", A1579&lt;50, "ภาคตะวันออกเฉียงเหนือ", A1579&lt;60, "ภาคเหนือ", A1579&lt;80, "ภาคกลาง/ตะวันตก", A1579&gt;=80, "ภาคใต้")</f>
        <v>ภาคเหนือ</v>
      </c>
      <c r="D1579" s="10">
        <v>0</v>
      </c>
      <c r="E1579" s="10" t="s">
        <v>343</v>
      </c>
      <c r="F1579" s="11">
        <v>9006</v>
      </c>
      <c r="G1579" s="11">
        <v>9411</v>
      </c>
      <c r="H1579" s="11">
        <v>18417</v>
      </c>
      <c r="I1579" s="11">
        <v>11049</v>
      </c>
      <c r="J1579"/>
      <c r="K1579"/>
    </row>
    <row r="1580" spans="1:11" x14ac:dyDescent="0.3">
      <c r="A1580" s="10">
        <v>56</v>
      </c>
      <c r="B1580" s="10" t="s">
        <v>1896</v>
      </c>
      <c r="C1580" s="10" t="str" cm="1">
        <f t="array" ref="C1580">_xlfn.IFS(A1580&lt;20, "ภาคกลาง", A1580&lt;30, "ภาคตะวันออก", A1580&lt;50, "ภาคตะวันออกเฉียงเหนือ", A1580&lt;60, "ภาคเหนือ", A1580&lt;80, "ภาคกลาง/ตะวันตก", A1580&gt;=80, "ภาคใต้")</f>
        <v>ภาคเหนือ</v>
      </c>
      <c r="D1580" s="64">
        <v>5601</v>
      </c>
      <c r="E1580" s="10" t="s">
        <v>1897</v>
      </c>
      <c r="F1580" s="11">
        <v>220378</v>
      </c>
      <c r="G1580" s="11">
        <v>234386</v>
      </c>
      <c r="H1580" s="11">
        <v>454764</v>
      </c>
      <c r="I1580" s="11">
        <v>204387</v>
      </c>
      <c r="J1580" s="66">
        <f t="shared" ref="J1580:J1611" si="94">F1580/H1580*100</f>
        <v>48.459860499072043</v>
      </c>
      <c r="K1580" s="66">
        <f t="shared" ref="K1580:K1611" si="95">G1580/H1580*100</f>
        <v>51.54013950092795</v>
      </c>
    </row>
    <row r="1581" spans="1:11" x14ac:dyDescent="0.3">
      <c r="A1581" s="10">
        <v>56</v>
      </c>
      <c r="B1581" s="10" t="s">
        <v>1896</v>
      </c>
      <c r="C1581" s="10" t="str" cm="1">
        <f t="array" ref="C1581">_xlfn.IFS(A1581&lt;20, "ภาคกลาง", A1581&lt;30, "ภาคตะวันออก", A1581&lt;50, "ภาคตะวันออกเฉียงเหนือ", A1581&lt;60, "ภาคเหนือ", A1581&lt;80, "ภาคกลาง/ตะวันตก", A1581&gt;=80, "ภาคใต้")</f>
        <v>ภาคเหนือ</v>
      </c>
      <c r="D1581" s="64">
        <v>5602</v>
      </c>
      <c r="E1581" s="10" t="s">
        <v>1898</v>
      </c>
      <c r="F1581" s="11">
        <v>20441</v>
      </c>
      <c r="G1581" s="11">
        <v>21923</v>
      </c>
      <c r="H1581" s="11">
        <v>42364</v>
      </c>
      <c r="I1581" s="11">
        <v>18085</v>
      </c>
      <c r="J1581" s="66">
        <f t="shared" si="94"/>
        <v>48.250873383061091</v>
      </c>
      <c r="K1581" s="66">
        <f t="shared" si="95"/>
        <v>51.749126616938909</v>
      </c>
    </row>
    <row r="1582" spans="1:11" x14ac:dyDescent="0.3">
      <c r="A1582" s="10">
        <v>56</v>
      </c>
      <c r="B1582" s="10" t="s">
        <v>1896</v>
      </c>
      <c r="C1582" s="10" t="str" cm="1">
        <f t="array" ref="C1582">_xlfn.IFS(A1582&lt;20, "ภาคกลาง", A1582&lt;30, "ภาคตะวันออก", A1582&lt;50, "ภาคตะวันออกเฉียงเหนือ", A1582&lt;60, "ภาคเหนือ", A1582&lt;80, "ภาคกลาง/ตะวันตก", A1582&gt;=80, "ภาคใต้")</f>
        <v>ภาคเหนือ</v>
      </c>
      <c r="D1582" s="64">
        <v>5603</v>
      </c>
      <c r="E1582" s="10" t="s">
        <v>1899</v>
      </c>
      <c r="F1582" s="11">
        <v>8316</v>
      </c>
      <c r="G1582" s="11">
        <v>9244</v>
      </c>
      <c r="H1582" s="11">
        <v>17560</v>
      </c>
      <c r="I1582" s="11">
        <v>7567</v>
      </c>
      <c r="J1582" s="66">
        <f t="shared" si="94"/>
        <v>47.357630979498857</v>
      </c>
      <c r="K1582" s="66">
        <f t="shared" si="95"/>
        <v>52.642369020501135</v>
      </c>
    </row>
    <row r="1583" spans="1:11" x14ac:dyDescent="0.3">
      <c r="A1583" s="10">
        <v>56</v>
      </c>
      <c r="B1583" s="10" t="s">
        <v>1896</v>
      </c>
      <c r="C1583" s="10" t="str" cm="1">
        <f t="array" ref="C1583">_xlfn.IFS(A1583&lt;20, "ภาคกลาง", A1583&lt;30, "ภาคตะวันออก", A1583&lt;50, "ภาคตะวันออกเฉียงเหนือ", A1583&lt;60, "ภาคเหนือ", A1583&lt;80, "ภาคกลาง/ตะวันตก", A1583&gt;=80, "ภาคใต้")</f>
        <v>ภาคเหนือ</v>
      </c>
      <c r="D1583" s="64">
        <v>5604</v>
      </c>
      <c r="E1583" s="10" t="s">
        <v>1900</v>
      </c>
      <c r="F1583" s="11">
        <v>27310</v>
      </c>
      <c r="G1583" s="11">
        <v>27690</v>
      </c>
      <c r="H1583" s="11">
        <v>55000</v>
      </c>
      <c r="I1583" s="11">
        <v>22331</v>
      </c>
      <c r="J1583" s="66">
        <f t="shared" si="94"/>
        <v>49.654545454545456</v>
      </c>
      <c r="K1583" s="66">
        <f t="shared" si="95"/>
        <v>50.345454545454551</v>
      </c>
    </row>
    <row r="1584" spans="1:11" x14ac:dyDescent="0.3">
      <c r="A1584" s="10">
        <v>56</v>
      </c>
      <c r="B1584" s="10" t="s">
        <v>1896</v>
      </c>
      <c r="C1584" s="10" t="str" cm="1">
        <f t="array" ref="C1584">_xlfn.IFS(A1584&lt;20, "ภาคกลาง", A1584&lt;30, "ภาคตะวันออก", A1584&lt;50, "ภาคตะวันออกเฉียงเหนือ", A1584&lt;60, "ภาคเหนือ", A1584&lt;80, "ภาคกลาง/ตะวันตก", A1584&gt;=80, "ภาคใต้")</f>
        <v>ภาคเหนือ</v>
      </c>
      <c r="D1584" s="64">
        <v>5605</v>
      </c>
      <c r="E1584" s="10" t="s">
        <v>1901</v>
      </c>
      <c r="F1584" s="11">
        <v>4644</v>
      </c>
      <c r="G1584" s="11">
        <v>4753</v>
      </c>
      <c r="H1584" s="11">
        <v>9397</v>
      </c>
      <c r="I1584" s="11">
        <v>4060</v>
      </c>
      <c r="J1584" s="66">
        <f t="shared" si="94"/>
        <v>49.420027668404806</v>
      </c>
      <c r="K1584" s="66">
        <f t="shared" si="95"/>
        <v>50.579972331595194</v>
      </c>
    </row>
    <row r="1585" spans="1:11" x14ac:dyDescent="0.3">
      <c r="A1585" s="10">
        <v>56</v>
      </c>
      <c r="B1585" s="10" t="s">
        <v>1896</v>
      </c>
      <c r="C1585" s="10" t="str" cm="1">
        <f t="array" ref="C1585">_xlfn.IFS(A1585&lt;20, "ภาคกลาง", A1585&lt;30, "ภาคตะวันออก", A1585&lt;50, "ภาคตะวันออกเฉียงเหนือ", A1585&lt;60, "ภาคเหนือ", A1585&lt;80, "ภาคกลาง/ตะวันตก", A1585&gt;=80, "ภาคใต้")</f>
        <v>ภาคเหนือ</v>
      </c>
      <c r="D1585" s="64">
        <v>5606</v>
      </c>
      <c r="E1585" s="10" t="s">
        <v>1902</v>
      </c>
      <c r="F1585" s="11">
        <v>18026</v>
      </c>
      <c r="G1585" s="11">
        <v>19064</v>
      </c>
      <c r="H1585" s="11">
        <v>37090</v>
      </c>
      <c r="I1585" s="11">
        <v>15365</v>
      </c>
      <c r="J1585" s="66">
        <f t="shared" si="94"/>
        <v>48.600700997573469</v>
      </c>
      <c r="K1585" s="66">
        <f t="shared" si="95"/>
        <v>51.399299002426538</v>
      </c>
    </row>
    <row r="1586" spans="1:11" x14ac:dyDescent="0.3">
      <c r="A1586" s="10">
        <v>56</v>
      </c>
      <c r="B1586" s="10" t="s">
        <v>1896</v>
      </c>
      <c r="C1586" s="10" t="str" cm="1">
        <f t="array" ref="C1586">_xlfn.IFS(A1586&lt;20, "ภาคกลาง", A1586&lt;30, "ภาคตะวันออก", A1586&lt;50, "ภาคตะวันออกเฉียงเหนือ", A1586&lt;60, "ภาคเหนือ", A1586&lt;80, "ภาคกลาง/ตะวันตก", A1586&gt;=80, "ภาคใต้")</f>
        <v>ภาคเหนือ</v>
      </c>
      <c r="D1586" s="64">
        <v>5607</v>
      </c>
      <c r="E1586" s="10" t="s">
        <v>1903</v>
      </c>
      <c r="F1586" s="11">
        <v>19516</v>
      </c>
      <c r="G1586" s="11">
        <v>19440</v>
      </c>
      <c r="H1586" s="11">
        <v>38956</v>
      </c>
      <c r="I1586" s="11">
        <v>12990</v>
      </c>
      <c r="J1586" s="66">
        <f t="shared" si="94"/>
        <v>50.097545949276103</v>
      </c>
      <c r="K1586" s="66">
        <f t="shared" si="95"/>
        <v>49.902454050723897</v>
      </c>
    </row>
    <row r="1587" spans="1:11" x14ac:dyDescent="0.3">
      <c r="A1587" s="10">
        <v>56</v>
      </c>
      <c r="B1587" s="10" t="s">
        <v>1896</v>
      </c>
      <c r="C1587" s="10" t="str" cm="1">
        <f t="array" ref="C1587">_xlfn.IFS(A1587&lt;20, "ภาคกลาง", A1587&lt;30, "ภาคตะวันออก", A1587&lt;50, "ภาคตะวันออกเฉียงเหนือ", A1587&lt;60, "ภาคเหนือ", A1587&lt;80, "ภาคกลาง/ตะวันตก", A1587&gt;=80, "ภาคใต้")</f>
        <v>ภาคเหนือ</v>
      </c>
      <c r="D1587" s="64">
        <v>5608</v>
      </c>
      <c r="E1587" s="10" t="s">
        <v>1904</v>
      </c>
      <c r="F1587" s="11">
        <v>9510</v>
      </c>
      <c r="G1587" s="11">
        <v>10179</v>
      </c>
      <c r="H1587" s="11">
        <v>19689</v>
      </c>
      <c r="I1587" s="11">
        <v>9722</v>
      </c>
      <c r="J1587" s="66">
        <f t="shared" si="94"/>
        <v>48.301081822337345</v>
      </c>
      <c r="K1587" s="66">
        <f t="shared" si="95"/>
        <v>51.698918177662655</v>
      </c>
    </row>
    <row r="1588" spans="1:11" x14ac:dyDescent="0.3">
      <c r="A1588" s="10">
        <v>56</v>
      </c>
      <c r="B1588" s="10" t="s">
        <v>1896</v>
      </c>
      <c r="C1588" s="10" t="str" cm="1">
        <f t="array" ref="C1588">_xlfn.IFS(A1588&lt;20, "ภาคกลาง", A1588&lt;30, "ภาคตะวันออก", A1588&lt;50, "ภาคตะวันออกเฉียงเหนือ", A1588&lt;60, "ภาคเหนือ", A1588&lt;80, "ภาคกลาง/ตะวันตก", A1588&gt;=80, "ภาคใต้")</f>
        <v>ภาคเหนือ</v>
      </c>
      <c r="D1588" s="64">
        <v>5609</v>
      </c>
      <c r="E1588" s="10" t="s">
        <v>1905</v>
      </c>
      <c r="F1588" s="11">
        <v>11866</v>
      </c>
      <c r="G1588" s="11">
        <v>12197</v>
      </c>
      <c r="H1588" s="11">
        <v>24063</v>
      </c>
      <c r="I1588" s="11">
        <v>9964</v>
      </c>
      <c r="J1588" s="66">
        <f t="shared" si="94"/>
        <v>49.312222083696959</v>
      </c>
      <c r="K1588" s="66">
        <f t="shared" si="95"/>
        <v>50.687777916303034</v>
      </c>
    </row>
    <row r="1589" spans="1:11" x14ac:dyDescent="0.3">
      <c r="A1589" s="10">
        <v>56</v>
      </c>
      <c r="B1589" s="10" t="s">
        <v>1896</v>
      </c>
      <c r="C1589" s="10" t="str" cm="1">
        <f t="array" ref="C1589">_xlfn.IFS(A1589&lt;20, "ภาคกลาง", A1589&lt;30, "ภาคตะวันออก", A1589&lt;50, "ภาคตะวันออกเฉียงเหนือ", A1589&lt;60, "ภาคเหนือ", A1589&lt;80, "ภาคกลาง/ตะวันตก", A1589&gt;=80, "ภาคใต้")</f>
        <v>ภาคเหนือ</v>
      </c>
      <c r="D1589" s="64">
        <v>5677</v>
      </c>
      <c r="E1589" s="10" t="s">
        <v>1906</v>
      </c>
      <c r="F1589" s="11">
        <v>5899</v>
      </c>
      <c r="G1589" s="11">
        <v>6454</v>
      </c>
      <c r="H1589" s="11">
        <v>12353</v>
      </c>
      <c r="I1589" s="11">
        <v>5229</v>
      </c>
      <c r="J1589" s="66">
        <f t="shared" si="94"/>
        <v>47.753582125799397</v>
      </c>
      <c r="K1589" s="66">
        <f t="shared" si="95"/>
        <v>52.246417874200603</v>
      </c>
    </row>
    <row r="1590" spans="1:11" x14ac:dyDescent="0.3">
      <c r="A1590" s="10">
        <v>56</v>
      </c>
      <c r="B1590" s="10" t="s">
        <v>1896</v>
      </c>
      <c r="C1590" s="10" t="str" cm="1">
        <f t="array" ref="C1590">_xlfn.IFS(A1590&lt;20, "ภาคกลาง", A1590&lt;30, "ภาคตะวันออก", A1590&lt;50, "ภาคตะวันออกเฉียงเหนือ", A1590&lt;60, "ภาคเหนือ", A1590&lt;80, "ภาคกลาง/ตะวันตก", A1590&gt;=80, "ภาคใต้")</f>
        <v>ภาคเหนือ</v>
      </c>
      <c r="D1590" s="64">
        <v>5678</v>
      </c>
      <c r="E1590" s="10" t="s">
        <v>1907</v>
      </c>
      <c r="F1590" s="11">
        <v>5725</v>
      </c>
      <c r="G1590" s="11">
        <v>6798</v>
      </c>
      <c r="H1590" s="11">
        <v>12523</v>
      </c>
      <c r="I1590" s="11">
        <v>7678</v>
      </c>
      <c r="J1590" s="66">
        <f t="shared" si="94"/>
        <v>45.715882775692727</v>
      </c>
      <c r="K1590" s="66">
        <f t="shared" si="95"/>
        <v>54.284117224307273</v>
      </c>
    </row>
    <row r="1591" spans="1:11" ht="27.6" x14ac:dyDescent="0.3">
      <c r="A1591" s="10">
        <v>56</v>
      </c>
      <c r="B1591" s="10" t="s">
        <v>1896</v>
      </c>
      <c r="C1591" s="10" t="str" cm="1">
        <f t="array" ref="C1591">_xlfn.IFS(A1591&lt;20, "ภาคกลาง", A1591&lt;30, "ภาคตะวันออก", A1591&lt;50, "ภาคตะวันออกเฉียงเหนือ", A1591&lt;60, "ภาคเหนือ", A1591&lt;80, "ภาคกลาง/ตะวันตก", A1591&gt;=80, "ภาคใต้")</f>
        <v>ภาคเหนือ</v>
      </c>
      <c r="D1591" s="64">
        <v>5679</v>
      </c>
      <c r="E1591" s="10" t="s">
        <v>1908</v>
      </c>
      <c r="F1591" s="11">
        <v>4062</v>
      </c>
      <c r="G1591" s="11">
        <v>4446</v>
      </c>
      <c r="H1591" s="11">
        <v>8508</v>
      </c>
      <c r="I1591" s="11">
        <v>3426</v>
      </c>
      <c r="J1591" s="66">
        <f t="shared" si="94"/>
        <v>47.743300423131167</v>
      </c>
      <c r="K1591" s="66">
        <f t="shared" si="95"/>
        <v>52.256699576868826</v>
      </c>
    </row>
    <row r="1592" spans="1:11" x14ac:dyDescent="0.3">
      <c r="A1592" s="10">
        <v>56</v>
      </c>
      <c r="B1592" s="10" t="s">
        <v>1896</v>
      </c>
      <c r="C1592" s="10" t="str" cm="1">
        <f t="array" ref="C1592">_xlfn.IFS(A1592&lt;20, "ภาคกลาง", A1592&lt;30, "ภาคตะวันออก", A1592&lt;50, "ภาคตะวันออกเฉียงเหนือ", A1592&lt;60, "ภาคเหนือ", A1592&lt;80, "ภาคกลาง/ตะวันตก", A1592&gt;=80, "ภาคใต้")</f>
        <v>ภาคเหนือ</v>
      </c>
      <c r="D1592" s="64">
        <v>5680</v>
      </c>
      <c r="E1592" s="10" t="s">
        <v>1909</v>
      </c>
      <c r="F1592" s="11">
        <v>4206</v>
      </c>
      <c r="G1592" s="11">
        <v>4464</v>
      </c>
      <c r="H1592" s="11">
        <v>8670</v>
      </c>
      <c r="I1592" s="11">
        <v>3844</v>
      </c>
      <c r="J1592" s="66">
        <f t="shared" si="94"/>
        <v>48.512110726643598</v>
      </c>
      <c r="K1592" s="66">
        <f t="shared" si="95"/>
        <v>51.487889273356402</v>
      </c>
    </row>
    <row r="1593" spans="1:11" x14ac:dyDescent="0.3">
      <c r="A1593" s="10">
        <v>56</v>
      </c>
      <c r="B1593" s="10" t="s">
        <v>1896</v>
      </c>
      <c r="C1593" s="10" t="str" cm="1">
        <f t="array" ref="C1593">_xlfn.IFS(A1593&lt;20, "ภาคกลาง", A1593&lt;30, "ภาคตะวันออก", A1593&lt;50, "ภาคตะวันออกเฉียงเหนือ", A1593&lt;60, "ภาคเหนือ", A1593&lt;80, "ภาคกลาง/ตะวันตก", A1593&gt;=80, "ภาคใต้")</f>
        <v>ภาคเหนือ</v>
      </c>
      <c r="D1593" s="64">
        <v>5681</v>
      </c>
      <c r="E1593" s="10" t="s">
        <v>1910</v>
      </c>
      <c r="F1593" s="11">
        <v>2842</v>
      </c>
      <c r="G1593" s="11">
        <v>3077</v>
      </c>
      <c r="H1593" s="11">
        <v>5919</v>
      </c>
      <c r="I1593" s="11">
        <v>2742</v>
      </c>
      <c r="J1593" s="66">
        <f t="shared" si="94"/>
        <v>48.014867376245988</v>
      </c>
      <c r="K1593" s="66">
        <f t="shared" si="95"/>
        <v>51.985132623754012</v>
      </c>
    </row>
    <row r="1594" spans="1:11" x14ac:dyDescent="0.3">
      <c r="A1594" s="10">
        <v>56</v>
      </c>
      <c r="B1594" s="10" t="s">
        <v>1896</v>
      </c>
      <c r="C1594" s="10" t="str" cm="1">
        <f t="array" ref="C1594">_xlfn.IFS(A1594&lt;20, "ภาคกลาง", A1594&lt;30, "ภาคตะวันออก", A1594&lt;50, "ภาคตะวันออกเฉียงเหนือ", A1594&lt;60, "ภาคเหนือ", A1594&lt;80, "ภาคกลาง/ตะวันตก", A1594&gt;=80, "ภาคใต้")</f>
        <v>ภาคเหนือ</v>
      </c>
      <c r="D1594" s="64">
        <v>5682</v>
      </c>
      <c r="E1594" s="10" t="s">
        <v>1911</v>
      </c>
      <c r="F1594" s="11">
        <v>3112</v>
      </c>
      <c r="G1594" s="11">
        <v>3372</v>
      </c>
      <c r="H1594" s="11">
        <v>6484</v>
      </c>
      <c r="I1594" s="11">
        <v>2883</v>
      </c>
      <c r="J1594" s="66">
        <f t="shared" si="94"/>
        <v>47.995064774830354</v>
      </c>
      <c r="K1594" s="66">
        <f t="shared" si="95"/>
        <v>52.004935225169646</v>
      </c>
    </row>
    <row r="1595" spans="1:11" ht="27.6" x14ac:dyDescent="0.3">
      <c r="A1595" s="10">
        <v>56</v>
      </c>
      <c r="B1595" s="10" t="s">
        <v>1896</v>
      </c>
      <c r="C1595" s="10" t="str" cm="1">
        <f t="array" ref="C1595">_xlfn.IFS(A1595&lt;20, "ภาคกลาง", A1595&lt;30, "ภาคตะวันออก", A1595&lt;50, "ภาคตะวันออกเฉียงเหนือ", A1595&lt;60, "ภาคเหนือ", A1595&lt;80, "ภาคกลาง/ตะวันตก", A1595&gt;=80, "ภาคใต้")</f>
        <v>ภาคเหนือ</v>
      </c>
      <c r="D1595" s="64">
        <v>5683</v>
      </c>
      <c r="E1595" s="10" t="s">
        <v>1912</v>
      </c>
      <c r="F1595" s="11">
        <v>4258</v>
      </c>
      <c r="G1595" s="11">
        <v>4547</v>
      </c>
      <c r="H1595" s="11">
        <v>8805</v>
      </c>
      <c r="I1595" s="11">
        <v>4109</v>
      </c>
      <c r="J1595" s="66">
        <f t="shared" si="94"/>
        <v>48.358886996024985</v>
      </c>
      <c r="K1595" s="66">
        <f t="shared" si="95"/>
        <v>51.641113003975015</v>
      </c>
    </row>
    <row r="1596" spans="1:11" x14ac:dyDescent="0.3">
      <c r="A1596" s="10">
        <v>56</v>
      </c>
      <c r="B1596" s="10" t="s">
        <v>1896</v>
      </c>
      <c r="C1596" s="10" t="str" cm="1">
        <f t="array" ref="C1596">_xlfn.IFS(A1596&lt;20, "ภาคกลาง", A1596&lt;30, "ภาคตะวันออก", A1596&lt;50, "ภาคตะวันออกเฉียงเหนือ", A1596&lt;60, "ภาคเหนือ", A1596&lt;80, "ภาคกลาง/ตะวันตก", A1596&gt;=80, "ภาคใต้")</f>
        <v>ภาคเหนือ</v>
      </c>
      <c r="D1596" s="64">
        <v>5684</v>
      </c>
      <c r="E1596" s="10" t="s">
        <v>1913</v>
      </c>
      <c r="F1596" s="11">
        <v>3653</v>
      </c>
      <c r="G1596" s="11">
        <v>3875</v>
      </c>
      <c r="H1596" s="11">
        <v>7528</v>
      </c>
      <c r="I1596" s="11">
        <v>3059</v>
      </c>
      <c r="J1596" s="66">
        <f t="shared" si="94"/>
        <v>48.525504782146648</v>
      </c>
      <c r="K1596" s="66">
        <f t="shared" si="95"/>
        <v>51.474495217853345</v>
      </c>
    </row>
    <row r="1597" spans="1:11" x14ac:dyDescent="0.3">
      <c r="A1597" s="10">
        <v>56</v>
      </c>
      <c r="B1597" s="10" t="s">
        <v>1896</v>
      </c>
      <c r="C1597" s="10" t="str" cm="1">
        <f t="array" ref="C1597">_xlfn.IFS(A1597&lt;20, "ภาคกลาง", A1597&lt;30, "ภาคตะวันออก", A1597&lt;50, "ภาคตะวันออกเฉียงเหนือ", A1597&lt;60, "ภาคเหนือ", A1597&lt;80, "ภาคกลาง/ตะวันตก", A1597&gt;=80, "ภาคใต้")</f>
        <v>ภาคเหนือ</v>
      </c>
      <c r="D1597" s="64">
        <v>5685</v>
      </c>
      <c r="E1597" s="10" t="s">
        <v>1914</v>
      </c>
      <c r="F1597" s="11">
        <v>6053</v>
      </c>
      <c r="G1597" s="11">
        <v>6589</v>
      </c>
      <c r="H1597" s="11">
        <v>12642</v>
      </c>
      <c r="I1597" s="11">
        <v>7344</v>
      </c>
      <c r="J1597" s="66">
        <f t="shared" si="94"/>
        <v>47.880082265464324</v>
      </c>
      <c r="K1597" s="66">
        <f t="shared" si="95"/>
        <v>52.119917734535669</v>
      </c>
    </row>
    <row r="1598" spans="1:11" x14ac:dyDescent="0.3">
      <c r="A1598" s="10">
        <v>56</v>
      </c>
      <c r="B1598" s="10" t="s">
        <v>1896</v>
      </c>
      <c r="C1598" s="10" t="str" cm="1">
        <f t="array" ref="C1598">_xlfn.IFS(A1598&lt;20, "ภาคกลาง", A1598&lt;30, "ภาคตะวันออก", A1598&lt;50, "ภาคตะวันออกเฉียงเหนือ", A1598&lt;60, "ภาคเหนือ", A1598&lt;80, "ภาคกลาง/ตะวันตก", A1598&gt;=80, "ภาคใต้")</f>
        <v>ภาคเหนือ</v>
      </c>
      <c r="D1598" s="64">
        <v>5686</v>
      </c>
      <c r="E1598" s="10" t="s">
        <v>1915</v>
      </c>
      <c r="F1598" s="11">
        <v>4281</v>
      </c>
      <c r="G1598" s="11">
        <v>4500</v>
      </c>
      <c r="H1598" s="11">
        <v>8781</v>
      </c>
      <c r="I1598" s="11">
        <v>3552</v>
      </c>
      <c r="J1598" s="66">
        <f t="shared" si="94"/>
        <v>48.752989408951144</v>
      </c>
      <c r="K1598" s="66">
        <f t="shared" si="95"/>
        <v>51.247010591048856</v>
      </c>
    </row>
    <row r="1599" spans="1:11" ht="27.6" x14ac:dyDescent="0.3">
      <c r="A1599" s="10">
        <v>56</v>
      </c>
      <c r="B1599" s="10" t="s">
        <v>1896</v>
      </c>
      <c r="C1599" s="10" t="str" cm="1">
        <f t="array" ref="C1599">_xlfn.IFS(A1599&lt;20, "ภาคกลาง", A1599&lt;30, "ภาคตะวันออก", A1599&lt;50, "ภาคตะวันออกเฉียงเหนือ", A1599&lt;60, "ภาคเหนือ", A1599&lt;80, "ภาคกลาง/ตะวันตก", A1599&gt;=80, "ภาคใต้")</f>
        <v>ภาคเหนือ</v>
      </c>
      <c r="D1599" s="64">
        <v>5687</v>
      </c>
      <c r="E1599" s="10" t="s">
        <v>1916</v>
      </c>
      <c r="F1599" s="11">
        <v>3352</v>
      </c>
      <c r="G1599" s="11">
        <v>3590</v>
      </c>
      <c r="H1599" s="11">
        <v>6942</v>
      </c>
      <c r="I1599" s="11">
        <v>3373</v>
      </c>
      <c r="J1599" s="66">
        <f t="shared" si="94"/>
        <v>48.285796600403344</v>
      </c>
      <c r="K1599" s="66">
        <f t="shared" si="95"/>
        <v>51.714203399596656</v>
      </c>
    </row>
    <row r="1600" spans="1:11" x14ac:dyDescent="0.3">
      <c r="A1600" s="10">
        <v>56</v>
      </c>
      <c r="B1600" s="10" t="s">
        <v>1896</v>
      </c>
      <c r="C1600" s="10" t="str" cm="1">
        <f t="array" ref="C1600">_xlfn.IFS(A1600&lt;20, "ภาคกลาง", A1600&lt;30, "ภาคตะวันออก", A1600&lt;50, "ภาคตะวันออกเฉียงเหนือ", A1600&lt;60, "ภาคเหนือ", A1600&lt;80, "ภาคกลาง/ตะวันตก", A1600&gt;=80, "ภาคใต้")</f>
        <v>ภาคเหนือ</v>
      </c>
      <c r="D1600" s="64">
        <v>5688</v>
      </c>
      <c r="E1600" s="10" t="s">
        <v>1917</v>
      </c>
      <c r="F1600" s="11">
        <v>7926</v>
      </c>
      <c r="G1600" s="11">
        <v>7772</v>
      </c>
      <c r="H1600" s="11">
        <v>15698</v>
      </c>
      <c r="I1600" s="11">
        <v>10113</v>
      </c>
      <c r="J1600" s="66">
        <f t="shared" si="94"/>
        <v>50.49050834501211</v>
      </c>
      <c r="K1600" s="66">
        <f t="shared" si="95"/>
        <v>49.509491654987897</v>
      </c>
    </row>
    <row r="1601" spans="1:11" x14ac:dyDescent="0.3">
      <c r="A1601" s="10">
        <v>56</v>
      </c>
      <c r="B1601" s="10" t="s">
        <v>1896</v>
      </c>
      <c r="C1601" s="10" t="str" cm="1">
        <f t="array" ref="C1601">_xlfn.IFS(A1601&lt;20, "ภาคกลาง", A1601&lt;30, "ภาคตะวันออก", A1601&lt;50, "ภาคตะวันออกเฉียงเหนือ", A1601&lt;60, "ภาคเหนือ", A1601&lt;80, "ภาคกลาง/ตะวันตก", A1601&gt;=80, "ภาคใต้")</f>
        <v>ภาคเหนือ</v>
      </c>
      <c r="D1601" s="64">
        <v>5689</v>
      </c>
      <c r="E1601" s="10" t="s">
        <v>1918</v>
      </c>
      <c r="F1601" s="11">
        <v>3703</v>
      </c>
      <c r="G1601" s="11">
        <v>4262</v>
      </c>
      <c r="H1601" s="11">
        <v>7965</v>
      </c>
      <c r="I1601" s="11">
        <v>3711</v>
      </c>
      <c r="J1601" s="66">
        <f t="shared" si="94"/>
        <v>46.490897677338353</v>
      </c>
      <c r="K1601" s="66">
        <f t="shared" si="95"/>
        <v>53.509102322661647</v>
      </c>
    </row>
    <row r="1602" spans="1:11" x14ac:dyDescent="0.3">
      <c r="A1602" s="10">
        <v>56</v>
      </c>
      <c r="B1602" s="10" t="s">
        <v>1896</v>
      </c>
      <c r="C1602" s="10" t="str" cm="1">
        <f t="array" ref="C1602">_xlfn.IFS(A1602&lt;20, "ภาคกลาง", A1602&lt;30, "ภาคตะวันออก", A1602&lt;50, "ภาคตะวันออกเฉียงเหนือ", A1602&lt;60, "ภาคเหนือ", A1602&lt;80, "ภาคกลาง/ตะวันตก", A1602&gt;=80, "ภาคใต้")</f>
        <v>ภาคเหนือ</v>
      </c>
      <c r="D1602" s="64">
        <v>5690</v>
      </c>
      <c r="E1602" s="10" t="s">
        <v>1919</v>
      </c>
      <c r="F1602" s="11">
        <v>3970</v>
      </c>
      <c r="G1602" s="11">
        <v>4310</v>
      </c>
      <c r="H1602" s="11">
        <v>8280</v>
      </c>
      <c r="I1602" s="11">
        <v>3669</v>
      </c>
      <c r="J1602" s="66">
        <f t="shared" si="94"/>
        <v>47.946859903381643</v>
      </c>
      <c r="K1602" s="66">
        <f t="shared" si="95"/>
        <v>52.053140096618357</v>
      </c>
    </row>
    <row r="1603" spans="1:11" x14ac:dyDescent="0.3">
      <c r="A1603" s="10">
        <v>56</v>
      </c>
      <c r="B1603" s="10" t="s">
        <v>1896</v>
      </c>
      <c r="C1603" s="10" t="str" cm="1">
        <f t="array" ref="C1603">_xlfn.IFS(A1603&lt;20, "ภาคกลาง", A1603&lt;30, "ภาคตะวันออก", A1603&lt;50, "ภาคตะวันออกเฉียงเหนือ", A1603&lt;60, "ภาคเหนือ", A1603&lt;80, "ภาคกลาง/ตะวันตก", A1603&gt;=80, "ภาคใต้")</f>
        <v>ภาคเหนือ</v>
      </c>
      <c r="D1603" s="64">
        <v>5691</v>
      </c>
      <c r="E1603" s="10" t="s">
        <v>1920</v>
      </c>
      <c r="F1603" s="11">
        <v>2286</v>
      </c>
      <c r="G1603" s="11">
        <v>2488</v>
      </c>
      <c r="H1603" s="11">
        <v>4774</v>
      </c>
      <c r="I1603" s="11">
        <v>2242</v>
      </c>
      <c r="J1603" s="66">
        <f t="shared" si="94"/>
        <v>47.884373690825306</v>
      </c>
      <c r="K1603" s="66">
        <f t="shared" si="95"/>
        <v>52.115626309174701</v>
      </c>
    </row>
    <row r="1604" spans="1:11" x14ac:dyDescent="0.3">
      <c r="A1604" s="10">
        <v>56</v>
      </c>
      <c r="B1604" s="10" t="s">
        <v>1896</v>
      </c>
      <c r="C1604" s="10" t="str" cm="1">
        <f t="array" ref="C1604">_xlfn.IFS(A1604&lt;20, "ภาคกลาง", A1604&lt;30, "ภาคตะวันออก", A1604&lt;50, "ภาคตะวันออกเฉียงเหนือ", A1604&lt;60, "ภาคเหนือ", A1604&lt;80, "ภาคกลาง/ตะวันตก", A1604&gt;=80, "ภาคใต้")</f>
        <v>ภาคเหนือ</v>
      </c>
      <c r="D1604" s="64">
        <v>5692</v>
      </c>
      <c r="E1604" s="10" t="s">
        <v>1921</v>
      </c>
      <c r="F1604" s="11">
        <v>2514</v>
      </c>
      <c r="G1604" s="11">
        <v>2794</v>
      </c>
      <c r="H1604" s="11">
        <v>5308</v>
      </c>
      <c r="I1604" s="11">
        <v>2883</v>
      </c>
      <c r="J1604" s="66">
        <f t="shared" si="94"/>
        <v>47.362471740768655</v>
      </c>
      <c r="K1604" s="66">
        <f t="shared" si="95"/>
        <v>52.637528259231345</v>
      </c>
    </row>
    <row r="1605" spans="1:11" ht="27.6" x14ac:dyDescent="0.3">
      <c r="A1605" s="10">
        <v>56</v>
      </c>
      <c r="B1605" s="10" t="s">
        <v>1896</v>
      </c>
      <c r="C1605" s="10" t="str" cm="1">
        <f t="array" ref="C1605">_xlfn.IFS(A1605&lt;20, "ภาคกลาง", A1605&lt;30, "ภาคตะวันออก", A1605&lt;50, "ภาคตะวันออกเฉียงเหนือ", A1605&lt;60, "ภาคเหนือ", A1605&lt;80, "ภาคกลาง/ตะวันตก", A1605&gt;=80, "ภาคใต้")</f>
        <v>ภาคเหนือ</v>
      </c>
      <c r="D1605" s="64">
        <v>5693</v>
      </c>
      <c r="E1605" s="10" t="s">
        <v>1922</v>
      </c>
      <c r="F1605" s="11">
        <v>3198</v>
      </c>
      <c r="G1605" s="11">
        <v>3244</v>
      </c>
      <c r="H1605" s="11">
        <v>6442</v>
      </c>
      <c r="I1605" s="11">
        <v>2543</v>
      </c>
      <c r="J1605" s="66">
        <f t="shared" si="94"/>
        <v>49.642968022353308</v>
      </c>
      <c r="K1605" s="66">
        <f t="shared" si="95"/>
        <v>50.357031977646692</v>
      </c>
    </row>
    <row r="1606" spans="1:11" x14ac:dyDescent="0.3">
      <c r="A1606" s="10">
        <v>56</v>
      </c>
      <c r="B1606" s="10" t="s">
        <v>1896</v>
      </c>
      <c r="C1606" s="10" t="str" cm="1">
        <f t="array" ref="C1606">_xlfn.IFS(A1606&lt;20, "ภาคกลาง", A1606&lt;30, "ภาคตะวันออก", A1606&lt;50, "ภาคตะวันออกเฉียงเหนือ", A1606&lt;60, "ภาคเหนือ", A1606&lt;80, "ภาคกลาง/ตะวันตก", A1606&gt;=80, "ภาคใต้")</f>
        <v>ภาคเหนือ</v>
      </c>
      <c r="D1606" s="64">
        <v>5694</v>
      </c>
      <c r="E1606" s="10" t="s">
        <v>1923</v>
      </c>
      <c r="F1606" s="11">
        <v>5513</v>
      </c>
      <c r="G1606" s="11">
        <v>6479</v>
      </c>
      <c r="H1606" s="11">
        <v>11992</v>
      </c>
      <c r="I1606" s="11">
        <v>5484</v>
      </c>
      <c r="J1606" s="66">
        <f t="shared" si="94"/>
        <v>45.972314876584392</v>
      </c>
      <c r="K1606" s="66">
        <f t="shared" si="95"/>
        <v>54.027685123415615</v>
      </c>
    </row>
    <row r="1607" spans="1:11" ht="27.6" x14ac:dyDescent="0.3">
      <c r="A1607" s="10">
        <v>56</v>
      </c>
      <c r="B1607" s="10" t="s">
        <v>1896</v>
      </c>
      <c r="C1607" s="10" t="str" cm="1">
        <f t="array" ref="C1607">_xlfn.IFS(A1607&lt;20, "ภาคกลาง", A1607&lt;30, "ภาคตะวันออก", A1607&lt;50, "ภาคตะวันออกเฉียงเหนือ", A1607&lt;60, "ภาคเหนือ", A1607&lt;80, "ภาคกลาง/ตะวันตก", A1607&gt;=80, "ภาคใต้")</f>
        <v>ภาคเหนือ</v>
      </c>
      <c r="D1607" s="64">
        <v>5695</v>
      </c>
      <c r="E1607" s="10" t="s">
        <v>1924</v>
      </c>
      <c r="F1607" s="11">
        <v>3978</v>
      </c>
      <c r="G1607" s="11">
        <v>3985</v>
      </c>
      <c r="H1607" s="11">
        <v>7963</v>
      </c>
      <c r="I1607" s="11">
        <v>3442</v>
      </c>
      <c r="J1607" s="66">
        <f t="shared" si="94"/>
        <v>49.956046716061785</v>
      </c>
      <c r="K1607" s="66">
        <f t="shared" si="95"/>
        <v>50.043953283938215</v>
      </c>
    </row>
    <row r="1608" spans="1:11" x14ac:dyDescent="0.3">
      <c r="A1608" s="10">
        <v>56</v>
      </c>
      <c r="B1608" s="10" t="s">
        <v>1896</v>
      </c>
      <c r="C1608" s="10" t="str" cm="1">
        <f t="array" ref="C1608">_xlfn.IFS(A1608&lt;20, "ภาคกลาง", A1608&lt;30, "ภาคตะวันออก", A1608&lt;50, "ภาคตะวันออกเฉียงเหนือ", A1608&lt;60, "ภาคเหนือ", A1608&lt;80, "ภาคกลาง/ตะวันตก", A1608&gt;=80, "ภาคใต้")</f>
        <v>ภาคเหนือ</v>
      </c>
      <c r="D1608" s="64">
        <v>5696</v>
      </c>
      <c r="E1608" s="10" t="s">
        <v>1925</v>
      </c>
      <c r="F1608" s="11">
        <v>4105</v>
      </c>
      <c r="G1608" s="11">
        <v>4287</v>
      </c>
      <c r="H1608" s="11">
        <v>8392</v>
      </c>
      <c r="I1608" s="11">
        <v>3970</v>
      </c>
      <c r="J1608" s="66">
        <f t="shared" si="94"/>
        <v>48.915633937082937</v>
      </c>
      <c r="K1608" s="66">
        <f t="shared" si="95"/>
        <v>51.084366062917063</v>
      </c>
    </row>
    <row r="1609" spans="1:11" x14ac:dyDescent="0.3">
      <c r="A1609" s="10">
        <v>56</v>
      </c>
      <c r="B1609" s="10" t="s">
        <v>1896</v>
      </c>
      <c r="C1609" s="10" t="str" cm="1">
        <f t="array" ref="C1609">_xlfn.IFS(A1609&lt;20, "ภาคกลาง", A1609&lt;30, "ภาคตะวันออก", A1609&lt;50, "ภาคตะวันออกเฉียงเหนือ", A1609&lt;60, "ภาคเหนือ", A1609&lt;80, "ภาคกลาง/ตะวันตก", A1609&gt;=80, "ภาคใต้")</f>
        <v>ภาคเหนือ</v>
      </c>
      <c r="D1609" s="64">
        <v>5697</v>
      </c>
      <c r="E1609" s="10" t="s">
        <v>1926</v>
      </c>
      <c r="F1609" s="11">
        <v>2572</v>
      </c>
      <c r="G1609" s="11">
        <v>2727</v>
      </c>
      <c r="H1609" s="11">
        <v>5299</v>
      </c>
      <c r="I1609" s="11">
        <v>2344</v>
      </c>
      <c r="J1609" s="66">
        <f t="shared" si="94"/>
        <v>48.537459898093985</v>
      </c>
      <c r="K1609" s="66">
        <f t="shared" si="95"/>
        <v>51.462540101906015</v>
      </c>
    </row>
    <row r="1610" spans="1:11" ht="27.6" x14ac:dyDescent="0.3">
      <c r="A1610" s="10">
        <v>56</v>
      </c>
      <c r="B1610" s="10" t="s">
        <v>1896</v>
      </c>
      <c r="C1610" s="10" t="str" cm="1">
        <f t="array" ref="C1610">_xlfn.IFS(A1610&lt;20, "ภาคกลาง", A1610&lt;30, "ภาคตะวันออก", A1610&lt;50, "ภาคตะวันออกเฉียงเหนือ", A1610&lt;60, "ภาคเหนือ", A1610&lt;80, "ภาคกลาง/ตะวันตก", A1610&gt;=80, "ภาคใต้")</f>
        <v>ภาคเหนือ</v>
      </c>
      <c r="D1610" s="64">
        <v>5698</v>
      </c>
      <c r="E1610" s="10" t="s">
        <v>1927</v>
      </c>
      <c r="F1610" s="11">
        <v>2670</v>
      </c>
      <c r="G1610" s="11">
        <v>3295</v>
      </c>
      <c r="H1610" s="11">
        <v>5965</v>
      </c>
      <c r="I1610" s="11">
        <v>3778</v>
      </c>
      <c r="J1610" s="66">
        <f t="shared" si="94"/>
        <v>44.761106454316845</v>
      </c>
      <c r="K1610" s="66">
        <f t="shared" si="95"/>
        <v>55.238893545683155</v>
      </c>
    </row>
    <row r="1611" spans="1:11" x14ac:dyDescent="0.3">
      <c r="A1611" s="10">
        <v>56</v>
      </c>
      <c r="B1611" s="10" t="s">
        <v>1896</v>
      </c>
      <c r="C1611" s="10" t="str" cm="1">
        <f t="array" ref="C1611">_xlfn.IFS(A1611&lt;20, "ภาคกลาง", A1611&lt;30, "ภาคตะวันออก", A1611&lt;50, "ภาคตะวันออกเฉียงเหนือ", A1611&lt;60, "ภาคเหนือ", A1611&lt;80, "ภาคกลาง/ตะวันตก", A1611&gt;=80, "ภาคใต้")</f>
        <v>ภาคเหนือ</v>
      </c>
      <c r="D1611" s="64">
        <v>5699</v>
      </c>
      <c r="E1611" s="10" t="s">
        <v>1928</v>
      </c>
      <c r="F1611" s="11">
        <v>3804</v>
      </c>
      <c r="G1611" s="11">
        <v>4189</v>
      </c>
      <c r="H1611" s="11">
        <v>7993</v>
      </c>
      <c r="I1611" s="11">
        <v>4473</v>
      </c>
      <c r="J1611" s="66">
        <f t="shared" si="94"/>
        <v>47.591642687351431</v>
      </c>
      <c r="K1611" s="66">
        <f t="shared" si="95"/>
        <v>52.408357312648569</v>
      </c>
    </row>
    <row r="1612" spans="1:11" hidden="1" x14ac:dyDescent="0.3">
      <c r="A1612" s="10">
        <v>56</v>
      </c>
      <c r="B1612" s="10" t="s">
        <v>1896</v>
      </c>
      <c r="C1612" s="10" t="str" cm="1">
        <f t="array" ref="C1612">_xlfn.IFS(A1612&lt;20, "ภาคกลาง", A1612&lt;30, "ภาคตะวันออก", A1612&lt;50, "ภาคตะวันออกเฉียงเหนือ", A1612&lt;60, "ภาคเหนือ", A1612&lt;80, "ภาคกลาง/ตะวันตก", A1612&gt;=80, "ภาคใต้")</f>
        <v>ภาคเหนือ</v>
      </c>
      <c r="D1612" s="10">
        <v>0</v>
      </c>
      <c r="E1612" s="10" t="s">
        <v>343</v>
      </c>
      <c r="F1612" s="11">
        <v>7067</v>
      </c>
      <c r="G1612" s="11">
        <v>8352</v>
      </c>
      <c r="H1612" s="11">
        <v>15419</v>
      </c>
      <c r="I1612" s="11">
        <v>8412</v>
      </c>
      <c r="J1612"/>
      <c r="K1612"/>
    </row>
    <row r="1613" spans="1:11" x14ac:dyDescent="0.3">
      <c r="A1613" s="10">
        <v>57</v>
      </c>
      <c r="B1613" s="10" t="s">
        <v>1929</v>
      </c>
      <c r="C1613" s="10" t="str" cm="1">
        <f t="array" ref="C1613">_xlfn.IFS(A1613&lt;20, "ภาคกลาง", A1613&lt;30, "ภาคตะวันออก", A1613&lt;50, "ภาคตะวันออกเฉียงเหนือ", A1613&lt;60, "ภาคเหนือ", A1613&lt;80, "ภาคกลาง/ตะวันตก", A1613&gt;=80, "ภาคใต้")</f>
        <v>ภาคเหนือ</v>
      </c>
      <c r="D1613" s="64">
        <v>5701</v>
      </c>
      <c r="E1613" s="10" t="s">
        <v>1930</v>
      </c>
      <c r="F1613" s="11">
        <v>628811</v>
      </c>
      <c r="G1613" s="11">
        <v>668846</v>
      </c>
      <c r="H1613" s="11">
        <v>1297657</v>
      </c>
      <c r="I1613" s="11">
        <v>594808</v>
      </c>
      <c r="J1613" s="66">
        <f t="shared" ref="J1613:J1666" si="96">F1613/H1613*100</f>
        <v>48.457412089635397</v>
      </c>
      <c r="K1613" s="66">
        <f t="shared" ref="K1613:K1666" si="97">G1613/H1613*100</f>
        <v>51.542587910364603</v>
      </c>
    </row>
    <row r="1614" spans="1:11" x14ac:dyDescent="0.3">
      <c r="A1614" s="10">
        <v>57</v>
      </c>
      <c r="B1614" s="10" t="s">
        <v>1929</v>
      </c>
      <c r="C1614" s="10" t="str" cm="1">
        <f t="array" ref="C1614">_xlfn.IFS(A1614&lt;20, "ภาคกลาง", A1614&lt;30, "ภาคตะวันออก", A1614&lt;50, "ภาคตะวันออกเฉียงเหนือ", A1614&lt;60, "ภาคเหนือ", A1614&lt;80, "ภาคกลาง/ตะวันตก", A1614&gt;=80, "ภาคใต้")</f>
        <v>ภาคเหนือ</v>
      </c>
      <c r="D1614" s="64">
        <v>5702</v>
      </c>
      <c r="E1614" s="10" t="s">
        <v>1931</v>
      </c>
      <c r="F1614" s="11">
        <v>52453</v>
      </c>
      <c r="G1614" s="11">
        <v>57164</v>
      </c>
      <c r="H1614" s="11">
        <v>109617</v>
      </c>
      <c r="I1614" s="11">
        <v>56840</v>
      </c>
      <c r="J1614" s="66">
        <f t="shared" si="96"/>
        <v>47.851154474214766</v>
      </c>
      <c r="K1614" s="66">
        <f t="shared" si="97"/>
        <v>52.148845525785234</v>
      </c>
    </row>
    <row r="1615" spans="1:11" x14ac:dyDescent="0.3">
      <c r="A1615" s="10">
        <v>57</v>
      </c>
      <c r="B1615" s="10" t="s">
        <v>1929</v>
      </c>
      <c r="C1615" s="10" t="str" cm="1">
        <f t="array" ref="C1615">_xlfn.IFS(A1615&lt;20, "ภาคกลาง", A1615&lt;30, "ภาคตะวันออก", A1615&lt;50, "ภาคตะวันออกเฉียงเหนือ", A1615&lt;60, "ภาคเหนือ", A1615&lt;80, "ภาคกลาง/ตะวันตก", A1615&gt;=80, "ภาคใต้")</f>
        <v>ภาคเหนือ</v>
      </c>
      <c r="D1615" s="64">
        <v>5703</v>
      </c>
      <c r="E1615" s="10" t="s">
        <v>1932</v>
      </c>
      <c r="F1615" s="11">
        <v>18740</v>
      </c>
      <c r="G1615" s="11">
        <v>19961</v>
      </c>
      <c r="H1615" s="11">
        <v>38701</v>
      </c>
      <c r="I1615" s="11">
        <v>16544</v>
      </c>
      <c r="J1615" s="66">
        <f t="shared" si="96"/>
        <v>48.422521381876436</v>
      </c>
      <c r="K1615" s="66">
        <f t="shared" si="97"/>
        <v>51.577478618123564</v>
      </c>
    </row>
    <row r="1616" spans="1:11" x14ac:dyDescent="0.3">
      <c r="A1616" s="10">
        <v>57</v>
      </c>
      <c r="B1616" s="10" t="s">
        <v>1929</v>
      </c>
      <c r="C1616" s="10" t="str" cm="1">
        <f t="array" ref="C1616">_xlfn.IFS(A1616&lt;20, "ภาคกลาง", A1616&lt;30, "ภาคตะวันออก", A1616&lt;50, "ภาคตะวันออกเฉียงเหนือ", A1616&lt;60, "ภาคเหนือ", A1616&lt;80, "ภาคกลาง/ตะวันตก", A1616&gt;=80, "ภาคใต้")</f>
        <v>ภาคเหนือ</v>
      </c>
      <c r="D1616" s="64">
        <v>5704</v>
      </c>
      <c r="E1616" s="10" t="s">
        <v>1933</v>
      </c>
      <c r="F1616" s="11">
        <v>12246</v>
      </c>
      <c r="G1616" s="11">
        <v>12689</v>
      </c>
      <c r="H1616" s="11">
        <v>24935</v>
      </c>
      <c r="I1616" s="11">
        <v>11028</v>
      </c>
      <c r="J1616" s="66">
        <f t="shared" si="96"/>
        <v>49.111690395027068</v>
      </c>
      <c r="K1616" s="66">
        <f t="shared" si="97"/>
        <v>50.888309604972925</v>
      </c>
    </row>
    <row r="1617" spans="1:11" x14ac:dyDescent="0.3">
      <c r="A1617" s="10">
        <v>57</v>
      </c>
      <c r="B1617" s="10" t="s">
        <v>1929</v>
      </c>
      <c r="C1617" s="10" t="str" cm="1">
        <f t="array" ref="C1617">_xlfn.IFS(A1617&lt;20, "ภาคกลาง", A1617&lt;30, "ภาคตะวันออก", A1617&lt;50, "ภาคตะวันออกเฉียงเหนือ", A1617&lt;60, "ภาคเหนือ", A1617&lt;80, "ภาคกลาง/ตะวันตก", A1617&gt;=80, "ภาคใต้")</f>
        <v>ภาคเหนือ</v>
      </c>
      <c r="D1617" s="64">
        <v>5705</v>
      </c>
      <c r="E1617" s="10" t="s">
        <v>1934</v>
      </c>
      <c r="F1617" s="11">
        <v>36422</v>
      </c>
      <c r="G1617" s="11">
        <v>37372</v>
      </c>
      <c r="H1617" s="11">
        <v>73794</v>
      </c>
      <c r="I1617" s="11">
        <v>30067</v>
      </c>
      <c r="J1617" s="66">
        <f t="shared" si="96"/>
        <v>49.356316231671954</v>
      </c>
      <c r="K1617" s="66">
        <f t="shared" si="97"/>
        <v>50.643683768328053</v>
      </c>
    </row>
    <row r="1618" spans="1:11" x14ac:dyDescent="0.3">
      <c r="A1618" s="10">
        <v>57</v>
      </c>
      <c r="B1618" s="10" t="s">
        <v>1929</v>
      </c>
      <c r="C1618" s="10" t="str" cm="1">
        <f t="array" ref="C1618">_xlfn.IFS(A1618&lt;20, "ภาคกลาง", A1618&lt;30, "ภาคตะวันออก", A1618&lt;50, "ภาคตะวันออกเฉียงเหนือ", A1618&lt;60, "ภาคเหนือ", A1618&lt;80, "ภาคกลาง/ตะวันตก", A1618&gt;=80, "ภาคใต้")</f>
        <v>ภาคเหนือ</v>
      </c>
      <c r="D1618" s="64">
        <v>5706</v>
      </c>
      <c r="E1618" s="10" t="s">
        <v>1935</v>
      </c>
      <c r="F1618" s="11">
        <v>52555</v>
      </c>
      <c r="G1618" s="11">
        <v>56088</v>
      </c>
      <c r="H1618" s="11">
        <v>108643</v>
      </c>
      <c r="I1618" s="11">
        <v>49947</v>
      </c>
      <c r="J1618" s="66">
        <f t="shared" si="96"/>
        <v>48.374032381285495</v>
      </c>
      <c r="K1618" s="66">
        <f t="shared" si="97"/>
        <v>51.625967618714505</v>
      </c>
    </row>
    <row r="1619" spans="1:11" x14ac:dyDescent="0.3">
      <c r="A1619" s="10">
        <v>57</v>
      </c>
      <c r="B1619" s="10" t="s">
        <v>1929</v>
      </c>
      <c r="C1619" s="10" t="str" cm="1">
        <f t="array" ref="C1619">_xlfn.IFS(A1619&lt;20, "ภาคกลาง", A1619&lt;30, "ภาคตะวันออก", A1619&lt;50, "ภาคตะวันออกเฉียงเหนือ", A1619&lt;60, "ภาคเหนือ", A1619&lt;80, "ภาคกลาง/ตะวันตก", A1619&gt;=80, "ภาคใต้")</f>
        <v>ภาคเหนือ</v>
      </c>
      <c r="D1619" s="64">
        <v>5707</v>
      </c>
      <c r="E1619" s="10" t="s">
        <v>1936</v>
      </c>
      <c r="F1619" s="11">
        <v>5714</v>
      </c>
      <c r="G1619" s="11">
        <v>5872</v>
      </c>
      <c r="H1619" s="11">
        <v>11586</v>
      </c>
      <c r="I1619" s="11">
        <v>4239</v>
      </c>
      <c r="J1619" s="66">
        <f t="shared" si="96"/>
        <v>49.318142585879507</v>
      </c>
      <c r="K1619" s="66">
        <f t="shared" si="97"/>
        <v>50.681857414120493</v>
      </c>
    </row>
    <row r="1620" spans="1:11" x14ac:dyDescent="0.3">
      <c r="A1620" s="10">
        <v>57</v>
      </c>
      <c r="B1620" s="10" t="s">
        <v>1929</v>
      </c>
      <c r="C1620" s="10" t="str" cm="1">
        <f t="array" ref="C1620">_xlfn.IFS(A1620&lt;20, "ภาคกลาง", A1620&lt;30, "ภาคตะวันออก", A1620&lt;50, "ภาคตะวันออกเฉียงเหนือ", A1620&lt;60, "ภาคเหนือ", A1620&lt;80, "ภาคกลาง/ตะวันตก", A1620&gt;=80, "ภาคใต้")</f>
        <v>ภาคเหนือ</v>
      </c>
      <c r="D1620" s="64">
        <v>5708</v>
      </c>
      <c r="E1620" s="10" t="s">
        <v>1937</v>
      </c>
      <c r="F1620" s="11">
        <v>33649</v>
      </c>
      <c r="G1620" s="11">
        <v>36232</v>
      </c>
      <c r="H1620" s="11">
        <v>69881</v>
      </c>
      <c r="I1620" s="11">
        <v>29779</v>
      </c>
      <c r="J1620" s="66">
        <f t="shared" si="96"/>
        <v>48.151858158870084</v>
      </c>
      <c r="K1620" s="66">
        <f t="shared" si="97"/>
        <v>51.848141841129923</v>
      </c>
    </row>
    <row r="1621" spans="1:11" x14ac:dyDescent="0.3">
      <c r="A1621" s="10">
        <v>57</v>
      </c>
      <c r="B1621" s="10" t="s">
        <v>1929</v>
      </c>
      <c r="C1621" s="10" t="str" cm="1">
        <f t="array" ref="C1621">_xlfn.IFS(A1621&lt;20, "ภาคกลาง", A1621&lt;30, "ภาคตะวันออก", A1621&lt;50, "ภาคตะวันออกเฉียงเหนือ", A1621&lt;60, "ภาคเหนือ", A1621&lt;80, "ภาคกลาง/ตะวันตก", A1621&gt;=80, "ภาคใต้")</f>
        <v>ภาคเหนือ</v>
      </c>
      <c r="D1621" s="64">
        <v>5709</v>
      </c>
      <c r="E1621" s="10" t="s">
        <v>1938</v>
      </c>
      <c r="F1621" s="11">
        <v>24047</v>
      </c>
      <c r="G1621" s="11">
        <v>25293</v>
      </c>
      <c r="H1621" s="11">
        <v>49340</v>
      </c>
      <c r="I1621" s="11">
        <v>19727</v>
      </c>
      <c r="J1621" s="66">
        <f t="shared" si="96"/>
        <v>48.737332792865828</v>
      </c>
      <c r="K1621" s="66">
        <f t="shared" si="97"/>
        <v>51.262667207134172</v>
      </c>
    </row>
    <row r="1622" spans="1:11" x14ac:dyDescent="0.3">
      <c r="A1622" s="10">
        <v>57</v>
      </c>
      <c r="B1622" s="10" t="s">
        <v>1929</v>
      </c>
      <c r="C1622" s="10" t="str" cm="1">
        <f t="array" ref="C1622">_xlfn.IFS(A1622&lt;20, "ภาคกลาง", A1622&lt;30, "ภาคตะวันออก", A1622&lt;50, "ภาคตะวันออกเฉียงเหนือ", A1622&lt;60, "ภาคเหนือ", A1622&lt;80, "ภาคกลาง/ตะวันตก", A1622&gt;=80, "ภาคใต้")</f>
        <v>ภาคเหนือ</v>
      </c>
      <c r="D1622" s="64">
        <v>5710</v>
      </c>
      <c r="E1622" s="10" t="s">
        <v>1939</v>
      </c>
      <c r="F1622" s="11">
        <v>36163</v>
      </c>
      <c r="G1622" s="11">
        <v>40677</v>
      </c>
      <c r="H1622" s="11">
        <v>76840</v>
      </c>
      <c r="I1622" s="11">
        <v>31758</v>
      </c>
      <c r="J1622" s="66">
        <f t="shared" si="96"/>
        <v>47.062727745965645</v>
      </c>
      <c r="K1622" s="66">
        <f t="shared" si="97"/>
        <v>52.937272254034362</v>
      </c>
    </row>
    <row r="1623" spans="1:11" x14ac:dyDescent="0.3">
      <c r="A1623" s="10">
        <v>57</v>
      </c>
      <c r="B1623" s="10" t="s">
        <v>1929</v>
      </c>
      <c r="C1623" s="10" t="str" cm="1">
        <f t="array" ref="C1623">_xlfn.IFS(A1623&lt;20, "ภาคกลาง", A1623&lt;30, "ภาคตะวันออก", A1623&lt;50, "ภาคตะวันออกเฉียงเหนือ", A1623&lt;60, "ภาคเหนือ", A1623&lt;80, "ภาคกลาง/ตะวันตก", A1623&gt;=80, "ภาคใต้")</f>
        <v>ภาคเหนือ</v>
      </c>
      <c r="D1623" s="64">
        <v>5711</v>
      </c>
      <c r="E1623" s="10" t="s">
        <v>1940</v>
      </c>
      <c r="F1623" s="11">
        <v>39608</v>
      </c>
      <c r="G1623" s="11">
        <v>39315</v>
      </c>
      <c r="H1623" s="11">
        <v>78923</v>
      </c>
      <c r="I1623" s="11">
        <v>30764</v>
      </c>
      <c r="J1623" s="66">
        <f t="shared" si="96"/>
        <v>50.185623962596459</v>
      </c>
      <c r="K1623" s="66">
        <f t="shared" si="97"/>
        <v>49.814376037403548</v>
      </c>
    </row>
    <row r="1624" spans="1:11" x14ac:dyDescent="0.3">
      <c r="A1624" s="10">
        <v>57</v>
      </c>
      <c r="B1624" s="10" t="s">
        <v>1929</v>
      </c>
      <c r="C1624" s="10" t="str" cm="1">
        <f t="array" ref="C1624">_xlfn.IFS(A1624&lt;20, "ภาคกลาง", A1624&lt;30, "ภาคตะวันออก", A1624&lt;50, "ภาคตะวันออกเฉียงเหนือ", A1624&lt;60, "ภาคเหนือ", A1624&lt;80, "ภาคกลาง/ตะวันตก", A1624&gt;=80, "ภาคใต้")</f>
        <v>ภาคเหนือ</v>
      </c>
      <c r="D1624" s="64">
        <v>5712</v>
      </c>
      <c r="E1624" s="10" t="s">
        <v>1941</v>
      </c>
      <c r="F1624" s="11">
        <v>29852</v>
      </c>
      <c r="G1624" s="11">
        <v>30607</v>
      </c>
      <c r="H1624" s="11">
        <v>60459</v>
      </c>
      <c r="I1624" s="11">
        <v>25740</v>
      </c>
      <c r="J1624" s="66">
        <f t="shared" si="96"/>
        <v>49.375609917464729</v>
      </c>
      <c r="K1624" s="66">
        <f t="shared" si="97"/>
        <v>50.624390082535278</v>
      </c>
    </row>
    <row r="1625" spans="1:11" x14ac:dyDescent="0.3">
      <c r="A1625" s="10">
        <v>57</v>
      </c>
      <c r="B1625" s="10" t="s">
        <v>1929</v>
      </c>
      <c r="C1625" s="10" t="str" cm="1">
        <f t="array" ref="C1625">_xlfn.IFS(A1625&lt;20, "ภาคกลาง", A1625&lt;30, "ภาคตะวันออก", A1625&lt;50, "ภาคตะวันออกเฉียงเหนือ", A1625&lt;60, "ภาคเหนือ", A1625&lt;80, "ภาคกลาง/ตะวันตก", A1625&gt;=80, "ภาคใต้")</f>
        <v>ภาคเหนือ</v>
      </c>
      <c r="D1625" s="64">
        <v>5713</v>
      </c>
      <c r="E1625" s="10" t="s">
        <v>1942</v>
      </c>
      <c r="F1625" s="11">
        <v>13476</v>
      </c>
      <c r="G1625" s="11">
        <v>13772</v>
      </c>
      <c r="H1625" s="11">
        <v>27248</v>
      </c>
      <c r="I1625" s="11">
        <v>10280</v>
      </c>
      <c r="J1625" s="66">
        <f t="shared" si="96"/>
        <v>49.456840869054609</v>
      </c>
      <c r="K1625" s="66">
        <f t="shared" si="97"/>
        <v>50.543159130945391</v>
      </c>
    </row>
    <row r="1626" spans="1:11" x14ac:dyDescent="0.3">
      <c r="A1626" s="10">
        <v>57</v>
      </c>
      <c r="B1626" s="10" t="s">
        <v>1929</v>
      </c>
      <c r="C1626" s="10" t="str" cm="1">
        <f t="array" ref="C1626">_xlfn.IFS(A1626&lt;20, "ภาคกลาง", A1626&lt;30, "ภาคตะวันออก", A1626&lt;50, "ภาคตะวันออกเฉียงเหนือ", A1626&lt;60, "ภาคเหนือ", A1626&lt;80, "ภาคกลาง/ตะวันตก", A1626&gt;=80, "ภาคใต้")</f>
        <v>ภาคเหนือ</v>
      </c>
      <c r="D1626" s="64">
        <v>5714</v>
      </c>
      <c r="E1626" s="10" t="s">
        <v>1943</v>
      </c>
      <c r="F1626" s="11">
        <v>19264</v>
      </c>
      <c r="G1626" s="11">
        <v>18975</v>
      </c>
      <c r="H1626" s="11">
        <v>38239</v>
      </c>
      <c r="I1626" s="11">
        <v>14422</v>
      </c>
      <c r="J1626" s="66">
        <f t="shared" si="96"/>
        <v>50.377886451005516</v>
      </c>
      <c r="K1626" s="66">
        <f t="shared" si="97"/>
        <v>49.622113548994484</v>
      </c>
    </row>
    <row r="1627" spans="1:11" x14ac:dyDescent="0.3">
      <c r="A1627" s="10">
        <v>57</v>
      </c>
      <c r="B1627" s="10" t="s">
        <v>1929</v>
      </c>
      <c r="C1627" s="10" t="str" cm="1">
        <f t="array" ref="C1627">_xlfn.IFS(A1627&lt;20, "ภาคกลาง", A1627&lt;30, "ภาคตะวันออก", A1627&lt;50, "ภาคตะวันออกเฉียงเหนือ", A1627&lt;60, "ภาคเหนือ", A1627&lt;80, "ภาคกลาง/ตะวันตก", A1627&gt;=80, "ภาคใต้")</f>
        <v>ภาคเหนือ</v>
      </c>
      <c r="D1627" s="64">
        <v>5715</v>
      </c>
      <c r="E1627" s="10" t="s">
        <v>1944</v>
      </c>
      <c r="F1627" s="11">
        <v>6781</v>
      </c>
      <c r="G1627" s="11">
        <v>7100</v>
      </c>
      <c r="H1627" s="11">
        <v>13881</v>
      </c>
      <c r="I1627" s="11">
        <v>5798</v>
      </c>
      <c r="J1627" s="66">
        <f t="shared" si="96"/>
        <v>48.850947338088034</v>
      </c>
      <c r="K1627" s="66">
        <f t="shared" si="97"/>
        <v>51.149052661911966</v>
      </c>
    </row>
    <row r="1628" spans="1:11" x14ac:dyDescent="0.3">
      <c r="A1628" s="10">
        <v>57</v>
      </c>
      <c r="B1628" s="10" t="s">
        <v>1929</v>
      </c>
      <c r="C1628" s="10" t="str" cm="1">
        <f t="array" ref="C1628">_xlfn.IFS(A1628&lt;20, "ภาคกลาง", A1628&lt;30, "ภาคตะวันออก", A1628&lt;50, "ภาคตะวันออกเฉียงเหนือ", A1628&lt;60, "ภาคเหนือ", A1628&lt;80, "ภาคกลาง/ตะวันตก", A1628&gt;=80, "ภาคใต้")</f>
        <v>ภาคเหนือ</v>
      </c>
      <c r="D1628" s="64">
        <v>5716</v>
      </c>
      <c r="E1628" s="10" t="s">
        <v>1945</v>
      </c>
      <c r="F1628" s="11">
        <v>38716</v>
      </c>
      <c r="G1628" s="11">
        <v>39069</v>
      </c>
      <c r="H1628" s="11">
        <v>77785</v>
      </c>
      <c r="I1628" s="11">
        <v>26656</v>
      </c>
      <c r="J1628" s="66">
        <f t="shared" si="96"/>
        <v>49.773092498553709</v>
      </c>
      <c r="K1628" s="66">
        <f t="shared" si="97"/>
        <v>50.226907501446291</v>
      </c>
    </row>
    <row r="1629" spans="1:11" x14ac:dyDescent="0.3">
      <c r="A1629" s="10">
        <v>57</v>
      </c>
      <c r="B1629" s="10" t="s">
        <v>1929</v>
      </c>
      <c r="C1629" s="10" t="str" cm="1">
        <f t="array" ref="C1629">_xlfn.IFS(A1629&lt;20, "ภาคกลาง", A1629&lt;30, "ภาคตะวันออก", A1629&lt;50, "ภาคตะวันออกเฉียงเหนือ", A1629&lt;60, "ภาคเหนือ", A1629&lt;80, "ภาคกลาง/ตะวันตก", A1629&gt;=80, "ภาคใต้")</f>
        <v>ภาคเหนือ</v>
      </c>
      <c r="D1629" s="64">
        <v>5717</v>
      </c>
      <c r="E1629" s="10" t="s">
        <v>1946</v>
      </c>
      <c r="F1629" s="11">
        <v>11707</v>
      </c>
      <c r="G1629" s="11">
        <v>12625</v>
      </c>
      <c r="H1629" s="11">
        <v>24332</v>
      </c>
      <c r="I1629" s="11">
        <v>11620</v>
      </c>
      <c r="J1629" s="66">
        <f t="shared" si="96"/>
        <v>48.113595265493998</v>
      </c>
      <c r="K1629" s="66">
        <f t="shared" si="97"/>
        <v>51.886404734505994</v>
      </c>
    </row>
    <row r="1630" spans="1:11" x14ac:dyDescent="0.3">
      <c r="A1630" s="10">
        <v>57</v>
      </c>
      <c r="B1630" s="10" t="s">
        <v>1929</v>
      </c>
      <c r="C1630" s="10" t="str" cm="1">
        <f t="array" ref="C1630">_xlfn.IFS(A1630&lt;20, "ภาคกลาง", A1630&lt;30, "ภาคตะวันออก", A1630&lt;50, "ภาคตะวันออกเฉียงเหนือ", A1630&lt;60, "ภาคเหนือ", A1630&lt;80, "ภาคกลาง/ตะวันตก", A1630&gt;=80, "ภาคใต้")</f>
        <v>ภาคเหนือ</v>
      </c>
      <c r="D1630" s="64">
        <v>5718</v>
      </c>
      <c r="E1630" s="10" t="s">
        <v>1947</v>
      </c>
      <c r="F1630" s="11">
        <v>11623</v>
      </c>
      <c r="G1630" s="11">
        <v>12023</v>
      </c>
      <c r="H1630" s="11">
        <v>23646</v>
      </c>
      <c r="I1630" s="11">
        <v>9772</v>
      </c>
      <c r="J1630" s="66">
        <f t="shared" si="96"/>
        <v>49.154190983675889</v>
      </c>
      <c r="K1630" s="66">
        <f t="shared" si="97"/>
        <v>50.845809016324118</v>
      </c>
    </row>
    <row r="1631" spans="1:11" x14ac:dyDescent="0.3">
      <c r="A1631" s="10">
        <v>57</v>
      </c>
      <c r="B1631" s="10" t="s">
        <v>1929</v>
      </c>
      <c r="C1631" s="10" t="str" cm="1">
        <f t="array" ref="C1631">_xlfn.IFS(A1631&lt;20, "ภาคกลาง", A1631&lt;30, "ภาคตะวันออก", A1631&lt;50, "ภาคตะวันออกเฉียงเหนือ", A1631&lt;60, "ภาคเหนือ", A1631&lt;80, "ภาคกลาง/ตะวันตก", A1631&gt;=80, "ภาคใต้")</f>
        <v>ภาคเหนือ</v>
      </c>
      <c r="D1631" s="64">
        <v>5764</v>
      </c>
      <c r="E1631" s="10" t="s">
        <v>1948</v>
      </c>
      <c r="F1631" s="11">
        <v>9236</v>
      </c>
      <c r="G1631" s="11">
        <v>9253</v>
      </c>
      <c r="H1631" s="11">
        <v>18489</v>
      </c>
      <c r="I1631" s="11">
        <v>9029</v>
      </c>
      <c r="J1631" s="66">
        <f t="shared" si="96"/>
        <v>49.954026718589432</v>
      </c>
      <c r="K1631" s="66">
        <f t="shared" si="97"/>
        <v>50.045973281410575</v>
      </c>
    </row>
    <row r="1632" spans="1:11" x14ac:dyDescent="0.3">
      <c r="A1632" s="10">
        <v>57</v>
      </c>
      <c r="B1632" s="10" t="s">
        <v>1929</v>
      </c>
      <c r="C1632" s="10" t="str" cm="1">
        <f t="array" ref="C1632">_xlfn.IFS(A1632&lt;20, "ภาคกลาง", A1632&lt;30, "ภาคตะวันออก", A1632&lt;50, "ภาคตะวันออกเฉียงเหนือ", A1632&lt;60, "ภาคเหนือ", A1632&lt;80, "ภาคกลาง/ตะวันตก", A1632&gt;=80, "ภาคใต้")</f>
        <v>ภาคเหนือ</v>
      </c>
      <c r="D1632" s="64">
        <v>5765</v>
      </c>
      <c r="E1632" s="10" t="s">
        <v>1949</v>
      </c>
      <c r="F1632" s="11">
        <v>10906</v>
      </c>
      <c r="G1632" s="11">
        <v>11186</v>
      </c>
      <c r="H1632" s="11">
        <v>22092</v>
      </c>
      <c r="I1632" s="11">
        <v>9727</v>
      </c>
      <c r="J1632" s="66">
        <f t="shared" si="96"/>
        <v>49.366286438529784</v>
      </c>
      <c r="K1632" s="66">
        <f t="shared" si="97"/>
        <v>50.633713561470216</v>
      </c>
    </row>
    <row r="1633" spans="1:11" x14ac:dyDescent="0.3">
      <c r="A1633" s="10">
        <v>57</v>
      </c>
      <c r="B1633" s="10" t="s">
        <v>1929</v>
      </c>
      <c r="C1633" s="10" t="str" cm="1">
        <f t="array" ref="C1633">_xlfn.IFS(A1633&lt;20, "ภาคกลาง", A1633&lt;30, "ภาคตะวันออก", A1633&lt;50, "ภาคตะวันออกเฉียงเหนือ", A1633&lt;60, "ภาคเหนือ", A1633&lt;80, "ภาคกลาง/ตะวันตก", A1633&gt;=80, "ภาคใต้")</f>
        <v>ภาคเหนือ</v>
      </c>
      <c r="D1633" s="64">
        <v>5766</v>
      </c>
      <c r="E1633" s="10" t="s">
        <v>1950</v>
      </c>
      <c r="F1633" s="11">
        <v>6002</v>
      </c>
      <c r="G1633" s="11">
        <v>6063</v>
      </c>
      <c r="H1633" s="11">
        <v>12065</v>
      </c>
      <c r="I1633" s="11">
        <v>5411</v>
      </c>
      <c r="J1633" s="66">
        <f t="shared" si="96"/>
        <v>49.747202652300047</v>
      </c>
      <c r="K1633" s="66">
        <f t="shared" si="97"/>
        <v>50.252797347699961</v>
      </c>
    </row>
    <row r="1634" spans="1:11" x14ac:dyDescent="0.3">
      <c r="A1634" s="10">
        <v>57</v>
      </c>
      <c r="B1634" s="10" t="s">
        <v>1929</v>
      </c>
      <c r="C1634" s="10" t="str" cm="1">
        <f t="array" ref="C1634">_xlfn.IFS(A1634&lt;20, "ภาคกลาง", A1634&lt;30, "ภาคตะวันออก", A1634&lt;50, "ภาคตะวันออกเฉียงเหนือ", A1634&lt;60, "ภาคเหนือ", A1634&lt;80, "ภาคกลาง/ตะวันตก", A1634&gt;=80, "ภาคใต้")</f>
        <v>ภาคเหนือ</v>
      </c>
      <c r="D1634" s="64">
        <v>5767</v>
      </c>
      <c r="E1634" s="10" t="s">
        <v>1951</v>
      </c>
      <c r="F1634" s="11">
        <v>5150</v>
      </c>
      <c r="G1634" s="11">
        <v>5184</v>
      </c>
      <c r="H1634" s="11">
        <v>10334</v>
      </c>
      <c r="I1634" s="11">
        <v>3954</v>
      </c>
      <c r="J1634" s="66">
        <f t="shared" si="96"/>
        <v>49.835494484226821</v>
      </c>
      <c r="K1634" s="66">
        <f t="shared" si="97"/>
        <v>50.164505515773172</v>
      </c>
    </row>
    <row r="1635" spans="1:11" ht="27.6" x14ac:dyDescent="0.3">
      <c r="A1635" s="10">
        <v>57</v>
      </c>
      <c r="B1635" s="10" t="s">
        <v>1929</v>
      </c>
      <c r="C1635" s="10" t="str" cm="1">
        <f t="array" ref="C1635">_xlfn.IFS(A1635&lt;20, "ภาคกลาง", A1635&lt;30, "ภาคตะวันออก", A1635&lt;50, "ภาคตะวันออกเฉียงเหนือ", A1635&lt;60, "ภาคเหนือ", A1635&lt;80, "ภาคกลาง/ตะวันตก", A1635&gt;=80, "ภาคใต้")</f>
        <v>ภาคเหนือ</v>
      </c>
      <c r="D1635" s="64">
        <v>5768</v>
      </c>
      <c r="E1635" s="10" t="s">
        <v>1952</v>
      </c>
      <c r="F1635" s="11">
        <v>3049</v>
      </c>
      <c r="G1635" s="11">
        <v>3090</v>
      </c>
      <c r="H1635" s="11">
        <v>6139</v>
      </c>
      <c r="I1635" s="11">
        <v>2774</v>
      </c>
      <c r="J1635" s="66">
        <f t="shared" si="96"/>
        <v>49.666069392409185</v>
      </c>
      <c r="K1635" s="66">
        <f t="shared" si="97"/>
        <v>50.333930607590815</v>
      </c>
    </row>
    <row r="1636" spans="1:11" x14ac:dyDescent="0.3">
      <c r="A1636" s="10">
        <v>57</v>
      </c>
      <c r="B1636" s="10" t="s">
        <v>1929</v>
      </c>
      <c r="C1636" s="10" t="str" cm="1">
        <f t="array" ref="C1636">_xlfn.IFS(A1636&lt;20, "ภาคกลาง", A1636&lt;30, "ภาคตะวันออก", A1636&lt;50, "ภาคตะวันออกเฉียงเหนือ", A1636&lt;60, "ภาคเหนือ", A1636&lt;80, "ภาคกลาง/ตะวันตก", A1636&gt;=80, "ภาคใต้")</f>
        <v>ภาคเหนือ</v>
      </c>
      <c r="D1636" s="64">
        <v>5769</v>
      </c>
      <c r="E1636" s="10" t="s">
        <v>1953</v>
      </c>
      <c r="F1636" s="11">
        <v>5475</v>
      </c>
      <c r="G1636" s="11">
        <v>6115</v>
      </c>
      <c r="H1636" s="11">
        <v>11590</v>
      </c>
      <c r="I1636" s="11">
        <v>5935</v>
      </c>
      <c r="J1636" s="66">
        <f t="shared" si="96"/>
        <v>47.238999137187236</v>
      </c>
      <c r="K1636" s="66">
        <f t="shared" si="97"/>
        <v>52.761000862812764</v>
      </c>
    </row>
    <row r="1637" spans="1:11" x14ac:dyDescent="0.3">
      <c r="A1637" s="10">
        <v>57</v>
      </c>
      <c r="B1637" s="10" t="s">
        <v>1929</v>
      </c>
      <c r="C1637" s="10" t="str" cm="1">
        <f t="array" ref="C1637">_xlfn.IFS(A1637&lt;20, "ภาคกลาง", A1637&lt;30, "ภาคตะวันออก", A1637&lt;50, "ภาคตะวันออกเฉียงเหนือ", A1637&lt;60, "ภาคเหนือ", A1637&lt;80, "ภาคกลาง/ตะวันตก", A1637&gt;=80, "ภาคใต้")</f>
        <v>ภาคเหนือ</v>
      </c>
      <c r="D1637" s="64">
        <v>5770</v>
      </c>
      <c r="E1637" s="10" t="s">
        <v>1925</v>
      </c>
      <c r="F1637" s="11">
        <v>5176</v>
      </c>
      <c r="G1637" s="11">
        <v>5458</v>
      </c>
      <c r="H1637" s="11">
        <v>10634</v>
      </c>
      <c r="I1637" s="11">
        <v>4138</v>
      </c>
      <c r="J1637" s="66">
        <f t="shared" si="96"/>
        <v>48.67406432198608</v>
      </c>
      <c r="K1637" s="66">
        <f t="shared" si="97"/>
        <v>51.32593567801392</v>
      </c>
    </row>
    <row r="1638" spans="1:11" x14ac:dyDescent="0.3">
      <c r="A1638" s="10">
        <v>57</v>
      </c>
      <c r="B1638" s="10" t="s">
        <v>1929</v>
      </c>
      <c r="C1638" s="10" t="str" cm="1">
        <f t="array" ref="C1638">_xlfn.IFS(A1638&lt;20, "ภาคกลาง", A1638&lt;30, "ภาคตะวันออก", A1638&lt;50, "ภาคตะวันออกเฉียงเหนือ", A1638&lt;60, "ภาคเหนือ", A1638&lt;80, "ภาคกลาง/ตะวันตก", A1638&gt;=80, "ภาคใต้")</f>
        <v>ภาคเหนือ</v>
      </c>
      <c r="D1638" s="64">
        <v>5771</v>
      </c>
      <c r="E1638" s="10" t="s">
        <v>1954</v>
      </c>
      <c r="F1638" s="11">
        <v>4870</v>
      </c>
      <c r="G1638" s="11">
        <v>5016</v>
      </c>
      <c r="H1638" s="11">
        <v>9886</v>
      </c>
      <c r="I1638" s="11">
        <v>4565</v>
      </c>
      <c r="J1638" s="66">
        <f t="shared" si="96"/>
        <v>49.261582035201293</v>
      </c>
      <c r="K1638" s="66">
        <f t="shared" si="97"/>
        <v>50.738417964798707</v>
      </c>
    </row>
    <row r="1639" spans="1:11" x14ac:dyDescent="0.3">
      <c r="A1639" s="10">
        <v>57</v>
      </c>
      <c r="B1639" s="10" t="s">
        <v>1929</v>
      </c>
      <c r="C1639" s="10" t="str" cm="1">
        <f t="array" ref="C1639">_xlfn.IFS(A1639&lt;20, "ภาคกลาง", A1639&lt;30, "ภาคตะวันออก", A1639&lt;50, "ภาคตะวันออกเฉียงเหนือ", A1639&lt;60, "ภาคเหนือ", A1639&lt;80, "ภาคกลาง/ตะวันตก", A1639&gt;=80, "ภาคใต้")</f>
        <v>ภาคเหนือ</v>
      </c>
      <c r="D1639" s="64">
        <v>5772</v>
      </c>
      <c r="E1639" s="10" t="s">
        <v>1767</v>
      </c>
      <c r="F1639" s="11">
        <v>6077</v>
      </c>
      <c r="G1639" s="11">
        <v>6715</v>
      </c>
      <c r="H1639" s="11">
        <v>12792</v>
      </c>
      <c r="I1639" s="11">
        <v>6968</v>
      </c>
      <c r="J1639" s="66">
        <f t="shared" si="96"/>
        <v>47.506253908692933</v>
      </c>
      <c r="K1639" s="66">
        <f t="shared" si="97"/>
        <v>52.493746091307067</v>
      </c>
    </row>
    <row r="1640" spans="1:11" ht="27.6" x14ac:dyDescent="0.3">
      <c r="A1640" s="10">
        <v>57</v>
      </c>
      <c r="B1640" s="10" t="s">
        <v>1929</v>
      </c>
      <c r="C1640" s="10" t="str" cm="1">
        <f t="array" ref="C1640">_xlfn.IFS(A1640&lt;20, "ภาคกลาง", A1640&lt;30, "ภาคตะวันออก", A1640&lt;50, "ภาคตะวันออกเฉียงเหนือ", A1640&lt;60, "ภาคเหนือ", A1640&lt;80, "ภาคกลาง/ตะวันตก", A1640&gt;=80, "ภาคใต้")</f>
        <v>ภาคเหนือ</v>
      </c>
      <c r="D1640" s="64">
        <v>5773</v>
      </c>
      <c r="E1640" s="10" t="s">
        <v>1955</v>
      </c>
      <c r="F1640" s="11">
        <v>5410</v>
      </c>
      <c r="G1640" s="11">
        <v>6124</v>
      </c>
      <c r="H1640" s="11">
        <v>11534</v>
      </c>
      <c r="I1640" s="11">
        <v>5909</v>
      </c>
      <c r="J1640" s="66">
        <f t="shared" si="96"/>
        <v>46.904803190567016</v>
      </c>
      <c r="K1640" s="66">
        <f t="shared" si="97"/>
        <v>53.095196809432977</v>
      </c>
    </row>
    <row r="1641" spans="1:11" x14ac:dyDescent="0.3">
      <c r="A1641" s="10">
        <v>57</v>
      </c>
      <c r="B1641" s="10" t="s">
        <v>1929</v>
      </c>
      <c r="C1641" s="10" t="str" cm="1">
        <f t="array" ref="C1641">_xlfn.IFS(A1641&lt;20, "ภาคกลาง", A1641&lt;30, "ภาคตะวันออก", A1641&lt;50, "ภาคตะวันออกเฉียงเหนือ", A1641&lt;60, "ภาคเหนือ", A1641&lt;80, "ภาคกลาง/ตะวันตก", A1641&gt;=80, "ภาคใต้")</f>
        <v>ภาคเหนือ</v>
      </c>
      <c r="D1641" s="64">
        <v>5774</v>
      </c>
      <c r="E1641" s="10" t="s">
        <v>1956</v>
      </c>
      <c r="F1641" s="11">
        <v>10792</v>
      </c>
      <c r="G1641" s="11">
        <v>12390</v>
      </c>
      <c r="H1641" s="11">
        <v>23182</v>
      </c>
      <c r="I1641" s="11">
        <v>10620</v>
      </c>
      <c r="J1641" s="66">
        <f t="shared" si="96"/>
        <v>46.553360365801055</v>
      </c>
      <c r="K1641" s="66">
        <f t="shared" si="97"/>
        <v>53.446639634198945</v>
      </c>
    </row>
    <row r="1642" spans="1:11" ht="27.6" x14ac:dyDescent="0.3">
      <c r="A1642" s="10">
        <v>57</v>
      </c>
      <c r="B1642" s="10" t="s">
        <v>1929</v>
      </c>
      <c r="C1642" s="10" t="str" cm="1">
        <f t="array" ref="C1642">_xlfn.IFS(A1642&lt;20, "ภาคกลาง", A1642&lt;30, "ภาคตะวันออก", A1642&lt;50, "ภาคตะวันออกเฉียงเหนือ", A1642&lt;60, "ภาคเหนือ", A1642&lt;80, "ภาคกลาง/ตะวันตก", A1642&gt;=80, "ภาคใต้")</f>
        <v>ภาคเหนือ</v>
      </c>
      <c r="D1642" s="64">
        <v>5775</v>
      </c>
      <c r="E1642" s="10" t="s">
        <v>1912</v>
      </c>
      <c r="F1642" s="11">
        <v>10403</v>
      </c>
      <c r="G1642" s="11">
        <v>12091</v>
      </c>
      <c r="H1642" s="11">
        <v>22494</v>
      </c>
      <c r="I1642" s="11">
        <v>15768</v>
      </c>
      <c r="J1642" s="66">
        <f t="shared" si="96"/>
        <v>46.247888325775762</v>
      </c>
      <c r="K1642" s="66">
        <f t="shared" si="97"/>
        <v>53.752111674224231</v>
      </c>
    </row>
    <row r="1643" spans="1:11" x14ac:dyDescent="0.3">
      <c r="A1643" s="10">
        <v>57</v>
      </c>
      <c r="B1643" s="10" t="s">
        <v>1929</v>
      </c>
      <c r="C1643" s="10" t="str" cm="1">
        <f t="array" ref="C1643">_xlfn.IFS(A1643&lt;20, "ภาคกลาง", A1643&lt;30, "ภาคตะวันออก", A1643&lt;50, "ภาคตะวันออกเฉียงเหนือ", A1643&lt;60, "ภาคเหนือ", A1643&lt;80, "ภาคกลาง/ตะวันตก", A1643&gt;=80, "ภาคใต้")</f>
        <v>ภาคเหนือ</v>
      </c>
      <c r="D1643" s="64">
        <v>5776</v>
      </c>
      <c r="E1643" s="10" t="s">
        <v>1957</v>
      </c>
      <c r="F1643" s="11">
        <v>1914</v>
      </c>
      <c r="G1643" s="11">
        <v>1955</v>
      </c>
      <c r="H1643" s="11">
        <v>3869</v>
      </c>
      <c r="I1643" s="11">
        <v>1835</v>
      </c>
      <c r="J1643" s="66">
        <f t="shared" si="96"/>
        <v>49.470147324890149</v>
      </c>
      <c r="K1643" s="66">
        <f t="shared" si="97"/>
        <v>50.529852675109844</v>
      </c>
    </row>
    <row r="1644" spans="1:11" x14ac:dyDescent="0.3">
      <c r="A1644" s="10">
        <v>57</v>
      </c>
      <c r="B1644" s="10" t="s">
        <v>1929</v>
      </c>
      <c r="C1644" s="10" t="str" cm="1">
        <f t="array" ref="C1644">_xlfn.IFS(A1644&lt;20, "ภาคกลาง", A1644&lt;30, "ภาคตะวันออก", A1644&lt;50, "ภาคตะวันออกเฉียงเหนือ", A1644&lt;60, "ภาคเหนือ", A1644&lt;80, "ภาคกลาง/ตะวันตก", A1644&gt;=80, "ภาคใต้")</f>
        <v>ภาคเหนือ</v>
      </c>
      <c r="D1644" s="64">
        <v>5777</v>
      </c>
      <c r="E1644" s="10" t="s">
        <v>1958</v>
      </c>
      <c r="F1644" s="10">
        <v>828</v>
      </c>
      <c r="G1644" s="10">
        <v>917</v>
      </c>
      <c r="H1644" s="11">
        <v>1745</v>
      </c>
      <c r="I1644" s="10">
        <v>838</v>
      </c>
      <c r="J1644" s="66">
        <f t="shared" si="96"/>
        <v>47.449856733524356</v>
      </c>
      <c r="K1644" s="66">
        <f t="shared" si="97"/>
        <v>52.550143266475644</v>
      </c>
    </row>
    <row r="1645" spans="1:11" x14ac:dyDescent="0.3">
      <c r="A1645" s="10">
        <v>57</v>
      </c>
      <c r="B1645" s="10" t="s">
        <v>1929</v>
      </c>
      <c r="C1645" s="10" t="str" cm="1">
        <f t="array" ref="C1645">_xlfn.IFS(A1645&lt;20, "ภาคกลาง", A1645&lt;30, "ภาคตะวันออก", A1645&lt;50, "ภาคตะวันออกเฉียงเหนือ", A1645&lt;60, "ภาคเหนือ", A1645&lt;80, "ภาคกลาง/ตะวันตก", A1645&gt;=80, "ภาคใต้")</f>
        <v>ภาคเหนือ</v>
      </c>
      <c r="D1645" s="64">
        <v>5778</v>
      </c>
      <c r="E1645" s="10" t="s">
        <v>1959</v>
      </c>
      <c r="F1645" s="11">
        <v>1960</v>
      </c>
      <c r="G1645" s="11">
        <v>2199</v>
      </c>
      <c r="H1645" s="11">
        <v>4159</v>
      </c>
      <c r="I1645" s="11">
        <v>2089</v>
      </c>
      <c r="J1645" s="66">
        <f t="shared" si="96"/>
        <v>47.126713152200054</v>
      </c>
      <c r="K1645" s="66">
        <f t="shared" si="97"/>
        <v>52.873286847799946</v>
      </c>
    </row>
    <row r="1646" spans="1:11" ht="27.6" x14ac:dyDescent="0.3">
      <c r="A1646" s="10">
        <v>57</v>
      </c>
      <c r="B1646" s="10" t="s">
        <v>1929</v>
      </c>
      <c r="C1646" s="10" t="str" cm="1">
        <f t="array" ref="C1646">_xlfn.IFS(A1646&lt;20, "ภาคกลาง", A1646&lt;30, "ภาคตะวันออก", A1646&lt;50, "ภาคตะวันออกเฉียงเหนือ", A1646&lt;60, "ภาคเหนือ", A1646&lt;80, "ภาคกลาง/ตะวันตก", A1646&gt;=80, "ภาคใต้")</f>
        <v>ภาคเหนือ</v>
      </c>
      <c r="D1646" s="64">
        <v>5779</v>
      </c>
      <c r="E1646" s="10" t="s">
        <v>1960</v>
      </c>
      <c r="F1646" s="11">
        <v>2791</v>
      </c>
      <c r="G1646" s="11">
        <v>3038</v>
      </c>
      <c r="H1646" s="11">
        <v>5829</v>
      </c>
      <c r="I1646" s="11">
        <v>2321</v>
      </c>
      <c r="J1646" s="66">
        <f t="shared" si="96"/>
        <v>47.881283238977531</v>
      </c>
      <c r="K1646" s="66">
        <f t="shared" si="97"/>
        <v>52.118716761022476</v>
      </c>
    </row>
    <row r="1647" spans="1:11" ht="27.6" x14ac:dyDescent="0.3">
      <c r="A1647" s="10">
        <v>57</v>
      </c>
      <c r="B1647" s="10" t="s">
        <v>1929</v>
      </c>
      <c r="C1647" s="10" t="str" cm="1">
        <f t="array" ref="C1647">_xlfn.IFS(A1647&lt;20, "ภาคกลาง", A1647&lt;30, "ภาคตะวันออก", A1647&lt;50, "ภาคตะวันออกเฉียงเหนือ", A1647&lt;60, "ภาคเหนือ", A1647&lt;80, "ภาคกลาง/ตะวันตก", A1647&gt;=80, "ภาคใต้")</f>
        <v>ภาคเหนือ</v>
      </c>
      <c r="D1647" s="64">
        <v>5780</v>
      </c>
      <c r="E1647" s="10" t="s">
        <v>1961</v>
      </c>
      <c r="F1647" s="11">
        <v>1939</v>
      </c>
      <c r="G1647" s="11">
        <v>2100</v>
      </c>
      <c r="H1647" s="11">
        <v>4039</v>
      </c>
      <c r="I1647" s="11">
        <v>2328</v>
      </c>
      <c r="J1647" s="66">
        <f t="shared" si="96"/>
        <v>48.00693240901213</v>
      </c>
      <c r="K1647" s="66">
        <f t="shared" si="97"/>
        <v>51.993067590987877</v>
      </c>
    </row>
    <row r="1648" spans="1:11" ht="27.6" x14ac:dyDescent="0.3">
      <c r="A1648" s="10">
        <v>57</v>
      </c>
      <c r="B1648" s="10" t="s">
        <v>1929</v>
      </c>
      <c r="C1648" s="10" t="str" cm="1">
        <f t="array" ref="C1648">_xlfn.IFS(A1648&lt;20, "ภาคกลาง", A1648&lt;30, "ภาคตะวันออก", A1648&lt;50, "ภาคตะวันออกเฉียงเหนือ", A1648&lt;60, "ภาคเหนือ", A1648&lt;80, "ภาคกลาง/ตะวันตก", A1648&gt;=80, "ภาคใต้")</f>
        <v>ภาคเหนือ</v>
      </c>
      <c r="D1648" s="64">
        <v>5781</v>
      </c>
      <c r="E1648" s="10" t="s">
        <v>1962</v>
      </c>
      <c r="F1648" s="11">
        <v>1875</v>
      </c>
      <c r="G1648" s="11">
        <v>2237</v>
      </c>
      <c r="H1648" s="11">
        <v>4112</v>
      </c>
      <c r="I1648" s="11">
        <v>2431</v>
      </c>
      <c r="J1648" s="66">
        <f t="shared" si="96"/>
        <v>45.598249027237351</v>
      </c>
      <c r="K1648" s="66">
        <f t="shared" si="97"/>
        <v>54.401750972762642</v>
      </c>
    </row>
    <row r="1649" spans="1:11" ht="27.6" x14ac:dyDescent="0.3">
      <c r="A1649" s="10">
        <v>57</v>
      </c>
      <c r="B1649" s="10" t="s">
        <v>1929</v>
      </c>
      <c r="C1649" s="10" t="str" cm="1">
        <f t="array" ref="C1649">_xlfn.IFS(A1649&lt;20, "ภาคกลาง", A1649&lt;30, "ภาคตะวันออก", A1649&lt;50, "ภาคตะวันออกเฉียงเหนือ", A1649&lt;60, "ภาคเหนือ", A1649&lt;80, "ภาคกลาง/ตะวันตก", A1649&gt;=80, "ภาคใต้")</f>
        <v>ภาคเหนือ</v>
      </c>
      <c r="D1649" s="64">
        <v>5782</v>
      </c>
      <c r="E1649" s="10" t="s">
        <v>1963</v>
      </c>
      <c r="F1649" s="11">
        <v>1301</v>
      </c>
      <c r="G1649" s="11">
        <v>1487</v>
      </c>
      <c r="H1649" s="11">
        <v>2788</v>
      </c>
      <c r="I1649" s="11">
        <v>1656</v>
      </c>
      <c r="J1649" s="66">
        <f t="shared" si="96"/>
        <v>46.664275466284074</v>
      </c>
      <c r="K1649" s="66">
        <f t="shared" si="97"/>
        <v>53.335724533715926</v>
      </c>
    </row>
    <row r="1650" spans="1:11" x14ac:dyDescent="0.3">
      <c r="A1650" s="10">
        <v>57</v>
      </c>
      <c r="B1650" s="10" t="s">
        <v>1929</v>
      </c>
      <c r="C1650" s="10" t="str" cm="1">
        <f t="array" ref="C1650">_xlfn.IFS(A1650&lt;20, "ภาคกลาง", A1650&lt;30, "ภาคตะวันออก", A1650&lt;50, "ภาคตะวันออกเฉียงเหนือ", A1650&lt;60, "ภาคเหนือ", A1650&lt;80, "ภาคกลาง/ตะวันตก", A1650&gt;=80, "ภาคใต้")</f>
        <v>ภาคเหนือ</v>
      </c>
      <c r="D1650" s="64">
        <v>5783</v>
      </c>
      <c r="E1650" s="10" t="s">
        <v>1964</v>
      </c>
      <c r="F1650" s="11">
        <v>2252</v>
      </c>
      <c r="G1650" s="11">
        <v>2344</v>
      </c>
      <c r="H1650" s="11">
        <v>4596</v>
      </c>
      <c r="I1650" s="11">
        <v>2209</v>
      </c>
      <c r="J1650" s="66">
        <f t="shared" si="96"/>
        <v>48.999129677980854</v>
      </c>
      <c r="K1650" s="66">
        <f t="shared" si="97"/>
        <v>51.000870322019139</v>
      </c>
    </row>
    <row r="1651" spans="1:11" x14ac:dyDescent="0.3">
      <c r="A1651" s="10">
        <v>57</v>
      </c>
      <c r="B1651" s="10" t="s">
        <v>1929</v>
      </c>
      <c r="C1651" s="10" t="str" cm="1">
        <f t="array" ref="C1651">_xlfn.IFS(A1651&lt;20, "ภาคกลาง", A1651&lt;30, "ภาคตะวันออก", A1651&lt;50, "ภาคตะวันออกเฉียงเหนือ", A1651&lt;60, "ภาคเหนือ", A1651&lt;80, "ภาคกลาง/ตะวันตก", A1651&gt;=80, "ภาคใต้")</f>
        <v>ภาคเหนือ</v>
      </c>
      <c r="D1651" s="64">
        <v>5784</v>
      </c>
      <c r="E1651" s="10" t="s">
        <v>1965</v>
      </c>
      <c r="F1651" s="10">
        <v>695</v>
      </c>
      <c r="G1651" s="10">
        <v>743</v>
      </c>
      <c r="H1651" s="11">
        <v>1438</v>
      </c>
      <c r="I1651" s="11">
        <v>1162</v>
      </c>
      <c r="J1651" s="66">
        <f t="shared" si="96"/>
        <v>48.331015299026426</v>
      </c>
      <c r="K1651" s="66">
        <f t="shared" si="97"/>
        <v>51.668984700973574</v>
      </c>
    </row>
    <row r="1652" spans="1:11" x14ac:dyDescent="0.3">
      <c r="A1652" s="10">
        <v>57</v>
      </c>
      <c r="B1652" s="10" t="s">
        <v>1929</v>
      </c>
      <c r="C1652" s="10" t="str" cm="1">
        <f t="array" ref="C1652">_xlfn.IFS(A1652&lt;20, "ภาคกลาง", A1652&lt;30, "ภาคตะวันออก", A1652&lt;50, "ภาคตะวันออกเฉียงเหนือ", A1652&lt;60, "ภาคเหนือ", A1652&lt;80, "ภาคกลาง/ตะวันตก", A1652&gt;=80, "ภาคใต้")</f>
        <v>ภาคเหนือ</v>
      </c>
      <c r="D1652" s="64">
        <v>5785</v>
      </c>
      <c r="E1652" s="10" t="s">
        <v>1966</v>
      </c>
      <c r="F1652" s="11">
        <v>2256</v>
      </c>
      <c r="G1652" s="11">
        <v>2631</v>
      </c>
      <c r="H1652" s="11">
        <v>4887</v>
      </c>
      <c r="I1652" s="11">
        <v>2584</v>
      </c>
      <c r="J1652" s="66">
        <f t="shared" si="96"/>
        <v>46.163290362185386</v>
      </c>
      <c r="K1652" s="66">
        <f t="shared" si="97"/>
        <v>53.836709637814607</v>
      </c>
    </row>
    <row r="1653" spans="1:11" ht="27.6" x14ac:dyDescent="0.3">
      <c r="A1653" s="10">
        <v>57</v>
      </c>
      <c r="B1653" s="10" t="s">
        <v>1929</v>
      </c>
      <c r="C1653" s="10" t="str" cm="1">
        <f t="array" ref="C1653">_xlfn.IFS(A1653&lt;20, "ภาคกลาง", A1653&lt;30, "ภาคตะวันออก", A1653&lt;50, "ภาคตะวันออกเฉียงเหนือ", A1653&lt;60, "ภาคเหนือ", A1653&lt;80, "ภาคกลาง/ตะวันตก", A1653&gt;=80, "ภาคใต้")</f>
        <v>ภาคเหนือ</v>
      </c>
      <c r="D1653" s="64">
        <v>5786</v>
      </c>
      <c r="E1653" s="10" t="s">
        <v>1967</v>
      </c>
      <c r="F1653" s="11">
        <v>12943</v>
      </c>
      <c r="G1653" s="11">
        <v>14824</v>
      </c>
      <c r="H1653" s="11">
        <v>27767</v>
      </c>
      <c r="I1653" s="11">
        <v>13969</v>
      </c>
      <c r="J1653" s="66">
        <f t="shared" si="96"/>
        <v>46.612885799690282</v>
      </c>
      <c r="K1653" s="66">
        <f t="shared" si="97"/>
        <v>53.387114200309718</v>
      </c>
    </row>
    <row r="1654" spans="1:11" x14ac:dyDescent="0.3">
      <c r="A1654" s="10">
        <v>57</v>
      </c>
      <c r="B1654" s="10" t="s">
        <v>1929</v>
      </c>
      <c r="C1654" s="10" t="str" cm="1">
        <f t="array" ref="C1654">_xlfn.IFS(A1654&lt;20, "ภาคกลาง", A1654&lt;30, "ภาคตะวันออก", A1654&lt;50, "ภาคตะวันออกเฉียงเหนือ", A1654&lt;60, "ภาคเหนือ", A1654&lt;80, "ภาคกลาง/ตะวันตก", A1654&gt;=80, "ภาคใต้")</f>
        <v>ภาคเหนือ</v>
      </c>
      <c r="D1654" s="64">
        <v>5787</v>
      </c>
      <c r="E1654" s="10" t="s">
        <v>1968</v>
      </c>
      <c r="F1654" s="11">
        <v>2885</v>
      </c>
      <c r="G1654" s="11">
        <v>3225</v>
      </c>
      <c r="H1654" s="11">
        <v>6110</v>
      </c>
      <c r="I1654" s="11">
        <v>3420</v>
      </c>
      <c r="J1654" s="66">
        <f t="shared" si="96"/>
        <v>47.217675941080195</v>
      </c>
      <c r="K1654" s="66">
        <f t="shared" si="97"/>
        <v>52.782324058919805</v>
      </c>
    </row>
    <row r="1655" spans="1:11" x14ac:dyDescent="0.3">
      <c r="A1655" s="10">
        <v>57</v>
      </c>
      <c r="B1655" s="10" t="s">
        <v>1929</v>
      </c>
      <c r="C1655" s="10" t="str" cm="1">
        <f t="array" ref="C1655">_xlfn.IFS(A1655&lt;20, "ภาคกลาง", A1655&lt;30, "ภาคตะวันออก", A1655&lt;50, "ภาคตะวันออกเฉียงเหนือ", A1655&lt;60, "ภาคเหนือ", A1655&lt;80, "ภาคกลาง/ตะวันตก", A1655&gt;=80, "ภาคใต้")</f>
        <v>ภาคเหนือ</v>
      </c>
      <c r="D1655" s="64">
        <v>5788</v>
      </c>
      <c r="E1655" s="10" t="s">
        <v>1969</v>
      </c>
      <c r="F1655" s="11">
        <v>1263</v>
      </c>
      <c r="G1655" s="11">
        <v>1425</v>
      </c>
      <c r="H1655" s="11">
        <v>2688</v>
      </c>
      <c r="I1655" s="11">
        <v>1312</v>
      </c>
      <c r="J1655" s="66">
        <f t="shared" si="96"/>
        <v>46.986607142857146</v>
      </c>
      <c r="K1655" s="66">
        <f t="shared" si="97"/>
        <v>53.013392857142861</v>
      </c>
    </row>
    <row r="1656" spans="1:11" x14ac:dyDescent="0.3">
      <c r="A1656" s="10">
        <v>57</v>
      </c>
      <c r="B1656" s="10" t="s">
        <v>1929</v>
      </c>
      <c r="C1656" s="10" t="str" cm="1">
        <f t="array" ref="C1656">_xlfn.IFS(A1656&lt;20, "ภาคกลาง", A1656&lt;30, "ภาคตะวันออก", A1656&lt;50, "ภาคตะวันออกเฉียงเหนือ", A1656&lt;60, "ภาคเหนือ", A1656&lt;80, "ภาคกลาง/ตะวันตก", A1656&gt;=80, "ภาคใต้")</f>
        <v>ภาคเหนือ</v>
      </c>
      <c r="D1656" s="64">
        <v>5789</v>
      </c>
      <c r="E1656" s="10" t="s">
        <v>1970</v>
      </c>
      <c r="F1656" s="11">
        <v>1627</v>
      </c>
      <c r="G1656" s="11">
        <v>1867</v>
      </c>
      <c r="H1656" s="11">
        <v>3494</v>
      </c>
      <c r="I1656" s="11">
        <v>2475</v>
      </c>
      <c r="J1656" s="66">
        <f t="shared" si="96"/>
        <v>46.56554092730395</v>
      </c>
      <c r="K1656" s="66">
        <f t="shared" si="97"/>
        <v>53.43445907269605</v>
      </c>
    </row>
    <row r="1657" spans="1:11" x14ac:dyDescent="0.3">
      <c r="A1657" s="10">
        <v>57</v>
      </c>
      <c r="B1657" s="10" t="s">
        <v>1929</v>
      </c>
      <c r="C1657" s="10" t="str" cm="1">
        <f t="array" ref="C1657">_xlfn.IFS(A1657&lt;20, "ภาคกลาง", A1657&lt;30, "ภาคตะวันออก", A1657&lt;50, "ภาคตะวันออกเฉียงเหนือ", A1657&lt;60, "ภาคเหนือ", A1657&lt;80, "ภาคกลาง/ตะวันตก", A1657&gt;=80, "ภาคใต้")</f>
        <v>ภาคเหนือ</v>
      </c>
      <c r="D1657" s="64">
        <v>5790</v>
      </c>
      <c r="E1657" s="10" t="s">
        <v>1971</v>
      </c>
      <c r="F1657" s="11">
        <v>2034</v>
      </c>
      <c r="G1657" s="11">
        <v>2296</v>
      </c>
      <c r="H1657" s="11">
        <v>4330</v>
      </c>
      <c r="I1657" s="11">
        <v>2218</v>
      </c>
      <c r="J1657" s="66">
        <f t="shared" si="96"/>
        <v>46.97459584295612</v>
      </c>
      <c r="K1657" s="66">
        <f t="shared" si="97"/>
        <v>53.025404157043873</v>
      </c>
    </row>
    <row r="1658" spans="1:11" x14ac:dyDescent="0.3">
      <c r="A1658" s="10">
        <v>57</v>
      </c>
      <c r="B1658" s="10" t="s">
        <v>1929</v>
      </c>
      <c r="C1658" s="10" t="str" cm="1">
        <f t="array" ref="C1658">_xlfn.IFS(A1658&lt;20, "ภาคกลาง", A1658&lt;30, "ภาคตะวันออก", A1658&lt;50, "ภาคตะวันออกเฉียงเหนือ", A1658&lt;60, "ภาคเหนือ", A1658&lt;80, "ภาคกลาง/ตะวันตก", A1658&gt;=80, "ภาคใต้")</f>
        <v>ภาคเหนือ</v>
      </c>
      <c r="D1658" s="64">
        <v>5791</v>
      </c>
      <c r="E1658" s="10" t="s">
        <v>1718</v>
      </c>
      <c r="F1658" s="11">
        <v>6550</v>
      </c>
      <c r="G1658" s="11">
        <v>7299</v>
      </c>
      <c r="H1658" s="11">
        <v>13849</v>
      </c>
      <c r="I1658" s="11">
        <v>6399</v>
      </c>
      <c r="J1658" s="66">
        <f t="shared" si="96"/>
        <v>47.295833634197415</v>
      </c>
      <c r="K1658" s="66">
        <f t="shared" si="97"/>
        <v>52.704166365802585</v>
      </c>
    </row>
    <row r="1659" spans="1:11" x14ac:dyDescent="0.3">
      <c r="A1659" s="10">
        <v>57</v>
      </c>
      <c r="B1659" s="10" t="s">
        <v>1929</v>
      </c>
      <c r="C1659" s="10" t="str" cm="1">
        <f t="array" ref="C1659">_xlfn.IFS(A1659&lt;20, "ภาคกลาง", A1659&lt;30, "ภาคตะวันออก", A1659&lt;50, "ภาคตะวันออกเฉียงเหนือ", A1659&lt;60, "ภาคเหนือ", A1659&lt;80, "ภาคกลาง/ตะวันตก", A1659&gt;=80, "ภาคใต้")</f>
        <v>ภาคเหนือ</v>
      </c>
      <c r="D1659" s="64">
        <v>5792</v>
      </c>
      <c r="E1659" s="10" t="s">
        <v>1972</v>
      </c>
      <c r="F1659" s="11">
        <v>2990</v>
      </c>
      <c r="G1659" s="11">
        <v>3172</v>
      </c>
      <c r="H1659" s="11">
        <v>6162</v>
      </c>
      <c r="I1659" s="11">
        <v>2579</v>
      </c>
      <c r="J1659" s="66">
        <f t="shared" si="96"/>
        <v>48.52320675105485</v>
      </c>
      <c r="K1659" s="66">
        <f t="shared" si="97"/>
        <v>51.47679324894515</v>
      </c>
    </row>
    <row r="1660" spans="1:11" ht="27.6" x14ac:dyDescent="0.3">
      <c r="A1660" s="10">
        <v>57</v>
      </c>
      <c r="B1660" s="10" t="s">
        <v>1929</v>
      </c>
      <c r="C1660" s="10" t="str" cm="1">
        <f t="array" ref="C1660">_xlfn.IFS(A1660&lt;20, "ภาคกลาง", A1660&lt;30, "ภาคตะวันออก", A1660&lt;50, "ภาคตะวันออกเฉียงเหนือ", A1660&lt;60, "ภาคเหนือ", A1660&lt;80, "ภาคกลาง/ตะวันตก", A1660&gt;=80, "ภาคใต้")</f>
        <v>ภาคเหนือ</v>
      </c>
      <c r="D1660" s="64">
        <v>5793</v>
      </c>
      <c r="E1660" s="10" t="s">
        <v>1973</v>
      </c>
      <c r="F1660" s="11">
        <v>3619</v>
      </c>
      <c r="G1660" s="11">
        <v>3725</v>
      </c>
      <c r="H1660" s="11">
        <v>7344</v>
      </c>
      <c r="I1660" s="11">
        <v>3266</v>
      </c>
      <c r="J1660" s="66">
        <f t="shared" si="96"/>
        <v>49.278322440087145</v>
      </c>
      <c r="K1660" s="66">
        <f t="shared" si="97"/>
        <v>50.721677559912862</v>
      </c>
    </row>
    <row r="1661" spans="1:11" x14ac:dyDescent="0.3">
      <c r="A1661" s="10">
        <v>57</v>
      </c>
      <c r="B1661" s="10" t="s">
        <v>1929</v>
      </c>
      <c r="C1661" s="10" t="str" cm="1">
        <f t="array" ref="C1661">_xlfn.IFS(A1661&lt;20, "ภาคกลาง", A1661&lt;30, "ภาคตะวันออก", A1661&lt;50, "ภาคตะวันออกเฉียงเหนือ", A1661&lt;60, "ภาคเหนือ", A1661&lt;80, "ภาคกลาง/ตะวันตก", A1661&gt;=80, "ภาคใต้")</f>
        <v>ภาคเหนือ</v>
      </c>
      <c r="D1661" s="64">
        <v>5794</v>
      </c>
      <c r="E1661" s="10" t="s">
        <v>1974</v>
      </c>
      <c r="F1661" s="11">
        <v>2823</v>
      </c>
      <c r="G1661" s="11">
        <v>3306</v>
      </c>
      <c r="H1661" s="11">
        <v>6129</v>
      </c>
      <c r="I1661" s="11">
        <v>3628</v>
      </c>
      <c r="J1661" s="66">
        <f t="shared" si="96"/>
        <v>46.059716103768963</v>
      </c>
      <c r="K1661" s="66">
        <f t="shared" si="97"/>
        <v>53.940283896231037</v>
      </c>
    </row>
    <row r="1662" spans="1:11" ht="27.6" x14ac:dyDescent="0.3">
      <c r="A1662" s="10">
        <v>57</v>
      </c>
      <c r="B1662" s="10" t="s">
        <v>1929</v>
      </c>
      <c r="C1662" s="10" t="str" cm="1">
        <f t="array" ref="C1662">_xlfn.IFS(A1662&lt;20, "ภาคกลาง", A1662&lt;30, "ภาคตะวันออก", A1662&lt;50, "ภาคตะวันออกเฉียงเหนือ", A1662&lt;60, "ภาคเหนือ", A1662&lt;80, "ภาคกลาง/ตะวันตก", A1662&gt;=80, "ภาคใต้")</f>
        <v>ภาคเหนือ</v>
      </c>
      <c r="D1662" s="64">
        <v>5795</v>
      </c>
      <c r="E1662" s="10" t="s">
        <v>1975</v>
      </c>
      <c r="F1662" s="11">
        <v>2280</v>
      </c>
      <c r="G1662" s="11">
        <v>2631</v>
      </c>
      <c r="H1662" s="11">
        <v>4911</v>
      </c>
      <c r="I1662" s="11">
        <v>2907</v>
      </c>
      <c r="J1662" s="66">
        <f t="shared" si="96"/>
        <v>46.426389737324378</v>
      </c>
      <c r="K1662" s="66">
        <f t="shared" si="97"/>
        <v>53.573610262675629</v>
      </c>
    </row>
    <row r="1663" spans="1:11" ht="27.6" x14ac:dyDescent="0.3">
      <c r="A1663" s="10">
        <v>57</v>
      </c>
      <c r="B1663" s="10" t="s">
        <v>1929</v>
      </c>
      <c r="C1663" s="10" t="str" cm="1">
        <f t="array" ref="C1663">_xlfn.IFS(A1663&lt;20, "ภาคกลาง", A1663&lt;30, "ภาคตะวันออก", A1663&lt;50, "ภาคตะวันออกเฉียงเหนือ", A1663&lt;60, "ภาคเหนือ", A1663&lt;80, "ภาคกลาง/ตะวันตก", A1663&gt;=80, "ภาคใต้")</f>
        <v>ภาคเหนือ</v>
      </c>
      <c r="D1663" s="64">
        <v>5796</v>
      </c>
      <c r="E1663" s="10" t="s">
        <v>1976</v>
      </c>
      <c r="F1663" s="11">
        <v>1827</v>
      </c>
      <c r="G1663" s="11">
        <v>1987</v>
      </c>
      <c r="H1663" s="11">
        <v>3814</v>
      </c>
      <c r="I1663" s="11">
        <v>1627</v>
      </c>
      <c r="J1663" s="66">
        <f t="shared" si="96"/>
        <v>47.902464604090191</v>
      </c>
      <c r="K1663" s="66">
        <f t="shared" si="97"/>
        <v>52.097535395909809</v>
      </c>
    </row>
    <row r="1664" spans="1:11" x14ac:dyDescent="0.3">
      <c r="A1664" s="10">
        <v>57</v>
      </c>
      <c r="B1664" s="10" t="s">
        <v>1929</v>
      </c>
      <c r="C1664" s="10" t="str" cm="1">
        <f t="array" ref="C1664">_xlfn.IFS(A1664&lt;20, "ภาคกลาง", A1664&lt;30, "ภาคตะวันออก", A1664&lt;50, "ภาคตะวันออกเฉียงเหนือ", A1664&lt;60, "ภาคเหนือ", A1664&lt;80, "ภาคกลาง/ตะวันตก", A1664&gt;=80, "ภาคใต้")</f>
        <v>ภาคเหนือ</v>
      </c>
      <c r="D1664" s="64">
        <v>5797</v>
      </c>
      <c r="E1664" s="10" t="s">
        <v>1977</v>
      </c>
      <c r="F1664" s="11">
        <v>1647</v>
      </c>
      <c r="G1664" s="11">
        <v>1938</v>
      </c>
      <c r="H1664" s="11">
        <v>3585</v>
      </c>
      <c r="I1664" s="11">
        <v>2389</v>
      </c>
      <c r="J1664" s="66">
        <f t="shared" si="96"/>
        <v>45.94142259414226</v>
      </c>
      <c r="K1664" s="66">
        <f t="shared" si="97"/>
        <v>54.058577405857747</v>
      </c>
    </row>
    <row r="1665" spans="1:11" x14ac:dyDescent="0.3">
      <c r="A1665" s="10">
        <v>57</v>
      </c>
      <c r="B1665" s="10" t="s">
        <v>1929</v>
      </c>
      <c r="C1665" s="10" t="str" cm="1">
        <f t="array" ref="C1665">_xlfn.IFS(A1665&lt;20, "ภาคกลาง", A1665&lt;30, "ภาคตะวันออก", A1665&lt;50, "ภาคตะวันออกเฉียงเหนือ", A1665&lt;60, "ภาคเหนือ", A1665&lt;80, "ภาคกลาง/ตะวันตก", A1665&gt;=80, "ภาคใต้")</f>
        <v>ภาคเหนือ</v>
      </c>
      <c r="D1665" s="64">
        <v>5798</v>
      </c>
      <c r="E1665" s="10" t="s">
        <v>1978</v>
      </c>
      <c r="F1665" s="11">
        <v>2774</v>
      </c>
      <c r="G1665" s="11">
        <v>2940</v>
      </c>
      <c r="H1665" s="11">
        <v>5714</v>
      </c>
      <c r="I1665" s="11">
        <v>2579</v>
      </c>
      <c r="J1665" s="66">
        <f t="shared" si="96"/>
        <v>48.54742737136857</v>
      </c>
      <c r="K1665" s="66">
        <f t="shared" si="97"/>
        <v>51.45257262863143</v>
      </c>
    </row>
    <row r="1666" spans="1:11" x14ac:dyDescent="0.3">
      <c r="A1666" s="10">
        <v>57</v>
      </c>
      <c r="B1666" s="10" t="s">
        <v>1929</v>
      </c>
      <c r="C1666" s="10" t="str" cm="1">
        <f t="array" ref="C1666">_xlfn.IFS(A1666&lt;20, "ภาคกลาง", A1666&lt;30, "ภาคตะวันออก", A1666&lt;50, "ภาคตะวันออกเฉียงเหนือ", A1666&lt;60, "ภาคเหนือ", A1666&lt;80, "ภาคกลาง/ตะวันตก", A1666&gt;=80, "ภาคใต้")</f>
        <v>ภาคเหนือ</v>
      </c>
      <c r="D1666" s="64">
        <v>5799</v>
      </c>
      <c r="E1666" s="10" t="s">
        <v>1979</v>
      </c>
      <c r="F1666" s="11">
        <v>3138</v>
      </c>
      <c r="G1666" s="11">
        <v>3591</v>
      </c>
      <c r="H1666" s="11">
        <v>6729</v>
      </c>
      <c r="I1666" s="11">
        <v>3317</v>
      </c>
      <c r="J1666" s="66">
        <f t="shared" si="96"/>
        <v>46.633972358448503</v>
      </c>
      <c r="K1666" s="66">
        <f t="shared" si="97"/>
        <v>53.366027641551497</v>
      </c>
    </row>
    <row r="1667" spans="1:11" hidden="1" x14ac:dyDescent="0.3">
      <c r="A1667" s="10">
        <v>57</v>
      </c>
      <c r="B1667" s="10" t="s">
        <v>1929</v>
      </c>
      <c r="C1667" s="10" t="str" cm="1">
        <f t="array" ref="C1667">_xlfn.IFS(A1667&lt;20, "ภาคกลาง", A1667&lt;30, "ภาคตะวันออก", A1667&lt;50, "ภาคตะวันออกเฉียงเหนือ", A1667&lt;60, "ภาคเหนือ", A1667&lt;80, "ภาคกลาง/ตะวันตก", A1667&gt;=80, "ภาคใต้")</f>
        <v>ภาคเหนือ</v>
      </c>
      <c r="D1667" s="10">
        <v>0</v>
      </c>
      <c r="E1667" s="10" t="s">
        <v>343</v>
      </c>
      <c r="F1667" s="11">
        <v>37038</v>
      </c>
      <c r="G1667" s="11">
        <v>41450</v>
      </c>
      <c r="H1667" s="11">
        <v>78488</v>
      </c>
      <c r="I1667" s="11">
        <v>53491</v>
      </c>
      <c r="J1667"/>
      <c r="K1667"/>
    </row>
    <row r="1668" spans="1:11" x14ac:dyDescent="0.3">
      <c r="A1668" s="10">
        <v>58</v>
      </c>
      <c r="B1668" s="10" t="s">
        <v>1980</v>
      </c>
      <c r="C1668" s="10" t="str" cm="1">
        <f t="array" ref="C1668">_xlfn.IFS(A1668&lt;20, "ภาคกลาง", A1668&lt;30, "ภาคตะวันออก", A1668&lt;50, "ภาคตะวันออกเฉียงเหนือ", A1668&lt;60, "ภาคเหนือ", A1668&lt;80, "ภาคกลาง/ตะวันตก", A1668&gt;=80, "ภาคใต้")</f>
        <v>ภาคเหนือ</v>
      </c>
      <c r="D1668" s="64">
        <v>5801</v>
      </c>
      <c r="E1668" s="10" t="s">
        <v>1981</v>
      </c>
      <c r="F1668" s="11">
        <v>145723</v>
      </c>
      <c r="G1668" s="11">
        <v>142359</v>
      </c>
      <c r="H1668" s="11">
        <v>288082</v>
      </c>
      <c r="I1668" s="11">
        <v>123826</v>
      </c>
      <c r="J1668" s="66">
        <f t="shared" ref="J1668:J1679" si="98">F1668/H1668*100</f>
        <v>50.583861539422806</v>
      </c>
      <c r="K1668" s="66">
        <f t="shared" ref="K1668:K1679" si="99">G1668/H1668*100</f>
        <v>49.416138460577194</v>
      </c>
    </row>
    <row r="1669" spans="1:11" x14ac:dyDescent="0.3">
      <c r="A1669" s="10">
        <v>58</v>
      </c>
      <c r="B1669" s="10" t="s">
        <v>1980</v>
      </c>
      <c r="C1669" s="10" t="str" cm="1">
        <f t="array" ref="C1669">_xlfn.IFS(A1669&lt;20, "ภาคกลาง", A1669&lt;30, "ภาคตะวันออก", A1669&lt;50, "ภาคตะวันออกเฉียงเหนือ", A1669&lt;60, "ภาคเหนือ", A1669&lt;80, "ภาคกลาง/ตะวันตก", A1669&gt;=80, "ภาคใต้")</f>
        <v>ภาคเหนือ</v>
      </c>
      <c r="D1669" s="64">
        <v>5802</v>
      </c>
      <c r="E1669" s="10" t="s">
        <v>1982</v>
      </c>
      <c r="F1669" s="11">
        <v>28508</v>
      </c>
      <c r="G1669" s="11">
        <v>28103</v>
      </c>
      <c r="H1669" s="11">
        <v>56611</v>
      </c>
      <c r="I1669" s="11">
        <v>24753</v>
      </c>
      <c r="J1669" s="66">
        <f t="shared" si="98"/>
        <v>50.357704333080143</v>
      </c>
      <c r="K1669" s="66">
        <f t="shared" si="99"/>
        <v>49.642295666919857</v>
      </c>
    </row>
    <row r="1670" spans="1:11" x14ac:dyDescent="0.3">
      <c r="A1670" s="10">
        <v>58</v>
      </c>
      <c r="B1670" s="10" t="s">
        <v>1980</v>
      </c>
      <c r="C1670" s="10" t="str" cm="1">
        <f t="array" ref="C1670">_xlfn.IFS(A1670&lt;20, "ภาคกลาง", A1670&lt;30, "ภาคตะวันออก", A1670&lt;50, "ภาคตะวันออกเฉียงเหนือ", A1670&lt;60, "ภาคเหนือ", A1670&lt;80, "ภาคกลาง/ตะวันตก", A1670&gt;=80, "ภาคใต้")</f>
        <v>ภาคเหนือ</v>
      </c>
      <c r="D1670" s="64">
        <v>5803</v>
      </c>
      <c r="E1670" s="10" t="s">
        <v>1983</v>
      </c>
      <c r="F1670" s="11">
        <v>10455</v>
      </c>
      <c r="G1670" s="11">
        <v>9921</v>
      </c>
      <c r="H1670" s="11">
        <v>20376</v>
      </c>
      <c r="I1670" s="11">
        <v>8236</v>
      </c>
      <c r="J1670" s="66">
        <f t="shared" si="98"/>
        <v>51.310365135453473</v>
      </c>
      <c r="K1670" s="66">
        <f t="shared" si="99"/>
        <v>48.689634864546527</v>
      </c>
    </row>
    <row r="1671" spans="1:11" x14ac:dyDescent="0.3">
      <c r="A1671" s="10">
        <v>58</v>
      </c>
      <c r="B1671" s="10" t="s">
        <v>1980</v>
      </c>
      <c r="C1671" s="10" t="str" cm="1">
        <f t="array" ref="C1671">_xlfn.IFS(A1671&lt;20, "ภาคกลาง", A1671&lt;30, "ภาคตะวันออก", A1671&lt;50, "ภาคตะวันออกเฉียงเหนือ", A1671&lt;60, "ภาคเหนือ", A1671&lt;80, "ภาคกลาง/ตะวันตก", A1671&gt;=80, "ภาคใต้")</f>
        <v>ภาคเหนือ</v>
      </c>
      <c r="D1671" s="64">
        <v>5804</v>
      </c>
      <c r="E1671" s="10" t="s">
        <v>1984</v>
      </c>
      <c r="F1671" s="11">
        <v>18255</v>
      </c>
      <c r="G1671" s="11">
        <v>17189</v>
      </c>
      <c r="H1671" s="11">
        <v>35444</v>
      </c>
      <c r="I1671" s="11">
        <v>16289</v>
      </c>
      <c r="J1671" s="66">
        <f t="shared" si="98"/>
        <v>51.503780611669114</v>
      </c>
      <c r="K1671" s="66">
        <f t="shared" si="99"/>
        <v>48.496219388330886</v>
      </c>
    </row>
    <row r="1672" spans="1:11" x14ac:dyDescent="0.3">
      <c r="A1672" s="10">
        <v>58</v>
      </c>
      <c r="B1672" s="10" t="s">
        <v>1980</v>
      </c>
      <c r="C1672" s="10" t="str" cm="1">
        <f t="array" ref="C1672">_xlfn.IFS(A1672&lt;20, "ภาคกลาง", A1672&lt;30, "ภาคตะวันออก", A1672&lt;50, "ภาคตะวันออกเฉียงเหนือ", A1672&lt;60, "ภาคเหนือ", A1672&lt;80, "ภาคกลาง/ตะวันตก", A1672&gt;=80, "ภาคใต้")</f>
        <v>ภาคเหนือ</v>
      </c>
      <c r="D1672" s="64">
        <v>5805</v>
      </c>
      <c r="E1672" s="10" t="s">
        <v>1985</v>
      </c>
      <c r="F1672" s="11">
        <v>26495</v>
      </c>
      <c r="G1672" s="11">
        <v>26360</v>
      </c>
      <c r="H1672" s="11">
        <v>52855</v>
      </c>
      <c r="I1672" s="11">
        <v>22922</v>
      </c>
      <c r="J1672" s="66">
        <f t="shared" si="98"/>
        <v>50.127707880049186</v>
      </c>
      <c r="K1672" s="66">
        <f t="shared" si="99"/>
        <v>49.872292119950806</v>
      </c>
    </row>
    <row r="1673" spans="1:11" x14ac:dyDescent="0.3">
      <c r="A1673" s="10">
        <v>58</v>
      </c>
      <c r="B1673" s="10" t="s">
        <v>1980</v>
      </c>
      <c r="C1673" s="10" t="str" cm="1">
        <f t="array" ref="C1673">_xlfn.IFS(A1673&lt;20, "ภาคกลาง", A1673&lt;30, "ภาคตะวันออก", A1673&lt;50, "ภาคตะวันออกเฉียงเหนือ", A1673&lt;60, "ภาคเหนือ", A1673&lt;80, "ภาคกลาง/ตะวันตก", A1673&gt;=80, "ภาคใต้")</f>
        <v>ภาคเหนือ</v>
      </c>
      <c r="D1673" s="64">
        <v>5806</v>
      </c>
      <c r="E1673" s="10" t="s">
        <v>1986</v>
      </c>
      <c r="F1673" s="11">
        <v>16153</v>
      </c>
      <c r="G1673" s="11">
        <v>15985</v>
      </c>
      <c r="H1673" s="11">
        <v>32138</v>
      </c>
      <c r="I1673" s="11">
        <v>11385</v>
      </c>
      <c r="J1673" s="66">
        <f t="shared" si="98"/>
        <v>50.261372829672034</v>
      </c>
      <c r="K1673" s="66">
        <f t="shared" si="99"/>
        <v>49.738627170327959</v>
      </c>
    </row>
    <row r="1674" spans="1:11" x14ac:dyDescent="0.3">
      <c r="A1674" s="10">
        <v>58</v>
      </c>
      <c r="B1674" s="10" t="s">
        <v>1980</v>
      </c>
      <c r="C1674" s="10" t="str" cm="1">
        <f t="array" ref="C1674">_xlfn.IFS(A1674&lt;20, "ภาคกลาง", A1674&lt;30, "ภาคตะวันออก", A1674&lt;50, "ภาคตะวันออกเฉียงเหนือ", A1674&lt;60, "ภาคเหนือ", A1674&lt;80, "ภาคกลาง/ตะวันตก", A1674&gt;=80, "ภาคใต้")</f>
        <v>ภาคเหนือ</v>
      </c>
      <c r="D1674" s="64">
        <v>5807</v>
      </c>
      <c r="E1674" s="10" t="s">
        <v>1987</v>
      </c>
      <c r="F1674" s="11">
        <v>24583</v>
      </c>
      <c r="G1674" s="11">
        <v>23890</v>
      </c>
      <c r="H1674" s="11">
        <v>48473</v>
      </c>
      <c r="I1674" s="11">
        <v>18261</v>
      </c>
      <c r="J1674" s="66">
        <f t="shared" si="98"/>
        <v>50.714830936810188</v>
      </c>
      <c r="K1674" s="66">
        <f t="shared" si="99"/>
        <v>49.285169063189812</v>
      </c>
    </row>
    <row r="1675" spans="1:11" ht="27.6" x14ac:dyDescent="0.3">
      <c r="A1675" s="10">
        <v>58</v>
      </c>
      <c r="B1675" s="10" t="s">
        <v>1980</v>
      </c>
      <c r="C1675" s="10" t="str" cm="1">
        <f t="array" ref="C1675">_xlfn.IFS(A1675&lt;20, "ภาคกลาง", A1675&lt;30, "ภาคตะวันออก", A1675&lt;50, "ภาคตะวันออกเฉียงเหนือ", A1675&lt;60, "ภาคเหนือ", A1675&lt;80, "ภาคกลาง/ตะวันตก", A1675&gt;=80, "ภาคใต้")</f>
        <v>ภาคเหนือ</v>
      </c>
      <c r="D1675" s="64">
        <v>5895</v>
      </c>
      <c r="E1675" s="10" t="s">
        <v>1988</v>
      </c>
      <c r="F1675" s="11">
        <v>11535</v>
      </c>
      <c r="G1675" s="11">
        <v>10819</v>
      </c>
      <c r="H1675" s="11">
        <v>22354</v>
      </c>
      <c r="I1675" s="11">
        <v>9415</v>
      </c>
      <c r="J1675" s="66">
        <f t="shared" si="98"/>
        <v>51.601503086695885</v>
      </c>
      <c r="K1675" s="66">
        <f t="shared" si="99"/>
        <v>48.398496913304108</v>
      </c>
    </row>
    <row r="1676" spans="1:11" ht="27.6" x14ac:dyDescent="0.3">
      <c r="A1676" s="10">
        <v>58</v>
      </c>
      <c r="B1676" s="10" t="s">
        <v>1980</v>
      </c>
      <c r="C1676" s="10" t="str" cm="1">
        <f t="array" ref="C1676">_xlfn.IFS(A1676&lt;20, "ภาคกลาง", A1676&lt;30, "ภาคตะวันออก", A1676&lt;50, "ภาคตะวันออกเฉียงเหนือ", A1676&lt;60, "ภาคเหนือ", A1676&lt;80, "ภาคกลาง/ตะวันตก", A1676&gt;=80, "ภาคใต้")</f>
        <v>ภาคเหนือ</v>
      </c>
      <c r="D1676" s="64">
        <v>5896</v>
      </c>
      <c r="E1676" s="10" t="s">
        <v>1989</v>
      </c>
      <c r="F1676" s="11">
        <v>1707</v>
      </c>
      <c r="G1676" s="11">
        <v>1757</v>
      </c>
      <c r="H1676" s="11">
        <v>3464</v>
      </c>
      <c r="I1676" s="11">
        <v>1865</v>
      </c>
      <c r="J1676" s="66">
        <f t="shared" si="98"/>
        <v>49.278290993071593</v>
      </c>
      <c r="K1676" s="66">
        <f t="shared" si="99"/>
        <v>50.721709006928407</v>
      </c>
    </row>
    <row r="1677" spans="1:11" x14ac:dyDescent="0.3">
      <c r="A1677" s="10">
        <v>58</v>
      </c>
      <c r="B1677" s="10" t="s">
        <v>1980</v>
      </c>
      <c r="C1677" s="10" t="str" cm="1">
        <f t="array" ref="C1677">_xlfn.IFS(A1677&lt;20, "ภาคกลาง", A1677&lt;30, "ภาคตะวันออก", A1677&lt;50, "ภาคตะวันออกเฉียงเหนือ", A1677&lt;60, "ภาคเหนือ", A1677&lt;80, "ภาคกลาง/ตะวันตก", A1677&gt;=80, "ภาคใต้")</f>
        <v>ภาคเหนือ</v>
      </c>
      <c r="D1677" s="64">
        <v>5897</v>
      </c>
      <c r="E1677" s="10" t="s">
        <v>1990</v>
      </c>
      <c r="F1677" s="11">
        <v>1277</v>
      </c>
      <c r="G1677" s="11">
        <v>1421</v>
      </c>
      <c r="H1677" s="11">
        <v>2698</v>
      </c>
      <c r="I1677" s="11">
        <v>2057</v>
      </c>
      <c r="J1677" s="66">
        <f t="shared" si="98"/>
        <v>47.331356560415124</v>
      </c>
      <c r="K1677" s="66">
        <f t="shared" si="99"/>
        <v>52.668643439584869</v>
      </c>
    </row>
    <row r="1678" spans="1:11" x14ac:dyDescent="0.3">
      <c r="A1678" s="10">
        <v>58</v>
      </c>
      <c r="B1678" s="10" t="s">
        <v>1980</v>
      </c>
      <c r="C1678" s="10" t="str" cm="1">
        <f t="array" ref="C1678">_xlfn.IFS(A1678&lt;20, "ภาคกลาง", A1678&lt;30, "ภาคตะวันออก", A1678&lt;50, "ภาคตะวันออกเฉียงเหนือ", A1678&lt;60, "ภาคเหนือ", A1678&lt;80, "ภาคกลาง/ตะวันตก", A1678&gt;=80, "ภาคใต้")</f>
        <v>ภาคเหนือ</v>
      </c>
      <c r="D1678" s="64">
        <v>5898</v>
      </c>
      <c r="E1678" s="10" t="s">
        <v>1991</v>
      </c>
      <c r="F1678" s="11">
        <v>1636</v>
      </c>
      <c r="G1678" s="11">
        <v>1699</v>
      </c>
      <c r="H1678" s="11">
        <v>3335</v>
      </c>
      <c r="I1678" s="11">
        <v>1963</v>
      </c>
      <c r="J1678" s="66">
        <f t="shared" si="98"/>
        <v>49.055472263868069</v>
      </c>
      <c r="K1678" s="66">
        <f t="shared" si="99"/>
        <v>50.944527736131938</v>
      </c>
    </row>
    <row r="1679" spans="1:11" ht="27.6" x14ac:dyDescent="0.3">
      <c r="A1679" s="10">
        <v>58</v>
      </c>
      <c r="B1679" s="10" t="s">
        <v>1980</v>
      </c>
      <c r="C1679" s="10" t="str" cm="1">
        <f t="array" ref="C1679">_xlfn.IFS(A1679&lt;20, "ภาคกลาง", A1679&lt;30, "ภาคตะวันออก", A1679&lt;50, "ภาคตะวันออกเฉียงเหนือ", A1679&lt;60, "ภาคเหนือ", A1679&lt;80, "ภาคกลาง/ตะวันตก", A1679&gt;=80, "ภาคใต้")</f>
        <v>ภาคเหนือ</v>
      </c>
      <c r="D1679" s="64">
        <v>5899</v>
      </c>
      <c r="E1679" s="10" t="s">
        <v>1992</v>
      </c>
      <c r="F1679" s="11">
        <v>1724</v>
      </c>
      <c r="G1679" s="11">
        <v>1789</v>
      </c>
      <c r="H1679" s="11">
        <v>3513</v>
      </c>
      <c r="I1679" s="11">
        <v>1859</v>
      </c>
      <c r="J1679" s="66">
        <f t="shared" si="98"/>
        <v>49.074864787930544</v>
      </c>
      <c r="K1679" s="66">
        <f t="shared" si="99"/>
        <v>50.925135212069463</v>
      </c>
    </row>
    <row r="1680" spans="1:11" hidden="1" x14ac:dyDescent="0.3">
      <c r="A1680" s="10">
        <v>58</v>
      </c>
      <c r="B1680" s="10" t="s">
        <v>1980</v>
      </c>
      <c r="C1680" s="10" t="str" cm="1">
        <f t="array" ref="C1680">_xlfn.IFS(A1680&lt;20, "ภาคกลาง", A1680&lt;30, "ภาคตะวันออก", A1680&lt;50, "ภาคตะวันออกเฉียงเหนือ", A1680&lt;60, "ภาคเหนือ", A1680&lt;80, "ภาคกลาง/ตะวันตก", A1680&gt;=80, "ภาคใต้")</f>
        <v>ภาคเหนือ</v>
      </c>
      <c r="D1680" s="10">
        <v>0</v>
      </c>
      <c r="E1680" s="10" t="s">
        <v>343</v>
      </c>
      <c r="F1680" s="11">
        <v>3395</v>
      </c>
      <c r="G1680" s="11">
        <v>3426</v>
      </c>
      <c r="H1680" s="11">
        <v>6821</v>
      </c>
      <c r="I1680" s="11">
        <v>4821</v>
      </c>
      <c r="J1680"/>
      <c r="K1680"/>
    </row>
    <row r="1681" spans="1:11" x14ac:dyDescent="0.3">
      <c r="A1681" s="10">
        <v>60</v>
      </c>
      <c r="B1681" s="10" t="s">
        <v>1993</v>
      </c>
      <c r="C1681" s="10" t="str" cm="1">
        <f t="array" ref="C1681">_xlfn.IFS(A1681&lt;20, "ภาคกลาง", A1681&lt;30, "ภาคตะวันออก", A1681&lt;50, "ภาคตะวันออกเฉียงเหนือ", A1681&lt;60, "ภาคเหนือ", A1681&lt;80, "ภาคกลาง/ตะวันตก", A1681&gt;=80, "ภาคใต้")</f>
        <v>ภาคกลาง/ตะวันตก</v>
      </c>
      <c r="D1681" s="64">
        <v>6001</v>
      </c>
      <c r="E1681" s="10" t="s">
        <v>1994</v>
      </c>
      <c r="F1681" s="11">
        <v>493281</v>
      </c>
      <c r="G1681" s="11">
        <v>521120</v>
      </c>
      <c r="H1681" s="11">
        <v>1014401</v>
      </c>
      <c r="I1681" s="11">
        <v>437370</v>
      </c>
      <c r="J1681" s="66">
        <f t="shared" ref="J1681:J1713" si="100">F1681/H1681*100</f>
        <v>48.627810895296832</v>
      </c>
      <c r="K1681" s="66">
        <f t="shared" ref="K1681:K1713" si="101">G1681/H1681*100</f>
        <v>51.372189104703168</v>
      </c>
    </row>
    <row r="1682" spans="1:11" x14ac:dyDescent="0.3">
      <c r="A1682" s="10">
        <v>60</v>
      </c>
      <c r="B1682" s="10" t="s">
        <v>1993</v>
      </c>
      <c r="C1682" s="10" t="str" cm="1">
        <f t="array" ref="C1682">_xlfn.IFS(A1682&lt;20, "ภาคกลาง", A1682&lt;30, "ภาคตะวันออก", A1682&lt;50, "ภาคตะวันออกเฉียงเหนือ", A1682&lt;60, "ภาคเหนือ", A1682&lt;80, "ภาคกลาง/ตะวันตก", A1682&gt;=80, "ภาคใต้")</f>
        <v>ภาคกลาง/ตะวันตก</v>
      </c>
      <c r="D1682" s="64">
        <v>6002</v>
      </c>
      <c r="E1682" s="10" t="s">
        <v>1995</v>
      </c>
      <c r="F1682" s="11">
        <v>77626</v>
      </c>
      <c r="G1682" s="11">
        <v>84161</v>
      </c>
      <c r="H1682" s="11">
        <v>161787</v>
      </c>
      <c r="I1682" s="11">
        <v>75749</v>
      </c>
      <c r="J1682" s="66">
        <f t="shared" si="100"/>
        <v>47.980369250928689</v>
      </c>
      <c r="K1682" s="66">
        <f t="shared" si="101"/>
        <v>52.019630749071311</v>
      </c>
    </row>
    <row r="1683" spans="1:11" x14ac:dyDescent="0.3">
      <c r="A1683" s="10">
        <v>60</v>
      </c>
      <c r="B1683" s="10" t="s">
        <v>1993</v>
      </c>
      <c r="C1683" s="10" t="str" cm="1">
        <f t="array" ref="C1683">_xlfn.IFS(A1683&lt;20, "ภาคกลาง", A1683&lt;30, "ภาคตะวันออก", A1683&lt;50, "ภาคตะวันออกเฉียงเหนือ", A1683&lt;60, "ภาคเหนือ", A1683&lt;80, "ภาคกลาง/ตะวันตก", A1683&gt;=80, "ภาคใต้")</f>
        <v>ภาคกลาง/ตะวันตก</v>
      </c>
      <c r="D1683" s="64">
        <v>6003</v>
      </c>
      <c r="E1683" s="10" t="s">
        <v>1996</v>
      </c>
      <c r="F1683" s="11">
        <v>12750</v>
      </c>
      <c r="G1683" s="11">
        <v>13488</v>
      </c>
      <c r="H1683" s="11">
        <v>26238</v>
      </c>
      <c r="I1683" s="11">
        <v>10080</v>
      </c>
      <c r="J1683" s="66">
        <f t="shared" si="100"/>
        <v>48.593642808140864</v>
      </c>
      <c r="K1683" s="66">
        <f t="shared" si="101"/>
        <v>51.406357191859129</v>
      </c>
    </row>
    <row r="1684" spans="1:11" x14ac:dyDescent="0.3">
      <c r="A1684" s="10">
        <v>60</v>
      </c>
      <c r="B1684" s="10" t="s">
        <v>1993</v>
      </c>
      <c r="C1684" s="10" t="str" cm="1">
        <f t="array" ref="C1684">_xlfn.IFS(A1684&lt;20, "ภาคกลาง", A1684&lt;30, "ภาคตะวันออก", A1684&lt;50, "ภาคตะวันออกเฉียงเหนือ", A1684&lt;60, "ภาคเหนือ", A1684&lt;80, "ภาคกลาง/ตะวันตก", A1684&gt;=80, "ภาคใต้")</f>
        <v>ภาคกลาง/ตะวันตก</v>
      </c>
      <c r="D1684" s="64">
        <v>6004</v>
      </c>
      <c r="E1684" s="10" t="s">
        <v>1997</v>
      </c>
      <c r="F1684" s="11">
        <v>25148</v>
      </c>
      <c r="G1684" s="11">
        <v>26765</v>
      </c>
      <c r="H1684" s="11">
        <v>51913</v>
      </c>
      <c r="I1684" s="11">
        <v>19025</v>
      </c>
      <c r="J1684" s="66">
        <f t="shared" si="100"/>
        <v>48.442586635332191</v>
      </c>
      <c r="K1684" s="66">
        <f t="shared" si="101"/>
        <v>51.557413364667816</v>
      </c>
    </row>
    <row r="1685" spans="1:11" x14ac:dyDescent="0.3">
      <c r="A1685" s="10">
        <v>60</v>
      </c>
      <c r="B1685" s="10" t="s">
        <v>1993</v>
      </c>
      <c r="C1685" s="10" t="str" cm="1">
        <f t="array" ref="C1685">_xlfn.IFS(A1685&lt;20, "ภาคกลาง", A1685&lt;30, "ภาคตะวันออก", A1685&lt;50, "ภาคตะวันออกเฉียงเหนือ", A1685&lt;60, "ภาคเหนือ", A1685&lt;80, "ภาคกลาง/ตะวันตก", A1685&gt;=80, "ภาคใต้")</f>
        <v>ภาคกลาง/ตะวันตก</v>
      </c>
      <c r="D1685" s="64">
        <v>6005</v>
      </c>
      <c r="E1685" s="10" t="s">
        <v>1998</v>
      </c>
      <c r="F1685" s="11">
        <v>26352</v>
      </c>
      <c r="G1685" s="11">
        <v>26847</v>
      </c>
      <c r="H1685" s="11">
        <v>53199</v>
      </c>
      <c r="I1685" s="11">
        <v>24157</v>
      </c>
      <c r="J1685" s="66">
        <f t="shared" si="100"/>
        <v>49.534765691084424</v>
      </c>
      <c r="K1685" s="66">
        <f t="shared" si="101"/>
        <v>50.465234308915583</v>
      </c>
    </row>
    <row r="1686" spans="1:11" x14ac:dyDescent="0.3">
      <c r="A1686" s="10">
        <v>60</v>
      </c>
      <c r="B1686" s="10" t="s">
        <v>1993</v>
      </c>
      <c r="C1686" s="10" t="str" cm="1">
        <f t="array" ref="C1686">_xlfn.IFS(A1686&lt;20, "ภาคกลาง", A1686&lt;30, "ภาคตะวันออก", A1686&lt;50, "ภาคตะวันออกเฉียงเหนือ", A1686&lt;60, "ภาคเหนือ", A1686&lt;80, "ภาคกลาง/ตะวันตก", A1686&gt;=80, "ภาคใต้")</f>
        <v>ภาคกลาง/ตะวันตก</v>
      </c>
      <c r="D1686" s="64">
        <v>6006</v>
      </c>
      <c r="E1686" s="10" t="s">
        <v>1999</v>
      </c>
      <c r="F1686" s="11">
        <v>38702</v>
      </c>
      <c r="G1686" s="11">
        <v>40327</v>
      </c>
      <c r="H1686" s="11">
        <v>79029</v>
      </c>
      <c r="I1686" s="11">
        <v>29473</v>
      </c>
      <c r="J1686" s="66">
        <f t="shared" si="100"/>
        <v>48.971896392463528</v>
      </c>
      <c r="K1686" s="66">
        <f t="shared" si="101"/>
        <v>51.02810360753648</v>
      </c>
    </row>
    <row r="1687" spans="1:11" x14ac:dyDescent="0.3">
      <c r="A1687" s="10">
        <v>60</v>
      </c>
      <c r="B1687" s="10" t="s">
        <v>1993</v>
      </c>
      <c r="C1687" s="10" t="str" cm="1">
        <f t="array" ref="C1687">_xlfn.IFS(A1687&lt;20, "ภาคกลาง", A1687&lt;30, "ภาคตะวันออก", A1687&lt;50, "ภาคตะวันออกเฉียงเหนือ", A1687&lt;60, "ภาคเหนือ", A1687&lt;80, "ภาคกลาง/ตะวันตก", A1687&gt;=80, "ภาคใต้")</f>
        <v>ภาคกลาง/ตะวันตก</v>
      </c>
      <c r="D1687" s="64">
        <v>6007</v>
      </c>
      <c r="E1687" s="10" t="s">
        <v>2000</v>
      </c>
      <c r="F1687" s="11">
        <v>13652</v>
      </c>
      <c r="G1687" s="11">
        <v>14395</v>
      </c>
      <c r="H1687" s="11">
        <v>28047</v>
      </c>
      <c r="I1687" s="11">
        <v>11018</v>
      </c>
      <c r="J1687" s="66">
        <f t="shared" si="100"/>
        <v>48.675437658216566</v>
      </c>
      <c r="K1687" s="66">
        <f t="shared" si="101"/>
        <v>51.324562341783434</v>
      </c>
    </row>
    <row r="1688" spans="1:11" x14ac:dyDescent="0.3">
      <c r="A1688" s="10">
        <v>60</v>
      </c>
      <c r="B1688" s="10" t="s">
        <v>1993</v>
      </c>
      <c r="C1688" s="10" t="str" cm="1">
        <f t="array" ref="C1688">_xlfn.IFS(A1688&lt;20, "ภาคกลาง", A1688&lt;30, "ภาคตะวันออก", A1688&lt;50, "ภาคตะวันออกเฉียงเหนือ", A1688&lt;60, "ภาคเหนือ", A1688&lt;80, "ภาคกลาง/ตะวันตก", A1688&gt;=80, "ภาคใต้")</f>
        <v>ภาคกลาง/ตะวันตก</v>
      </c>
      <c r="D1688" s="64">
        <v>6008</v>
      </c>
      <c r="E1688" s="10" t="s">
        <v>2001</v>
      </c>
      <c r="F1688" s="11">
        <v>37323</v>
      </c>
      <c r="G1688" s="11">
        <v>38318</v>
      </c>
      <c r="H1688" s="11">
        <v>75641</v>
      </c>
      <c r="I1688" s="11">
        <v>31157</v>
      </c>
      <c r="J1688" s="66">
        <f t="shared" si="100"/>
        <v>49.342287912639968</v>
      </c>
      <c r="K1688" s="66">
        <f t="shared" si="101"/>
        <v>50.657712087360032</v>
      </c>
    </row>
    <row r="1689" spans="1:11" x14ac:dyDescent="0.3">
      <c r="A1689" s="10">
        <v>60</v>
      </c>
      <c r="B1689" s="10" t="s">
        <v>1993</v>
      </c>
      <c r="C1689" s="10" t="str" cm="1">
        <f t="array" ref="C1689">_xlfn.IFS(A1689&lt;20, "ภาคกลาง", A1689&lt;30, "ภาคตะวันออก", A1689&lt;50, "ภาคตะวันออกเฉียงเหนือ", A1689&lt;60, "ภาคเหนือ", A1689&lt;80, "ภาคกลาง/ตะวันตก", A1689&gt;=80, "ภาคใต้")</f>
        <v>ภาคกลาง/ตะวันตก</v>
      </c>
      <c r="D1689" s="64">
        <v>6009</v>
      </c>
      <c r="E1689" s="10" t="s">
        <v>2002</v>
      </c>
      <c r="F1689" s="11">
        <v>28667</v>
      </c>
      <c r="G1689" s="11">
        <v>30097</v>
      </c>
      <c r="H1689" s="11">
        <v>58764</v>
      </c>
      <c r="I1689" s="11">
        <v>24302</v>
      </c>
      <c r="J1689" s="66">
        <f t="shared" si="100"/>
        <v>48.783268667891903</v>
      </c>
      <c r="K1689" s="66">
        <f t="shared" si="101"/>
        <v>51.21673133210809</v>
      </c>
    </row>
    <row r="1690" spans="1:11" x14ac:dyDescent="0.3">
      <c r="A1690" s="10">
        <v>60</v>
      </c>
      <c r="B1690" s="10" t="s">
        <v>1993</v>
      </c>
      <c r="C1690" s="10" t="str" cm="1">
        <f t="array" ref="C1690">_xlfn.IFS(A1690&lt;20, "ภาคกลาง", A1690&lt;30, "ภาคตะวันออก", A1690&lt;50, "ภาคตะวันออกเฉียงเหนือ", A1690&lt;60, "ภาคเหนือ", A1690&lt;80, "ภาคกลาง/ตะวันตก", A1690&gt;=80, "ภาคใต้")</f>
        <v>ภาคกลาง/ตะวันตก</v>
      </c>
      <c r="D1690" s="64">
        <v>6010</v>
      </c>
      <c r="E1690" s="10" t="s">
        <v>2003</v>
      </c>
      <c r="F1690" s="11">
        <v>29102</v>
      </c>
      <c r="G1690" s="11">
        <v>29738</v>
      </c>
      <c r="H1690" s="11">
        <v>58840</v>
      </c>
      <c r="I1690" s="11">
        <v>22125</v>
      </c>
      <c r="J1690" s="66">
        <f t="shared" si="100"/>
        <v>49.459551325628823</v>
      </c>
      <c r="K1690" s="66">
        <f t="shared" si="101"/>
        <v>50.540448674371177</v>
      </c>
    </row>
    <row r="1691" spans="1:11" x14ac:dyDescent="0.3">
      <c r="A1691" s="10">
        <v>60</v>
      </c>
      <c r="B1691" s="10" t="s">
        <v>1993</v>
      </c>
      <c r="C1691" s="10" t="str" cm="1">
        <f t="array" ref="C1691">_xlfn.IFS(A1691&lt;20, "ภาคกลาง", A1691&lt;30, "ภาคตะวันออก", A1691&lt;50, "ภาคตะวันออกเฉียงเหนือ", A1691&lt;60, "ภาคเหนือ", A1691&lt;80, "ภาคกลาง/ตะวันตก", A1691&gt;=80, "ภาคใต้")</f>
        <v>ภาคกลาง/ตะวันตก</v>
      </c>
      <c r="D1691" s="64">
        <v>6011</v>
      </c>
      <c r="E1691" s="10" t="s">
        <v>2004</v>
      </c>
      <c r="F1691" s="11">
        <v>23856</v>
      </c>
      <c r="G1691" s="11">
        <v>25370</v>
      </c>
      <c r="H1691" s="11">
        <v>49226</v>
      </c>
      <c r="I1691" s="11">
        <v>21914</v>
      </c>
      <c r="J1691" s="66">
        <f t="shared" si="100"/>
        <v>48.462194775118839</v>
      </c>
      <c r="K1691" s="66">
        <f t="shared" si="101"/>
        <v>51.537805224881161</v>
      </c>
    </row>
    <row r="1692" spans="1:11" x14ac:dyDescent="0.3">
      <c r="A1692" s="10">
        <v>60</v>
      </c>
      <c r="B1692" s="10" t="s">
        <v>1993</v>
      </c>
      <c r="C1692" s="10" t="str" cm="1">
        <f t="array" ref="C1692">_xlfn.IFS(A1692&lt;20, "ภาคกลาง", A1692&lt;30, "ภาคตะวันออก", A1692&lt;50, "ภาคตะวันออกเฉียงเหนือ", A1692&lt;60, "ภาคเหนือ", A1692&lt;80, "ภาคกลาง/ตะวันตก", A1692&gt;=80, "ภาคใต้")</f>
        <v>ภาคกลาง/ตะวันตก</v>
      </c>
      <c r="D1692" s="64">
        <v>6012</v>
      </c>
      <c r="E1692" s="10" t="s">
        <v>2005</v>
      </c>
      <c r="F1692" s="11">
        <v>35173</v>
      </c>
      <c r="G1692" s="11">
        <v>36633</v>
      </c>
      <c r="H1692" s="11">
        <v>71806</v>
      </c>
      <c r="I1692" s="11">
        <v>27862</v>
      </c>
      <c r="J1692" s="66">
        <f t="shared" si="100"/>
        <v>48.983371863075511</v>
      </c>
      <c r="K1692" s="66">
        <f t="shared" si="101"/>
        <v>51.016628136924489</v>
      </c>
    </row>
    <row r="1693" spans="1:11" x14ac:dyDescent="0.3">
      <c r="A1693" s="10">
        <v>60</v>
      </c>
      <c r="B1693" s="10" t="s">
        <v>1993</v>
      </c>
      <c r="C1693" s="10" t="str" cm="1">
        <f t="array" ref="C1693">_xlfn.IFS(A1693&lt;20, "ภาคกลาง", A1693&lt;30, "ภาคตะวันออก", A1693&lt;50, "ภาคตะวันออกเฉียงเหนือ", A1693&lt;60, "ภาคเหนือ", A1693&lt;80, "ภาคกลาง/ตะวันตก", A1693&gt;=80, "ภาคใต้")</f>
        <v>ภาคกลาง/ตะวันตก</v>
      </c>
      <c r="D1693" s="64">
        <v>6013</v>
      </c>
      <c r="E1693" s="10" t="s">
        <v>2006</v>
      </c>
      <c r="F1693" s="11">
        <v>16410</v>
      </c>
      <c r="G1693" s="11">
        <v>16986</v>
      </c>
      <c r="H1693" s="11">
        <v>33396</v>
      </c>
      <c r="I1693" s="11">
        <v>13183</v>
      </c>
      <c r="J1693" s="66">
        <f t="shared" si="100"/>
        <v>49.137621272008623</v>
      </c>
      <c r="K1693" s="66">
        <f t="shared" si="101"/>
        <v>50.862378727991377</v>
      </c>
    </row>
    <row r="1694" spans="1:11" x14ac:dyDescent="0.3">
      <c r="A1694" s="10">
        <v>60</v>
      </c>
      <c r="B1694" s="10" t="s">
        <v>1993</v>
      </c>
      <c r="C1694" s="10" t="str" cm="1">
        <f t="array" ref="C1694">_xlfn.IFS(A1694&lt;20, "ภาคกลาง", A1694&lt;30, "ภาคตะวันออก", A1694&lt;50, "ภาคตะวันออกเฉียงเหนือ", A1694&lt;60, "ภาคเหนือ", A1694&lt;80, "ภาคกลาง/ตะวันตก", A1694&gt;=80, "ภาคใต้")</f>
        <v>ภาคกลาง/ตะวันตก</v>
      </c>
      <c r="D1694" s="64">
        <v>6014</v>
      </c>
      <c r="E1694" s="10" t="s">
        <v>2007</v>
      </c>
      <c r="F1694" s="11">
        <v>24370</v>
      </c>
      <c r="G1694" s="11">
        <v>24587</v>
      </c>
      <c r="H1694" s="11">
        <v>48957</v>
      </c>
      <c r="I1694" s="11">
        <v>19342</v>
      </c>
      <c r="J1694" s="66">
        <f t="shared" si="100"/>
        <v>49.778376943031638</v>
      </c>
      <c r="K1694" s="66">
        <f t="shared" si="101"/>
        <v>50.221623056968355</v>
      </c>
    </row>
    <row r="1695" spans="1:11" x14ac:dyDescent="0.3">
      <c r="A1695" s="10">
        <v>60</v>
      </c>
      <c r="B1695" s="10" t="s">
        <v>1993</v>
      </c>
      <c r="C1695" s="10" t="str" cm="1">
        <f t="array" ref="C1695">_xlfn.IFS(A1695&lt;20, "ภาคกลาง", A1695&lt;30, "ภาคตะวันออก", A1695&lt;50, "ภาคตะวันออกเฉียงเหนือ", A1695&lt;60, "ภาคเหนือ", A1695&lt;80, "ภาคกลาง/ตะวันตก", A1695&gt;=80, "ภาคใต้")</f>
        <v>ภาคกลาง/ตะวันตก</v>
      </c>
      <c r="D1695" s="64">
        <v>6015</v>
      </c>
      <c r="E1695" s="10" t="s">
        <v>2008</v>
      </c>
      <c r="F1695" s="11">
        <v>10302</v>
      </c>
      <c r="G1695" s="11">
        <v>10286</v>
      </c>
      <c r="H1695" s="11">
        <v>20588</v>
      </c>
      <c r="I1695" s="11">
        <v>6444</v>
      </c>
      <c r="J1695" s="66">
        <f t="shared" si="100"/>
        <v>50.038857586943855</v>
      </c>
      <c r="K1695" s="66">
        <f t="shared" si="101"/>
        <v>49.961142413056145</v>
      </c>
    </row>
    <row r="1696" spans="1:11" x14ac:dyDescent="0.3">
      <c r="A1696" s="10">
        <v>60</v>
      </c>
      <c r="B1696" s="10" t="s">
        <v>1993</v>
      </c>
      <c r="C1696" s="10" t="str" cm="1">
        <f t="array" ref="C1696">_xlfn.IFS(A1696&lt;20, "ภาคกลาง", A1696&lt;30, "ภาคตะวันออก", A1696&lt;50, "ภาคตะวันออกเฉียงเหนือ", A1696&lt;60, "ภาคเหนือ", A1696&lt;80, "ภาคกลาง/ตะวันตก", A1696&gt;=80, "ภาคใต้")</f>
        <v>ภาคกลาง/ตะวันตก</v>
      </c>
      <c r="D1696" s="64">
        <v>6082</v>
      </c>
      <c r="E1696" s="10" t="s">
        <v>2009</v>
      </c>
      <c r="F1696" s="11">
        <v>8785</v>
      </c>
      <c r="G1696" s="11">
        <v>8860</v>
      </c>
      <c r="H1696" s="11">
        <v>17645</v>
      </c>
      <c r="I1696" s="11">
        <v>6675</v>
      </c>
      <c r="J1696" s="66">
        <f t="shared" si="100"/>
        <v>49.787475205440636</v>
      </c>
      <c r="K1696" s="66">
        <f t="shared" si="101"/>
        <v>50.212524794559364</v>
      </c>
    </row>
    <row r="1697" spans="1:11" x14ac:dyDescent="0.3">
      <c r="A1697" s="10">
        <v>60</v>
      </c>
      <c r="B1697" s="10" t="s">
        <v>1993</v>
      </c>
      <c r="C1697" s="10" t="str" cm="1">
        <f t="array" ref="C1697">_xlfn.IFS(A1697&lt;20, "ภาคกลาง", A1697&lt;30, "ภาคตะวันออก", A1697&lt;50, "ภาคตะวันออกเฉียงเหนือ", A1697&lt;60, "ภาคเหนือ", A1697&lt;80, "ภาคกลาง/ตะวันตก", A1697&gt;=80, "ภาคใต้")</f>
        <v>ภาคกลาง/ตะวันตก</v>
      </c>
      <c r="D1697" s="64">
        <v>6083</v>
      </c>
      <c r="E1697" s="10" t="s">
        <v>2010</v>
      </c>
      <c r="F1697" s="11">
        <v>2477</v>
      </c>
      <c r="G1697" s="11">
        <v>2685</v>
      </c>
      <c r="H1697" s="11">
        <v>5162</v>
      </c>
      <c r="I1697" s="11">
        <v>2872</v>
      </c>
      <c r="J1697" s="66">
        <f t="shared" si="100"/>
        <v>47.985277024409143</v>
      </c>
      <c r="K1697" s="66">
        <f t="shared" si="101"/>
        <v>52.014722975590857</v>
      </c>
    </row>
    <row r="1698" spans="1:11" ht="27.6" x14ac:dyDescent="0.3">
      <c r="A1698" s="10">
        <v>60</v>
      </c>
      <c r="B1698" s="10" t="s">
        <v>1993</v>
      </c>
      <c r="C1698" s="10" t="str" cm="1">
        <f t="array" ref="C1698">_xlfn.IFS(A1698&lt;20, "ภาคกลาง", A1698&lt;30, "ภาคตะวันออก", A1698&lt;50, "ภาคตะวันออกเฉียงเหนือ", A1698&lt;60, "ภาคเหนือ", A1698&lt;80, "ภาคกลาง/ตะวันตก", A1698&gt;=80, "ภาคใต้")</f>
        <v>ภาคกลาง/ตะวันตก</v>
      </c>
      <c r="D1698" s="64">
        <v>6084</v>
      </c>
      <c r="E1698" s="10" t="s">
        <v>2011</v>
      </c>
      <c r="F1698" s="11">
        <v>2641</v>
      </c>
      <c r="G1698" s="11">
        <v>3002</v>
      </c>
      <c r="H1698" s="11">
        <v>5643</v>
      </c>
      <c r="I1698" s="11">
        <v>3529</v>
      </c>
      <c r="J1698" s="66">
        <f t="shared" si="100"/>
        <v>46.801346801346796</v>
      </c>
      <c r="K1698" s="66">
        <f t="shared" si="101"/>
        <v>53.198653198653204</v>
      </c>
    </row>
    <row r="1699" spans="1:11" x14ac:dyDescent="0.3">
      <c r="A1699" s="10">
        <v>60</v>
      </c>
      <c r="B1699" s="10" t="s">
        <v>1993</v>
      </c>
      <c r="C1699" s="10" t="str" cm="1">
        <f t="array" ref="C1699">_xlfn.IFS(A1699&lt;20, "ภาคกลาง", A1699&lt;30, "ภาคตะวันออก", A1699&lt;50, "ภาคตะวันออกเฉียงเหนือ", A1699&lt;60, "ภาคเหนือ", A1699&lt;80, "ภาคกลาง/ตะวันตก", A1699&gt;=80, "ภาคใต้")</f>
        <v>ภาคกลาง/ตะวันตก</v>
      </c>
      <c r="D1699" s="64">
        <v>6085</v>
      </c>
      <c r="E1699" s="10" t="s">
        <v>2012</v>
      </c>
      <c r="F1699" s="11">
        <v>1493</v>
      </c>
      <c r="G1699" s="11">
        <v>1715</v>
      </c>
      <c r="H1699" s="11">
        <v>3208</v>
      </c>
      <c r="I1699" s="11">
        <v>1510</v>
      </c>
      <c r="J1699" s="66">
        <f t="shared" si="100"/>
        <v>46.539900249376558</v>
      </c>
      <c r="K1699" s="66">
        <f t="shared" si="101"/>
        <v>53.460099750623449</v>
      </c>
    </row>
    <row r="1700" spans="1:11" ht="27.6" x14ac:dyDescent="0.3">
      <c r="A1700" s="10">
        <v>60</v>
      </c>
      <c r="B1700" s="10" t="s">
        <v>1993</v>
      </c>
      <c r="C1700" s="10" t="str" cm="1">
        <f t="array" ref="C1700">_xlfn.IFS(A1700&lt;20, "ภาคกลาง", A1700&lt;30, "ภาคตะวันออก", A1700&lt;50, "ภาคตะวันออกเฉียงเหนือ", A1700&lt;60, "ภาคเหนือ", A1700&lt;80, "ภาคกลาง/ตะวันตก", A1700&gt;=80, "ภาคใต้")</f>
        <v>ภาคกลาง/ตะวันตก</v>
      </c>
      <c r="D1700" s="64">
        <v>6086</v>
      </c>
      <c r="E1700" s="10" t="s">
        <v>2013</v>
      </c>
      <c r="F1700" s="11">
        <v>2485</v>
      </c>
      <c r="G1700" s="11">
        <v>2903</v>
      </c>
      <c r="H1700" s="11">
        <v>5388</v>
      </c>
      <c r="I1700" s="11">
        <v>3056</v>
      </c>
      <c r="J1700" s="66">
        <f t="shared" si="100"/>
        <v>46.12100965107647</v>
      </c>
      <c r="K1700" s="66">
        <f t="shared" si="101"/>
        <v>53.878990348923537</v>
      </c>
    </row>
    <row r="1701" spans="1:11" x14ac:dyDescent="0.3">
      <c r="A1701" s="10">
        <v>60</v>
      </c>
      <c r="B1701" s="10" t="s">
        <v>1993</v>
      </c>
      <c r="C1701" s="10" t="str" cm="1">
        <f t="array" ref="C1701">_xlfn.IFS(A1701&lt;20, "ภาคกลาง", A1701&lt;30, "ภาคตะวันออก", A1701&lt;50, "ภาคตะวันออกเฉียงเหนือ", A1701&lt;60, "ภาคเหนือ", A1701&lt;80, "ภาคกลาง/ตะวันตก", A1701&gt;=80, "ภาคใต้")</f>
        <v>ภาคกลาง/ตะวันตก</v>
      </c>
      <c r="D1701" s="64">
        <v>6087</v>
      </c>
      <c r="E1701" s="10" t="s">
        <v>2014</v>
      </c>
      <c r="F1701" s="11">
        <v>2314</v>
      </c>
      <c r="G1701" s="11">
        <v>2560</v>
      </c>
      <c r="H1701" s="11">
        <v>4874</v>
      </c>
      <c r="I1701" s="11">
        <v>2815</v>
      </c>
      <c r="J1701" s="66">
        <f t="shared" si="100"/>
        <v>47.476405416495695</v>
      </c>
      <c r="K1701" s="66">
        <f t="shared" si="101"/>
        <v>52.523594583504305</v>
      </c>
    </row>
    <row r="1702" spans="1:11" x14ac:dyDescent="0.3">
      <c r="A1702" s="10">
        <v>60</v>
      </c>
      <c r="B1702" s="10" t="s">
        <v>1993</v>
      </c>
      <c r="C1702" s="10" t="str" cm="1">
        <f t="array" ref="C1702">_xlfn.IFS(A1702&lt;20, "ภาคกลาง", A1702&lt;30, "ภาคตะวันออก", A1702&lt;50, "ภาคตะวันออกเฉียงเหนือ", A1702&lt;60, "ภาคเหนือ", A1702&lt;80, "ภาคกลาง/ตะวันตก", A1702&gt;=80, "ภาคใต้")</f>
        <v>ภาคกลาง/ตะวันตก</v>
      </c>
      <c r="D1702" s="64">
        <v>6088</v>
      </c>
      <c r="E1702" s="10" t="s">
        <v>2015</v>
      </c>
      <c r="F1702" s="11">
        <v>4665</v>
      </c>
      <c r="G1702" s="11">
        <v>5204</v>
      </c>
      <c r="H1702" s="11">
        <v>9869</v>
      </c>
      <c r="I1702" s="11">
        <v>5150</v>
      </c>
      <c r="J1702" s="66">
        <f t="shared" si="100"/>
        <v>47.269226872023509</v>
      </c>
      <c r="K1702" s="66">
        <f t="shared" si="101"/>
        <v>52.730773127976491</v>
      </c>
    </row>
    <row r="1703" spans="1:11" x14ac:dyDescent="0.3">
      <c r="A1703" s="10">
        <v>60</v>
      </c>
      <c r="B1703" s="10" t="s">
        <v>1993</v>
      </c>
      <c r="C1703" s="10" t="str" cm="1">
        <f t="array" ref="C1703">_xlfn.IFS(A1703&lt;20, "ภาคกลาง", A1703&lt;30, "ภาคตะวันออก", A1703&lt;50, "ภาคตะวันออกเฉียงเหนือ", A1703&lt;60, "ภาคเหนือ", A1703&lt;80, "ภาคกลาง/ตะวันตก", A1703&gt;=80, "ภาคใต้")</f>
        <v>ภาคกลาง/ตะวันตก</v>
      </c>
      <c r="D1703" s="64">
        <v>6089</v>
      </c>
      <c r="E1703" s="10" t="s">
        <v>2016</v>
      </c>
      <c r="F1703" s="11">
        <v>2472</v>
      </c>
      <c r="G1703" s="11">
        <v>2830</v>
      </c>
      <c r="H1703" s="11">
        <v>5302</v>
      </c>
      <c r="I1703" s="11">
        <v>2960</v>
      </c>
      <c r="J1703" s="66">
        <f t="shared" si="100"/>
        <v>46.623915503583554</v>
      </c>
      <c r="K1703" s="66">
        <f t="shared" si="101"/>
        <v>53.376084496416439</v>
      </c>
    </row>
    <row r="1704" spans="1:11" x14ac:dyDescent="0.3">
      <c r="A1704" s="10">
        <v>60</v>
      </c>
      <c r="B1704" s="10" t="s">
        <v>1993</v>
      </c>
      <c r="C1704" s="10" t="str" cm="1">
        <f t="array" ref="C1704">_xlfn.IFS(A1704&lt;20, "ภาคกลาง", A1704&lt;30, "ภาคตะวันออก", A1704&lt;50, "ภาคตะวันออกเฉียงเหนือ", A1704&lt;60, "ภาคเหนือ", A1704&lt;80, "ภาคกลาง/ตะวันตก", A1704&gt;=80, "ภาคใต้")</f>
        <v>ภาคกลาง/ตะวันตก</v>
      </c>
      <c r="D1704" s="64">
        <v>6090</v>
      </c>
      <c r="E1704" s="10" t="s">
        <v>2017</v>
      </c>
      <c r="F1704" s="11">
        <v>1377</v>
      </c>
      <c r="G1704" s="11">
        <v>1513</v>
      </c>
      <c r="H1704" s="11">
        <v>2890</v>
      </c>
      <c r="I1704" s="11">
        <v>1101</v>
      </c>
      <c r="J1704" s="66">
        <f t="shared" si="100"/>
        <v>47.647058823529406</v>
      </c>
      <c r="K1704" s="66">
        <f t="shared" si="101"/>
        <v>52.352941176470594</v>
      </c>
    </row>
    <row r="1705" spans="1:11" ht="27.6" x14ac:dyDescent="0.3">
      <c r="A1705" s="10">
        <v>60</v>
      </c>
      <c r="B1705" s="10" t="s">
        <v>1993</v>
      </c>
      <c r="C1705" s="10" t="str" cm="1">
        <f t="array" ref="C1705">_xlfn.IFS(A1705&lt;20, "ภาคกลาง", A1705&lt;30, "ภาคตะวันออก", A1705&lt;50, "ภาคตะวันออกเฉียงเหนือ", A1705&lt;60, "ภาคเหนือ", A1705&lt;80, "ภาคกลาง/ตะวันตก", A1705&gt;=80, "ภาคใต้")</f>
        <v>ภาคกลาง/ตะวันตก</v>
      </c>
      <c r="D1705" s="64">
        <v>6091</v>
      </c>
      <c r="E1705" s="10" t="s">
        <v>2018</v>
      </c>
      <c r="F1705" s="11">
        <v>2659</v>
      </c>
      <c r="G1705" s="11">
        <v>2908</v>
      </c>
      <c r="H1705" s="11">
        <v>5567</v>
      </c>
      <c r="I1705" s="11">
        <v>2395</v>
      </c>
      <c r="J1705" s="66">
        <f t="shared" si="100"/>
        <v>47.763606969642538</v>
      </c>
      <c r="K1705" s="66">
        <f t="shared" si="101"/>
        <v>52.236393030357462</v>
      </c>
    </row>
    <row r="1706" spans="1:11" x14ac:dyDescent="0.3">
      <c r="A1706" s="10">
        <v>60</v>
      </c>
      <c r="B1706" s="10" t="s">
        <v>1993</v>
      </c>
      <c r="C1706" s="10" t="str" cm="1">
        <f t="array" ref="C1706">_xlfn.IFS(A1706&lt;20, "ภาคกลาง", A1706&lt;30, "ภาคตะวันออก", A1706&lt;50, "ภาคตะวันออกเฉียงเหนือ", A1706&lt;60, "ภาคเหนือ", A1706&lt;80, "ภาคกลาง/ตะวันตก", A1706&gt;=80, "ภาคใต้")</f>
        <v>ภาคกลาง/ตะวันตก</v>
      </c>
      <c r="D1706" s="64">
        <v>6092</v>
      </c>
      <c r="E1706" s="10" t="s">
        <v>760</v>
      </c>
      <c r="F1706" s="11">
        <v>1691</v>
      </c>
      <c r="G1706" s="11">
        <v>1860</v>
      </c>
      <c r="H1706" s="11">
        <v>3551</v>
      </c>
      <c r="I1706" s="11">
        <v>1904</v>
      </c>
      <c r="J1706" s="66">
        <f t="shared" si="100"/>
        <v>47.620388622923123</v>
      </c>
      <c r="K1706" s="66">
        <f t="shared" si="101"/>
        <v>52.379611377076884</v>
      </c>
    </row>
    <row r="1707" spans="1:11" x14ac:dyDescent="0.3">
      <c r="A1707" s="10">
        <v>60</v>
      </c>
      <c r="B1707" s="10" t="s">
        <v>1993</v>
      </c>
      <c r="C1707" s="10" t="str" cm="1">
        <f t="array" ref="C1707">_xlfn.IFS(A1707&lt;20, "ภาคกลาง", A1707&lt;30, "ภาคตะวันออก", A1707&lt;50, "ภาคตะวันออกเฉียงเหนือ", A1707&lt;60, "ภาคเหนือ", A1707&lt;80, "ภาคกลาง/ตะวันตก", A1707&gt;=80, "ภาคใต้")</f>
        <v>ภาคกลาง/ตะวันตก</v>
      </c>
      <c r="D1707" s="64">
        <v>6093</v>
      </c>
      <c r="E1707" s="10" t="s">
        <v>2019</v>
      </c>
      <c r="F1707" s="11">
        <v>5322</v>
      </c>
      <c r="G1707" s="11">
        <v>5931</v>
      </c>
      <c r="H1707" s="11">
        <v>11253</v>
      </c>
      <c r="I1707" s="11">
        <v>5235</v>
      </c>
      <c r="J1707" s="66">
        <f t="shared" si="100"/>
        <v>47.294054918688353</v>
      </c>
      <c r="K1707" s="66">
        <f t="shared" si="101"/>
        <v>52.705945081311647</v>
      </c>
    </row>
    <row r="1708" spans="1:11" ht="27.6" x14ac:dyDescent="0.3">
      <c r="A1708" s="10">
        <v>60</v>
      </c>
      <c r="B1708" s="10" t="s">
        <v>1993</v>
      </c>
      <c r="C1708" s="10" t="str" cm="1">
        <f t="array" ref="C1708">_xlfn.IFS(A1708&lt;20, "ภาคกลาง", A1708&lt;30, "ภาคตะวันออก", A1708&lt;50, "ภาคตะวันออกเฉียงเหนือ", A1708&lt;60, "ภาคเหนือ", A1708&lt;80, "ภาคกลาง/ตะวันตก", A1708&gt;=80, "ภาคใต้")</f>
        <v>ภาคกลาง/ตะวันตก</v>
      </c>
      <c r="D1708" s="64">
        <v>6094</v>
      </c>
      <c r="E1708" s="10" t="s">
        <v>2020</v>
      </c>
      <c r="F1708" s="10">
        <v>992</v>
      </c>
      <c r="G1708" s="11">
        <v>1062</v>
      </c>
      <c r="H1708" s="11">
        <v>2054</v>
      </c>
      <c r="I1708" s="10">
        <v>843</v>
      </c>
      <c r="J1708" s="66">
        <f t="shared" si="100"/>
        <v>48.296007789678676</v>
      </c>
      <c r="K1708" s="66">
        <f t="shared" si="101"/>
        <v>51.703992210321324</v>
      </c>
    </row>
    <row r="1709" spans="1:11" ht="27.6" x14ac:dyDescent="0.3">
      <c r="A1709" s="10">
        <v>60</v>
      </c>
      <c r="B1709" s="10" t="s">
        <v>1993</v>
      </c>
      <c r="C1709" s="10" t="str" cm="1">
        <f t="array" ref="C1709">_xlfn.IFS(A1709&lt;20, "ภาคกลาง", A1709&lt;30, "ภาคตะวันออก", A1709&lt;50, "ภาคตะวันออกเฉียงเหนือ", A1709&lt;60, "ภาคเหนือ", A1709&lt;80, "ภาคกลาง/ตะวันตก", A1709&gt;=80, "ภาคใต้")</f>
        <v>ภาคกลาง/ตะวันตก</v>
      </c>
      <c r="D1709" s="64">
        <v>6095</v>
      </c>
      <c r="E1709" s="10" t="s">
        <v>2021</v>
      </c>
      <c r="F1709" s="11">
        <v>2416</v>
      </c>
      <c r="G1709" s="11">
        <v>2518</v>
      </c>
      <c r="H1709" s="11">
        <v>4934</v>
      </c>
      <c r="I1709" s="11">
        <v>1653</v>
      </c>
      <c r="J1709" s="66">
        <f t="shared" si="100"/>
        <v>48.966355897851642</v>
      </c>
      <c r="K1709" s="66">
        <f t="shared" si="101"/>
        <v>51.033644102148358</v>
      </c>
    </row>
    <row r="1710" spans="1:11" ht="27.6" x14ac:dyDescent="0.3">
      <c r="A1710" s="10">
        <v>60</v>
      </c>
      <c r="B1710" s="10" t="s">
        <v>1993</v>
      </c>
      <c r="C1710" s="10" t="str" cm="1">
        <f t="array" ref="C1710">_xlfn.IFS(A1710&lt;20, "ภาคกลาง", A1710&lt;30, "ภาคตะวันออก", A1710&lt;50, "ภาคตะวันออกเฉียงเหนือ", A1710&lt;60, "ภาคเหนือ", A1710&lt;80, "ภาคกลาง/ตะวันตก", A1710&gt;=80, "ภาคใต้")</f>
        <v>ภาคกลาง/ตะวันตก</v>
      </c>
      <c r="D1710" s="64">
        <v>6096</v>
      </c>
      <c r="E1710" s="10" t="s">
        <v>2022</v>
      </c>
      <c r="F1710" s="11">
        <v>1030</v>
      </c>
      <c r="G1710" s="11">
        <v>1120</v>
      </c>
      <c r="H1710" s="11">
        <v>2150</v>
      </c>
      <c r="I1710" s="11">
        <v>1014</v>
      </c>
      <c r="J1710" s="66">
        <f t="shared" si="100"/>
        <v>47.906976744186046</v>
      </c>
      <c r="K1710" s="66">
        <f t="shared" si="101"/>
        <v>52.093023255813954</v>
      </c>
    </row>
    <row r="1711" spans="1:11" x14ac:dyDescent="0.3">
      <c r="A1711" s="10">
        <v>60</v>
      </c>
      <c r="B1711" s="10" t="s">
        <v>1993</v>
      </c>
      <c r="C1711" s="10" t="str" cm="1">
        <f t="array" ref="C1711">_xlfn.IFS(A1711&lt;20, "ภาคกลาง", A1711&lt;30, "ภาคตะวันออก", A1711&lt;50, "ภาคตะวันออกเฉียงเหนือ", A1711&lt;60, "ภาคเหนือ", A1711&lt;80, "ภาคกลาง/ตะวันตก", A1711&gt;=80, "ภาคใต้")</f>
        <v>ภาคกลาง/ตะวันตก</v>
      </c>
      <c r="D1711" s="64">
        <v>6097</v>
      </c>
      <c r="E1711" s="10" t="s">
        <v>2023</v>
      </c>
      <c r="F1711" s="11">
        <v>1274</v>
      </c>
      <c r="G1711" s="11">
        <v>1564</v>
      </c>
      <c r="H1711" s="11">
        <v>2838</v>
      </c>
      <c r="I1711" s="11">
        <v>1549</v>
      </c>
      <c r="J1711" s="66">
        <f t="shared" si="100"/>
        <v>44.890768146582097</v>
      </c>
      <c r="K1711" s="66">
        <f t="shared" si="101"/>
        <v>55.109231853417896</v>
      </c>
    </row>
    <row r="1712" spans="1:11" x14ac:dyDescent="0.3">
      <c r="A1712" s="10">
        <v>60</v>
      </c>
      <c r="B1712" s="10" t="s">
        <v>1993</v>
      </c>
      <c r="C1712" s="10" t="str" cm="1">
        <f t="array" ref="C1712">_xlfn.IFS(A1712&lt;20, "ภาคกลาง", A1712&lt;30, "ภาคตะวันออก", A1712&lt;50, "ภาคตะวันออกเฉียงเหนือ", A1712&lt;60, "ภาคเหนือ", A1712&lt;80, "ภาคกลาง/ตะวันตก", A1712&gt;=80, "ภาคใต้")</f>
        <v>ภาคกลาง/ตะวันตก</v>
      </c>
      <c r="D1712" s="64">
        <v>6098</v>
      </c>
      <c r="E1712" s="10" t="s">
        <v>2024</v>
      </c>
      <c r="F1712" s="11">
        <v>10464</v>
      </c>
      <c r="G1712" s="11">
        <v>11529</v>
      </c>
      <c r="H1712" s="11">
        <v>21993</v>
      </c>
      <c r="I1712" s="11">
        <v>10222</v>
      </c>
      <c r="J1712" s="66">
        <f t="shared" si="100"/>
        <v>47.578775064793341</v>
      </c>
      <c r="K1712" s="66">
        <f t="shared" si="101"/>
        <v>52.421224935206659</v>
      </c>
    </row>
    <row r="1713" spans="1:11" x14ac:dyDescent="0.3">
      <c r="A1713" s="10">
        <v>60</v>
      </c>
      <c r="B1713" s="10" t="s">
        <v>1993</v>
      </c>
      <c r="C1713" s="10" t="str" cm="1">
        <f t="array" ref="C1713">_xlfn.IFS(A1713&lt;20, "ภาคกลาง", A1713&lt;30, "ภาคตะวันออก", A1713&lt;50, "ภาคตะวันออกเฉียงเหนือ", A1713&lt;60, "ภาคเหนือ", A1713&lt;80, "ภาคกลาง/ตะวันตก", A1713&gt;=80, "ภาคใต้")</f>
        <v>ภาคกลาง/ตะวันตก</v>
      </c>
      <c r="D1713" s="64">
        <v>6099</v>
      </c>
      <c r="E1713" s="10" t="s">
        <v>2025</v>
      </c>
      <c r="F1713" s="11">
        <v>3372</v>
      </c>
      <c r="G1713" s="11">
        <v>3775</v>
      </c>
      <c r="H1713" s="11">
        <v>7147</v>
      </c>
      <c r="I1713" s="11">
        <v>3659</v>
      </c>
      <c r="J1713" s="66">
        <f t="shared" si="100"/>
        <v>47.180635231565695</v>
      </c>
      <c r="K1713" s="66">
        <f t="shared" si="101"/>
        <v>52.819364768434305</v>
      </c>
    </row>
    <row r="1714" spans="1:11" hidden="1" x14ac:dyDescent="0.3">
      <c r="A1714" s="10">
        <v>60</v>
      </c>
      <c r="B1714" s="10" t="s">
        <v>1993</v>
      </c>
      <c r="C1714" s="10" t="str" cm="1">
        <f t="array" ref="C1714">_xlfn.IFS(A1714&lt;20, "ภาคกลาง", A1714&lt;30, "ภาคตะวันออก", A1714&lt;50, "ภาคตะวันออกเฉียงเหนือ", A1714&lt;60, "ภาคเหนือ", A1714&lt;80, "ภาคกลาง/ตะวันตก", A1714&gt;=80, "ภาคใต้")</f>
        <v>ภาคกลาง/ตะวันตก</v>
      </c>
      <c r="D1714" s="10">
        <v>0</v>
      </c>
      <c r="E1714" s="10" t="s">
        <v>343</v>
      </c>
      <c r="F1714" s="11">
        <v>35919</v>
      </c>
      <c r="G1714" s="11">
        <v>39583</v>
      </c>
      <c r="H1714" s="11">
        <v>75502</v>
      </c>
      <c r="I1714" s="11">
        <v>43397</v>
      </c>
      <c r="J1714"/>
      <c r="K1714"/>
    </row>
    <row r="1715" spans="1:11" x14ac:dyDescent="0.3">
      <c r="A1715" s="10">
        <v>61</v>
      </c>
      <c r="B1715" s="10" t="s">
        <v>2026</v>
      </c>
      <c r="C1715" s="10" t="str" cm="1">
        <f t="array" ref="C1715">_xlfn.IFS(A1715&lt;20, "ภาคกลาง", A1715&lt;30, "ภาคตะวันออก", A1715&lt;50, "ภาคตะวันออกเฉียงเหนือ", A1715&lt;60, "ภาคเหนือ", A1715&lt;80, "ภาคกลาง/ตะวันตก", A1715&gt;=80, "ภาคใต้")</f>
        <v>ภาคกลาง/ตะวันตก</v>
      </c>
      <c r="D1715" s="64">
        <v>6101</v>
      </c>
      <c r="E1715" s="10" t="s">
        <v>2027</v>
      </c>
      <c r="F1715" s="11">
        <v>156311</v>
      </c>
      <c r="G1715" s="11">
        <v>164134</v>
      </c>
      <c r="H1715" s="11">
        <v>320445</v>
      </c>
      <c r="I1715" s="11">
        <v>132050</v>
      </c>
      <c r="J1715" s="66">
        <f t="shared" ref="J1715:J1733" si="102">F1715/H1715*100</f>
        <v>48.7793537112453</v>
      </c>
      <c r="K1715" s="66">
        <f t="shared" ref="K1715:K1733" si="103">G1715/H1715*100</f>
        <v>51.2206462887547</v>
      </c>
    </row>
    <row r="1716" spans="1:11" x14ac:dyDescent="0.3">
      <c r="A1716" s="10">
        <v>61</v>
      </c>
      <c r="B1716" s="10" t="s">
        <v>2026</v>
      </c>
      <c r="C1716" s="10" t="str" cm="1">
        <f t="array" ref="C1716">_xlfn.IFS(A1716&lt;20, "ภาคกลาง", A1716&lt;30, "ภาคตะวันออก", A1716&lt;50, "ภาคตะวันออกเฉียงเหนือ", A1716&lt;60, "ภาคเหนือ", A1716&lt;80, "ภาคกลาง/ตะวันตก", A1716&gt;=80, "ภาคใต้")</f>
        <v>ภาคกลาง/ตะวันตก</v>
      </c>
      <c r="D1716" s="64">
        <v>6102</v>
      </c>
      <c r="E1716" s="10" t="s">
        <v>2028</v>
      </c>
      <c r="F1716" s="11">
        <v>16774</v>
      </c>
      <c r="G1716" s="11">
        <v>18295</v>
      </c>
      <c r="H1716" s="11">
        <v>35069</v>
      </c>
      <c r="I1716" s="11">
        <v>14621</v>
      </c>
      <c r="J1716" s="66">
        <f t="shared" si="102"/>
        <v>47.831418061535828</v>
      </c>
      <c r="K1716" s="66">
        <f t="shared" si="103"/>
        <v>52.168581938464179</v>
      </c>
    </row>
    <row r="1717" spans="1:11" x14ac:dyDescent="0.3">
      <c r="A1717" s="10">
        <v>61</v>
      </c>
      <c r="B1717" s="10" t="s">
        <v>2026</v>
      </c>
      <c r="C1717" s="10" t="str" cm="1">
        <f t="array" ref="C1717">_xlfn.IFS(A1717&lt;20, "ภาคกลาง", A1717&lt;30, "ภาคตะวันออก", A1717&lt;50, "ภาคตะวันออกเฉียงเหนือ", A1717&lt;60, "ภาคเหนือ", A1717&lt;80, "ภาคกลาง/ตะวันตก", A1717&gt;=80, "ภาคใต้")</f>
        <v>ภาคกลาง/ตะวันตก</v>
      </c>
      <c r="D1717" s="64">
        <v>6103</v>
      </c>
      <c r="E1717" s="10" t="s">
        <v>2029</v>
      </c>
      <c r="F1717" s="11">
        <v>7665</v>
      </c>
      <c r="G1717" s="11">
        <v>8048</v>
      </c>
      <c r="H1717" s="11">
        <v>15713</v>
      </c>
      <c r="I1717" s="11">
        <v>5691</v>
      </c>
      <c r="J1717" s="66">
        <f t="shared" si="102"/>
        <v>48.781263921593585</v>
      </c>
      <c r="K1717" s="66">
        <f t="shared" si="103"/>
        <v>51.218736078406415</v>
      </c>
    </row>
    <row r="1718" spans="1:11" x14ac:dyDescent="0.3">
      <c r="A1718" s="10">
        <v>61</v>
      </c>
      <c r="B1718" s="10" t="s">
        <v>2026</v>
      </c>
      <c r="C1718" s="10" t="str" cm="1">
        <f t="array" ref="C1718">_xlfn.IFS(A1718&lt;20, "ภาคกลาง", A1718&lt;30, "ภาคตะวันออก", A1718&lt;50, "ภาคตะวันออกเฉียงเหนือ", A1718&lt;60, "ภาคเหนือ", A1718&lt;80, "ภาคกลาง/ตะวันตก", A1718&gt;=80, "ภาคใต้")</f>
        <v>ภาคกลาง/ตะวันตก</v>
      </c>
      <c r="D1718" s="64">
        <v>6104</v>
      </c>
      <c r="E1718" s="10" t="s">
        <v>2030</v>
      </c>
      <c r="F1718" s="11">
        <v>14694</v>
      </c>
      <c r="G1718" s="11">
        <v>14778</v>
      </c>
      <c r="H1718" s="11">
        <v>29472</v>
      </c>
      <c r="I1718" s="11">
        <v>10339</v>
      </c>
      <c r="J1718" s="66">
        <f t="shared" si="102"/>
        <v>49.857491856677527</v>
      </c>
      <c r="K1718" s="66">
        <f t="shared" si="103"/>
        <v>50.142508143322473</v>
      </c>
    </row>
    <row r="1719" spans="1:11" x14ac:dyDescent="0.3">
      <c r="A1719" s="10">
        <v>61</v>
      </c>
      <c r="B1719" s="10" t="s">
        <v>2026</v>
      </c>
      <c r="C1719" s="10" t="str" cm="1">
        <f t="array" ref="C1719">_xlfn.IFS(A1719&lt;20, "ภาคกลาง", A1719&lt;30, "ภาคตะวันออก", A1719&lt;50, "ภาคตะวันออกเฉียงเหนือ", A1719&lt;60, "ภาคเหนือ", A1719&lt;80, "ภาคกลาง/ตะวันตก", A1719&gt;=80, "ภาคใต้")</f>
        <v>ภาคกลาง/ตะวันตก</v>
      </c>
      <c r="D1719" s="64">
        <v>6105</v>
      </c>
      <c r="E1719" s="10" t="s">
        <v>2031</v>
      </c>
      <c r="F1719" s="11">
        <v>16210</v>
      </c>
      <c r="G1719" s="11">
        <v>17240</v>
      </c>
      <c r="H1719" s="11">
        <v>33450</v>
      </c>
      <c r="I1719" s="11">
        <v>12418</v>
      </c>
      <c r="J1719" s="66">
        <f t="shared" si="102"/>
        <v>48.460388639760836</v>
      </c>
      <c r="K1719" s="66">
        <f t="shared" si="103"/>
        <v>51.539611360239171</v>
      </c>
    </row>
    <row r="1720" spans="1:11" x14ac:dyDescent="0.3">
      <c r="A1720" s="10">
        <v>61</v>
      </c>
      <c r="B1720" s="10" t="s">
        <v>2026</v>
      </c>
      <c r="C1720" s="10" t="str" cm="1">
        <f t="array" ref="C1720">_xlfn.IFS(A1720&lt;20, "ภาคกลาง", A1720&lt;30, "ภาคตะวันออก", A1720&lt;50, "ภาคตะวันออกเฉียงเหนือ", A1720&lt;60, "ภาคเหนือ", A1720&lt;80, "ภาคกลาง/ตะวันตก", A1720&gt;=80, "ภาคใต้")</f>
        <v>ภาคกลาง/ตะวันตก</v>
      </c>
      <c r="D1720" s="64">
        <v>6106</v>
      </c>
      <c r="E1720" s="10" t="s">
        <v>2032</v>
      </c>
      <c r="F1720" s="11">
        <v>7094</v>
      </c>
      <c r="G1720" s="11">
        <v>7970</v>
      </c>
      <c r="H1720" s="11">
        <v>15064</v>
      </c>
      <c r="I1720" s="11">
        <v>6232</v>
      </c>
      <c r="J1720" s="66">
        <f t="shared" si="102"/>
        <v>47.092405735528416</v>
      </c>
      <c r="K1720" s="66">
        <f t="shared" si="103"/>
        <v>52.907594264471591</v>
      </c>
    </row>
    <row r="1721" spans="1:11" x14ac:dyDescent="0.3">
      <c r="A1721" s="10">
        <v>61</v>
      </c>
      <c r="B1721" s="10" t="s">
        <v>2026</v>
      </c>
      <c r="C1721" s="10" t="str" cm="1">
        <f t="array" ref="C1721">_xlfn.IFS(A1721&lt;20, "ภาคกลาง", A1721&lt;30, "ภาคตะวันออก", A1721&lt;50, "ภาคตะวันออกเฉียงเหนือ", A1721&lt;60, "ภาคเหนือ", A1721&lt;80, "ภาคกลาง/ตะวันตก", A1721&gt;=80, "ภาคใต้")</f>
        <v>ภาคกลาง/ตะวันตก</v>
      </c>
      <c r="D1721" s="64">
        <v>6107</v>
      </c>
      <c r="E1721" s="10" t="s">
        <v>2033</v>
      </c>
      <c r="F1721" s="11">
        <v>31238</v>
      </c>
      <c r="G1721" s="11">
        <v>31766</v>
      </c>
      <c r="H1721" s="11">
        <v>63004</v>
      </c>
      <c r="I1721" s="11">
        <v>26148</v>
      </c>
      <c r="J1721" s="66">
        <f t="shared" si="102"/>
        <v>49.580978985461236</v>
      </c>
      <c r="K1721" s="66">
        <f t="shared" si="103"/>
        <v>50.419021014538757</v>
      </c>
    </row>
    <row r="1722" spans="1:11" x14ac:dyDescent="0.3">
      <c r="A1722" s="10">
        <v>61</v>
      </c>
      <c r="B1722" s="10" t="s">
        <v>2026</v>
      </c>
      <c r="C1722" s="10" t="str" cm="1">
        <f t="array" ref="C1722">_xlfn.IFS(A1722&lt;20, "ภาคกลาง", A1722&lt;30, "ภาคตะวันออก", A1722&lt;50, "ภาคตะวันออกเฉียงเหนือ", A1722&lt;60, "ภาคเหนือ", A1722&lt;80, "ภาคกลาง/ตะวันตก", A1722&gt;=80, "ภาคใต้")</f>
        <v>ภาคกลาง/ตะวันตก</v>
      </c>
      <c r="D1722" s="64">
        <v>6108</v>
      </c>
      <c r="E1722" s="10" t="s">
        <v>2034</v>
      </c>
      <c r="F1722" s="11">
        <v>27178</v>
      </c>
      <c r="G1722" s="11">
        <v>27676</v>
      </c>
      <c r="H1722" s="11">
        <v>54854</v>
      </c>
      <c r="I1722" s="11">
        <v>19905</v>
      </c>
      <c r="J1722" s="66">
        <f t="shared" si="102"/>
        <v>49.546067743464469</v>
      </c>
      <c r="K1722" s="66">
        <f t="shared" si="103"/>
        <v>50.453932256535531</v>
      </c>
    </row>
    <row r="1723" spans="1:11" ht="27.6" x14ac:dyDescent="0.3">
      <c r="A1723" s="10">
        <v>61</v>
      </c>
      <c r="B1723" s="10" t="s">
        <v>2026</v>
      </c>
      <c r="C1723" s="10" t="str" cm="1">
        <f t="array" ref="C1723">_xlfn.IFS(A1723&lt;20, "ภาคกลาง", A1723&lt;30, "ภาคตะวันออก", A1723&lt;50, "ภาคตะวันออกเฉียงเหนือ", A1723&lt;60, "ภาคเหนือ", A1723&lt;80, "ภาคกลาง/ตะวันตก", A1723&gt;=80, "ภาคใต้")</f>
        <v>ภาคกลาง/ตะวันตก</v>
      </c>
      <c r="D1723" s="64">
        <v>6189</v>
      </c>
      <c r="E1723" s="10" t="s">
        <v>2035</v>
      </c>
      <c r="F1723" s="11">
        <v>9933</v>
      </c>
      <c r="G1723" s="11">
        <v>10192</v>
      </c>
      <c r="H1723" s="11">
        <v>20125</v>
      </c>
      <c r="I1723" s="11">
        <v>7862</v>
      </c>
      <c r="J1723" s="66">
        <f t="shared" si="102"/>
        <v>49.356521739130429</v>
      </c>
      <c r="K1723" s="66">
        <f t="shared" si="103"/>
        <v>50.643478260869571</v>
      </c>
    </row>
    <row r="1724" spans="1:11" x14ac:dyDescent="0.3">
      <c r="A1724" s="10">
        <v>61</v>
      </c>
      <c r="B1724" s="10" t="s">
        <v>2026</v>
      </c>
      <c r="C1724" s="10" t="str" cm="1">
        <f t="array" ref="C1724">_xlfn.IFS(A1724&lt;20, "ภาคกลาง", A1724&lt;30, "ภาคตะวันออก", A1724&lt;50, "ภาคตะวันออกเฉียงเหนือ", A1724&lt;60, "ภาคเหนือ", A1724&lt;80, "ภาคกลาง/ตะวันตก", A1724&gt;=80, "ภาคใต้")</f>
        <v>ภาคกลาง/ตะวันตก</v>
      </c>
      <c r="D1724" s="64">
        <v>6190</v>
      </c>
      <c r="E1724" s="10" t="s">
        <v>2036</v>
      </c>
      <c r="F1724" s="10">
        <v>993</v>
      </c>
      <c r="G1724" s="11">
        <v>1121</v>
      </c>
      <c r="H1724" s="11">
        <v>2114</v>
      </c>
      <c r="I1724" s="10">
        <v>702</v>
      </c>
      <c r="J1724" s="66">
        <f t="shared" si="102"/>
        <v>46.972563859981079</v>
      </c>
      <c r="K1724" s="66">
        <f t="shared" si="103"/>
        <v>53.027436140018921</v>
      </c>
    </row>
    <row r="1725" spans="1:11" ht="27.6" x14ac:dyDescent="0.3">
      <c r="A1725" s="10">
        <v>61</v>
      </c>
      <c r="B1725" s="10" t="s">
        <v>2026</v>
      </c>
      <c r="C1725" s="10" t="str" cm="1">
        <f t="array" ref="C1725">_xlfn.IFS(A1725&lt;20, "ภาคกลาง", A1725&lt;30, "ภาคตะวันออก", A1725&lt;50, "ภาคตะวันออกเฉียงเหนือ", A1725&lt;60, "ภาคเหนือ", A1725&lt;80, "ภาคกลาง/ตะวันตก", A1725&gt;=80, "ภาคใต้")</f>
        <v>ภาคกลาง/ตะวันตก</v>
      </c>
      <c r="D1725" s="64">
        <v>6191</v>
      </c>
      <c r="E1725" s="10" t="s">
        <v>2037</v>
      </c>
      <c r="F1725" s="11">
        <v>1614</v>
      </c>
      <c r="G1725" s="11">
        <v>1659</v>
      </c>
      <c r="H1725" s="11">
        <v>3273</v>
      </c>
      <c r="I1725" s="11">
        <v>2279</v>
      </c>
      <c r="J1725" s="66">
        <f t="shared" si="102"/>
        <v>49.312557286892762</v>
      </c>
      <c r="K1725" s="66">
        <f t="shared" si="103"/>
        <v>50.687442713107245</v>
      </c>
    </row>
    <row r="1726" spans="1:11" x14ac:dyDescent="0.3">
      <c r="A1726" s="10">
        <v>61</v>
      </c>
      <c r="B1726" s="10" t="s">
        <v>2026</v>
      </c>
      <c r="C1726" s="10" t="str" cm="1">
        <f t="array" ref="C1726">_xlfn.IFS(A1726&lt;20, "ภาคกลาง", A1726&lt;30, "ภาคตะวันออก", A1726&lt;50, "ภาคตะวันออกเฉียงเหนือ", A1726&lt;60, "ภาคเหนือ", A1726&lt;80, "ภาคกลาง/ตะวันตก", A1726&gt;=80, "ภาคใต้")</f>
        <v>ภาคกลาง/ตะวันตก</v>
      </c>
      <c r="D1726" s="64">
        <v>6192</v>
      </c>
      <c r="E1726" s="10" t="s">
        <v>2038</v>
      </c>
      <c r="F1726" s="11">
        <v>1001</v>
      </c>
      <c r="G1726" s="11">
        <v>1102</v>
      </c>
      <c r="H1726" s="11">
        <v>2103</v>
      </c>
      <c r="I1726" s="11">
        <v>1096</v>
      </c>
      <c r="J1726" s="66">
        <f t="shared" si="102"/>
        <v>47.598668568711368</v>
      </c>
      <c r="K1726" s="66">
        <f t="shared" si="103"/>
        <v>52.401331431288632</v>
      </c>
    </row>
    <row r="1727" spans="1:11" ht="27.6" x14ac:dyDescent="0.3">
      <c r="A1727" s="10">
        <v>61</v>
      </c>
      <c r="B1727" s="10" t="s">
        <v>2026</v>
      </c>
      <c r="C1727" s="10" t="str" cm="1">
        <f t="array" ref="C1727">_xlfn.IFS(A1727&lt;20, "ภาคกลาง", A1727&lt;30, "ภาคตะวันออก", A1727&lt;50, "ภาคตะวันออกเฉียงเหนือ", A1727&lt;60, "ภาคเหนือ", A1727&lt;80, "ภาคกลาง/ตะวันตก", A1727&gt;=80, "ภาคใต้")</f>
        <v>ภาคกลาง/ตะวันตก</v>
      </c>
      <c r="D1727" s="64">
        <v>6193</v>
      </c>
      <c r="E1727" s="10" t="s">
        <v>2039</v>
      </c>
      <c r="F1727" s="11">
        <v>1178</v>
      </c>
      <c r="G1727" s="11">
        <v>1238</v>
      </c>
      <c r="H1727" s="11">
        <v>2416</v>
      </c>
      <c r="I1727" s="11">
        <v>1450</v>
      </c>
      <c r="J1727" s="66">
        <f t="shared" si="102"/>
        <v>48.758278145695364</v>
      </c>
      <c r="K1727" s="66">
        <f t="shared" si="103"/>
        <v>51.241721854304636</v>
      </c>
    </row>
    <row r="1728" spans="1:11" ht="27.6" x14ac:dyDescent="0.3">
      <c r="A1728" s="10">
        <v>61</v>
      </c>
      <c r="B1728" s="10" t="s">
        <v>2026</v>
      </c>
      <c r="C1728" s="10" t="str" cm="1">
        <f t="array" ref="C1728">_xlfn.IFS(A1728&lt;20, "ภาคกลาง", A1728&lt;30, "ภาคตะวันออก", A1728&lt;50, "ภาคตะวันออกเฉียงเหนือ", A1728&lt;60, "ภาคเหนือ", A1728&lt;80, "ภาคกลาง/ตะวันตก", A1728&gt;=80, "ภาคใต้")</f>
        <v>ภาคกลาง/ตะวันตก</v>
      </c>
      <c r="D1728" s="64">
        <v>6194</v>
      </c>
      <c r="E1728" s="10" t="s">
        <v>2040</v>
      </c>
      <c r="F1728" s="10">
        <v>263</v>
      </c>
      <c r="G1728" s="10">
        <v>305</v>
      </c>
      <c r="H1728" s="10">
        <v>568</v>
      </c>
      <c r="I1728" s="10">
        <v>354</v>
      </c>
      <c r="J1728" s="66">
        <f t="shared" si="102"/>
        <v>46.302816901408448</v>
      </c>
      <c r="K1728" s="66">
        <f t="shared" si="103"/>
        <v>53.697183098591552</v>
      </c>
    </row>
    <row r="1729" spans="1:11" ht="27.6" x14ac:dyDescent="0.3">
      <c r="A1729" s="10">
        <v>61</v>
      </c>
      <c r="B1729" s="10" t="s">
        <v>2026</v>
      </c>
      <c r="C1729" s="10" t="str" cm="1">
        <f t="array" ref="C1729">_xlfn.IFS(A1729&lt;20, "ภาคกลาง", A1729&lt;30, "ภาคตะวันออก", A1729&lt;50, "ภาคตะวันออกเฉียงเหนือ", A1729&lt;60, "ภาคเหนือ", A1729&lt;80, "ภาคกลาง/ตะวันตก", A1729&gt;=80, "ภาคใต้")</f>
        <v>ภาคกลาง/ตะวันตก</v>
      </c>
      <c r="D1729" s="64">
        <v>6195</v>
      </c>
      <c r="E1729" s="10" t="s">
        <v>2041</v>
      </c>
      <c r="F1729" s="11">
        <v>1245</v>
      </c>
      <c r="G1729" s="11">
        <v>1414</v>
      </c>
      <c r="H1729" s="11">
        <v>2659</v>
      </c>
      <c r="I1729" s="11">
        <v>1994</v>
      </c>
      <c r="J1729" s="66">
        <f t="shared" si="102"/>
        <v>46.82211357653253</v>
      </c>
      <c r="K1729" s="66">
        <f t="shared" si="103"/>
        <v>53.17788642346747</v>
      </c>
    </row>
    <row r="1730" spans="1:11" ht="27.6" x14ac:dyDescent="0.3">
      <c r="A1730" s="10">
        <v>61</v>
      </c>
      <c r="B1730" s="10" t="s">
        <v>2026</v>
      </c>
      <c r="C1730" s="10" t="str" cm="1">
        <f t="array" ref="C1730">_xlfn.IFS(A1730&lt;20, "ภาคกลาง", A1730&lt;30, "ภาคตะวันออก", A1730&lt;50, "ภาคตะวันออกเฉียงเหนือ", A1730&lt;60, "ภาคเหนือ", A1730&lt;80, "ภาคกลาง/ตะวันตก", A1730&gt;=80, "ภาคใต้")</f>
        <v>ภาคกลาง/ตะวันตก</v>
      </c>
      <c r="D1730" s="64">
        <v>6196</v>
      </c>
      <c r="E1730" s="10" t="s">
        <v>2042</v>
      </c>
      <c r="F1730" s="11">
        <v>2889</v>
      </c>
      <c r="G1730" s="11">
        <v>3167</v>
      </c>
      <c r="H1730" s="11">
        <v>6056</v>
      </c>
      <c r="I1730" s="11">
        <v>2484</v>
      </c>
      <c r="J1730" s="66">
        <f t="shared" si="102"/>
        <v>47.704755614266844</v>
      </c>
      <c r="K1730" s="66">
        <f t="shared" si="103"/>
        <v>52.295244385733156</v>
      </c>
    </row>
    <row r="1731" spans="1:11" x14ac:dyDescent="0.3">
      <c r="A1731" s="10">
        <v>61</v>
      </c>
      <c r="B1731" s="10" t="s">
        <v>2026</v>
      </c>
      <c r="C1731" s="10" t="str" cm="1">
        <f t="array" ref="C1731">_xlfn.IFS(A1731&lt;20, "ภาคกลาง", A1731&lt;30, "ภาคตะวันออก", A1731&lt;50, "ภาคตะวันออกเฉียงเหนือ", A1731&lt;60, "ภาคเหนือ", A1731&lt;80, "ภาคกลาง/ตะวันตก", A1731&gt;=80, "ภาคใต้")</f>
        <v>ภาคกลาง/ตะวันตก</v>
      </c>
      <c r="D1731" s="64">
        <v>6197</v>
      </c>
      <c r="E1731" s="10" t="s">
        <v>2043</v>
      </c>
      <c r="F1731" s="10">
        <v>748</v>
      </c>
      <c r="G1731" s="10">
        <v>820</v>
      </c>
      <c r="H1731" s="11">
        <v>1568</v>
      </c>
      <c r="I1731" s="11">
        <v>1028</v>
      </c>
      <c r="J1731" s="66">
        <f t="shared" si="102"/>
        <v>47.704081632653065</v>
      </c>
      <c r="K1731" s="66">
        <f t="shared" si="103"/>
        <v>52.295918367346935</v>
      </c>
    </row>
    <row r="1732" spans="1:11" x14ac:dyDescent="0.3">
      <c r="A1732" s="10">
        <v>61</v>
      </c>
      <c r="B1732" s="10" t="s">
        <v>2026</v>
      </c>
      <c r="C1732" s="10" t="str" cm="1">
        <f t="array" ref="C1732">_xlfn.IFS(A1732&lt;20, "ภาคกลาง", A1732&lt;30, "ภาคตะวันออก", A1732&lt;50, "ภาคตะวันออกเฉียงเหนือ", A1732&lt;60, "ภาคเหนือ", A1732&lt;80, "ภาคกลาง/ตะวันตก", A1732&gt;=80, "ภาคใต้")</f>
        <v>ภาคกลาง/ตะวันตก</v>
      </c>
      <c r="D1732" s="64">
        <v>6198</v>
      </c>
      <c r="E1732" s="10" t="s">
        <v>2044</v>
      </c>
      <c r="F1732" s="11">
        <v>4122</v>
      </c>
      <c r="G1732" s="11">
        <v>4494</v>
      </c>
      <c r="H1732" s="11">
        <v>8616</v>
      </c>
      <c r="I1732" s="11">
        <v>3836</v>
      </c>
      <c r="J1732" s="66">
        <f t="shared" si="102"/>
        <v>47.841225626740943</v>
      </c>
      <c r="K1732" s="66">
        <f t="shared" si="103"/>
        <v>52.158774373259057</v>
      </c>
    </row>
    <row r="1733" spans="1:11" x14ac:dyDescent="0.3">
      <c r="A1733" s="10">
        <v>61</v>
      </c>
      <c r="B1733" s="10" t="s">
        <v>2026</v>
      </c>
      <c r="C1733" s="10" t="str" cm="1">
        <f t="array" ref="C1733">_xlfn.IFS(A1733&lt;20, "ภาคกลาง", A1733&lt;30, "ภาคตะวันออก", A1733&lt;50, "ภาคตะวันออกเฉียงเหนือ", A1733&lt;60, "ภาคเหนือ", A1733&lt;80, "ภาคกลาง/ตะวันตก", A1733&gt;=80, "ภาคใต้")</f>
        <v>ภาคกลาง/ตะวันตก</v>
      </c>
      <c r="D1733" s="64">
        <v>6199</v>
      </c>
      <c r="E1733" s="10" t="s">
        <v>2045</v>
      </c>
      <c r="F1733" s="11">
        <v>5386</v>
      </c>
      <c r="G1733" s="11">
        <v>5659</v>
      </c>
      <c r="H1733" s="11">
        <v>11045</v>
      </c>
      <c r="I1733" s="11">
        <v>3795</v>
      </c>
      <c r="J1733" s="66">
        <f t="shared" si="102"/>
        <v>48.76414667270258</v>
      </c>
      <c r="K1733" s="66">
        <f t="shared" si="103"/>
        <v>51.23585332729742</v>
      </c>
    </row>
    <row r="1734" spans="1:11" hidden="1" x14ac:dyDescent="0.3">
      <c r="A1734" s="10">
        <v>61</v>
      </c>
      <c r="B1734" s="10" t="s">
        <v>2026</v>
      </c>
      <c r="C1734" s="10" t="str" cm="1">
        <f t="array" ref="C1734">_xlfn.IFS(A1734&lt;20, "ภาคกลาง", A1734&lt;30, "ภาคตะวันออก", A1734&lt;50, "ภาคตะวันออกเฉียงเหนือ", A1734&lt;60, "ภาคเหนือ", A1734&lt;80, "ภาคกลาง/ตะวันตก", A1734&gt;=80, "ภาคใต้")</f>
        <v>ภาคกลาง/ตะวันตก</v>
      </c>
      <c r="D1734" s="10">
        <v>0</v>
      </c>
      <c r="E1734" s="10" t="s">
        <v>343</v>
      </c>
      <c r="F1734" s="11">
        <v>6086</v>
      </c>
      <c r="G1734" s="11">
        <v>7190</v>
      </c>
      <c r="H1734" s="11">
        <v>13276</v>
      </c>
      <c r="I1734" s="11">
        <v>9816</v>
      </c>
      <c r="J1734"/>
      <c r="K1734"/>
    </row>
    <row r="1735" spans="1:11" x14ac:dyDescent="0.3">
      <c r="A1735" s="10">
        <v>62</v>
      </c>
      <c r="B1735" s="10" t="s">
        <v>2046</v>
      </c>
      <c r="C1735" s="10" t="str" cm="1">
        <f t="array" ref="C1735">_xlfn.IFS(A1735&lt;20, "ภาคกลาง", A1735&lt;30, "ภาคตะวันออก", A1735&lt;50, "ภาคตะวันออกเฉียงเหนือ", A1735&lt;60, "ภาคเหนือ", A1735&lt;80, "ภาคกลาง/ตะวันตก", A1735&gt;=80, "ภาคใต้")</f>
        <v>ภาคกลาง/ตะวันตก</v>
      </c>
      <c r="D1735" s="64">
        <v>6201</v>
      </c>
      <c r="E1735" s="10" t="s">
        <v>2047</v>
      </c>
      <c r="F1735" s="11">
        <v>345166</v>
      </c>
      <c r="G1735" s="11">
        <v>355696</v>
      </c>
      <c r="H1735" s="11">
        <v>700862</v>
      </c>
      <c r="I1735" s="11">
        <v>291549</v>
      </c>
      <c r="J1735" s="66">
        <f t="shared" ref="J1735:J1767" si="104">F1735/H1735*100</f>
        <v>49.248782213902309</v>
      </c>
      <c r="K1735" s="66">
        <f t="shared" ref="K1735:K1767" si="105">G1735/H1735*100</f>
        <v>50.751217786097691</v>
      </c>
    </row>
    <row r="1736" spans="1:11" x14ac:dyDescent="0.3">
      <c r="A1736" s="10">
        <v>62</v>
      </c>
      <c r="B1736" s="10" t="s">
        <v>2046</v>
      </c>
      <c r="C1736" s="10" t="str" cm="1">
        <f t="array" ref="C1736">_xlfn.IFS(A1736&lt;20, "ภาคกลาง", A1736&lt;30, "ภาคตะวันออก", A1736&lt;50, "ภาคตะวันออกเฉียงเหนือ", A1736&lt;60, "ภาคเหนือ", A1736&lt;80, "ภาคกลาง/ตะวันตก", A1736&gt;=80, "ภาคใต้")</f>
        <v>ภาคกลาง/ตะวันตก</v>
      </c>
      <c r="D1736" s="64">
        <v>6202</v>
      </c>
      <c r="E1736" s="10" t="s">
        <v>2048</v>
      </c>
      <c r="F1736" s="11">
        <v>66087</v>
      </c>
      <c r="G1736" s="11">
        <v>68691</v>
      </c>
      <c r="H1736" s="11">
        <v>134778</v>
      </c>
      <c r="I1736" s="11">
        <v>55772</v>
      </c>
      <c r="J1736" s="66">
        <f t="shared" si="104"/>
        <v>49.033966967902778</v>
      </c>
      <c r="K1736" s="66">
        <f t="shared" si="105"/>
        <v>50.966033032097222</v>
      </c>
    </row>
    <row r="1737" spans="1:11" x14ac:dyDescent="0.3">
      <c r="A1737" s="10">
        <v>62</v>
      </c>
      <c r="B1737" s="10" t="s">
        <v>2046</v>
      </c>
      <c r="C1737" s="10" t="str" cm="1">
        <f t="array" ref="C1737">_xlfn.IFS(A1737&lt;20, "ภาคกลาง", A1737&lt;30, "ภาคตะวันออก", A1737&lt;50, "ภาคตะวันออกเฉียงเหนือ", A1737&lt;60, "ภาคเหนือ", A1737&lt;80, "ภาคกลาง/ตะวันตก", A1737&gt;=80, "ภาคใต้")</f>
        <v>ภาคกลาง/ตะวันตก</v>
      </c>
      <c r="D1737" s="64">
        <v>6203</v>
      </c>
      <c r="E1737" s="10" t="s">
        <v>2049</v>
      </c>
      <c r="F1737" s="11">
        <v>22013</v>
      </c>
      <c r="G1737" s="11">
        <v>22412</v>
      </c>
      <c r="H1737" s="11">
        <v>44425</v>
      </c>
      <c r="I1737" s="11">
        <v>15521</v>
      </c>
      <c r="J1737" s="66">
        <f t="shared" si="104"/>
        <v>49.550928531232415</v>
      </c>
      <c r="K1737" s="66">
        <f t="shared" si="105"/>
        <v>50.449071468767585</v>
      </c>
    </row>
    <row r="1738" spans="1:11" x14ac:dyDescent="0.3">
      <c r="A1738" s="10">
        <v>62</v>
      </c>
      <c r="B1738" s="10" t="s">
        <v>2046</v>
      </c>
      <c r="C1738" s="10" t="str" cm="1">
        <f t="array" ref="C1738">_xlfn.IFS(A1738&lt;20, "ภาคกลาง", A1738&lt;30, "ภาคตะวันออก", A1738&lt;50, "ภาคตะวันออกเฉียงเหนือ", A1738&lt;60, "ภาคเหนือ", A1738&lt;80, "ภาคกลาง/ตะวันตก", A1738&gt;=80, "ภาคใต้")</f>
        <v>ภาคกลาง/ตะวันตก</v>
      </c>
      <c r="D1738" s="64">
        <v>6204</v>
      </c>
      <c r="E1738" s="10" t="s">
        <v>2050</v>
      </c>
      <c r="F1738" s="11">
        <v>19903</v>
      </c>
      <c r="G1738" s="11">
        <v>19460</v>
      </c>
      <c r="H1738" s="11">
        <v>39363</v>
      </c>
      <c r="I1738" s="11">
        <v>15701</v>
      </c>
      <c r="J1738" s="66">
        <f t="shared" si="104"/>
        <v>50.562711175469353</v>
      </c>
      <c r="K1738" s="66">
        <f t="shared" si="105"/>
        <v>49.437288824530654</v>
      </c>
    </row>
    <row r="1739" spans="1:11" x14ac:dyDescent="0.3">
      <c r="A1739" s="10">
        <v>62</v>
      </c>
      <c r="B1739" s="10" t="s">
        <v>2046</v>
      </c>
      <c r="C1739" s="10" t="str" cm="1">
        <f t="array" ref="C1739">_xlfn.IFS(A1739&lt;20, "ภาคกลาง", A1739&lt;30, "ภาคตะวันออก", A1739&lt;50, "ภาคตะวันออกเฉียงเหนือ", A1739&lt;60, "ภาคเหนือ", A1739&lt;80, "ภาคกลาง/ตะวันตก", A1739&gt;=80, "ภาคใต้")</f>
        <v>ภาคกลาง/ตะวันตก</v>
      </c>
      <c r="D1739" s="64">
        <v>6205</v>
      </c>
      <c r="E1739" s="10" t="s">
        <v>2051</v>
      </c>
      <c r="F1739" s="11">
        <v>33394</v>
      </c>
      <c r="G1739" s="11">
        <v>33970</v>
      </c>
      <c r="H1739" s="11">
        <v>67364</v>
      </c>
      <c r="I1739" s="11">
        <v>26662</v>
      </c>
      <c r="J1739" s="66">
        <f t="shared" si="104"/>
        <v>49.572471943471292</v>
      </c>
      <c r="K1739" s="66">
        <f t="shared" si="105"/>
        <v>50.427528056528715</v>
      </c>
    </row>
    <row r="1740" spans="1:11" x14ac:dyDescent="0.3">
      <c r="A1740" s="10">
        <v>62</v>
      </c>
      <c r="B1740" s="10" t="s">
        <v>2046</v>
      </c>
      <c r="C1740" s="10" t="str" cm="1">
        <f t="array" ref="C1740">_xlfn.IFS(A1740&lt;20, "ภาคกลาง", A1740&lt;30, "ภาคตะวันออก", A1740&lt;50, "ภาคตะวันออกเฉียงเหนือ", A1740&lt;60, "ภาคเหนือ", A1740&lt;80, "ภาคกลาง/ตะวันตก", A1740&gt;=80, "ภาคใต้")</f>
        <v>ภาคกลาง/ตะวันตก</v>
      </c>
      <c r="D1740" s="64">
        <v>6206</v>
      </c>
      <c r="E1740" s="10" t="s">
        <v>2052</v>
      </c>
      <c r="F1740" s="11">
        <v>26805</v>
      </c>
      <c r="G1740" s="11">
        <v>27926</v>
      </c>
      <c r="H1740" s="11">
        <v>54731</v>
      </c>
      <c r="I1740" s="11">
        <v>24394</v>
      </c>
      <c r="J1740" s="66">
        <f t="shared" si="104"/>
        <v>48.97590031243719</v>
      </c>
      <c r="K1740" s="66">
        <f t="shared" si="105"/>
        <v>51.02409968756281</v>
      </c>
    </row>
    <row r="1741" spans="1:11" x14ac:dyDescent="0.3">
      <c r="A1741" s="10">
        <v>62</v>
      </c>
      <c r="B1741" s="10" t="s">
        <v>2046</v>
      </c>
      <c r="C1741" s="10" t="str" cm="1">
        <f t="array" ref="C1741">_xlfn.IFS(A1741&lt;20, "ภาคกลาง", A1741&lt;30, "ภาคตะวันออก", A1741&lt;50, "ภาคตะวันออกเฉียงเหนือ", A1741&lt;60, "ภาคเหนือ", A1741&lt;80, "ภาคกลาง/ตะวันตก", A1741&gt;=80, "ภาคใต้")</f>
        <v>ภาคกลาง/ตะวันตก</v>
      </c>
      <c r="D1741" s="64">
        <v>6207</v>
      </c>
      <c r="E1741" s="10" t="s">
        <v>2053</v>
      </c>
      <c r="F1741" s="11">
        <v>24025</v>
      </c>
      <c r="G1741" s="11">
        <v>24196</v>
      </c>
      <c r="H1741" s="11">
        <v>48221</v>
      </c>
      <c r="I1741" s="11">
        <v>16841</v>
      </c>
      <c r="J1741" s="66">
        <f t="shared" si="104"/>
        <v>49.822691358536737</v>
      </c>
      <c r="K1741" s="66">
        <f t="shared" si="105"/>
        <v>50.177308641463256</v>
      </c>
    </row>
    <row r="1742" spans="1:11" x14ac:dyDescent="0.3">
      <c r="A1742" s="10">
        <v>62</v>
      </c>
      <c r="B1742" s="10" t="s">
        <v>2046</v>
      </c>
      <c r="C1742" s="10" t="str" cm="1">
        <f t="array" ref="C1742">_xlfn.IFS(A1742&lt;20, "ภาคกลาง", A1742&lt;30, "ภาคตะวันออก", A1742&lt;50, "ภาคตะวันออกเฉียงเหนือ", A1742&lt;60, "ภาคเหนือ", A1742&lt;80, "ภาคกลาง/ตะวันตก", A1742&gt;=80, "ภาคใต้")</f>
        <v>ภาคกลาง/ตะวันตก</v>
      </c>
      <c r="D1742" s="64">
        <v>6208</v>
      </c>
      <c r="E1742" s="10" t="s">
        <v>2054</v>
      </c>
      <c r="F1742" s="11">
        <v>16073</v>
      </c>
      <c r="G1742" s="11">
        <v>16156</v>
      </c>
      <c r="H1742" s="11">
        <v>32229</v>
      </c>
      <c r="I1742" s="11">
        <v>11655</v>
      </c>
      <c r="J1742" s="66">
        <f t="shared" si="104"/>
        <v>49.871233981817618</v>
      </c>
      <c r="K1742" s="66">
        <f t="shared" si="105"/>
        <v>50.128766018182382</v>
      </c>
    </row>
    <row r="1743" spans="1:11" x14ac:dyDescent="0.3">
      <c r="A1743" s="10">
        <v>62</v>
      </c>
      <c r="B1743" s="10" t="s">
        <v>2046</v>
      </c>
      <c r="C1743" s="10" t="str" cm="1">
        <f t="array" ref="C1743">_xlfn.IFS(A1743&lt;20, "ภาคกลาง", A1743&lt;30, "ภาคตะวันออก", A1743&lt;50, "ภาคตะวันออกเฉียงเหนือ", A1743&lt;60, "ภาคเหนือ", A1743&lt;80, "ภาคกลาง/ตะวันตก", A1743&gt;=80, "ภาคใต้")</f>
        <v>ภาคกลาง/ตะวันตก</v>
      </c>
      <c r="D1743" s="64">
        <v>6209</v>
      </c>
      <c r="E1743" s="10" t="s">
        <v>2055</v>
      </c>
      <c r="F1743" s="11">
        <v>6819</v>
      </c>
      <c r="G1743" s="11">
        <v>6866</v>
      </c>
      <c r="H1743" s="11">
        <v>13685</v>
      </c>
      <c r="I1743" s="11">
        <v>4314</v>
      </c>
      <c r="J1743" s="66">
        <f t="shared" si="104"/>
        <v>49.828279137742051</v>
      </c>
      <c r="K1743" s="66">
        <f t="shared" si="105"/>
        <v>50.171720862257949</v>
      </c>
    </row>
    <row r="1744" spans="1:11" x14ac:dyDescent="0.3">
      <c r="A1744" s="10">
        <v>62</v>
      </c>
      <c r="B1744" s="10" t="s">
        <v>2046</v>
      </c>
      <c r="C1744" s="10" t="str" cm="1">
        <f t="array" ref="C1744">_xlfn.IFS(A1744&lt;20, "ภาคกลาง", A1744&lt;30, "ภาคตะวันออก", A1744&lt;50, "ภาคตะวันออกเฉียงเหนือ", A1744&lt;60, "ภาคเหนือ", A1744&lt;80, "ภาคกลาง/ตะวันตก", A1744&gt;=80, "ภาคใต้")</f>
        <v>ภาคกลาง/ตะวันตก</v>
      </c>
      <c r="D1744" s="64">
        <v>6210</v>
      </c>
      <c r="E1744" s="10" t="s">
        <v>2056</v>
      </c>
      <c r="F1744" s="11">
        <v>14877</v>
      </c>
      <c r="G1744" s="11">
        <v>14905</v>
      </c>
      <c r="H1744" s="11">
        <v>29782</v>
      </c>
      <c r="I1744" s="11">
        <v>11693</v>
      </c>
      <c r="J1744" s="66">
        <f t="shared" si="104"/>
        <v>49.952991739977165</v>
      </c>
      <c r="K1744" s="66">
        <f t="shared" si="105"/>
        <v>50.047008260022828</v>
      </c>
    </row>
    <row r="1745" spans="1:11" x14ac:dyDescent="0.3">
      <c r="A1745" s="10">
        <v>62</v>
      </c>
      <c r="B1745" s="10" t="s">
        <v>2046</v>
      </c>
      <c r="C1745" s="10" t="str" cm="1">
        <f t="array" ref="C1745">_xlfn.IFS(A1745&lt;20, "ภาคกลาง", A1745&lt;30, "ภาคตะวันออก", A1745&lt;50, "ภาคตะวันออกเฉียงเหนือ", A1745&lt;60, "ภาคเหนือ", A1745&lt;80, "ภาคกลาง/ตะวันตก", A1745&gt;=80, "ภาคใต้")</f>
        <v>ภาคกลาง/ตะวันตก</v>
      </c>
      <c r="D1745" s="64">
        <v>6211</v>
      </c>
      <c r="E1745" s="10" t="s">
        <v>2057</v>
      </c>
      <c r="F1745" s="11">
        <v>8958</v>
      </c>
      <c r="G1745" s="11">
        <v>9030</v>
      </c>
      <c r="H1745" s="11">
        <v>17988</v>
      </c>
      <c r="I1745" s="11">
        <v>7609</v>
      </c>
      <c r="J1745" s="66">
        <f t="shared" si="104"/>
        <v>49.799866577718475</v>
      </c>
      <c r="K1745" s="66">
        <f t="shared" si="105"/>
        <v>50.200133422281525</v>
      </c>
    </row>
    <row r="1746" spans="1:11" x14ac:dyDescent="0.3">
      <c r="A1746" s="10">
        <v>62</v>
      </c>
      <c r="B1746" s="10" t="s">
        <v>2046</v>
      </c>
      <c r="C1746" s="10" t="str" cm="1">
        <f t="array" ref="C1746">_xlfn.IFS(A1746&lt;20, "ภาคกลาง", A1746&lt;30, "ภาคตะวันออก", A1746&lt;50, "ภาคตะวันออกเฉียงเหนือ", A1746&lt;60, "ภาคเหนือ", A1746&lt;80, "ภาคกลาง/ตะวันตก", A1746&gt;=80, "ภาคใต้")</f>
        <v>ภาคกลาง/ตะวันตก</v>
      </c>
      <c r="D1746" s="64">
        <v>6278</v>
      </c>
      <c r="E1746" s="10" t="s">
        <v>2058</v>
      </c>
      <c r="F1746" s="11">
        <v>13768</v>
      </c>
      <c r="G1746" s="11">
        <v>13764</v>
      </c>
      <c r="H1746" s="11">
        <v>27532</v>
      </c>
      <c r="I1746" s="11">
        <v>11187</v>
      </c>
      <c r="J1746" s="66">
        <f t="shared" si="104"/>
        <v>50.007264274299004</v>
      </c>
      <c r="K1746" s="66">
        <f t="shared" si="105"/>
        <v>49.992735725701003</v>
      </c>
    </row>
    <row r="1747" spans="1:11" ht="27.6" x14ac:dyDescent="0.3">
      <c r="A1747" s="10">
        <v>62</v>
      </c>
      <c r="B1747" s="10" t="s">
        <v>2046</v>
      </c>
      <c r="C1747" s="10" t="str" cm="1">
        <f t="array" ref="C1747">_xlfn.IFS(A1747&lt;20, "ภาคกลาง", A1747&lt;30, "ภาคตะวันออก", A1747&lt;50, "ภาคตะวันออกเฉียงเหนือ", A1747&lt;60, "ภาคเหนือ", A1747&lt;80, "ภาคกลาง/ตะวันตก", A1747&gt;=80, "ภาคใต้")</f>
        <v>ภาคกลาง/ตะวันตก</v>
      </c>
      <c r="D1747" s="64">
        <v>6279</v>
      </c>
      <c r="E1747" s="10" t="s">
        <v>2059</v>
      </c>
      <c r="F1747" s="11">
        <v>8616</v>
      </c>
      <c r="G1747" s="11">
        <v>8709</v>
      </c>
      <c r="H1747" s="11">
        <v>17325</v>
      </c>
      <c r="I1747" s="11">
        <v>6982</v>
      </c>
      <c r="J1747" s="66">
        <f t="shared" si="104"/>
        <v>49.731601731601735</v>
      </c>
      <c r="K1747" s="66">
        <f t="shared" si="105"/>
        <v>50.268398268398272</v>
      </c>
    </row>
    <row r="1748" spans="1:11" x14ac:dyDescent="0.3">
      <c r="A1748" s="10">
        <v>62</v>
      </c>
      <c r="B1748" s="10" t="s">
        <v>2046</v>
      </c>
      <c r="C1748" s="10" t="str" cm="1">
        <f t="array" ref="C1748">_xlfn.IFS(A1748&lt;20, "ภาคกลาง", A1748&lt;30, "ภาคตะวันออก", A1748&lt;50, "ภาคตะวันออกเฉียงเหนือ", A1748&lt;60, "ภาคเหนือ", A1748&lt;80, "ภาคกลาง/ตะวันตก", A1748&gt;=80, "ภาคใต้")</f>
        <v>ภาคกลาง/ตะวันตก</v>
      </c>
      <c r="D1748" s="64">
        <v>6280</v>
      </c>
      <c r="E1748" s="10" t="s">
        <v>2060</v>
      </c>
      <c r="F1748" s="11">
        <v>3535</v>
      </c>
      <c r="G1748" s="11">
        <v>3535</v>
      </c>
      <c r="H1748" s="11">
        <v>7070</v>
      </c>
      <c r="I1748" s="11">
        <v>3056</v>
      </c>
      <c r="J1748" s="66">
        <f t="shared" si="104"/>
        <v>50</v>
      </c>
      <c r="K1748" s="66">
        <f t="shared" si="105"/>
        <v>50</v>
      </c>
    </row>
    <row r="1749" spans="1:11" ht="27.6" x14ac:dyDescent="0.3">
      <c r="A1749" s="10">
        <v>62</v>
      </c>
      <c r="B1749" s="10" t="s">
        <v>2046</v>
      </c>
      <c r="C1749" s="10" t="str" cm="1">
        <f t="array" ref="C1749">_xlfn.IFS(A1749&lt;20, "ภาคกลาง", A1749&lt;30, "ภาคตะวันออก", A1749&lt;50, "ภาคตะวันออกเฉียงเหนือ", A1749&lt;60, "ภาคเหนือ", A1749&lt;80, "ภาคกลาง/ตะวันตก", A1749&gt;=80, "ภาคใต้")</f>
        <v>ภาคกลาง/ตะวันตก</v>
      </c>
      <c r="D1749" s="64">
        <v>6281</v>
      </c>
      <c r="E1749" s="10" t="s">
        <v>2061</v>
      </c>
      <c r="F1749" s="11">
        <v>3497</v>
      </c>
      <c r="G1749" s="11">
        <v>3647</v>
      </c>
      <c r="H1749" s="11">
        <v>7144</v>
      </c>
      <c r="I1749" s="11">
        <v>3720</v>
      </c>
      <c r="J1749" s="66">
        <f t="shared" si="104"/>
        <v>48.950167973124294</v>
      </c>
      <c r="K1749" s="66">
        <f t="shared" si="105"/>
        <v>51.049832026875698</v>
      </c>
    </row>
    <row r="1750" spans="1:11" ht="27.6" x14ac:dyDescent="0.3">
      <c r="A1750" s="10">
        <v>62</v>
      </c>
      <c r="B1750" s="10" t="s">
        <v>2046</v>
      </c>
      <c r="C1750" s="10" t="str" cm="1">
        <f t="array" ref="C1750">_xlfn.IFS(A1750&lt;20, "ภาคกลาง", A1750&lt;30, "ภาคตะวันออก", A1750&lt;50, "ภาคตะวันออกเฉียงเหนือ", A1750&lt;60, "ภาคเหนือ", A1750&lt;80, "ภาคกลาง/ตะวันตก", A1750&gt;=80, "ภาคใต้")</f>
        <v>ภาคกลาง/ตะวันตก</v>
      </c>
      <c r="D1750" s="64">
        <v>6282</v>
      </c>
      <c r="E1750" s="10" t="s">
        <v>2062</v>
      </c>
      <c r="F1750" s="11">
        <v>2802</v>
      </c>
      <c r="G1750" s="11">
        <v>2947</v>
      </c>
      <c r="H1750" s="11">
        <v>5749</v>
      </c>
      <c r="I1750" s="11">
        <v>2322</v>
      </c>
      <c r="J1750" s="66">
        <f t="shared" si="104"/>
        <v>48.738911114976517</v>
      </c>
      <c r="K1750" s="66">
        <f t="shared" si="105"/>
        <v>51.26108888502349</v>
      </c>
    </row>
    <row r="1751" spans="1:11" x14ac:dyDescent="0.3">
      <c r="A1751" s="10">
        <v>62</v>
      </c>
      <c r="B1751" s="10" t="s">
        <v>2046</v>
      </c>
      <c r="C1751" s="10" t="str" cm="1">
        <f t="array" ref="C1751">_xlfn.IFS(A1751&lt;20, "ภาคกลาง", A1751&lt;30, "ภาคตะวันออก", A1751&lt;50, "ภาคตะวันออกเฉียงเหนือ", A1751&lt;60, "ภาคเหนือ", A1751&lt;80, "ภาคกลาง/ตะวันตก", A1751&gt;=80, "ภาคใต้")</f>
        <v>ภาคกลาง/ตะวันตก</v>
      </c>
      <c r="D1751" s="64">
        <v>6283</v>
      </c>
      <c r="E1751" s="10" t="s">
        <v>2063</v>
      </c>
      <c r="F1751" s="11">
        <v>4416</v>
      </c>
      <c r="G1751" s="11">
        <v>4585</v>
      </c>
      <c r="H1751" s="11">
        <v>9001</v>
      </c>
      <c r="I1751" s="11">
        <v>3758</v>
      </c>
      <c r="J1751" s="66">
        <f t="shared" si="104"/>
        <v>49.06121542050883</v>
      </c>
      <c r="K1751" s="66">
        <f t="shared" si="105"/>
        <v>50.93878457949117</v>
      </c>
    </row>
    <row r="1752" spans="1:11" x14ac:dyDescent="0.3">
      <c r="A1752" s="10">
        <v>62</v>
      </c>
      <c r="B1752" s="10" t="s">
        <v>2046</v>
      </c>
      <c r="C1752" s="10" t="str" cm="1">
        <f t="array" ref="C1752">_xlfn.IFS(A1752&lt;20, "ภาคกลาง", A1752&lt;30, "ภาคตะวันออก", A1752&lt;50, "ภาคตะวันออกเฉียงเหนือ", A1752&lt;60, "ภาคเหนือ", A1752&lt;80, "ภาคกลาง/ตะวันตก", A1752&gt;=80, "ภาคใต้")</f>
        <v>ภาคกลาง/ตะวันตก</v>
      </c>
      <c r="D1752" s="64">
        <v>6284</v>
      </c>
      <c r="E1752" s="10" t="s">
        <v>2064</v>
      </c>
      <c r="F1752" s="11">
        <v>2622</v>
      </c>
      <c r="G1752" s="11">
        <v>2730</v>
      </c>
      <c r="H1752" s="11">
        <v>5352</v>
      </c>
      <c r="I1752" s="11">
        <v>2170</v>
      </c>
      <c r="J1752" s="66">
        <f t="shared" si="104"/>
        <v>48.99103139013453</v>
      </c>
      <c r="K1752" s="66">
        <f t="shared" si="105"/>
        <v>51.00896860986547</v>
      </c>
    </row>
    <row r="1753" spans="1:11" x14ac:dyDescent="0.3">
      <c r="A1753" s="10">
        <v>62</v>
      </c>
      <c r="B1753" s="10" t="s">
        <v>2046</v>
      </c>
      <c r="C1753" s="10" t="str" cm="1">
        <f t="array" ref="C1753">_xlfn.IFS(A1753&lt;20, "ภาคกลาง", A1753&lt;30, "ภาคตะวันออก", A1753&lt;50, "ภาคตะวันออกเฉียงเหนือ", A1753&lt;60, "ภาคเหนือ", A1753&lt;80, "ภาคกลาง/ตะวันตก", A1753&gt;=80, "ภาคใต้")</f>
        <v>ภาคกลาง/ตะวันตก</v>
      </c>
      <c r="D1753" s="64">
        <v>6285</v>
      </c>
      <c r="E1753" s="10" t="s">
        <v>2065</v>
      </c>
      <c r="F1753" s="11">
        <v>4133</v>
      </c>
      <c r="G1753" s="11">
        <v>4337</v>
      </c>
      <c r="H1753" s="11">
        <v>8470</v>
      </c>
      <c r="I1753" s="11">
        <v>3379</v>
      </c>
      <c r="J1753" s="66">
        <f t="shared" si="104"/>
        <v>48.79574970484061</v>
      </c>
      <c r="K1753" s="66">
        <f t="shared" si="105"/>
        <v>51.204250295159383</v>
      </c>
    </row>
    <row r="1754" spans="1:11" ht="27.6" x14ac:dyDescent="0.3">
      <c r="A1754" s="10">
        <v>62</v>
      </c>
      <c r="B1754" s="10" t="s">
        <v>2046</v>
      </c>
      <c r="C1754" s="10" t="str" cm="1">
        <f t="array" ref="C1754">_xlfn.IFS(A1754&lt;20, "ภาคกลาง", A1754&lt;30, "ภาคตะวันออก", A1754&lt;50, "ภาคตะวันออกเฉียงเหนือ", A1754&lt;60, "ภาคเหนือ", A1754&lt;80, "ภาคกลาง/ตะวันตก", A1754&gt;=80, "ภาคใต้")</f>
        <v>ภาคกลาง/ตะวันตก</v>
      </c>
      <c r="D1754" s="64">
        <v>6286</v>
      </c>
      <c r="E1754" s="10" t="s">
        <v>2066</v>
      </c>
      <c r="F1754" s="11">
        <v>9772</v>
      </c>
      <c r="G1754" s="11">
        <v>10350</v>
      </c>
      <c r="H1754" s="11">
        <v>20122</v>
      </c>
      <c r="I1754" s="11">
        <v>8895</v>
      </c>
      <c r="J1754" s="66">
        <f t="shared" si="104"/>
        <v>48.563761057548952</v>
      </c>
      <c r="K1754" s="66">
        <f t="shared" si="105"/>
        <v>51.436238942451048</v>
      </c>
    </row>
    <row r="1755" spans="1:11" x14ac:dyDescent="0.3">
      <c r="A1755" s="10">
        <v>62</v>
      </c>
      <c r="B1755" s="10" t="s">
        <v>2046</v>
      </c>
      <c r="C1755" s="10" t="str" cm="1">
        <f t="array" ref="C1755">_xlfn.IFS(A1755&lt;20, "ภาคกลาง", A1755&lt;30, "ภาคตะวันออก", A1755&lt;50, "ภาคตะวันออกเฉียงเหนือ", A1755&lt;60, "ภาคเหนือ", A1755&lt;80, "ภาคกลาง/ตะวันตก", A1755&gt;=80, "ภาคใต้")</f>
        <v>ภาคกลาง/ตะวันตก</v>
      </c>
      <c r="D1755" s="64">
        <v>6287</v>
      </c>
      <c r="E1755" s="10" t="s">
        <v>2067</v>
      </c>
      <c r="F1755" s="11">
        <v>10809</v>
      </c>
      <c r="G1755" s="11">
        <v>11268</v>
      </c>
      <c r="H1755" s="11">
        <v>22077</v>
      </c>
      <c r="I1755" s="11">
        <v>8793</v>
      </c>
      <c r="J1755" s="66">
        <f t="shared" si="104"/>
        <v>48.96045658377497</v>
      </c>
      <c r="K1755" s="66">
        <f t="shared" si="105"/>
        <v>51.03954341622503</v>
      </c>
    </row>
    <row r="1756" spans="1:11" ht="27.6" x14ac:dyDescent="0.3">
      <c r="A1756" s="10">
        <v>62</v>
      </c>
      <c r="B1756" s="10" t="s">
        <v>2046</v>
      </c>
      <c r="C1756" s="10" t="str" cm="1">
        <f t="array" ref="C1756">_xlfn.IFS(A1756&lt;20, "ภาคกลาง", A1756&lt;30, "ภาคตะวันออก", A1756&lt;50, "ภาคตะวันออกเฉียงเหนือ", A1756&lt;60, "ภาคเหนือ", A1756&lt;80, "ภาคกลาง/ตะวันตก", A1756&gt;=80, "ภาคใต้")</f>
        <v>ภาคกลาง/ตะวันตก</v>
      </c>
      <c r="D1756" s="64">
        <v>6288</v>
      </c>
      <c r="E1756" s="10" t="s">
        <v>2068</v>
      </c>
      <c r="F1756" s="11">
        <v>2841</v>
      </c>
      <c r="G1756" s="11">
        <v>2854</v>
      </c>
      <c r="H1756" s="11">
        <v>5695</v>
      </c>
      <c r="I1756" s="11">
        <v>1837</v>
      </c>
      <c r="J1756" s="66">
        <f t="shared" si="104"/>
        <v>49.885864793678664</v>
      </c>
      <c r="K1756" s="66">
        <f t="shared" si="105"/>
        <v>50.114135206321329</v>
      </c>
    </row>
    <row r="1757" spans="1:11" ht="27.6" x14ac:dyDescent="0.3">
      <c r="A1757" s="10">
        <v>62</v>
      </c>
      <c r="B1757" s="10" t="s">
        <v>2046</v>
      </c>
      <c r="C1757" s="10" t="str" cm="1">
        <f t="array" ref="C1757">_xlfn.IFS(A1757&lt;20, "ภาคกลาง", A1757&lt;30, "ภาคตะวันออก", A1757&lt;50, "ภาคตะวันออกเฉียงเหนือ", A1757&lt;60, "ภาคเหนือ", A1757&lt;80, "ภาคกลาง/ตะวันตก", A1757&gt;=80, "ภาคใต้")</f>
        <v>ภาคกลาง/ตะวันตก</v>
      </c>
      <c r="D1757" s="64">
        <v>6289</v>
      </c>
      <c r="E1757" s="10" t="s">
        <v>2069</v>
      </c>
      <c r="F1757" s="11">
        <v>2119</v>
      </c>
      <c r="G1757" s="11">
        <v>2191</v>
      </c>
      <c r="H1757" s="11">
        <v>4310</v>
      </c>
      <c r="I1757" s="11">
        <v>2649</v>
      </c>
      <c r="J1757" s="66">
        <f t="shared" si="104"/>
        <v>49.164733178654288</v>
      </c>
      <c r="K1757" s="66">
        <f t="shared" si="105"/>
        <v>50.835266821345705</v>
      </c>
    </row>
    <row r="1758" spans="1:11" ht="27.6" x14ac:dyDescent="0.3">
      <c r="A1758" s="10">
        <v>62</v>
      </c>
      <c r="B1758" s="10" t="s">
        <v>2046</v>
      </c>
      <c r="C1758" s="10" t="str" cm="1">
        <f t="array" ref="C1758">_xlfn.IFS(A1758&lt;20, "ภาคกลาง", A1758&lt;30, "ภาคตะวันออก", A1758&lt;50, "ภาคตะวันออกเฉียงเหนือ", A1758&lt;60, "ภาคเหนือ", A1758&lt;80, "ภาคกลาง/ตะวันตก", A1758&gt;=80, "ภาคใต้")</f>
        <v>ภาคกลาง/ตะวันตก</v>
      </c>
      <c r="D1758" s="64">
        <v>6290</v>
      </c>
      <c r="E1758" s="10" t="s">
        <v>2070</v>
      </c>
      <c r="F1758" s="11">
        <v>3938</v>
      </c>
      <c r="G1758" s="11">
        <v>4307</v>
      </c>
      <c r="H1758" s="11">
        <v>8245</v>
      </c>
      <c r="I1758" s="11">
        <v>3782</v>
      </c>
      <c r="J1758" s="66">
        <f t="shared" si="104"/>
        <v>47.76228016979988</v>
      </c>
      <c r="K1758" s="66">
        <f t="shared" si="105"/>
        <v>52.237719830200128</v>
      </c>
    </row>
    <row r="1759" spans="1:11" x14ac:dyDescent="0.3">
      <c r="A1759" s="10">
        <v>62</v>
      </c>
      <c r="B1759" s="10" t="s">
        <v>2046</v>
      </c>
      <c r="C1759" s="10" t="str" cm="1">
        <f t="array" ref="C1759">_xlfn.IFS(A1759&lt;20, "ภาคกลาง", A1759&lt;30, "ภาคตะวันออก", A1759&lt;50, "ภาคตะวันออกเฉียงเหนือ", A1759&lt;60, "ภาคเหนือ", A1759&lt;80, "ภาคกลาง/ตะวันตก", A1759&gt;=80, "ภาคใต้")</f>
        <v>ภาคกลาง/ตะวันตก</v>
      </c>
      <c r="D1759" s="64">
        <v>6291</v>
      </c>
      <c r="E1759" s="10" t="s">
        <v>2071</v>
      </c>
      <c r="F1759" s="11">
        <v>1769</v>
      </c>
      <c r="G1759" s="11">
        <v>1901</v>
      </c>
      <c r="H1759" s="11">
        <v>3670</v>
      </c>
      <c r="I1759" s="11">
        <v>2081</v>
      </c>
      <c r="J1759" s="66">
        <f t="shared" si="104"/>
        <v>48.201634877384194</v>
      </c>
      <c r="K1759" s="66">
        <f t="shared" si="105"/>
        <v>51.798365122615806</v>
      </c>
    </row>
    <row r="1760" spans="1:11" ht="27.6" x14ac:dyDescent="0.3">
      <c r="A1760" s="10">
        <v>62</v>
      </c>
      <c r="B1760" s="10" t="s">
        <v>2046</v>
      </c>
      <c r="C1760" s="10" t="str" cm="1">
        <f t="array" ref="C1760">_xlfn.IFS(A1760&lt;20, "ภาคกลาง", A1760&lt;30, "ภาคตะวันออก", A1760&lt;50, "ภาคตะวันออกเฉียงเหนือ", A1760&lt;60, "ภาคเหนือ", A1760&lt;80, "ภาคกลาง/ตะวันตก", A1760&gt;=80, "ภาคใต้")</f>
        <v>ภาคกลาง/ตะวันตก</v>
      </c>
      <c r="D1760" s="64">
        <v>6292</v>
      </c>
      <c r="E1760" s="10" t="s">
        <v>2072</v>
      </c>
      <c r="F1760" s="10">
        <v>718</v>
      </c>
      <c r="G1760" s="10">
        <v>749</v>
      </c>
      <c r="H1760" s="11">
        <v>1467</v>
      </c>
      <c r="I1760" s="10">
        <v>660</v>
      </c>
      <c r="J1760" s="66">
        <f t="shared" si="104"/>
        <v>48.943421949556921</v>
      </c>
      <c r="K1760" s="66">
        <f t="shared" si="105"/>
        <v>51.056578050443079</v>
      </c>
    </row>
    <row r="1761" spans="1:11" ht="27.6" x14ac:dyDescent="0.3">
      <c r="A1761" s="10">
        <v>62</v>
      </c>
      <c r="B1761" s="10" t="s">
        <v>2046</v>
      </c>
      <c r="C1761" s="10" t="str" cm="1">
        <f t="array" ref="C1761">_xlfn.IFS(A1761&lt;20, "ภาคกลาง", A1761&lt;30, "ภาคตะวันออก", A1761&lt;50, "ภาคตะวันออกเฉียงเหนือ", A1761&lt;60, "ภาคเหนือ", A1761&lt;80, "ภาคกลาง/ตะวันตก", A1761&gt;=80, "ภาคใต้")</f>
        <v>ภาคกลาง/ตะวันตก</v>
      </c>
      <c r="D1761" s="64">
        <v>6293</v>
      </c>
      <c r="E1761" s="10" t="s">
        <v>2073</v>
      </c>
      <c r="F1761" s="10">
        <v>935</v>
      </c>
      <c r="G1761" s="10">
        <v>960</v>
      </c>
      <c r="H1761" s="11">
        <v>1895</v>
      </c>
      <c r="I1761" s="11">
        <v>1040</v>
      </c>
      <c r="J1761" s="66">
        <f t="shared" si="104"/>
        <v>49.340369393139845</v>
      </c>
      <c r="K1761" s="66">
        <f t="shared" si="105"/>
        <v>50.659630606860162</v>
      </c>
    </row>
    <row r="1762" spans="1:11" ht="27.6" x14ac:dyDescent="0.3">
      <c r="A1762" s="10">
        <v>62</v>
      </c>
      <c r="B1762" s="10" t="s">
        <v>2046</v>
      </c>
      <c r="C1762" s="10" t="str" cm="1">
        <f t="array" ref="C1762">_xlfn.IFS(A1762&lt;20, "ภาคกลาง", A1762&lt;30, "ภาคตะวันออก", A1762&lt;50, "ภาคตะวันออกเฉียงเหนือ", A1762&lt;60, "ภาคเหนือ", A1762&lt;80, "ภาคกลาง/ตะวันตก", A1762&gt;=80, "ภาคใต้")</f>
        <v>ภาคกลาง/ตะวันตก</v>
      </c>
      <c r="D1762" s="64">
        <v>6294</v>
      </c>
      <c r="E1762" s="10" t="s">
        <v>2074</v>
      </c>
      <c r="F1762" s="11">
        <v>3729</v>
      </c>
      <c r="G1762" s="11">
        <v>4097</v>
      </c>
      <c r="H1762" s="11">
        <v>7826</v>
      </c>
      <c r="I1762" s="11">
        <v>4552</v>
      </c>
      <c r="J1762" s="66">
        <f t="shared" si="104"/>
        <v>47.648862765141835</v>
      </c>
      <c r="K1762" s="66">
        <f t="shared" si="105"/>
        <v>52.351137234858172</v>
      </c>
    </row>
    <row r="1763" spans="1:11" x14ac:dyDescent="0.3">
      <c r="A1763" s="10">
        <v>62</v>
      </c>
      <c r="B1763" s="10" t="s">
        <v>2046</v>
      </c>
      <c r="C1763" s="10" t="str" cm="1">
        <f t="array" ref="C1763">_xlfn.IFS(A1763&lt;20, "ภาคกลาง", A1763&lt;30, "ภาคตะวันออก", A1763&lt;50, "ภาคตะวันออกเฉียงเหนือ", A1763&lt;60, "ภาคเหนือ", A1763&lt;80, "ภาคกลาง/ตะวันตก", A1763&gt;=80, "ภาคใต้")</f>
        <v>ภาคกลาง/ตะวันตก</v>
      </c>
      <c r="D1763" s="64">
        <v>6295</v>
      </c>
      <c r="E1763" s="10" t="s">
        <v>2075</v>
      </c>
      <c r="F1763" s="11">
        <v>3733</v>
      </c>
      <c r="G1763" s="11">
        <v>4004</v>
      </c>
      <c r="H1763" s="11">
        <v>7737</v>
      </c>
      <c r="I1763" s="11">
        <v>3539</v>
      </c>
      <c r="J1763" s="66">
        <f t="shared" si="104"/>
        <v>48.248675197104824</v>
      </c>
      <c r="K1763" s="66">
        <f t="shared" si="105"/>
        <v>51.751324802895184</v>
      </c>
    </row>
    <row r="1764" spans="1:11" x14ac:dyDescent="0.3">
      <c r="A1764" s="10">
        <v>62</v>
      </c>
      <c r="B1764" s="10" t="s">
        <v>2046</v>
      </c>
      <c r="C1764" s="10" t="str" cm="1">
        <f t="array" ref="C1764">_xlfn.IFS(A1764&lt;20, "ภาคกลาง", A1764&lt;30, "ภาคตะวันออก", A1764&lt;50, "ภาคตะวันออกเฉียงเหนือ", A1764&lt;60, "ภาคเหนือ", A1764&lt;80, "ภาคกลาง/ตะวันตก", A1764&gt;=80, "ภาคใต้")</f>
        <v>ภาคกลาง/ตะวันตก</v>
      </c>
      <c r="D1764" s="64">
        <v>6296</v>
      </c>
      <c r="E1764" s="10" t="s">
        <v>2076</v>
      </c>
      <c r="F1764" s="11">
        <v>2319</v>
      </c>
      <c r="G1764" s="11">
        <v>2555</v>
      </c>
      <c r="H1764" s="11">
        <v>4874</v>
      </c>
      <c r="I1764" s="11">
        <v>2583</v>
      </c>
      <c r="J1764" s="66">
        <f t="shared" si="104"/>
        <v>47.578990562166602</v>
      </c>
      <c r="K1764" s="66">
        <f t="shared" si="105"/>
        <v>52.421009437833398</v>
      </c>
    </row>
    <row r="1765" spans="1:11" x14ac:dyDescent="0.3">
      <c r="A1765" s="10">
        <v>62</v>
      </c>
      <c r="B1765" s="10" t="s">
        <v>2046</v>
      </c>
      <c r="C1765" s="10" t="str" cm="1">
        <f t="array" ref="C1765">_xlfn.IFS(A1765&lt;20, "ภาคกลาง", A1765&lt;30, "ภาคตะวันออก", A1765&lt;50, "ภาคตะวันออกเฉียงเหนือ", A1765&lt;60, "ภาคเหนือ", A1765&lt;80, "ภาคกลาง/ตะวันตก", A1765&gt;=80, "ภาคใต้")</f>
        <v>ภาคกลาง/ตะวันตก</v>
      </c>
      <c r="D1765" s="64">
        <v>6297</v>
      </c>
      <c r="E1765" s="10" t="s">
        <v>2077</v>
      </c>
      <c r="F1765" s="11">
        <v>1478</v>
      </c>
      <c r="G1765" s="11">
        <v>1619</v>
      </c>
      <c r="H1765" s="11">
        <v>3097</v>
      </c>
      <c r="I1765" s="11">
        <v>1365</v>
      </c>
      <c r="J1765" s="66">
        <f t="shared" si="104"/>
        <v>47.723603487245718</v>
      </c>
      <c r="K1765" s="66">
        <f t="shared" si="105"/>
        <v>52.276396512754275</v>
      </c>
    </row>
    <row r="1766" spans="1:11" ht="27.6" x14ac:dyDescent="0.3">
      <c r="A1766" s="10">
        <v>62</v>
      </c>
      <c r="B1766" s="10" t="s">
        <v>2046</v>
      </c>
      <c r="C1766" s="10" t="str" cm="1">
        <f t="array" ref="C1766">_xlfn.IFS(A1766&lt;20, "ภาคกลาง", A1766&lt;30, "ภาคตะวันออก", A1766&lt;50, "ภาคตะวันออกเฉียงเหนือ", A1766&lt;60, "ภาคเหนือ", A1766&lt;80, "ภาคกลาง/ตะวันตก", A1766&gt;=80, "ภาคใต้")</f>
        <v>ภาคกลาง/ตะวันตก</v>
      </c>
      <c r="D1766" s="64">
        <v>6298</v>
      </c>
      <c r="E1766" s="10" t="s">
        <v>2078</v>
      </c>
      <c r="F1766" s="11">
        <v>3106</v>
      </c>
      <c r="G1766" s="11">
        <v>3518</v>
      </c>
      <c r="H1766" s="11">
        <v>6624</v>
      </c>
      <c r="I1766" s="11">
        <v>3593</v>
      </c>
      <c r="J1766" s="66">
        <f t="shared" si="104"/>
        <v>46.890096618357482</v>
      </c>
      <c r="K1766" s="66">
        <f t="shared" si="105"/>
        <v>53.109903381642511</v>
      </c>
    </row>
    <row r="1767" spans="1:11" ht="27.6" x14ac:dyDescent="0.3">
      <c r="A1767" s="10">
        <v>62</v>
      </c>
      <c r="B1767" s="10" t="s">
        <v>2046</v>
      </c>
      <c r="C1767" s="10" t="str" cm="1">
        <f t="array" ref="C1767">_xlfn.IFS(A1767&lt;20, "ภาคกลาง", A1767&lt;30, "ภาคตะวันออก", A1767&lt;50, "ภาคตะวันออกเฉียงเหนือ", A1767&lt;60, "ภาคเหนือ", A1767&lt;80, "ภาคกลาง/ตะวันตก", A1767&gt;=80, "ภาคใต้")</f>
        <v>ภาคกลาง/ตะวันตก</v>
      </c>
      <c r="D1767" s="64">
        <v>6299</v>
      </c>
      <c r="E1767" s="10" t="s">
        <v>2079</v>
      </c>
      <c r="F1767" s="11">
        <v>2776</v>
      </c>
      <c r="G1767" s="11">
        <v>2923</v>
      </c>
      <c r="H1767" s="11">
        <v>5699</v>
      </c>
      <c r="I1767" s="11">
        <v>2533</v>
      </c>
      <c r="J1767" s="66">
        <f t="shared" si="104"/>
        <v>48.710300052640818</v>
      </c>
      <c r="K1767" s="66">
        <f t="shared" si="105"/>
        <v>51.289699947359189</v>
      </c>
    </row>
    <row r="1768" spans="1:11" hidden="1" x14ac:dyDescent="0.3">
      <c r="A1768" s="10">
        <v>62</v>
      </c>
      <c r="B1768" s="10" t="s">
        <v>2046</v>
      </c>
      <c r="C1768" s="10" t="str" cm="1">
        <f t="array" ref="C1768">_xlfn.IFS(A1768&lt;20, "ภาคกลาง", A1768&lt;30, "ภาคตะวันออก", A1768&lt;50, "ภาคตะวันออกเฉียงเหนือ", A1768&lt;60, "ภาคเหนือ", A1768&lt;80, "ภาคกลาง/ตะวันตก", A1768&gt;=80, "ภาคใต้")</f>
        <v>ภาคกลาง/ตะวันตก</v>
      </c>
      <c r="D1768" s="10">
        <v>0</v>
      </c>
      <c r="E1768" s="10" t="s">
        <v>343</v>
      </c>
      <c r="F1768" s="11">
        <v>12781</v>
      </c>
      <c r="G1768" s="11">
        <v>14534</v>
      </c>
      <c r="H1768" s="11">
        <v>27315</v>
      </c>
      <c r="I1768" s="11">
        <v>16911</v>
      </c>
      <c r="J1768"/>
      <c r="K1768"/>
    </row>
    <row r="1769" spans="1:11" x14ac:dyDescent="0.3">
      <c r="A1769" s="10">
        <v>63</v>
      </c>
      <c r="B1769" s="10" t="s">
        <v>2080</v>
      </c>
      <c r="C1769" s="10" t="str" cm="1">
        <f t="array" ref="C1769">_xlfn.IFS(A1769&lt;20, "ภาคกลาง", A1769&lt;30, "ภาคตะวันออก", A1769&lt;50, "ภาคตะวันออกเฉียงเหนือ", A1769&lt;60, "ภาคเหนือ", A1769&lt;80, "ภาคกลาง/ตะวันตก", A1769&gt;=80, "ภาคใต้")</f>
        <v>ภาคกลาง/ตะวันตก</v>
      </c>
      <c r="D1769" s="64">
        <v>6301</v>
      </c>
      <c r="E1769" s="10" t="s">
        <v>2081</v>
      </c>
      <c r="F1769" s="11">
        <v>352933</v>
      </c>
      <c r="G1769" s="11">
        <v>345664</v>
      </c>
      <c r="H1769" s="11">
        <v>698597</v>
      </c>
      <c r="I1769" s="11">
        <v>241517</v>
      </c>
      <c r="J1769" s="66">
        <f t="shared" ref="J1769:J1791" si="106">F1769/H1769*100</f>
        <v>50.520257029446157</v>
      </c>
      <c r="K1769" s="66">
        <f t="shared" ref="K1769:K1791" si="107">G1769/H1769*100</f>
        <v>49.479742970553836</v>
      </c>
    </row>
    <row r="1770" spans="1:11" x14ac:dyDescent="0.3">
      <c r="A1770" s="10">
        <v>63</v>
      </c>
      <c r="B1770" s="10" t="s">
        <v>2080</v>
      </c>
      <c r="C1770" s="10" t="str" cm="1">
        <f t="array" ref="C1770">_xlfn.IFS(A1770&lt;20, "ภาคกลาง", A1770&lt;30, "ภาคตะวันออก", A1770&lt;50, "ภาคตะวันออกเฉียงเหนือ", A1770&lt;60, "ภาคเหนือ", A1770&lt;80, "ภาคกลาง/ตะวันตก", A1770&gt;=80, "ภาคใต้")</f>
        <v>ภาคกลาง/ตะวันตก</v>
      </c>
      <c r="D1770" s="64">
        <v>6302</v>
      </c>
      <c r="E1770" s="10" t="s">
        <v>2082</v>
      </c>
      <c r="F1770" s="11">
        <v>36761</v>
      </c>
      <c r="G1770" s="11">
        <v>37458</v>
      </c>
      <c r="H1770" s="11">
        <v>74219</v>
      </c>
      <c r="I1770" s="11">
        <v>29973</v>
      </c>
      <c r="J1770" s="66">
        <f t="shared" si="106"/>
        <v>49.530443686926532</v>
      </c>
      <c r="K1770" s="66">
        <f t="shared" si="107"/>
        <v>50.469556313073468</v>
      </c>
    </row>
    <row r="1771" spans="1:11" x14ac:dyDescent="0.3">
      <c r="A1771" s="10">
        <v>63</v>
      </c>
      <c r="B1771" s="10" t="s">
        <v>2080</v>
      </c>
      <c r="C1771" s="10" t="str" cm="1">
        <f t="array" ref="C1771">_xlfn.IFS(A1771&lt;20, "ภาคกลาง", A1771&lt;30, "ภาคตะวันออก", A1771&lt;50, "ภาคตะวันออกเฉียงเหนือ", A1771&lt;60, "ภาคเหนือ", A1771&lt;80, "ภาคกลาง/ตะวันตก", A1771&gt;=80, "ภาคใต้")</f>
        <v>ภาคกลาง/ตะวันตก</v>
      </c>
      <c r="D1771" s="64">
        <v>6303</v>
      </c>
      <c r="E1771" s="10" t="s">
        <v>2083</v>
      </c>
      <c r="F1771" s="11">
        <v>15192</v>
      </c>
      <c r="G1771" s="11">
        <v>15558</v>
      </c>
      <c r="H1771" s="11">
        <v>30750</v>
      </c>
      <c r="I1771" s="11">
        <v>11386</v>
      </c>
      <c r="J1771" s="66">
        <f t="shared" si="106"/>
        <v>49.404878048780489</v>
      </c>
      <c r="K1771" s="66">
        <f t="shared" si="107"/>
        <v>50.595121951219511</v>
      </c>
    </row>
    <row r="1772" spans="1:11" x14ac:dyDescent="0.3">
      <c r="A1772" s="10">
        <v>63</v>
      </c>
      <c r="B1772" s="10" t="s">
        <v>2080</v>
      </c>
      <c r="C1772" s="10" t="str" cm="1">
        <f t="array" ref="C1772">_xlfn.IFS(A1772&lt;20, "ภาคกลาง", A1772&lt;30, "ภาคตะวันออก", A1772&lt;50, "ภาคตะวันออกเฉียงเหนือ", A1772&lt;60, "ภาคเหนือ", A1772&lt;80, "ภาคกลาง/ตะวันตก", A1772&gt;=80, "ภาคใต้")</f>
        <v>ภาคกลาง/ตะวันตก</v>
      </c>
      <c r="D1772" s="64">
        <v>6304</v>
      </c>
      <c r="E1772" s="10" t="s">
        <v>2084</v>
      </c>
      <c r="F1772" s="11">
        <v>12327</v>
      </c>
      <c r="G1772" s="11">
        <v>12661</v>
      </c>
      <c r="H1772" s="11">
        <v>24988</v>
      </c>
      <c r="I1772" s="11">
        <v>9820</v>
      </c>
      <c r="J1772" s="66">
        <f t="shared" si="106"/>
        <v>49.33167920601889</v>
      </c>
      <c r="K1772" s="66">
        <f t="shared" si="107"/>
        <v>50.668320793981117</v>
      </c>
    </row>
    <row r="1773" spans="1:11" x14ac:dyDescent="0.3">
      <c r="A1773" s="10">
        <v>63</v>
      </c>
      <c r="B1773" s="10" t="s">
        <v>2080</v>
      </c>
      <c r="C1773" s="10" t="str" cm="1">
        <f t="array" ref="C1773">_xlfn.IFS(A1773&lt;20, "ภาคกลาง", A1773&lt;30, "ภาคตะวันออก", A1773&lt;50, "ภาคตะวันออกเฉียงเหนือ", A1773&lt;60, "ภาคเหนือ", A1773&lt;80, "ภาคกลาง/ตะวันตก", A1773&gt;=80, "ภาคใต้")</f>
        <v>ภาคกลาง/ตะวันตก</v>
      </c>
      <c r="D1773" s="64">
        <v>6305</v>
      </c>
      <c r="E1773" s="10" t="s">
        <v>2085</v>
      </c>
      <c r="F1773" s="11">
        <v>26265</v>
      </c>
      <c r="G1773" s="11">
        <v>24932</v>
      </c>
      <c r="H1773" s="11">
        <v>51197</v>
      </c>
      <c r="I1773" s="11">
        <v>17900</v>
      </c>
      <c r="J1773" s="66">
        <f t="shared" si="106"/>
        <v>51.301834091841314</v>
      </c>
      <c r="K1773" s="66">
        <f t="shared" si="107"/>
        <v>48.698165908158678</v>
      </c>
    </row>
    <row r="1774" spans="1:11" x14ac:dyDescent="0.3">
      <c r="A1774" s="10">
        <v>63</v>
      </c>
      <c r="B1774" s="10" t="s">
        <v>2080</v>
      </c>
      <c r="C1774" s="10" t="str" cm="1">
        <f t="array" ref="C1774">_xlfn.IFS(A1774&lt;20, "ภาคกลาง", A1774&lt;30, "ภาคตะวันออก", A1774&lt;50, "ภาคตะวันออกเฉียงเหนือ", A1774&lt;60, "ภาคเหนือ", A1774&lt;80, "ภาคกลาง/ตะวันตก", A1774&gt;=80, "ภาคใต้")</f>
        <v>ภาคกลาง/ตะวันตก</v>
      </c>
      <c r="D1774" s="64">
        <v>6306</v>
      </c>
      <c r="E1774" s="10" t="s">
        <v>2086</v>
      </c>
      <c r="F1774" s="11">
        <v>49437</v>
      </c>
      <c r="G1774" s="11">
        <v>46717</v>
      </c>
      <c r="H1774" s="11">
        <v>96154</v>
      </c>
      <c r="I1774" s="11">
        <v>25740</v>
      </c>
      <c r="J1774" s="66">
        <f t="shared" si="106"/>
        <v>51.414397736963622</v>
      </c>
      <c r="K1774" s="66">
        <f t="shared" si="107"/>
        <v>48.585602263036378</v>
      </c>
    </row>
    <row r="1775" spans="1:11" x14ac:dyDescent="0.3">
      <c r="A1775" s="10">
        <v>63</v>
      </c>
      <c r="B1775" s="10" t="s">
        <v>2080</v>
      </c>
      <c r="C1775" s="10" t="str" cm="1">
        <f t="array" ref="C1775">_xlfn.IFS(A1775&lt;20, "ภาคกลาง", A1775&lt;30, "ภาคตะวันออก", A1775&lt;50, "ภาคตะวันออกเฉียงเหนือ", A1775&lt;60, "ภาคเหนือ", A1775&lt;80, "ภาคกลาง/ตะวันตก", A1775&gt;=80, "ภาคใต้")</f>
        <v>ภาคกลาง/ตะวันตก</v>
      </c>
      <c r="D1775" s="64">
        <v>6307</v>
      </c>
      <c r="E1775" s="10" t="s">
        <v>2087</v>
      </c>
      <c r="F1775" s="11">
        <v>53030</v>
      </c>
      <c r="G1775" s="11">
        <v>51965</v>
      </c>
      <c r="H1775" s="11">
        <v>104995</v>
      </c>
      <c r="I1775" s="11">
        <v>40494</v>
      </c>
      <c r="J1775" s="66">
        <f t="shared" si="106"/>
        <v>50.507167007952759</v>
      </c>
      <c r="K1775" s="66">
        <f t="shared" si="107"/>
        <v>49.492832992047241</v>
      </c>
    </row>
    <row r="1776" spans="1:11" x14ac:dyDescent="0.3">
      <c r="A1776" s="10">
        <v>63</v>
      </c>
      <c r="B1776" s="10" t="s">
        <v>2080</v>
      </c>
      <c r="C1776" s="10" t="str" cm="1">
        <f t="array" ref="C1776">_xlfn.IFS(A1776&lt;20, "ภาคกลาง", A1776&lt;30, "ภาคตะวันออก", A1776&lt;50, "ภาคตะวันออกเฉียงเหนือ", A1776&lt;60, "ภาคเหนือ", A1776&lt;80, "ภาคกลาง/ตะวันตก", A1776&gt;=80, "ภาคใต้")</f>
        <v>ภาคกลาง/ตะวันตก</v>
      </c>
      <c r="D1776" s="64">
        <v>6308</v>
      </c>
      <c r="E1776" s="10" t="s">
        <v>2088</v>
      </c>
      <c r="F1776" s="11">
        <v>47042</v>
      </c>
      <c r="G1776" s="11">
        <v>45272</v>
      </c>
      <c r="H1776" s="11">
        <v>92314</v>
      </c>
      <c r="I1776" s="11">
        <v>22051</v>
      </c>
      <c r="J1776" s="66">
        <f t="shared" si="106"/>
        <v>50.958684489893194</v>
      </c>
      <c r="K1776" s="66">
        <f t="shared" si="107"/>
        <v>49.041315510106806</v>
      </c>
    </row>
    <row r="1777" spans="1:11" x14ac:dyDescent="0.3">
      <c r="A1777" s="10">
        <v>63</v>
      </c>
      <c r="B1777" s="10" t="s">
        <v>2080</v>
      </c>
      <c r="C1777" s="10" t="str" cm="1">
        <f t="array" ref="C1777">_xlfn.IFS(A1777&lt;20, "ภาคกลาง", A1777&lt;30, "ภาคตะวันออก", A1777&lt;50, "ภาคตะวันออกเฉียงเหนือ", A1777&lt;60, "ภาคเหนือ", A1777&lt;80, "ภาคกลาง/ตะวันตก", A1777&gt;=80, "ภาคใต้")</f>
        <v>ภาคกลาง/ตะวันตก</v>
      </c>
      <c r="D1777" s="64">
        <v>6309</v>
      </c>
      <c r="E1777" s="10" t="s">
        <v>2089</v>
      </c>
      <c r="F1777" s="11">
        <v>24541</v>
      </c>
      <c r="G1777" s="11">
        <v>22687</v>
      </c>
      <c r="H1777" s="11">
        <v>47228</v>
      </c>
      <c r="I1777" s="11">
        <v>12341</v>
      </c>
      <c r="J1777" s="66">
        <f t="shared" si="106"/>
        <v>51.962818666892517</v>
      </c>
      <c r="K1777" s="66">
        <f t="shared" si="107"/>
        <v>48.037181333107476</v>
      </c>
    </row>
    <row r="1778" spans="1:11" x14ac:dyDescent="0.3">
      <c r="A1778" s="10">
        <v>63</v>
      </c>
      <c r="B1778" s="10" t="s">
        <v>2080</v>
      </c>
      <c r="C1778" s="10" t="str" cm="1">
        <f t="array" ref="C1778">_xlfn.IFS(A1778&lt;20, "ภาคกลาง", A1778&lt;30, "ภาคตะวันออก", A1778&lt;50, "ภาคตะวันออกเฉียงเหนือ", A1778&lt;60, "ภาคเหนือ", A1778&lt;80, "ภาคกลาง/ตะวันตก", A1778&gt;=80, "ภาคใต้")</f>
        <v>ภาคกลาง/ตะวันตก</v>
      </c>
      <c r="D1778" s="64">
        <v>6386</v>
      </c>
      <c r="E1778" s="10" t="s">
        <v>2090</v>
      </c>
      <c r="F1778" s="11">
        <v>15328</v>
      </c>
      <c r="G1778" s="11">
        <v>15221</v>
      </c>
      <c r="H1778" s="11">
        <v>30549</v>
      </c>
      <c r="I1778" s="11">
        <v>9746</v>
      </c>
      <c r="J1778" s="66">
        <f t="shared" si="106"/>
        <v>50.175128482110708</v>
      </c>
      <c r="K1778" s="66">
        <f t="shared" si="107"/>
        <v>49.824871517889292</v>
      </c>
    </row>
    <row r="1779" spans="1:11" x14ac:dyDescent="0.3">
      <c r="A1779" s="10">
        <v>63</v>
      </c>
      <c r="B1779" s="10" t="s">
        <v>2080</v>
      </c>
      <c r="C1779" s="10" t="str" cm="1">
        <f t="array" ref="C1779">_xlfn.IFS(A1779&lt;20, "ภาคกลาง", A1779&lt;30, "ภาคตะวันออก", A1779&lt;50, "ภาคตะวันออกเฉียงเหนือ", A1779&lt;60, "ภาคเหนือ", A1779&lt;80, "ภาคกลาง/ตะวันตก", A1779&gt;=80, "ภาคใต้")</f>
        <v>ภาคกลาง/ตะวันตก</v>
      </c>
      <c r="D1779" s="64">
        <v>6387</v>
      </c>
      <c r="E1779" s="10" t="s">
        <v>2091</v>
      </c>
      <c r="F1779" s="11">
        <v>6259</v>
      </c>
      <c r="G1779" s="11">
        <v>5190</v>
      </c>
      <c r="H1779" s="11">
        <v>11449</v>
      </c>
      <c r="I1779" s="11">
        <v>6594</v>
      </c>
      <c r="J1779" s="66">
        <f t="shared" si="106"/>
        <v>54.668530002620322</v>
      </c>
      <c r="K1779" s="66">
        <f t="shared" si="107"/>
        <v>45.331469997379685</v>
      </c>
    </row>
    <row r="1780" spans="1:11" x14ac:dyDescent="0.3">
      <c r="A1780" s="10">
        <v>63</v>
      </c>
      <c r="B1780" s="10" t="s">
        <v>2080</v>
      </c>
      <c r="C1780" s="10" t="str" cm="1">
        <f t="array" ref="C1780">_xlfn.IFS(A1780&lt;20, "ภาคกลาง", A1780&lt;30, "ภาคตะวันออก", A1780&lt;50, "ภาคตะวันออกเฉียงเหนือ", A1780&lt;60, "ภาคเหนือ", A1780&lt;80, "ภาคกลาง/ตะวันตก", A1780&gt;=80, "ภาคใต้")</f>
        <v>ภาคกลาง/ตะวันตก</v>
      </c>
      <c r="D1780" s="64">
        <v>6388</v>
      </c>
      <c r="E1780" s="10" t="s">
        <v>2092</v>
      </c>
      <c r="F1780" s="11">
        <v>2090</v>
      </c>
      <c r="G1780" s="11">
        <v>2086</v>
      </c>
      <c r="H1780" s="11">
        <v>4176</v>
      </c>
      <c r="I1780" s="11">
        <v>2012</v>
      </c>
      <c r="J1780" s="66">
        <f t="shared" si="106"/>
        <v>50.047892720306507</v>
      </c>
      <c r="K1780" s="66">
        <f t="shared" si="107"/>
        <v>49.952107279693486</v>
      </c>
    </row>
    <row r="1781" spans="1:11" x14ac:dyDescent="0.3">
      <c r="A1781" s="10">
        <v>63</v>
      </c>
      <c r="B1781" s="10" t="s">
        <v>2080</v>
      </c>
      <c r="C1781" s="10" t="str" cm="1">
        <f t="array" ref="C1781">_xlfn.IFS(A1781&lt;20, "ภาคกลาง", A1781&lt;30, "ภาคตะวันออก", A1781&lt;50, "ภาคตะวันออกเฉียงเหนือ", A1781&lt;60, "ภาคเหนือ", A1781&lt;80, "ภาคกลาง/ตะวันตก", A1781&gt;=80, "ภาคใต้")</f>
        <v>ภาคกลาง/ตะวันตก</v>
      </c>
      <c r="D1781" s="64">
        <v>6389</v>
      </c>
      <c r="E1781" s="10" t="s">
        <v>2093</v>
      </c>
      <c r="F1781" s="11">
        <v>2573</v>
      </c>
      <c r="G1781" s="11">
        <v>2405</v>
      </c>
      <c r="H1781" s="11">
        <v>4978</v>
      </c>
      <c r="I1781" s="10">
        <v>950</v>
      </c>
      <c r="J1781" s="66">
        <f t="shared" si="106"/>
        <v>51.687424668541581</v>
      </c>
      <c r="K1781" s="66">
        <f t="shared" si="107"/>
        <v>48.312575331458419</v>
      </c>
    </row>
    <row r="1782" spans="1:11" x14ac:dyDescent="0.3">
      <c r="A1782" s="10">
        <v>63</v>
      </c>
      <c r="B1782" s="10" t="s">
        <v>2080</v>
      </c>
      <c r="C1782" s="10" t="str" cm="1">
        <f t="array" ref="C1782">_xlfn.IFS(A1782&lt;20, "ภาคกลาง", A1782&lt;30, "ภาคตะวันออก", A1782&lt;50, "ภาคตะวันออกเฉียงเหนือ", A1782&lt;60, "ภาคเหนือ", A1782&lt;80, "ภาคกลาง/ตะวันตก", A1782&gt;=80, "ภาคใต้")</f>
        <v>ภาคกลาง/ตะวันตก</v>
      </c>
      <c r="D1782" s="64">
        <v>6390</v>
      </c>
      <c r="E1782" s="10" t="s">
        <v>2094</v>
      </c>
      <c r="F1782" s="11">
        <v>3668</v>
      </c>
      <c r="G1782" s="11">
        <v>3468</v>
      </c>
      <c r="H1782" s="11">
        <v>7136</v>
      </c>
      <c r="I1782" s="11">
        <v>3002</v>
      </c>
      <c r="J1782" s="66">
        <f t="shared" si="106"/>
        <v>51.401345291479814</v>
      </c>
      <c r="K1782" s="66">
        <f t="shared" si="107"/>
        <v>48.598654708520179</v>
      </c>
    </row>
    <row r="1783" spans="1:11" ht="27.6" x14ac:dyDescent="0.3">
      <c r="A1783" s="10">
        <v>63</v>
      </c>
      <c r="B1783" s="10" t="s">
        <v>2080</v>
      </c>
      <c r="C1783" s="10" t="str" cm="1">
        <f t="array" ref="C1783">_xlfn.IFS(A1783&lt;20, "ภาคกลาง", A1783&lt;30, "ภาคตะวันออก", A1783&lt;50, "ภาคตะวันออกเฉียงเหนือ", A1783&lt;60, "ภาคเหนือ", A1783&lt;80, "ภาคกลาง/ตะวันตก", A1783&gt;=80, "ภาคใต้")</f>
        <v>ภาคกลาง/ตะวันตก</v>
      </c>
      <c r="D1783" s="64">
        <v>6391</v>
      </c>
      <c r="E1783" s="10" t="s">
        <v>2095</v>
      </c>
      <c r="F1783" s="11">
        <v>3244</v>
      </c>
      <c r="G1783" s="11">
        <v>3399</v>
      </c>
      <c r="H1783" s="11">
        <v>6643</v>
      </c>
      <c r="I1783" s="11">
        <v>3269</v>
      </c>
      <c r="J1783" s="66">
        <f t="shared" si="106"/>
        <v>48.83335842239952</v>
      </c>
      <c r="K1783" s="66">
        <f t="shared" si="107"/>
        <v>51.16664157760048</v>
      </c>
    </row>
    <row r="1784" spans="1:11" x14ac:dyDescent="0.3">
      <c r="A1784" s="10">
        <v>63</v>
      </c>
      <c r="B1784" s="10" t="s">
        <v>2080</v>
      </c>
      <c r="C1784" s="10" t="str" cm="1">
        <f t="array" ref="C1784">_xlfn.IFS(A1784&lt;20, "ภาคกลาง", A1784&lt;30, "ภาคตะวันออก", A1784&lt;50, "ภาคตะวันออกเฉียงเหนือ", A1784&lt;60, "ภาคเหนือ", A1784&lt;80, "ภาคกลาง/ตะวันตก", A1784&gt;=80, "ภาคใต้")</f>
        <v>ภาคกลาง/ตะวันตก</v>
      </c>
      <c r="D1784" s="64">
        <v>6392</v>
      </c>
      <c r="E1784" s="10" t="s">
        <v>2096</v>
      </c>
      <c r="F1784" s="11">
        <v>12320</v>
      </c>
      <c r="G1784" s="11">
        <v>11635</v>
      </c>
      <c r="H1784" s="11">
        <v>23955</v>
      </c>
      <c r="I1784" s="11">
        <v>5075</v>
      </c>
      <c r="J1784" s="66">
        <f t="shared" si="106"/>
        <v>51.429764141097891</v>
      </c>
      <c r="K1784" s="66">
        <f t="shared" si="107"/>
        <v>48.570235858902109</v>
      </c>
    </row>
    <row r="1785" spans="1:11" ht="27.6" x14ac:dyDescent="0.3">
      <c r="A1785" s="10">
        <v>63</v>
      </c>
      <c r="B1785" s="10" t="s">
        <v>2080</v>
      </c>
      <c r="C1785" s="10" t="str" cm="1">
        <f t="array" ref="C1785">_xlfn.IFS(A1785&lt;20, "ภาคกลาง", A1785&lt;30, "ภาคตะวันออก", A1785&lt;50, "ภาคตะวันออกเฉียงเหนือ", A1785&lt;60, "ภาคเหนือ", A1785&lt;80, "ภาคกลาง/ตะวันตก", A1785&gt;=80, "ภาคใต้")</f>
        <v>ภาคกลาง/ตะวันตก</v>
      </c>
      <c r="D1785" s="64">
        <v>6393</v>
      </c>
      <c r="E1785" s="10" t="s">
        <v>2097</v>
      </c>
      <c r="F1785" s="11">
        <v>2276</v>
      </c>
      <c r="G1785" s="11">
        <v>2333</v>
      </c>
      <c r="H1785" s="11">
        <v>4609</v>
      </c>
      <c r="I1785" s="11">
        <v>1467</v>
      </c>
      <c r="J1785" s="66">
        <f t="shared" si="106"/>
        <v>49.38164460837492</v>
      </c>
      <c r="K1785" s="66">
        <f t="shared" si="107"/>
        <v>50.61835539162508</v>
      </c>
    </row>
    <row r="1786" spans="1:11" x14ac:dyDescent="0.3">
      <c r="A1786" s="10">
        <v>63</v>
      </c>
      <c r="B1786" s="10" t="s">
        <v>2080</v>
      </c>
      <c r="C1786" s="10" t="str" cm="1">
        <f t="array" ref="C1786">_xlfn.IFS(A1786&lt;20, "ภาคกลาง", A1786&lt;30, "ภาคตะวันออก", A1786&lt;50, "ภาคตะวันออกเฉียงเหนือ", A1786&lt;60, "ภาคเหนือ", A1786&lt;80, "ภาคกลาง/ตะวันตก", A1786&gt;=80, "ภาคใต้")</f>
        <v>ภาคกลาง/ตะวันตก</v>
      </c>
      <c r="D1786" s="64">
        <v>6394</v>
      </c>
      <c r="E1786" s="10" t="s">
        <v>2098</v>
      </c>
      <c r="F1786" s="11">
        <v>1896</v>
      </c>
      <c r="G1786" s="11">
        <v>1928</v>
      </c>
      <c r="H1786" s="11">
        <v>3824</v>
      </c>
      <c r="I1786" s="11">
        <v>1912</v>
      </c>
      <c r="J1786" s="66">
        <f t="shared" si="106"/>
        <v>49.581589958158993</v>
      </c>
      <c r="K1786" s="66">
        <f t="shared" si="107"/>
        <v>50.418410041841</v>
      </c>
    </row>
    <row r="1787" spans="1:11" x14ac:dyDescent="0.3">
      <c r="A1787" s="10">
        <v>63</v>
      </c>
      <c r="B1787" s="10" t="s">
        <v>2080</v>
      </c>
      <c r="C1787" s="10" t="str" cm="1">
        <f t="array" ref="C1787">_xlfn.IFS(A1787&lt;20, "ภาคกลาง", A1787&lt;30, "ภาคตะวันออก", A1787&lt;50, "ภาคตะวันออกเฉียงเหนือ", A1787&lt;60, "ภาคเหนือ", A1787&lt;80, "ภาคกลาง/ตะวันตก", A1787&gt;=80, "ภาคใต้")</f>
        <v>ภาคกลาง/ตะวันตก</v>
      </c>
      <c r="D1787" s="64">
        <v>6395</v>
      </c>
      <c r="E1787" s="10" t="s">
        <v>2099</v>
      </c>
      <c r="F1787" s="11">
        <v>2442</v>
      </c>
      <c r="G1787" s="11">
        <v>2596</v>
      </c>
      <c r="H1787" s="11">
        <v>5038</v>
      </c>
      <c r="I1787" s="11">
        <v>2206</v>
      </c>
      <c r="J1787" s="66">
        <f t="shared" si="106"/>
        <v>48.471615720524021</v>
      </c>
      <c r="K1787" s="66">
        <f t="shared" si="107"/>
        <v>51.528384279475979</v>
      </c>
    </row>
    <row r="1788" spans="1:11" x14ac:dyDescent="0.3">
      <c r="A1788" s="10">
        <v>63</v>
      </c>
      <c r="B1788" s="10" t="s">
        <v>2080</v>
      </c>
      <c r="C1788" s="10" t="str" cm="1">
        <f t="array" ref="C1788">_xlfn.IFS(A1788&lt;20, "ภาคกลาง", A1788&lt;30, "ภาคตะวันออก", A1788&lt;50, "ภาคตะวันออกเฉียงเหนือ", A1788&lt;60, "ภาคเหนือ", A1788&lt;80, "ภาคกลาง/ตะวันตก", A1788&gt;=80, "ภาคใต้")</f>
        <v>ภาคกลาง/ตะวันตก</v>
      </c>
      <c r="D1788" s="64">
        <v>6396</v>
      </c>
      <c r="E1788" s="10" t="s">
        <v>2100</v>
      </c>
      <c r="F1788" s="11">
        <v>2067</v>
      </c>
      <c r="G1788" s="11">
        <v>2292</v>
      </c>
      <c r="H1788" s="11">
        <v>4359</v>
      </c>
      <c r="I1788" s="11">
        <v>2223</v>
      </c>
      <c r="J1788" s="66">
        <f t="shared" si="106"/>
        <v>47.419132828630424</v>
      </c>
      <c r="K1788" s="66">
        <f t="shared" si="107"/>
        <v>52.580867171369583</v>
      </c>
    </row>
    <row r="1789" spans="1:11" ht="27.6" x14ac:dyDescent="0.3">
      <c r="A1789" s="10">
        <v>63</v>
      </c>
      <c r="B1789" s="10" t="s">
        <v>2080</v>
      </c>
      <c r="C1789" s="10" t="str" cm="1">
        <f t="array" ref="C1789">_xlfn.IFS(A1789&lt;20, "ภาคกลาง", A1789&lt;30, "ภาคตะวันออก", A1789&lt;50, "ภาคตะวันออกเฉียงเหนือ", A1789&lt;60, "ภาคเหนือ", A1789&lt;80, "ภาคกลาง/ตะวันตก", A1789&gt;=80, "ภาคใต้")</f>
        <v>ภาคกลาง/ตะวันตก</v>
      </c>
      <c r="D1789" s="64">
        <v>6397</v>
      </c>
      <c r="E1789" s="10" t="s">
        <v>2101</v>
      </c>
      <c r="F1789" s="11">
        <v>2859</v>
      </c>
      <c r="G1789" s="11">
        <v>3379</v>
      </c>
      <c r="H1789" s="11">
        <v>6238</v>
      </c>
      <c r="I1789" s="11">
        <v>2772</v>
      </c>
      <c r="J1789" s="66">
        <f t="shared" si="106"/>
        <v>45.831997435075344</v>
      </c>
      <c r="K1789" s="66">
        <f t="shared" si="107"/>
        <v>54.168002564924656</v>
      </c>
    </row>
    <row r="1790" spans="1:11" x14ac:dyDescent="0.3">
      <c r="A1790" s="10">
        <v>63</v>
      </c>
      <c r="B1790" s="10" t="s">
        <v>2080</v>
      </c>
      <c r="C1790" s="10" t="str" cm="1">
        <f t="array" ref="C1790">_xlfn.IFS(A1790&lt;20, "ภาคกลาง", A1790&lt;30, "ภาคตะวันออก", A1790&lt;50, "ภาคตะวันออกเฉียงเหนือ", A1790&lt;60, "ภาคเหนือ", A1790&lt;80, "ภาคกลาง/ตะวันตก", A1790&gt;=80, "ภาคใต้")</f>
        <v>ภาคกลาง/ตะวันตก</v>
      </c>
      <c r="D1790" s="64">
        <v>6398</v>
      </c>
      <c r="E1790" s="10" t="s">
        <v>2102</v>
      </c>
      <c r="F1790" s="11">
        <v>2902</v>
      </c>
      <c r="G1790" s="11">
        <v>2964</v>
      </c>
      <c r="H1790" s="11">
        <v>5866</v>
      </c>
      <c r="I1790" s="11">
        <v>2183</v>
      </c>
      <c r="J1790" s="66">
        <f t="shared" si="106"/>
        <v>49.471530855779065</v>
      </c>
      <c r="K1790" s="66">
        <f t="shared" si="107"/>
        <v>50.528469144220935</v>
      </c>
    </row>
    <row r="1791" spans="1:11" x14ac:dyDescent="0.3">
      <c r="A1791" s="10">
        <v>63</v>
      </c>
      <c r="B1791" s="10" t="s">
        <v>2080</v>
      </c>
      <c r="C1791" s="10" t="str" cm="1">
        <f t="array" ref="C1791">_xlfn.IFS(A1791&lt;20, "ภาคกลาง", A1791&lt;30, "ภาคตะวันออก", A1791&lt;50, "ภาคตะวันออกเฉียงเหนือ", A1791&lt;60, "ภาคเหนือ", A1791&lt;80, "ภาคกลาง/ตะวันตก", A1791&gt;=80, "ภาคใต้")</f>
        <v>ภาคกลาง/ตะวันตก</v>
      </c>
      <c r="D1791" s="64">
        <v>6399</v>
      </c>
      <c r="E1791" s="10" t="s">
        <v>2103</v>
      </c>
      <c r="F1791" s="11">
        <v>21349</v>
      </c>
      <c r="G1791" s="11">
        <v>21525</v>
      </c>
      <c r="H1791" s="11">
        <v>42874</v>
      </c>
      <c r="I1791" s="11">
        <v>20802</v>
      </c>
      <c r="J1791" s="66">
        <f t="shared" si="106"/>
        <v>49.794747399356254</v>
      </c>
      <c r="K1791" s="66">
        <f t="shared" si="107"/>
        <v>50.205252600643746</v>
      </c>
    </row>
    <row r="1792" spans="1:11" hidden="1" x14ac:dyDescent="0.3">
      <c r="A1792" s="10">
        <v>63</v>
      </c>
      <c r="B1792" s="10" t="s">
        <v>2080</v>
      </c>
      <c r="C1792" s="10" t="str" cm="1">
        <f t="array" ref="C1792">_xlfn.IFS(A1792&lt;20, "ภาคกลาง", A1792&lt;30, "ภาคตะวันออก", A1792&lt;50, "ภาคตะวันออกเฉียงเหนือ", A1792&lt;60, "ภาคเหนือ", A1792&lt;80, "ภาคกลาง/ตะวันตก", A1792&gt;=80, "ภาคใต้")</f>
        <v>ภาคกลาง/ตะวันตก</v>
      </c>
      <c r="D1792" s="10">
        <v>0</v>
      </c>
      <c r="E1792" s="10" t="s">
        <v>343</v>
      </c>
      <c r="F1792" s="11">
        <v>7065</v>
      </c>
      <c r="G1792" s="11">
        <v>7993</v>
      </c>
      <c r="H1792" s="11">
        <v>15058</v>
      </c>
      <c r="I1792" s="11">
        <v>7599</v>
      </c>
      <c r="J1792"/>
      <c r="K1792"/>
    </row>
    <row r="1793" spans="1:11" x14ac:dyDescent="0.3">
      <c r="A1793" s="10">
        <v>64</v>
      </c>
      <c r="B1793" s="10" t="s">
        <v>2104</v>
      </c>
      <c r="C1793" s="10" t="str" cm="1">
        <f t="array" ref="C1793">_xlfn.IFS(A1793&lt;20, "ภาคกลาง", A1793&lt;30, "ภาคตะวันออก", A1793&lt;50, "ภาคตะวันออกเฉียงเหนือ", A1793&lt;60, "ภาคเหนือ", A1793&lt;80, "ภาคกลาง/ตะวันตก", A1793&gt;=80, "ภาคใต้")</f>
        <v>ภาคกลาง/ตะวันตก</v>
      </c>
      <c r="D1793" s="64">
        <v>6401</v>
      </c>
      <c r="E1793" s="10" t="s">
        <v>2105</v>
      </c>
      <c r="F1793" s="11">
        <v>277179</v>
      </c>
      <c r="G1793" s="11">
        <v>296209</v>
      </c>
      <c r="H1793" s="11">
        <v>573388</v>
      </c>
      <c r="I1793" s="11">
        <v>229235</v>
      </c>
      <c r="J1793" s="66">
        <f t="shared" ref="J1793:J1817" si="108">F1793/H1793*100</f>
        <v>48.340565201922608</v>
      </c>
      <c r="K1793" s="66">
        <f t="shared" ref="K1793:K1817" si="109">G1793/H1793*100</f>
        <v>51.659434798077399</v>
      </c>
    </row>
    <row r="1794" spans="1:11" x14ac:dyDescent="0.3">
      <c r="A1794" s="10">
        <v>64</v>
      </c>
      <c r="B1794" s="10" t="s">
        <v>2104</v>
      </c>
      <c r="C1794" s="10" t="str" cm="1">
        <f t="array" ref="C1794">_xlfn.IFS(A1794&lt;20, "ภาคกลาง", A1794&lt;30, "ภาคตะวันออก", A1794&lt;50, "ภาคตะวันออกเฉียงเหนือ", A1794&lt;60, "ภาคเหนือ", A1794&lt;80, "ภาคกลาง/ตะวันตก", A1794&gt;=80, "ภาคใต้")</f>
        <v>ภาคกลาง/ตะวันตก</v>
      </c>
      <c r="D1794" s="64">
        <v>6402</v>
      </c>
      <c r="E1794" s="10" t="s">
        <v>2106</v>
      </c>
      <c r="F1794" s="11">
        <v>28840</v>
      </c>
      <c r="G1794" s="11">
        <v>31136</v>
      </c>
      <c r="H1794" s="11">
        <v>59976</v>
      </c>
      <c r="I1794" s="11">
        <v>23787</v>
      </c>
      <c r="J1794" s="66">
        <f t="shared" si="108"/>
        <v>48.085901027077497</v>
      </c>
      <c r="K1794" s="66">
        <f t="shared" si="109"/>
        <v>51.91409897292251</v>
      </c>
    </row>
    <row r="1795" spans="1:11" x14ac:dyDescent="0.3">
      <c r="A1795" s="10">
        <v>64</v>
      </c>
      <c r="B1795" s="10" t="s">
        <v>2104</v>
      </c>
      <c r="C1795" s="10" t="str" cm="1">
        <f t="array" ref="C1795">_xlfn.IFS(A1795&lt;20, "ภาคกลาง", A1795&lt;30, "ภาคตะวันออก", A1795&lt;50, "ภาคตะวันออกเฉียงเหนือ", A1795&lt;60, "ภาคเหนือ", A1795&lt;80, "ภาคกลาง/ตะวันตก", A1795&gt;=80, "ภาคใต้")</f>
        <v>ภาคกลาง/ตะวันตก</v>
      </c>
      <c r="D1795" s="64">
        <v>6403</v>
      </c>
      <c r="E1795" s="10" t="s">
        <v>2107</v>
      </c>
      <c r="F1795" s="11">
        <v>21876</v>
      </c>
      <c r="G1795" s="11">
        <v>22173</v>
      </c>
      <c r="H1795" s="11">
        <v>44049</v>
      </c>
      <c r="I1795" s="11">
        <v>15097</v>
      </c>
      <c r="J1795" s="66">
        <f t="shared" si="108"/>
        <v>49.662875434175582</v>
      </c>
      <c r="K1795" s="66">
        <f t="shared" si="109"/>
        <v>50.337124565824418</v>
      </c>
    </row>
    <row r="1796" spans="1:11" x14ac:dyDescent="0.3">
      <c r="A1796" s="10">
        <v>64</v>
      </c>
      <c r="B1796" s="10" t="s">
        <v>2104</v>
      </c>
      <c r="C1796" s="10" t="str" cm="1">
        <f t="array" ref="C1796">_xlfn.IFS(A1796&lt;20, "ภาคกลาง", A1796&lt;30, "ภาคตะวันออก", A1796&lt;50, "ภาคตะวันออกเฉียงเหนือ", A1796&lt;60, "ภาคเหนือ", A1796&lt;80, "ภาคกลาง/ตะวันตก", A1796&gt;=80, "ภาคใต้")</f>
        <v>ภาคกลาง/ตะวันตก</v>
      </c>
      <c r="D1796" s="64">
        <v>6404</v>
      </c>
      <c r="E1796" s="10" t="s">
        <v>2108</v>
      </c>
      <c r="F1796" s="11">
        <v>22494</v>
      </c>
      <c r="G1796" s="11">
        <v>23070</v>
      </c>
      <c r="H1796" s="11">
        <v>45564</v>
      </c>
      <c r="I1796" s="11">
        <v>14916</v>
      </c>
      <c r="J1796" s="66">
        <f t="shared" si="108"/>
        <v>49.367922043718728</v>
      </c>
      <c r="K1796" s="66">
        <f t="shared" si="109"/>
        <v>50.632077956281272</v>
      </c>
    </row>
    <row r="1797" spans="1:11" x14ac:dyDescent="0.3">
      <c r="A1797" s="10">
        <v>64</v>
      </c>
      <c r="B1797" s="10" t="s">
        <v>2104</v>
      </c>
      <c r="C1797" s="10" t="str" cm="1">
        <f t="array" ref="C1797">_xlfn.IFS(A1797&lt;20, "ภาคกลาง", A1797&lt;30, "ภาคตะวันออก", A1797&lt;50, "ภาคตะวันออกเฉียงเหนือ", A1797&lt;60, "ภาคเหนือ", A1797&lt;80, "ภาคกลาง/ตะวันตก", A1797&gt;=80, "ภาคใต้")</f>
        <v>ภาคกลาง/ตะวันตก</v>
      </c>
      <c r="D1797" s="64">
        <v>6405</v>
      </c>
      <c r="E1797" s="10" t="s">
        <v>2109</v>
      </c>
      <c r="F1797" s="11">
        <v>28261</v>
      </c>
      <c r="G1797" s="11">
        <v>29822</v>
      </c>
      <c r="H1797" s="11">
        <v>58083</v>
      </c>
      <c r="I1797" s="11">
        <v>21194</v>
      </c>
      <c r="J1797" s="66">
        <f t="shared" si="108"/>
        <v>48.656233321281618</v>
      </c>
      <c r="K1797" s="66">
        <f t="shared" si="109"/>
        <v>51.343766678718382</v>
      </c>
    </row>
    <row r="1798" spans="1:11" x14ac:dyDescent="0.3">
      <c r="A1798" s="10">
        <v>64</v>
      </c>
      <c r="B1798" s="10" t="s">
        <v>2104</v>
      </c>
      <c r="C1798" s="10" t="str" cm="1">
        <f t="array" ref="C1798">_xlfn.IFS(A1798&lt;20, "ภาคกลาง", A1798&lt;30, "ภาคตะวันออก", A1798&lt;50, "ภาคตะวันออกเฉียงเหนือ", A1798&lt;60, "ภาคเหนือ", A1798&lt;80, "ภาคกลาง/ตะวันตก", A1798&gt;=80, "ภาคใต้")</f>
        <v>ภาคกลาง/ตะวันตก</v>
      </c>
      <c r="D1798" s="64">
        <v>6406</v>
      </c>
      <c r="E1798" s="10" t="s">
        <v>2110</v>
      </c>
      <c r="F1798" s="11">
        <v>33764</v>
      </c>
      <c r="G1798" s="11">
        <v>35097</v>
      </c>
      <c r="H1798" s="11">
        <v>68861</v>
      </c>
      <c r="I1798" s="11">
        <v>27910</v>
      </c>
      <c r="J1798" s="66">
        <f t="shared" si="108"/>
        <v>49.032108159916355</v>
      </c>
      <c r="K1798" s="66">
        <f t="shared" si="109"/>
        <v>50.967891840083645</v>
      </c>
    </row>
    <row r="1799" spans="1:11" x14ac:dyDescent="0.3">
      <c r="A1799" s="10">
        <v>64</v>
      </c>
      <c r="B1799" s="10" t="s">
        <v>2104</v>
      </c>
      <c r="C1799" s="10" t="str" cm="1">
        <f t="array" ref="C1799">_xlfn.IFS(A1799&lt;20, "ภาคกลาง", A1799&lt;30, "ภาคตะวันออก", A1799&lt;50, "ภาคตะวันออกเฉียงเหนือ", A1799&lt;60, "ภาคเหนือ", A1799&lt;80, "ภาคกลาง/ตะวันตก", A1799&gt;=80, "ภาคใต้")</f>
        <v>ภาคกลาง/ตะวันตก</v>
      </c>
      <c r="D1799" s="64">
        <v>6407</v>
      </c>
      <c r="E1799" s="10" t="s">
        <v>2111</v>
      </c>
      <c r="F1799" s="11">
        <v>28734</v>
      </c>
      <c r="G1799" s="11">
        <v>31204</v>
      </c>
      <c r="H1799" s="11">
        <v>59938</v>
      </c>
      <c r="I1799" s="11">
        <v>23244</v>
      </c>
      <c r="J1799" s="66">
        <f t="shared" si="108"/>
        <v>47.939537522106171</v>
      </c>
      <c r="K1799" s="66">
        <f t="shared" si="109"/>
        <v>52.060462477893822</v>
      </c>
    </row>
    <row r="1800" spans="1:11" x14ac:dyDescent="0.3">
      <c r="A1800" s="10">
        <v>64</v>
      </c>
      <c r="B1800" s="10" t="s">
        <v>2104</v>
      </c>
      <c r="C1800" s="10" t="str" cm="1">
        <f t="array" ref="C1800">_xlfn.IFS(A1800&lt;20, "ภาคกลาง", A1800&lt;30, "ภาคตะวันออก", A1800&lt;50, "ภาคตะวันออกเฉียงเหนือ", A1800&lt;60, "ภาคเหนือ", A1800&lt;80, "ภาคกลาง/ตะวันตก", A1800&gt;=80, "ภาคใต้")</f>
        <v>ภาคกลาง/ตะวันตก</v>
      </c>
      <c r="D1800" s="64">
        <v>6408</v>
      </c>
      <c r="E1800" s="10" t="s">
        <v>2112</v>
      </c>
      <c r="F1800" s="11">
        <v>23522</v>
      </c>
      <c r="G1800" s="11">
        <v>25651</v>
      </c>
      <c r="H1800" s="11">
        <v>49173</v>
      </c>
      <c r="I1800" s="11">
        <v>20740</v>
      </c>
      <c r="J1800" s="66">
        <f t="shared" si="108"/>
        <v>47.83519411058915</v>
      </c>
      <c r="K1800" s="66">
        <f t="shared" si="109"/>
        <v>52.164805889410857</v>
      </c>
    </row>
    <row r="1801" spans="1:11" x14ac:dyDescent="0.3">
      <c r="A1801" s="10">
        <v>64</v>
      </c>
      <c r="B1801" s="10" t="s">
        <v>2104</v>
      </c>
      <c r="C1801" s="10" t="str" cm="1">
        <f t="array" ref="C1801">_xlfn.IFS(A1801&lt;20, "ภาคกลาง", A1801&lt;30, "ภาคตะวันออก", A1801&lt;50, "ภาคตะวันออกเฉียงเหนือ", A1801&lt;60, "ภาคเหนือ", A1801&lt;80, "ภาคกลาง/ตะวันตก", A1801&gt;=80, "ภาคใต้")</f>
        <v>ภาคกลาง/ตะวันตก</v>
      </c>
      <c r="D1801" s="64">
        <v>6409</v>
      </c>
      <c r="E1801" s="10" t="s">
        <v>2113</v>
      </c>
      <c r="F1801" s="11">
        <v>10601</v>
      </c>
      <c r="G1801" s="11">
        <v>11306</v>
      </c>
      <c r="H1801" s="11">
        <v>21907</v>
      </c>
      <c r="I1801" s="11">
        <v>8404</v>
      </c>
      <c r="J1801" s="66">
        <f t="shared" si="108"/>
        <v>48.390925275026248</v>
      </c>
      <c r="K1801" s="66">
        <f t="shared" si="109"/>
        <v>51.609074724973759</v>
      </c>
    </row>
    <row r="1802" spans="1:11" x14ac:dyDescent="0.3">
      <c r="A1802" s="10">
        <v>64</v>
      </c>
      <c r="B1802" s="10" t="s">
        <v>2104</v>
      </c>
      <c r="C1802" s="10" t="str" cm="1">
        <f t="array" ref="C1802">_xlfn.IFS(A1802&lt;20, "ภาคกลาง", A1802&lt;30, "ภาคตะวันออก", A1802&lt;50, "ภาคตะวันออกเฉียงเหนือ", A1802&lt;60, "ภาคเหนือ", A1802&lt;80, "ภาคกลาง/ตะวันตก", A1802&gt;=80, "ภาคใต้")</f>
        <v>ภาคกลาง/ตะวันตก</v>
      </c>
      <c r="D1802" s="64">
        <v>6484</v>
      </c>
      <c r="E1802" s="10" t="s">
        <v>1835</v>
      </c>
      <c r="F1802" s="11">
        <v>20175</v>
      </c>
      <c r="G1802" s="11">
        <v>20797</v>
      </c>
      <c r="H1802" s="11">
        <v>40972</v>
      </c>
      <c r="I1802" s="11">
        <v>15441</v>
      </c>
      <c r="J1802" s="66">
        <f t="shared" si="108"/>
        <v>49.240945035634091</v>
      </c>
      <c r="K1802" s="66">
        <f t="shared" si="109"/>
        <v>50.759054964365916</v>
      </c>
    </row>
    <row r="1803" spans="1:11" ht="27.6" x14ac:dyDescent="0.3">
      <c r="A1803" s="10">
        <v>64</v>
      </c>
      <c r="B1803" s="10" t="s">
        <v>2104</v>
      </c>
      <c r="C1803" s="10" t="str" cm="1">
        <f t="array" ref="C1803">_xlfn.IFS(A1803&lt;20, "ภาคกลาง", A1803&lt;30, "ภาคตะวันออก", A1803&lt;50, "ภาคตะวันออกเฉียงเหนือ", A1803&lt;60, "ภาคเหนือ", A1803&lt;80, "ภาคกลาง/ตะวันตก", A1803&gt;=80, "ภาคใต้")</f>
        <v>ภาคกลาง/ตะวันตก</v>
      </c>
      <c r="D1803" s="64">
        <v>6485</v>
      </c>
      <c r="E1803" s="10" t="s">
        <v>2114</v>
      </c>
      <c r="F1803" s="11">
        <v>3946</v>
      </c>
      <c r="G1803" s="11">
        <v>4136</v>
      </c>
      <c r="H1803" s="11">
        <v>8082</v>
      </c>
      <c r="I1803" s="11">
        <v>3514</v>
      </c>
      <c r="J1803" s="66">
        <f t="shared" si="108"/>
        <v>48.824548379114077</v>
      </c>
      <c r="K1803" s="66">
        <f t="shared" si="109"/>
        <v>51.175451620885916</v>
      </c>
    </row>
    <row r="1804" spans="1:11" ht="27.6" x14ac:dyDescent="0.3">
      <c r="A1804" s="10">
        <v>64</v>
      </c>
      <c r="B1804" s="10" t="s">
        <v>2104</v>
      </c>
      <c r="C1804" s="10" t="str" cm="1">
        <f t="array" ref="C1804">_xlfn.IFS(A1804&lt;20, "ภาคกลาง", A1804&lt;30, "ภาคตะวันออก", A1804&lt;50, "ภาคตะวันออกเฉียงเหนือ", A1804&lt;60, "ภาคเหนือ", A1804&lt;80, "ภาคกลาง/ตะวันตก", A1804&gt;=80, "ภาคใต้")</f>
        <v>ภาคกลาง/ตะวันตก</v>
      </c>
      <c r="D1804" s="64">
        <v>6486</v>
      </c>
      <c r="E1804" s="10" t="s">
        <v>595</v>
      </c>
      <c r="F1804" s="11">
        <v>3627</v>
      </c>
      <c r="G1804" s="11">
        <v>3902</v>
      </c>
      <c r="H1804" s="11">
        <v>7529</v>
      </c>
      <c r="I1804" s="11">
        <v>2861</v>
      </c>
      <c r="J1804" s="66">
        <f t="shared" si="108"/>
        <v>48.173728250763716</v>
      </c>
      <c r="K1804" s="66">
        <f t="shared" si="109"/>
        <v>51.826271749236284</v>
      </c>
    </row>
    <row r="1805" spans="1:11" ht="27.6" x14ac:dyDescent="0.3">
      <c r="A1805" s="10">
        <v>64</v>
      </c>
      <c r="B1805" s="10" t="s">
        <v>2104</v>
      </c>
      <c r="C1805" s="10" t="str" cm="1">
        <f t="array" ref="C1805">_xlfn.IFS(A1805&lt;20, "ภาคกลาง", A1805&lt;30, "ภาคตะวันออก", A1805&lt;50, "ภาคตะวันออกเฉียงเหนือ", A1805&lt;60, "ภาคเหนือ", A1805&lt;80, "ภาคกลาง/ตะวันตก", A1805&gt;=80, "ภาคใต้")</f>
        <v>ภาคกลาง/ตะวันตก</v>
      </c>
      <c r="D1805" s="64">
        <v>6487</v>
      </c>
      <c r="E1805" s="10" t="s">
        <v>2115</v>
      </c>
      <c r="F1805" s="11">
        <v>7396</v>
      </c>
      <c r="G1805" s="11">
        <v>8346</v>
      </c>
      <c r="H1805" s="11">
        <v>15742</v>
      </c>
      <c r="I1805" s="11">
        <v>7465</v>
      </c>
      <c r="J1805" s="66">
        <f t="shared" si="108"/>
        <v>46.982594333629777</v>
      </c>
      <c r="K1805" s="66">
        <f t="shared" si="109"/>
        <v>53.017405666370223</v>
      </c>
    </row>
    <row r="1806" spans="1:11" x14ac:dyDescent="0.3">
      <c r="A1806" s="10">
        <v>64</v>
      </c>
      <c r="B1806" s="10" t="s">
        <v>2104</v>
      </c>
      <c r="C1806" s="10" t="str" cm="1">
        <f t="array" ref="C1806">_xlfn.IFS(A1806&lt;20, "ภาคกลาง", A1806&lt;30, "ภาคตะวันออก", A1806&lt;50, "ภาคตะวันออกเฉียงเหนือ", A1806&lt;60, "ภาคเหนือ", A1806&lt;80, "ภาคกลาง/ตะวันตก", A1806&gt;=80, "ภาคใต้")</f>
        <v>ภาคกลาง/ตะวันตก</v>
      </c>
      <c r="D1806" s="64">
        <v>6488</v>
      </c>
      <c r="E1806" s="10" t="s">
        <v>2116</v>
      </c>
      <c r="F1806" s="11">
        <v>3334</v>
      </c>
      <c r="G1806" s="11">
        <v>3687</v>
      </c>
      <c r="H1806" s="11">
        <v>7021</v>
      </c>
      <c r="I1806" s="11">
        <v>3106</v>
      </c>
      <c r="J1806" s="66">
        <f t="shared" si="108"/>
        <v>47.486113089303515</v>
      </c>
      <c r="K1806" s="66">
        <f t="shared" si="109"/>
        <v>52.513886910696485</v>
      </c>
    </row>
    <row r="1807" spans="1:11" x14ac:dyDescent="0.3">
      <c r="A1807" s="10">
        <v>64</v>
      </c>
      <c r="B1807" s="10" t="s">
        <v>2104</v>
      </c>
      <c r="C1807" s="10" t="str" cm="1">
        <f t="array" ref="C1807">_xlfn.IFS(A1807&lt;20, "ภาคกลาง", A1807&lt;30, "ภาคตะวันออก", A1807&lt;50, "ภาคตะวันออกเฉียงเหนือ", A1807&lt;60, "ภาคเหนือ", A1807&lt;80, "ภาคกลาง/ตะวันตก", A1807&gt;=80, "ภาคใต้")</f>
        <v>ภาคกลาง/ตะวันตก</v>
      </c>
      <c r="D1807" s="64">
        <v>6489</v>
      </c>
      <c r="E1807" s="10" t="s">
        <v>2117</v>
      </c>
      <c r="F1807" s="11">
        <v>1383</v>
      </c>
      <c r="G1807" s="11">
        <v>1591</v>
      </c>
      <c r="H1807" s="11">
        <v>2974</v>
      </c>
      <c r="I1807" s="11">
        <v>1724</v>
      </c>
      <c r="J1807" s="66">
        <f t="shared" si="108"/>
        <v>46.503026227303295</v>
      </c>
      <c r="K1807" s="66">
        <f t="shared" si="109"/>
        <v>53.496973772696713</v>
      </c>
    </row>
    <row r="1808" spans="1:11" ht="27.6" x14ac:dyDescent="0.3">
      <c r="A1808" s="10">
        <v>64</v>
      </c>
      <c r="B1808" s="10" t="s">
        <v>2104</v>
      </c>
      <c r="C1808" s="10" t="str" cm="1">
        <f t="array" ref="C1808">_xlfn.IFS(A1808&lt;20, "ภาคกลาง", A1808&lt;30, "ภาคตะวันออก", A1808&lt;50, "ภาคตะวันออกเฉียงเหนือ", A1808&lt;60, "ภาคเหนือ", A1808&lt;80, "ภาคกลาง/ตะวันตก", A1808&gt;=80, "ภาคใต้")</f>
        <v>ภาคกลาง/ตะวันตก</v>
      </c>
      <c r="D1808" s="64">
        <v>6490</v>
      </c>
      <c r="E1808" s="10" t="s">
        <v>2118</v>
      </c>
      <c r="F1808" s="11">
        <v>3280</v>
      </c>
      <c r="G1808" s="11">
        <v>3802</v>
      </c>
      <c r="H1808" s="11">
        <v>7082</v>
      </c>
      <c r="I1808" s="11">
        <v>3614</v>
      </c>
      <c r="J1808" s="66">
        <f t="shared" si="108"/>
        <v>46.314600395368537</v>
      </c>
      <c r="K1808" s="66">
        <f t="shared" si="109"/>
        <v>53.685399604631456</v>
      </c>
    </row>
    <row r="1809" spans="1:11" ht="27.6" x14ac:dyDescent="0.3">
      <c r="A1809" s="10">
        <v>64</v>
      </c>
      <c r="B1809" s="10" t="s">
        <v>2104</v>
      </c>
      <c r="C1809" s="10" t="str" cm="1">
        <f t="array" ref="C1809">_xlfn.IFS(A1809&lt;20, "ภาคกลาง", A1809&lt;30, "ภาคตะวันออก", A1809&lt;50, "ภาคตะวันออกเฉียงเหนือ", A1809&lt;60, "ภาคเหนือ", A1809&lt;80, "ภาคกลาง/ตะวันตก", A1809&gt;=80, "ภาคใต้")</f>
        <v>ภาคกลาง/ตะวันตก</v>
      </c>
      <c r="D1809" s="64">
        <v>6491</v>
      </c>
      <c r="E1809" s="10" t="s">
        <v>2119</v>
      </c>
      <c r="F1809" s="11">
        <v>2955</v>
      </c>
      <c r="G1809" s="11">
        <v>3335</v>
      </c>
      <c r="H1809" s="11">
        <v>6290</v>
      </c>
      <c r="I1809" s="11">
        <v>3722</v>
      </c>
      <c r="J1809" s="66">
        <f t="shared" si="108"/>
        <v>46.97933227344992</v>
      </c>
      <c r="K1809" s="66">
        <f t="shared" si="109"/>
        <v>53.020667726550073</v>
      </c>
    </row>
    <row r="1810" spans="1:11" ht="27.6" x14ac:dyDescent="0.3">
      <c r="A1810" s="10">
        <v>64</v>
      </c>
      <c r="B1810" s="10" t="s">
        <v>2104</v>
      </c>
      <c r="C1810" s="10" t="str" cm="1">
        <f t="array" ref="C1810">_xlfn.IFS(A1810&lt;20, "ภาคกลาง", A1810&lt;30, "ภาคตะวันออก", A1810&lt;50, "ภาคตะวันออกเฉียงเหนือ", A1810&lt;60, "ภาคเหนือ", A1810&lt;80, "ภาคกลาง/ตะวันตก", A1810&gt;=80, "ภาคใต้")</f>
        <v>ภาคกลาง/ตะวันตก</v>
      </c>
      <c r="D1810" s="64">
        <v>6492</v>
      </c>
      <c r="E1810" s="10" t="s">
        <v>2120</v>
      </c>
      <c r="F1810" s="11">
        <v>6961</v>
      </c>
      <c r="G1810" s="11">
        <v>7619</v>
      </c>
      <c r="H1810" s="11">
        <v>14580</v>
      </c>
      <c r="I1810" s="11">
        <v>5984</v>
      </c>
      <c r="J1810" s="66">
        <f t="shared" si="108"/>
        <v>47.743484224965705</v>
      </c>
      <c r="K1810" s="66">
        <f t="shared" si="109"/>
        <v>52.256515775034295</v>
      </c>
    </row>
    <row r="1811" spans="1:11" ht="27.6" x14ac:dyDescent="0.3">
      <c r="A1811" s="10">
        <v>64</v>
      </c>
      <c r="B1811" s="10" t="s">
        <v>2104</v>
      </c>
      <c r="C1811" s="10" t="str" cm="1">
        <f t="array" ref="C1811">_xlfn.IFS(A1811&lt;20, "ภาคกลาง", A1811&lt;30, "ภาคตะวันออก", A1811&lt;50, "ภาคตะวันออกเฉียงเหนือ", A1811&lt;60, "ภาคเหนือ", A1811&lt;80, "ภาคกลาง/ตะวันตก", A1811&gt;=80, "ภาคใต้")</f>
        <v>ภาคกลาง/ตะวันตก</v>
      </c>
      <c r="D1811" s="64">
        <v>6493</v>
      </c>
      <c r="E1811" s="10" t="s">
        <v>2121</v>
      </c>
      <c r="F1811" s="11">
        <v>1877</v>
      </c>
      <c r="G1811" s="11">
        <v>2088</v>
      </c>
      <c r="H1811" s="11">
        <v>3965</v>
      </c>
      <c r="I1811" s="11">
        <v>2090</v>
      </c>
      <c r="J1811" s="66">
        <f t="shared" si="108"/>
        <v>47.33921815889029</v>
      </c>
      <c r="K1811" s="66">
        <f t="shared" si="109"/>
        <v>52.660781841109703</v>
      </c>
    </row>
    <row r="1812" spans="1:11" x14ac:dyDescent="0.3">
      <c r="A1812" s="10">
        <v>64</v>
      </c>
      <c r="B1812" s="10" t="s">
        <v>2104</v>
      </c>
      <c r="C1812" s="10" t="str" cm="1">
        <f t="array" ref="C1812">_xlfn.IFS(A1812&lt;20, "ภาคกลาง", A1812&lt;30, "ภาคตะวันออก", A1812&lt;50, "ภาคตะวันออกเฉียงเหนือ", A1812&lt;60, "ภาคเหนือ", A1812&lt;80, "ภาคกลาง/ตะวันตก", A1812&gt;=80, "ภาคใต้")</f>
        <v>ภาคกลาง/ตะวันตก</v>
      </c>
      <c r="D1812" s="64">
        <v>6494</v>
      </c>
      <c r="E1812" s="10" t="s">
        <v>2122</v>
      </c>
      <c r="F1812" s="11">
        <v>1375</v>
      </c>
      <c r="G1812" s="11">
        <v>1551</v>
      </c>
      <c r="H1812" s="11">
        <v>2926</v>
      </c>
      <c r="I1812" s="11">
        <v>1685</v>
      </c>
      <c r="J1812" s="66">
        <f t="shared" si="108"/>
        <v>46.992481203007522</v>
      </c>
      <c r="K1812" s="66">
        <f t="shared" si="109"/>
        <v>53.007518796992478</v>
      </c>
    </row>
    <row r="1813" spans="1:11" x14ac:dyDescent="0.3">
      <c r="A1813" s="10">
        <v>64</v>
      </c>
      <c r="B1813" s="10" t="s">
        <v>2104</v>
      </c>
      <c r="C1813" s="10" t="str" cm="1">
        <f t="array" ref="C1813">_xlfn.IFS(A1813&lt;20, "ภาคกลาง", A1813&lt;30, "ภาคตะวันออก", A1813&lt;50, "ภาคตะวันออกเฉียงเหนือ", A1813&lt;60, "ภาคเหนือ", A1813&lt;80, "ภาคกลาง/ตะวันตก", A1813&gt;=80, "ภาคใต้")</f>
        <v>ภาคกลาง/ตะวันตก</v>
      </c>
      <c r="D1813" s="64">
        <v>6495</v>
      </c>
      <c r="E1813" s="10" t="s">
        <v>2123</v>
      </c>
      <c r="F1813" s="11">
        <v>3277</v>
      </c>
      <c r="G1813" s="11">
        <v>3626</v>
      </c>
      <c r="H1813" s="11">
        <v>6903</v>
      </c>
      <c r="I1813" s="11">
        <v>2472</v>
      </c>
      <c r="J1813" s="66">
        <f t="shared" si="108"/>
        <v>47.472113573808485</v>
      </c>
      <c r="K1813" s="66">
        <f t="shared" si="109"/>
        <v>52.527886426191507</v>
      </c>
    </row>
    <row r="1814" spans="1:11" x14ac:dyDescent="0.3">
      <c r="A1814" s="10">
        <v>64</v>
      </c>
      <c r="B1814" s="10" t="s">
        <v>2104</v>
      </c>
      <c r="C1814" s="10" t="str" cm="1">
        <f t="array" ref="C1814">_xlfn.IFS(A1814&lt;20, "ภาคกลาง", A1814&lt;30, "ภาคตะวันออก", A1814&lt;50, "ภาคตะวันออกเฉียงเหนือ", A1814&lt;60, "ภาคเหนือ", A1814&lt;80, "ภาคกลาง/ตะวันตก", A1814&gt;=80, "ภาคใต้")</f>
        <v>ภาคกลาง/ตะวันตก</v>
      </c>
      <c r="D1814" s="64">
        <v>6496</v>
      </c>
      <c r="E1814" s="10" t="s">
        <v>839</v>
      </c>
      <c r="F1814" s="11">
        <v>1645</v>
      </c>
      <c r="G1814" s="11">
        <v>1792</v>
      </c>
      <c r="H1814" s="11">
        <v>3437</v>
      </c>
      <c r="I1814" s="11">
        <v>1761</v>
      </c>
      <c r="J1814" s="66">
        <f t="shared" si="108"/>
        <v>47.861507128309569</v>
      </c>
      <c r="K1814" s="66">
        <f t="shared" si="109"/>
        <v>52.138492871690424</v>
      </c>
    </row>
    <row r="1815" spans="1:11" x14ac:dyDescent="0.3">
      <c r="A1815" s="10">
        <v>64</v>
      </c>
      <c r="B1815" s="10" t="s">
        <v>2104</v>
      </c>
      <c r="C1815" s="10" t="str" cm="1">
        <f t="array" ref="C1815">_xlfn.IFS(A1815&lt;20, "ภาคกลาง", A1815&lt;30, "ภาคตะวันออก", A1815&lt;50, "ภาคตะวันออกเฉียงเหนือ", A1815&lt;60, "ภาคเหนือ", A1815&lt;80, "ภาคกลาง/ตะวันตก", A1815&gt;=80, "ภาคใต้")</f>
        <v>ภาคกลาง/ตะวันตก</v>
      </c>
      <c r="D1815" s="64">
        <v>6497</v>
      </c>
      <c r="E1815" s="10" t="s">
        <v>2124</v>
      </c>
      <c r="F1815" s="11">
        <v>3238</v>
      </c>
      <c r="G1815" s="11">
        <v>3783</v>
      </c>
      <c r="H1815" s="11">
        <v>7021</v>
      </c>
      <c r="I1815" s="11">
        <v>2721</v>
      </c>
      <c r="J1815" s="66">
        <f t="shared" si="108"/>
        <v>46.118786497649907</v>
      </c>
      <c r="K1815" s="66">
        <f t="shared" si="109"/>
        <v>53.881213502350093</v>
      </c>
    </row>
    <row r="1816" spans="1:11" ht="27.6" x14ac:dyDescent="0.3">
      <c r="A1816" s="10">
        <v>64</v>
      </c>
      <c r="B1816" s="10" t="s">
        <v>2104</v>
      </c>
      <c r="C1816" s="10" t="str" cm="1">
        <f t="array" ref="C1816">_xlfn.IFS(A1816&lt;20, "ภาคกลาง", A1816&lt;30, "ภาคตะวันออก", A1816&lt;50, "ภาคตะวันออกเฉียงเหนือ", A1816&lt;60, "ภาคเหนือ", A1816&lt;80, "ภาคกลาง/ตะวันตก", A1816&gt;=80, "ภาคใต้")</f>
        <v>ภาคกลาง/ตะวันตก</v>
      </c>
      <c r="D1816" s="64">
        <v>6498</v>
      </c>
      <c r="E1816" s="10" t="s">
        <v>2125</v>
      </c>
      <c r="F1816" s="11">
        <v>1927</v>
      </c>
      <c r="G1816" s="11">
        <v>2151</v>
      </c>
      <c r="H1816" s="11">
        <v>4078</v>
      </c>
      <c r="I1816" s="11">
        <v>1735</v>
      </c>
      <c r="J1816" s="66">
        <f t="shared" si="108"/>
        <v>47.253555664541445</v>
      </c>
      <c r="K1816" s="66">
        <f t="shared" si="109"/>
        <v>52.746444335458555</v>
      </c>
    </row>
    <row r="1817" spans="1:11" ht="27.6" x14ac:dyDescent="0.3">
      <c r="A1817" s="10">
        <v>64</v>
      </c>
      <c r="B1817" s="10" t="s">
        <v>2104</v>
      </c>
      <c r="C1817" s="10" t="str" cm="1">
        <f t="array" ref="C1817">_xlfn.IFS(A1817&lt;20, "ภาคกลาง", A1817&lt;30, "ภาคตะวันออก", A1817&lt;50, "ภาคตะวันออกเฉียงเหนือ", A1817&lt;60, "ภาคเหนือ", A1817&lt;80, "ภาคกลาง/ตะวันตก", A1817&gt;=80, "ภาคใต้")</f>
        <v>ภาคกลาง/ตะวันตก</v>
      </c>
      <c r="D1817" s="64">
        <v>6499</v>
      </c>
      <c r="E1817" s="10" t="s">
        <v>2126</v>
      </c>
      <c r="F1817" s="11">
        <v>6506</v>
      </c>
      <c r="G1817" s="11">
        <v>7398</v>
      </c>
      <c r="H1817" s="11">
        <v>13904</v>
      </c>
      <c r="I1817" s="11">
        <v>6855</v>
      </c>
      <c r="J1817" s="66">
        <f t="shared" si="108"/>
        <v>46.79228998849252</v>
      </c>
      <c r="K1817" s="66">
        <f t="shared" si="109"/>
        <v>53.20771001150748</v>
      </c>
    </row>
    <row r="1818" spans="1:11" hidden="1" x14ac:dyDescent="0.3">
      <c r="A1818" s="10">
        <v>64</v>
      </c>
      <c r="B1818" s="10" t="s">
        <v>2104</v>
      </c>
      <c r="C1818" s="10" t="str" cm="1">
        <f t="array" ref="C1818">_xlfn.IFS(A1818&lt;20, "ภาคกลาง", A1818&lt;30, "ภาคตะวันออก", A1818&lt;50, "ภาคตะวันออกเฉียงเหนือ", A1818&lt;60, "ภาคเหนือ", A1818&lt;80, "ภาคกลาง/ตะวันตก", A1818&gt;=80, "ภาคใต้")</f>
        <v>ภาคกลาง/ตะวันตก</v>
      </c>
      <c r="D1818" s="10">
        <v>0</v>
      </c>
      <c r="E1818" s="10" t="s">
        <v>343</v>
      </c>
      <c r="F1818" s="11">
        <v>6185</v>
      </c>
      <c r="G1818" s="11">
        <v>7146</v>
      </c>
      <c r="H1818" s="11">
        <v>13331</v>
      </c>
      <c r="I1818" s="11">
        <v>7193</v>
      </c>
      <c r="J1818"/>
      <c r="K1818"/>
    </row>
    <row r="1819" spans="1:11" x14ac:dyDescent="0.3">
      <c r="A1819" s="10">
        <v>65</v>
      </c>
      <c r="B1819" s="10" t="s">
        <v>2127</v>
      </c>
      <c r="C1819" s="10" t="str" cm="1">
        <f t="array" ref="C1819">_xlfn.IFS(A1819&lt;20, "ภาคกลาง", A1819&lt;30, "ภาคตะวันออก", A1819&lt;50, "ภาคตะวันออกเฉียงเหนือ", A1819&lt;60, "ภาคเหนือ", A1819&lt;80, "ภาคกลาง/ตะวันตก", A1819&gt;=80, "ภาคใต้")</f>
        <v>ภาคกลาง/ตะวันตก</v>
      </c>
      <c r="D1819" s="64">
        <v>6501</v>
      </c>
      <c r="E1819" s="10" t="s">
        <v>2128</v>
      </c>
      <c r="F1819" s="11">
        <v>409596</v>
      </c>
      <c r="G1819" s="11">
        <v>429520</v>
      </c>
      <c r="H1819" s="11">
        <v>839116</v>
      </c>
      <c r="I1819" s="11">
        <v>372740</v>
      </c>
      <c r="J1819" s="66">
        <f t="shared" ref="J1819:J1847" si="110">F1819/H1819*100</f>
        <v>48.81279823051878</v>
      </c>
      <c r="K1819" s="66">
        <f t="shared" ref="K1819:K1847" si="111">G1819/H1819*100</f>
        <v>51.18720176948122</v>
      </c>
    </row>
    <row r="1820" spans="1:11" x14ac:dyDescent="0.3">
      <c r="A1820" s="10">
        <v>65</v>
      </c>
      <c r="B1820" s="10" t="s">
        <v>2127</v>
      </c>
      <c r="C1820" s="10" t="str" cm="1">
        <f t="array" ref="C1820">_xlfn.IFS(A1820&lt;20, "ภาคกลาง", A1820&lt;30, "ภาคตะวันออก", A1820&lt;50, "ภาคตะวันออกเฉียงเหนือ", A1820&lt;60, "ภาคเหนือ", A1820&lt;80, "ภาคกลาง/ตะวันตก", A1820&gt;=80, "ภาคใต้")</f>
        <v>ภาคกลาง/ตะวันตก</v>
      </c>
      <c r="D1820" s="64">
        <v>6502</v>
      </c>
      <c r="E1820" s="10" t="s">
        <v>2129</v>
      </c>
      <c r="F1820" s="11">
        <v>87748</v>
      </c>
      <c r="G1820" s="11">
        <v>94344</v>
      </c>
      <c r="H1820" s="11">
        <v>182092</v>
      </c>
      <c r="I1820" s="11">
        <v>92279</v>
      </c>
      <c r="J1820" s="66">
        <f t="shared" si="110"/>
        <v>48.188827625595856</v>
      </c>
      <c r="K1820" s="66">
        <f t="shared" si="111"/>
        <v>51.811172374404144</v>
      </c>
    </row>
    <row r="1821" spans="1:11" x14ac:dyDescent="0.3">
      <c r="A1821" s="10">
        <v>65</v>
      </c>
      <c r="B1821" s="10" t="s">
        <v>2127</v>
      </c>
      <c r="C1821" s="10" t="str" cm="1">
        <f t="array" ref="C1821">_xlfn.IFS(A1821&lt;20, "ภาคกลาง", A1821&lt;30, "ภาคตะวันออก", A1821&lt;50, "ภาคตะวันออกเฉียงเหนือ", A1821&lt;60, "ภาคเหนือ", A1821&lt;80, "ภาคกลาง/ตะวันตก", A1821&gt;=80, "ภาคใต้")</f>
        <v>ภาคกลาง/ตะวันตก</v>
      </c>
      <c r="D1821" s="64">
        <v>6503</v>
      </c>
      <c r="E1821" s="10" t="s">
        <v>2130</v>
      </c>
      <c r="F1821" s="11">
        <v>32799</v>
      </c>
      <c r="G1821" s="11">
        <v>33301</v>
      </c>
      <c r="H1821" s="11">
        <v>66100</v>
      </c>
      <c r="I1821" s="11">
        <v>24693</v>
      </c>
      <c r="J1821" s="66">
        <f t="shared" si="110"/>
        <v>49.620272314674736</v>
      </c>
      <c r="K1821" s="66">
        <f t="shared" si="111"/>
        <v>50.379727685325257</v>
      </c>
    </row>
    <row r="1822" spans="1:11" x14ac:dyDescent="0.3">
      <c r="A1822" s="10">
        <v>65</v>
      </c>
      <c r="B1822" s="10" t="s">
        <v>2127</v>
      </c>
      <c r="C1822" s="10" t="str" cm="1">
        <f t="array" ref="C1822">_xlfn.IFS(A1822&lt;20, "ภาคกลาง", A1822&lt;30, "ภาคตะวันออก", A1822&lt;50, "ภาคตะวันออกเฉียงเหนือ", A1822&lt;60, "ภาคเหนือ", A1822&lt;80, "ภาคกลาง/ตะวันตก", A1822&gt;=80, "ภาคใต้")</f>
        <v>ภาคกลาง/ตะวันตก</v>
      </c>
      <c r="D1822" s="64">
        <v>6504</v>
      </c>
      <c r="E1822" s="10" t="s">
        <v>2131</v>
      </c>
      <c r="F1822" s="11">
        <v>18303</v>
      </c>
      <c r="G1822" s="11">
        <v>17984</v>
      </c>
      <c r="H1822" s="11">
        <v>36287</v>
      </c>
      <c r="I1822" s="11">
        <v>12891</v>
      </c>
      <c r="J1822" s="66">
        <f t="shared" si="110"/>
        <v>50.439551354479562</v>
      </c>
      <c r="K1822" s="66">
        <f t="shared" si="111"/>
        <v>49.560448645520431</v>
      </c>
    </row>
    <row r="1823" spans="1:11" x14ac:dyDescent="0.3">
      <c r="A1823" s="10">
        <v>65</v>
      </c>
      <c r="B1823" s="10" t="s">
        <v>2127</v>
      </c>
      <c r="C1823" s="10" t="str" cm="1">
        <f t="array" ref="C1823">_xlfn.IFS(A1823&lt;20, "ภาคกลาง", A1823&lt;30, "ภาคตะวันออก", A1823&lt;50, "ภาคตะวันออกเฉียงเหนือ", A1823&lt;60, "ภาคเหนือ", A1823&lt;80, "ภาคกลาง/ตะวันตก", A1823&gt;=80, "ภาคใต้")</f>
        <v>ภาคกลาง/ตะวันตก</v>
      </c>
      <c r="D1823" s="64">
        <v>6505</v>
      </c>
      <c r="E1823" s="10" t="s">
        <v>2132</v>
      </c>
      <c r="F1823" s="11">
        <v>36094</v>
      </c>
      <c r="G1823" s="11">
        <v>37438</v>
      </c>
      <c r="H1823" s="11">
        <v>73532</v>
      </c>
      <c r="I1823" s="11">
        <v>27265</v>
      </c>
      <c r="J1823" s="66">
        <f t="shared" si="110"/>
        <v>49.086112168851656</v>
      </c>
      <c r="K1823" s="66">
        <f t="shared" si="111"/>
        <v>50.913887831148344</v>
      </c>
    </row>
    <row r="1824" spans="1:11" x14ac:dyDescent="0.3">
      <c r="A1824" s="10">
        <v>65</v>
      </c>
      <c r="B1824" s="10" t="s">
        <v>2127</v>
      </c>
      <c r="C1824" s="10" t="str" cm="1">
        <f t="array" ref="C1824">_xlfn.IFS(A1824&lt;20, "ภาคกลาง", A1824&lt;30, "ภาคตะวันออก", A1824&lt;50, "ภาคตะวันออกเฉียงเหนือ", A1824&lt;60, "ภาคเหนือ", A1824&lt;80, "ภาคกลาง/ตะวันตก", A1824&gt;=80, "ภาคใต้")</f>
        <v>ภาคกลาง/ตะวันตก</v>
      </c>
      <c r="D1824" s="64">
        <v>6506</v>
      </c>
      <c r="E1824" s="10" t="s">
        <v>2133</v>
      </c>
      <c r="F1824" s="11">
        <v>15503</v>
      </c>
      <c r="G1824" s="11">
        <v>16434</v>
      </c>
      <c r="H1824" s="11">
        <v>31937</v>
      </c>
      <c r="I1824" s="11">
        <v>12352</v>
      </c>
      <c r="J1824" s="66">
        <f t="shared" si="110"/>
        <v>48.542442934527351</v>
      </c>
      <c r="K1824" s="66">
        <f t="shared" si="111"/>
        <v>51.457557065472649</v>
      </c>
    </row>
    <row r="1825" spans="1:11" x14ac:dyDescent="0.3">
      <c r="A1825" s="10">
        <v>65</v>
      </c>
      <c r="B1825" s="10" t="s">
        <v>2127</v>
      </c>
      <c r="C1825" s="10" t="str" cm="1">
        <f t="array" ref="C1825">_xlfn.IFS(A1825&lt;20, "ภาคกลาง", A1825&lt;30, "ภาคตะวันออก", A1825&lt;50, "ภาคตะวันออกเฉียงเหนือ", A1825&lt;60, "ภาคเหนือ", A1825&lt;80, "ภาคกลาง/ตะวันตก", A1825&gt;=80, "ภาคใต้")</f>
        <v>ภาคกลาง/ตะวันตก</v>
      </c>
      <c r="D1825" s="64">
        <v>6507</v>
      </c>
      <c r="E1825" s="10" t="s">
        <v>2134</v>
      </c>
      <c r="F1825" s="11">
        <v>38585</v>
      </c>
      <c r="G1825" s="11">
        <v>40733</v>
      </c>
      <c r="H1825" s="11">
        <v>79318</v>
      </c>
      <c r="I1825" s="11">
        <v>31721</v>
      </c>
      <c r="J1825" s="66">
        <f t="shared" si="110"/>
        <v>48.645956781562823</v>
      </c>
      <c r="K1825" s="66">
        <f t="shared" si="111"/>
        <v>51.35404321843717</v>
      </c>
    </row>
    <row r="1826" spans="1:11" x14ac:dyDescent="0.3">
      <c r="A1826" s="10">
        <v>65</v>
      </c>
      <c r="B1826" s="10" t="s">
        <v>2127</v>
      </c>
      <c r="C1826" s="10" t="str" cm="1">
        <f t="array" ref="C1826">_xlfn.IFS(A1826&lt;20, "ภาคกลาง", A1826&lt;30, "ภาคตะวันออก", A1826&lt;50, "ภาคตะวันออกเฉียงเหนือ", A1826&lt;60, "ภาคเหนือ", A1826&lt;80, "ภาคกลาง/ตะวันตก", A1826&gt;=80, "ภาคใต้")</f>
        <v>ภาคกลาง/ตะวันตก</v>
      </c>
      <c r="D1826" s="64">
        <v>6508</v>
      </c>
      <c r="E1826" s="10" t="s">
        <v>2135</v>
      </c>
      <c r="F1826" s="11">
        <v>14342</v>
      </c>
      <c r="G1826" s="11">
        <v>14685</v>
      </c>
      <c r="H1826" s="11">
        <v>29027</v>
      </c>
      <c r="I1826" s="11">
        <v>11675</v>
      </c>
      <c r="J1826" s="66">
        <f t="shared" si="110"/>
        <v>49.409170772039822</v>
      </c>
      <c r="K1826" s="66">
        <f t="shared" si="111"/>
        <v>50.590829227960178</v>
      </c>
    </row>
    <row r="1827" spans="1:11" x14ac:dyDescent="0.3">
      <c r="A1827" s="10">
        <v>65</v>
      </c>
      <c r="B1827" s="10" t="s">
        <v>2127</v>
      </c>
      <c r="C1827" s="10" t="str" cm="1">
        <f t="array" ref="C1827">_xlfn.IFS(A1827&lt;20, "ภาคกลาง", A1827&lt;30, "ภาคตะวันออก", A1827&lt;50, "ภาคตะวันออกเฉียงเหนือ", A1827&lt;60, "ภาคเหนือ", A1827&lt;80, "ภาคกลาง/ตะวันตก", A1827&gt;=80, "ภาคใต้")</f>
        <v>ภาคกลาง/ตะวันตก</v>
      </c>
      <c r="D1827" s="64">
        <v>6509</v>
      </c>
      <c r="E1827" s="10" t="s">
        <v>2136</v>
      </c>
      <c r="F1827" s="11">
        <v>55920</v>
      </c>
      <c r="G1827" s="11">
        <v>57530</v>
      </c>
      <c r="H1827" s="11">
        <v>113450</v>
      </c>
      <c r="I1827" s="11">
        <v>45986</v>
      </c>
      <c r="J1827" s="66">
        <f t="shared" si="110"/>
        <v>49.290436315557514</v>
      </c>
      <c r="K1827" s="66">
        <f t="shared" si="111"/>
        <v>50.709563684442486</v>
      </c>
    </row>
    <row r="1828" spans="1:11" x14ac:dyDescent="0.3">
      <c r="A1828" s="10">
        <v>65</v>
      </c>
      <c r="B1828" s="10" t="s">
        <v>2127</v>
      </c>
      <c r="C1828" s="10" t="str" cm="1">
        <f t="array" ref="C1828">_xlfn.IFS(A1828&lt;20, "ภาคกลาง", A1828&lt;30, "ภาคตะวันออก", A1828&lt;50, "ภาคตะวันออกเฉียงเหนือ", A1828&lt;60, "ภาคเหนือ", A1828&lt;80, "ภาคกลาง/ตะวันตก", A1828&gt;=80, "ภาคใต้")</f>
        <v>ภาคกลาง/ตะวันตก</v>
      </c>
      <c r="D1828" s="64">
        <v>6580</v>
      </c>
      <c r="E1828" s="10" t="s">
        <v>2137</v>
      </c>
      <c r="F1828" s="11">
        <v>18860</v>
      </c>
      <c r="G1828" s="11">
        <v>19082</v>
      </c>
      <c r="H1828" s="11">
        <v>37942</v>
      </c>
      <c r="I1828" s="11">
        <v>15431</v>
      </c>
      <c r="J1828" s="66">
        <f t="shared" si="110"/>
        <v>49.707448210426442</v>
      </c>
      <c r="K1828" s="66">
        <f t="shared" si="111"/>
        <v>50.292551789573558</v>
      </c>
    </row>
    <row r="1829" spans="1:11" x14ac:dyDescent="0.3">
      <c r="A1829" s="10">
        <v>65</v>
      </c>
      <c r="B1829" s="10" t="s">
        <v>2127</v>
      </c>
      <c r="C1829" s="10" t="str" cm="1">
        <f t="array" ref="C1829">_xlfn.IFS(A1829&lt;20, "ภาคกลาง", A1829&lt;30, "ภาคตะวันออก", A1829&lt;50, "ภาคตะวันออกเฉียงเหนือ", A1829&lt;60, "ภาคเหนือ", A1829&lt;80, "ภาคกลาง/ตะวันตก", A1829&gt;=80, "ภาคใต้")</f>
        <v>ภาคกลาง/ตะวันตก</v>
      </c>
      <c r="D1829" s="64">
        <v>6581</v>
      </c>
      <c r="E1829" s="10" t="s">
        <v>2138</v>
      </c>
      <c r="F1829" s="11">
        <v>15918</v>
      </c>
      <c r="G1829" s="11">
        <v>13364</v>
      </c>
      <c r="H1829" s="11">
        <v>29282</v>
      </c>
      <c r="I1829" s="11">
        <v>14707</v>
      </c>
      <c r="J1829" s="66">
        <f t="shared" si="110"/>
        <v>54.361040912505977</v>
      </c>
      <c r="K1829" s="66">
        <f t="shared" si="111"/>
        <v>45.638959087494023</v>
      </c>
    </row>
    <row r="1830" spans="1:11" ht="27.6" x14ac:dyDescent="0.3">
      <c r="A1830" s="10">
        <v>65</v>
      </c>
      <c r="B1830" s="10" t="s">
        <v>2127</v>
      </c>
      <c r="C1830" s="10" t="str" cm="1">
        <f t="array" ref="C1830">_xlfn.IFS(A1830&lt;20, "ภาคกลาง", A1830&lt;30, "ภาคตะวันออก", A1830&lt;50, "ภาคตะวันออกเฉียงเหนือ", A1830&lt;60, "ภาคเหนือ", A1830&lt;80, "ภาคกลาง/ตะวันตก", A1830&gt;=80, "ภาคใต้")</f>
        <v>ภาคกลาง/ตะวันตก</v>
      </c>
      <c r="D1830" s="64">
        <v>6582</v>
      </c>
      <c r="E1830" s="10" t="s">
        <v>2139</v>
      </c>
      <c r="F1830" s="11">
        <v>3395</v>
      </c>
      <c r="G1830" s="11">
        <v>3447</v>
      </c>
      <c r="H1830" s="11">
        <v>6842</v>
      </c>
      <c r="I1830" s="11">
        <v>2773</v>
      </c>
      <c r="J1830" s="66">
        <f t="shared" si="110"/>
        <v>49.619994153756217</v>
      </c>
      <c r="K1830" s="66">
        <f t="shared" si="111"/>
        <v>50.38000584624379</v>
      </c>
    </row>
    <row r="1831" spans="1:11" ht="27.6" x14ac:dyDescent="0.3">
      <c r="A1831" s="10">
        <v>65</v>
      </c>
      <c r="B1831" s="10" t="s">
        <v>2127</v>
      </c>
      <c r="C1831" s="10" t="str" cm="1">
        <f t="array" ref="C1831">_xlfn.IFS(A1831&lt;20, "ภาคกลาง", A1831&lt;30, "ภาคตะวันออก", A1831&lt;50, "ภาคตะวันออกเฉียงเหนือ", A1831&lt;60, "ภาคเหนือ", A1831&lt;80, "ภาคกลาง/ตะวันตก", A1831&gt;=80, "ภาคใต้")</f>
        <v>ภาคกลาง/ตะวันตก</v>
      </c>
      <c r="D1831" s="64">
        <v>6583</v>
      </c>
      <c r="E1831" s="10" t="s">
        <v>2140</v>
      </c>
      <c r="F1831" s="11">
        <v>2115</v>
      </c>
      <c r="G1831" s="11">
        <v>2259</v>
      </c>
      <c r="H1831" s="11">
        <v>4374</v>
      </c>
      <c r="I1831" s="11">
        <v>1733</v>
      </c>
      <c r="J1831" s="66">
        <f t="shared" si="110"/>
        <v>48.353909465020578</v>
      </c>
      <c r="K1831" s="66">
        <f t="shared" si="111"/>
        <v>51.646090534979429</v>
      </c>
    </row>
    <row r="1832" spans="1:11" x14ac:dyDescent="0.3">
      <c r="A1832" s="10">
        <v>65</v>
      </c>
      <c r="B1832" s="10" t="s">
        <v>2127</v>
      </c>
      <c r="C1832" s="10" t="str" cm="1">
        <f t="array" ref="C1832">_xlfn.IFS(A1832&lt;20, "ภาคกลาง", A1832&lt;30, "ภาคตะวันออก", A1832&lt;50, "ภาคตะวันออกเฉียงเหนือ", A1832&lt;60, "ภาคเหนือ", A1832&lt;80, "ภาคกลาง/ตะวันตก", A1832&gt;=80, "ภาคใต้")</f>
        <v>ภาคกลาง/ตะวันตก</v>
      </c>
      <c r="D1832" s="64">
        <v>6584</v>
      </c>
      <c r="E1832" s="10" t="s">
        <v>2141</v>
      </c>
      <c r="F1832" s="11">
        <v>3796</v>
      </c>
      <c r="G1832" s="11">
        <v>4276</v>
      </c>
      <c r="H1832" s="11">
        <v>8072</v>
      </c>
      <c r="I1832" s="11">
        <v>4608</v>
      </c>
      <c r="J1832" s="66">
        <f t="shared" si="110"/>
        <v>47.026759167492564</v>
      </c>
      <c r="K1832" s="66">
        <f t="shared" si="111"/>
        <v>52.973240832507429</v>
      </c>
    </row>
    <row r="1833" spans="1:11" x14ac:dyDescent="0.3">
      <c r="A1833" s="10">
        <v>65</v>
      </c>
      <c r="B1833" s="10" t="s">
        <v>2127</v>
      </c>
      <c r="C1833" s="10" t="str" cm="1">
        <f t="array" ref="C1833">_xlfn.IFS(A1833&lt;20, "ภาคกลาง", A1833&lt;30, "ภาคตะวันออก", A1833&lt;50, "ภาคตะวันออกเฉียงเหนือ", A1833&lt;60, "ภาคเหนือ", A1833&lt;80, "ภาคกลาง/ตะวันตก", A1833&gt;=80, "ภาคใต้")</f>
        <v>ภาคกลาง/ตะวันตก</v>
      </c>
      <c r="D1833" s="64">
        <v>6585</v>
      </c>
      <c r="E1833" s="10" t="s">
        <v>2142</v>
      </c>
      <c r="F1833" s="11">
        <v>2955</v>
      </c>
      <c r="G1833" s="11">
        <v>3023</v>
      </c>
      <c r="H1833" s="11">
        <v>5978</v>
      </c>
      <c r="I1833" s="11">
        <v>2159</v>
      </c>
      <c r="J1833" s="66">
        <f t="shared" si="110"/>
        <v>49.431247908999666</v>
      </c>
      <c r="K1833" s="66">
        <f t="shared" si="111"/>
        <v>50.568752091000334</v>
      </c>
    </row>
    <row r="1834" spans="1:11" x14ac:dyDescent="0.3">
      <c r="A1834" s="10">
        <v>65</v>
      </c>
      <c r="B1834" s="10" t="s">
        <v>2127</v>
      </c>
      <c r="C1834" s="10" t="str" cm="1">
        <f t="array" ref="C1834">_xlfn.IFS(A1834&lt;20, "ภาคกลาง", A1834&lt;30, "ภาคตะวันออก", A1834&lt;50, "ภาคตะวันออกเฉียงเหนือ", A1834&lt;60, "ภาคเหนือ", A1834&lt;80, "ภาคกลาง/ตะวันตก", A1834&gt;=80, "ภาคใต้")</f>
        <v>ภาคกลาง/ตะวันตก</v>
      </c>
      <c r="D1834" s="64">
        <v>6586</v>
      </c>
      <c r="E1834" s="10" t="s">
        <v>2143</v>
      </c>
      <c r="F1834" s="11">
        <v>4089</v>
      </c>
      <c r="G1834" s="11">
        <v>4213</v>
      </c>
      <c r="H1834" s="11">
        <v>8302</v>
      </c>
      <c r="I1834" s="11">
        <v>3282</v>
      </c>
      <c r="J1834" s="66">
        <f t="shared" si="110"/>
        <v>49.253192001927246</v>
      </c>
      <c r="K1834" s="66">
        <f t="shared" si="111"/>
        <v>50.746807998072754</v>
      </c>
    </row>
    <row r="1835" spans="1:11" ht="27.6" x14ac:dyDescent="0.3">
      <c r="A1835" s="10">
        <v>65</v>
      </c>
      <c r="B1835" s="10" t="s">
        <v>2127</v>
      </c>
      <c r="C1835" s="10" t="str" cm="1">
        <f t="array" ref="C1835">_xlfn.IFS(A1835&lt;20, "ภาคกลาง", A1835&lt;30, "ภาคตะวันออก", A1835&lt;50, "ภาคตะวันออกเฉียงเหนือ", A1835&lt;60, "ภาคเหนือ", A1835&lt;80, "ภาคกลาง/ตะวันตก", A1835&gt;=80, "ภาคใต้")</f>
        <v>ภาคกลาง/ตะวันตก</v>
      </c>
      <c r="D1835" s="64">
        <v>6587</v>
      </c>
      <c r="E1835" s="10" t="s">
        <v>2144</v>
      </c>
      <c r="F1835" s="11">
        <v>5130</v>
      </c>
      <c r="G1835" s="11">
        <v>5002</v>
      </c>
      <c r="H1835" s="11">
        <v>10132</v>
      </c>
      <c r="I1835" s="11">
        <v>4971</v>
      </c>
      <c r="J1835" s="66">
        <f t="shared" si="110"/>
        <v>50.631662060797481</v>
      </c>
      <c r="K1835" s="66">
        <f t="shared" si="111"/>
        <v>49.368337939202526</v>
      </c>
    </row>
    <row r="1836" spans="1:11" x14ac:dyDescent="0.3">
      <c r="A1836" s="10">
        <v>65</v>
      </c>
      <c r="B1836" s="10" t="s">
        <v>2127</v>
      </c>
      <c r="C1836" s="10" t="str" cm="1">
        <f t="array" ref="C1836">_xlfn.IFS(A1836&lt;20, "ภาคกลาง", A1836&lt;30, "ภาคตะวันออก", A1836&lt;50, "ภาคตะวันออกเฉียงเหนือ", A1836&lt;60, "ภาคเหนือ", A1836&lt;80, "ภาคกลาง/ตะวันตก", A1836&gt;=80, "ภาคใต้")</f>
        <v>ภาคกลาง/ตะวันตก</v>
      </c>
      <c r="D1836" s="64">
        <v>6588</v>
      </c>
      <c r="E1836" s="10" t="s">
        <v>2145</v>
      </c>
      <c r="F1836" s="11">
        <v>1620</v>
      </c>
      <c r="G1836" s="11">
        <v>1778</v>
      </c>
      <c r="H1836" s="11">
        <v>3398</v>
      </c>
      <c r="I1836" s="11">
        <v>1704</v>
      </c>
      <c r="J1836" s="66">
        <f t="shared" si="110"/>
        <v>47.675103001765748</v>
      </c>
      <c r="K1836" s="66">
        <f t="shared" si="111"/>
        <v>52.324896998234259</v>
      </c>
    </row>
    <row r="1837" spans="1:11" x14ac:dyDescent="0.3">
      <c r="A1837" s="10">
        <v>65</v>
      </c>
      <c r="B1837" s="10" t="s">
        <v>2127</v>
      </c>
      <c r="C1837" s="10" t="str" cm="1">
        <f t="array" ref="C1837">_xlfn.IFS(A1837&lt;20, "ภาคกลาง", A1837&lt;30, "ภาคตะวันออก", A1837&lt;50, "ภาคตะวันออกเฉียงเหนือ", A1837&lt;60, "ภาคเหนือ", A1837&lt;80, "ภาคกลาง/ตะวันตก", A1837&gt;=80, "ภาคใต้")</f>
        <v>ภาคกลาง/ตะวันตก</v>
      </c>
      <c r="D1837" s="64">
        <v>6589</v>
      </c>
      <c r="E1837" s="10" t="s">
        <v>2146</v>
      </c>
      <c r="F1837" s="11">
        <v>1852</v>
      </c>
      <c r="G1837" s="11">
        <v>2139</v>
      </c>
      <c r="H1837" s="11">
        <v>3991</v>
      </c>
      <c r="I1837" s="11">
        <v>1751</v>
      </c>
      <c r="J1837" s="66">
        <f t="shared" si="110"/>
        <v>46.404409922325229</v>
      </c>
      <c r="K1837" s="66">
        <f t="shared" si="111"/>
        <v>53.595590077674771</v>
      </c>
    </row>
    <row r="1838" spans="1:11" x14ac:dyDescent="0.3">
      <c r="A1838" s="10">
        <v>65</v>
      </c>
      <c r="B1838" s="10" t="s">
        <v>2127</v>
      </c>
      <c r="C1838" s="10" t="str" cm="1">
        <f t="array" ref="C1838">_xlfn.IFS(A1838&lt;20, "ภาคกลาง", A1838&lt;30, "ภาคตะวันออก", A1838&lt;50, "ภาคตะวันออกเฉียงเหนือ", A1838&lt;60, "ภาคเหนือ", A1838&lt;80, "ภาคกลาง/ตะวันตก", A1838&gt;=80, "ภาคใต้")</f>
        <v>ภาคกลาง/ตะวันตก</v>
      </c>
      <c r="D1838" s="64">
        <v>6590</v>
      </c>
      <c r="E1838" s="10" t="s">
        <v>2147</v>
      </c>
      <c r="F1838" s="11">
        <v>3688</v>
      </c>
      <c r="G1838" s="11">
        <v>4138</v>
      </c>
      <c r="H1838" s="11">
        <v>7826</v>
      </c>
      <c r="I1838" s="11">
        <v>4216</v>
      </c>
      <c r="J1838" s="66">
        <f t="shared" si="110"/>
        <v>47.124968055200611</v>
      </c>
      <c r="K1838" s="66">
        <f t="shared" si="111"/>
        <v>52.875031944799389</v>
      </c>
    </row>
    <row r="1839" spans="1:11" ht="27.6" x14ac:dyDescent="0.3">
      <c r="A1839" s="10">
        <v>65</v>
      </c>
      <c r="B1839" s="10" t="s">
        <v>2127</v>
      </c>
      <c r="C1839" s="10" t="str" cm="1">
        <f t="array" ref="C1839">_xlfn.IFS(A1839&lt;20, "ภาคกลาง", A1839&lt;30, "ภาคตะวันออก", A1839&lt;50, "ภาคตะวันออกเฉียงเหนือ", A1839&lt;60, "ภาคเหนือ", A1839&lt;80, "ภาคกลาง/ตะวันตก", A1839&gt;=80, "ภาคใต้")</f>
        <v>ภาคกลาง/ตะวันตก</v>
      </c>
      <c r="D1839" s="64">
        <v>6591</v>
      </c>
      <c r="E1839" s="10" t="s">
        <v>2148</v>
      </c>
      <c r="F1839" s="11">
        <v>1472</v>
      </c>
      <c r="G1839" s="11">
        <v>1534</v>
      </c>
      <c r="H1839" s="11">
        <v>3006</v>
      </c>
      <c r="I1839" s="11">
        <v>1600</v>
      </c>
      <c r="J1839" s="66">
        <f t="shared" si="110"/>
        <v>48.968729208250167</v>
      </c>
      <c r="K1839" s="66">
        <f t="shared" si="111"/>
        <v>51.03127079174984</v>
      </c>
    </row>
    <row r="1840" spans="1:11" ht="27.6" x14ac:dyDescent="0.3">
      <c r="A1840" s="10">
        <v>65</v>
      </c>
      <c r="B1840" s="10" t="s">
        <v>2127</v>
      </c>
      <c r="C1840" s="10" t="str" cm="1">
        <f t="array" ref="C1840">_xlfn.IFS(A1840&lt;20, "ภาคกลาง", A1840&lt;30, "ภาคตะวันออก", A1840&lt;50, "ภาคตะวันออกเฉียงเหนือ", A1840&lt;60, "ภาคเหนือ", A1840&lt;80, "ภาคกลาง/ตะวันตก", A1840&gt;=80, "ภาคใต้")</f>
        <v>ภาคกลาง/ตะวันตก</v>
      </c>
      <c r="D1840" s="64">
        <v>6592</v>
      </c>
      <c r="E1840" s="10" t="s">
        <v>2149</v>
      </c>
      <c r="F1840" s="10">
        <v>500</v>
      </c>
      <c r="G1840" s="10">
        <v>603</v>
      </c>
      <c r="H1840" s="11">
        <v>1103</v>
      </c>
      <c r="I1840" s="10">
        <v>556</v>
      </c>
      <c r="J1840" s="66">
        <f t="shared" si="110"/>
        <v>45.330915684496823</v>
      </c>
      <c r="K1840" s="66">
        <f t="shared" si="111"/>
        <v>54.66908431550317</v>
      </c>
    </row>
    <row r="1841" spans="1:11" x14ac:dyDescent="0.3">
      <c r="A1841" s="10">
        <v>65</v>
      </c>
      <c r="B1841" s="10" t="s">
        <v>2127</v>
      </c>
      <c r="C1841" s="10" t="str" cm="1">
        <f t="array" ref="C1841">_xlfn.IFS(A1841&lt;20, "ภาคกลาง", A1841&lt;30, "ภาคตะวันออก", A1841&lt;50, "ภาคตะวันออกเฉียงเหนือ", A1841&lt;60, "ภาคเหนือ", A1841&lt;80, "ภาคกลาง/ตะวันตก", A1841&gt;=80, "ภาคใต้")</f>
        <v>ภาคกลาง/ตะวันตก</v>
      </c>
      <c r="D1841" s="64">
        <v>6593</v>
      </c>
      <c r="E1841" s="10" t="s">
        <v>2150</v>
      </c>
      <c r="F1841" s="10">
        <v>747</v>
      </c>
      <c r="G1841" s="10">
        <v>770</v>
      </c>
      <c r="H1841" s="11">
        <v>1517</v>
      </c>
      <c r="I1841" s="10">
        <v>625</v>
      </c>
      <c r="J1841" s="66">
        <f t="shared" si="110"/>
        <v>49.241924851680949</v>
      </c>
      <c r="K1841" s="66">
        <f t="shared" si="111"/>
        <v>50.758075148319051</v>
      </c>
    </row>
    <row r="1842" spans="1:11" x14ac:dyDescent="0.3">
      <c r="A1842" s="10">
        <v>65</v>
      </c>
      <c r="B1842" s="10" t="s">
        <v>2127</v>
      </c>
      <c r="C1842" s="10" t="str" cm="1">
        <f t="array" ref="C1842">_xlfn.IFS(A1842&lt;20, "ภาคกลาง", A1842&lt;30, "ภาคตะวันออก", A1842&lt;50, "ภาคตะวันออกเฉียงเหนือ", A1842&lt;60, "ภาคเหนือ", A1842&lt;80, "ภาคกลาง/ตะวันตก", A1842&gt;=80, "ภาคใต้")</f>
        <v>ภาคกลาง/ตะวันตก</v>
      </c>
      <c r="D1842" s="64">
        <v>6594</v>
      </c>
      <c r="E1842" s="10" t="s">
        <v>2151</v>
      </c>
      <c r="F1842" s="11">
        <v>5591</v>
      </c>
      <c r="G1842" s="11">
        <v>5878</v>
      </c>
      <c r="H1842" s="11">
        <v>11469</v>
      </c>
      <c r="I1842" s="11">
        <v>4699</v>
      </c>
      <c r="J1842" s="66">
        <f t="shared" si="110"/>
        <v>48.748801116051965</v>
      </c>
      <c r="K1842" s="66">
        <f t="shared" si="111"/>
        <v>51.251198883948035</v>
      </c>
    </row>
    <row r="1843" spans="1:11" ht="27.6" x14ac:dyDescent="0.3">
      <c r="A1843" s="10">
        <v>65</v>
      </c>
      <c r="B1843" s="10" t="s">
        <v>2127</v>
      </c>
      <c r="C1843" s="10" t="str" cm="1">
        <f t="array" ref="C1843">_xlfn.IFS(A1843&lt;20, "ภาคกลาง", A1843&lt;30, "ภาคตะวันออก", A1843&lt;50, "ภาคตะวันออกเฉียงเหนือ", A1843&lt;60, "ภาคเหนือ", A1843&lt;80, "ภาคกลาง/ตะวันตก", A1843&gt;=80, "ภาคใต้")</f>
        <v>ภาคกลาง/ตะวันตก</v>
      </c>
      <c r="D1843" s="64">
        <v>6595</v>
      </c>
      <c r="E1843" s="10" t="s">
        <v>2152</v>
      </c>
      <c r="F1843" s="11">
        <v>1653</v>
      </c>
      <c r="G1843" s="11">
        <v>1813</v>
      </c>
      <c r="H1843" s="11">
        <v>3466</v>
      </c>
      <c r="I1843" s="11">
        <v>1361</v>
      </c>
      <c r="J1843" s="66">
        <f t="shared" si="110"/>
        <v>47.691863819965377</v>
      </c>
      <c r="K1843" s="66">
        <f t="shared" si="111"/>
        <v>52.308136180034623</v>
      </c>
    </row>
    <row r="1844" spans="1:11" x14ac:dyDescent="0.3">
      <c r="A1844" s="10">
        <v>65</v>
      </c>
      <c r="B1844" s="10" t="s">
        <v>2127</v>
      </c>
      <c r="C1844" s="10" t="str" cm="1">
        <f t="array" ref="C1844">_xlfn.IFS(A1844&lt;20, "ภาคกลาง", A1844&lt;30, "ภาคตะวันออก", A1844&lt;50, "ภาคตะวันออกเฉียงเหนือ", A1844&lt;60, "ภาคเหนือ", A1844&lt;80, "ภาคกลาง/ตะวันตก", A1844&gt;=80, "ภาคใต้")</f>
        <v>ภาคกลาง/ตะวันตก</v>
      </c>
      <c r="D1844" s="64">
        <v>6596</v>
      </c>
      <c r="E1844" s="10" t="s">
        <v>2153</v>
      </c>
      <c r="F1844" s="11">
        <v>1891</v>
      </c>
      <c r="G1844" s="11">
        <v>2117</v>
      </c>
      <c r="H1844" s="11">
        <v>4008</v>
      </c>
      <c r="I1844" s="11">
        <v>2041</v>
      </c>
      <c r="J1844" s="66">
        <f t="shared" si="110"/>
        <v>47.180638722554889</v>
      </c>
      <c r="K1844" s="66">
        <f t="shared" si="111"/>
        <v>52.819361277445111</v>
      </c>
    </row>
    <row r="1845" spans="1:11" x14ac:dyDescent="0.3">
      <c r="A1845" s="10">
        <v>65</v>
      </c>
      <c r="B1845" s="10" t="s">
        <v>2127</v>
      </c>
      <c r="C1845" s="10" t="str" cm="1">
        <f t="array" ref="C1845">_xlfn.IFS(A1845&lt;20, "ภาคกลาง", A1845&lt;30, "ภาคตะวันออก", A1845&lt;50, "ภาคตะวันออกเฉียงเหนือ", A1845&lt;60, "ภาคเหนือ", A1845&lt;80, "ภาคกลาง/ตะวันตก", A1845&gt;=80, "ภาคใต้")</f>
        <v>ภาคกลาง/ตะวันตก</v>
      </c>
      <c r="D1845" s="64">
        <v>6597</v>
      </c>
      <c r="E1845" s="10" t="s">
        <v>2154</v>
      </c>
      <c r="F1845" s="11">
        <v>2546</v>
      </c>
      <c r="G1845" s="11">
        <v>2712</v>
      </c>
      <c r="H1845" s="11">
        <v>5258</v>
      </c>
      <c r="I1845" s="11">
        <v>2690</v>
      </c>
      <c r="J1845" s="66">
        <f t="shared" si="110"/>
        <v>48.421453023963487</v>
      </c>
      <c r="K1845" s="66">
        <f t="shared" si="111"/>
        <v>51.57854697603652</v>
      </c>
    </row>
    <row r="1846" spans="1:11" x14ac:dyDescent="0.3">
      <c r="A1846" s="10">
        <v>65</v>
      </c>
      <c r="B1846" s="10" t="s">
        <v>2127</v>
      </c>
      <c r="C1846" s="10" t="str" cm="1">
        <f t="array" ref="C1846">_xlfn.IFS(A1846&lt;20, "ภาคกลาง", A1846&lt;30, "ภาคตะวันออก", A1846&lt;50, "ภาคตะวันออกเฉียงเหนือ", A1846&lt;60, "ภาคเหนือ", A1846&lt;80, "ภาคกลาง/ตะวันตก", A1846&gt;=80, "ภาคใต้")</f>
        <v>ภาคกลาง/ตะวันตก</v>
      </c>
      <c r="D1846" s="64">
        <v>6598</v>
      </c>
      <c r="E1846" s="10" t="s">
        <v>1806</v>
      </c>
      <c r="F1846" s="11">
        <v>4195</v>
      </c>
      <c r="G1846" s="11">
        <v>4501</v>
      </c>
      <c r="H1846" s="11">
        <v>8696</v>
      </c>
      <c r="I1846" s="11">
        <v>4202</v>
      </c>
      <c r="J1846" s="66">
        <f t="shared" si="110"/>
        <v>48.240570377184909</v>
      </c>
      <c r="K1846" s="66">
        <f t="shared" si="111"/>
        <v>51.759429622815091</v>
      </c>
    </row>
    <row r="1847" spans="1:11" x14ac:dyDescent="0.3">
      <c r="A1847" s="10">
        <v>65</v>
      </c>
      <c r="B1847" s="10" t="s">
        <v>2127</v>
      </c>
      <c r="C1847" s="10" t="str" cm="1">
        <f t="array" ref="C1847">_xlfn.IFS(A1847&lt;20, "ภาคกลาง", A1847&lt;30, "ภาคตะวันออก", A1847&lt;50, "ภาคตะวันออกเฉียงเหนือ", A1847&lt;60, "ภาคเหนือ", A1847&lt;80, "ภาคกลาง/ตะวันตก", A1847&gt;=80, "ภาคใต้")</f>
        <v>ภาคกลาง/ตะวันตก</v>
      </c>
      <c r="D1847" s="64">
        <v>6599</v>
      </c>
      <c r="E1847" s="10" t="s">
        <v>2155</v>
      </c>
      <c r="F1847" s="10">
        <v>894</v>
      </c>
      <c r="G1847" s="10">
        <v>990</v>
      </c>
      <c r="H1847" s="11">
        <v>1884</v>
      </c>
      <c r="I1847" s="10">
        <v>827</v>
      </c>
      <c r="J1847" s="66">
        <f t="shared" si="110"/>
        <v>47.452229299363054</v>
      </c>
      <c r="K1847" s="66">
        <f t="shared" si="111"/>
        <v>52.547770700636946</v>
      </c>
    </row>
    <row r="1848" spans="1:11" hidden="1" x14ac:dyDescent="0.3">
      <c r="A1848" s="10">
        <v>65</v>
      </c>
      <c r="B1848" s="10" t="s">
        <v>2127</v>
      </c>
      <c r="C1848" s="10" t="str" cm="1">
        <f t="array" ref="C1848">_xlfn.IFS(A1848&lt;20, "ภาคกลาง", A1848&lt;30, "ภาคตะวันออก", A1848&lt;50, "ภาคตะวันออกเฉียงเหนือ", A1848&lt;60, "ภาคเหนือ", A1848&lt;80, "ภาคกลาง/ตะวันตก", A1848&gt;=80, "ภาคใต้")</f>
        <v>ภาคกลาง/ตะวันตก</v>
      </c>
      <c r="D1848" s="10">
        <v>0</v>
      </c>
      <c r="E1848" s="10" t="s">
        <v>343</v>
      </c>
      <c r="F1848" s="11">
        <v>27395</v>
      </c>
      <c r="G1848" s="11">
        <v>33432</v>
      </c>
      <c r="H1848" s="11">
        <v>60827</v>
      </c>
      <c r="I1848" s="11">
        <v>37942</v>
      </c>
      <c r="J1848"/>
      <c r="K1848"/>
    </row>
    <row r="1849" spans="1:11" x14ac:dyDescent="0.3">
      <c r="A1849" s="10">
        <v>66</v>
      </c>
      <c r="B1849" s="10" t="s">
        <v>2156</v>
      </c>
      <c r="C1849" s="10" t="str" cm="1">
        <f t="array" ref="C1849">_xlfn.IFS(A1849&lt;20, "ภาคกลาง", A1849&lt;30, "ภาคตะวันออก", A1849&lt;50, "ภาคตะวันออกเฉียงเหนือ", A1849&lt;60, "ภาคเหนือ", A1849&lt;80, "ภาคกลาง/ตะวันตก", A1849&gt;=80, "ภาคใต้")</f>
        <v>ภาคกลาง/ตะวันตก</v>
      </c>
      <c r="D1849" s="64">
        <v>6601</v>
      </c>
      <c r="E1849" s="10" t="s">
        <v>2157</v>
      </c>
      <c r="F1849" s="11">
        <v>251787</v>
      </c>
      <c r="G1849" s="11">
        <v>265521</v>
      </c>
      <c r="H1849" s="11">
        <v>517308</v>
      </c>
      <c r="I1849" s="11">
        <v>206966</v>
      </c>
      <c r="J1849" s="66">
        <f t="shared" ref="J1849:J1884" si="112">F1849/H1849*100</f>
        <v>48.672550975434362</v>
      </c>
      <c r="K1849" s="66">
        <f t="shared" ref="K1849:K1884" si="113">G1849/H1849*100</f>
        <v>51.327449024565638</v>
      </c>
    </row>
    <row r="1850" spans="1:11" x14ac:dyDescent="0.3">
      <c r="A1850" s="10">
        <v>66</v>
      </c>
      <c r="B1850" s="10" t="s">
        <v>2156</v>
      </c>
      <c r="C1850" s="10" t="str" cm="1">
        <f t="array" ref="C1850">_xlfn.IFS(A1850&lt;20, "ภาคกลาง", A1850&lt;30, "ภาคตะวันออก", A1850&lt;50, "ภาคตะวันออกเฉียงเหนือ", A1850&lt;60, "ภาคเหนือ", A1850&lt;80, "ภาคกลาง/ตะวันตก", A1850&gt;=80, "ภาคใต้")</f>
        <v>ภาคกลาง/ตะวันตก</v>
      </c>
      <c r="D1850" s="64">
        <v>6602</v>
      </c>
      <c r="E1850" s="10" t="s">
        <v>2158</v>
      </c>
      <c r="F1850" s="11">
        <v>34873</v>
      </c>
      <c r="G1850" s="11">
        <v>37236</v>
      </c>
      <c r="H1850" s="11">
        <v>72109</v>
      </c>
      <c r="I1850" s="11">
        <v>27851</v>
      </c>
      <c r="J1850" s="66">
        <f t="shared" si="112"/>
        <v>48.361508272199032</v>
      </c>
      <c r="K1850" s="66">
        <f t="shared" si="113"/>
        <v>51.638491727800975</v>
      </c>
    </row>
    <row r="1851" spans="1:11" x14ac:dyDescent="0.3">
      <c r="A1851" s="10">
        <v>66</v>
      </c>
      <c r="B1851" s="10" t="s">
        <v>2156</v>
      </c>
      <c r="C1851" s="10" t="str" cm="1">
        <f t="array" ref="C1851">_xlfn.IFS(A1851&lt;20, "ภาคกลาง", A1851&lt;30, "ภาคตะวันออก", A1851&lt;50, "ภาคตะวันออกเฉียงเหนือ", A1851&lt;60, "ภาคเหนือ", A1851&lt;80, "ภาคกลาง/ตะวันตก", A1851&gt;=80, "ภาคใต้")</f>
        <v>ภาคกลาง/ตะวันตก</v>
      </c>
      <c r="D1851" s="64">
        <v>6603</v>
      </c>
      <c r="E1851" s="10" t="s">
        <v>2159</v>
      </c>
      <c r="F1851" s="11">
        <v>8362</v>
      </c>
      <c r="G1851" s="11">
        <v>8635</v>
      </c>
      <c r="H1851" s="11">
        <v>16997</v>
      </c>
      <c r="I1851" s="11">
        <v>6110</v>
      </c>
      <c r="J1851" s="66">
        <f t="shared" si="112"/>
        <v>49.19691710301818</v>
      </c>
      <c r="K1851" s="66">
        <f t="shared" si="113"/>
        <v>50.80308289698182</v>
      </c>
    </row>
    <row r="1852" spans="1:11" x14ac:dyDescent="0.3">
      <c r="A1852" s="10">
        <v>66</v>
      </c>
      <c r="B1852" s="10" t="s">
        <v>2156</v>
      </c>
      <c r="C1852" s="10" t="str" cm="1">
        <f t="array" ref="C1852">_xlfn.IFS(A1852&lt;20, "ภาคกลาง", A1852&lt;30, "ภาคตะวันออก", A1852&lt;50, "ภาคตะวันออกเฉียงเหนือ", A1852&lt;60, "ภาคเหนือ", A1852&lt;80, "ภาคกลาง/ตะวันตก", A1852&gt;=80, "ภาคใต้")</f>
        <v>ภาคกลาง/ตะวันตก</v>
      </c>
      <c r="D1852" s="64">
        <v>6604</v>
      </c>
      <c r="E1852" s="10" t="s">
        <v>2160</v>
      </c>
      <c r="F1852" s="11">
        <v>16603</v>
      </c>
      <c r="G1852" s="11">
        <v>17065</v>
      </c>
      <c r="H1852" s="11">
        <v>33668</v>
      </c>
      <c r="I1852" s="11">
        <v>12035</v>
      </c>
      <c r="J1852" s="66">
        <f t="shared" si="112"/>
        <v>49.313888558868953</v>
      </c>
      <c r="K1852" s="66">
        <f t="shared" si="113"/>
        <v>50.686111441131047</v>
      </c>
    </row>
    <row r="1853" spans="1:11" x14ac:dyDescent="0.3">
      <c r="A1853" s="10">
        <v>66</v>
      </c>
      <c r="B1853" s="10" t="s">
        <v>2156</v>
      </c>
      <c r="C1853" s="10" t="str" cm="1">
        <f t="array" ref="C1853">_xlfn.IFS(A1853&lt;20, "ภาคกลาง", A1853&lt;30, "ภาคตะวันออก", A1853&lt;50, "ภาคตะวันออกเฉียงเหนือ", A1853&lt;60, "ภาคเหนือ", A1853&lt;80, "ภาคกลาง/ตะวันตก", A1853&gt;=80, "ภาคใต้")</f>
        <v>ภาคกลาง/ตะวันตก</v>
      </c>
      <c r="D1853" s="64">
        <v>6605</v>
      </c>
      <c r="E1853" s="10" t="s">
        <v>2161</v>
      </c>
      <c r="F1853" s="11">
        <v>21200</v>
      </c>
      <c r="G1853" s="11">
        <v>22435</v>
      </c>
      <c r="H1853" s="11">
        <v>43635</v>
      </c>
      <c r="I1853" s="11">
        <v>16534</v>
      </c>
      <c r="J1853" s="66">
        <f t="shared" si="112"/>
        <v>48.584851609946142</v>
      </c>
      <c r="K1853" s="66">
        <f t="shared" si="113"/>
        <v>51.415148390053858</v>
      </c>
    </row>
    <row r="1854" spans="1:11" x14ac:dyDescent="0.3">
      <c r="A1854" s="10">
        <v>66</v>
      </c>
      <c r="B1854" s="10" t="s">
        <v>2156</v>
      </c>
      <c r="C1854" s="10" t="str" cm="1">
        <f t="array" ref="C1854">_xlfn.IFS(A1854&lt;20, "ภาคกลาง", A1854&lt;30, "ภาคตะวันออก", A1854&lt;50, "ภาคตะวันออกเฉียงเหนือ", A1854&lt;60, "ภาคเหนือ", A1854&lt;80, "ภาคกลาง/ตะวันตก", A1854&gt;=80, "ภาคใต้")</f>
        <v>ภาคกลาง/ตะวันตก</v>
      </c>
      <c r="D1854" s="64">
        <v>6606</v>
      </c>
      <c r="E1854" s="10" t="s">
        <v>2162</v>
      </c>
      <c r="F1854" s="11">
        <v>9561</v>
      </c>
      <c r="G1854" s="11">
        <v>10267</v>
      </c>
      <c r="H1854" s="11">
        <v>19828</v>
      </c>
      <c r="I1854" s="11">
        <v>8198</v>
      </c>
      <c r="J1854" s="66">
        <f t="shared" si="112"/>
        <v>48.219689328222714</v>
      </c>
      <c r="K1854" s="66">
        <f t="shared" si="113"/>
        <v>51.780310671777286</v>
      </c>
    </row>
    <row r="1855" spans="1:11" x14ac:dyDescent="0.3">
      <c r="A1855" s="10">
        <v>66</v>
      </c>
      <c r="B1855" s="10" t="s">
        <v>2156</v>
      </c>
      <c r="C1855" s="10" t="str" cm="1">
        <f t="array" ref="C1855">_xlfn.IFS(A1855&lt;20, "ภาคกลาง", A1855&lt;30, "ภาคตะวันออก", A1855&lt;50, "ภาคตะวันออกเฉียงเหนือ", A1855&lt;60, "ภาคเหนือ", A1855&lt;80, "ภาคกลาง/ตะวันตก", A1855&gt;=80, "ภาคใต้")</f>
        <v>ภาคกลาง/ตะวันตก</v>
      </c>
      <c r="D1855" s="64">
        <v>6607</v>
      </c>
      <c r="E1855" s="10" t="s">
        <v>2163</v>
      </c>
      <c r="F1855" s="11">
        <v>26120</v>
      </c>
      <c r="G1855" s="11">
        <v>27296</v>
      </c>
      <c r="H1855" s="11">
        <v>53416</v>
      </c>
      <c r="I1855" s="11">
        <v>19461</v>
      </c>
      <c r="J1855" s="66">
        <f t="shared" si="112"/>
        <v>48.899206230342969</v>
      </c>
      <c r="K1855" s="66">
        <f t="shared" si="113"/>
        <v>51.100793769657024</v>
      </c>
    </row>
    <row r="1856" spans="1:11" x14ac:dyDescent="0.3">
      <c r="A1856" s="10">
        <v>66</v>
      </c>
      <c r="B1856" s="10" t="s">
        <v>2156</v>
      </c>
      <c r="C1856" s="10" t="str" cm="1">
        <f t="array" ref="C1856">_xlfn.IFS(A1856&lt;20, "ภาคกลาง", A1856&lt;30, "ภาคตะวันออก", A1856&lt;50, "ภาคตะวันออกเฉียงเหนือ", A1856&lt;60, "ภาคเหนือ", A1856&lt;80, "ภาคกลาง/ตะวันตก", A1856&gt;=80, "ภาคใต้")</f>
        <v>ภาคกลาง/ตะวันตก</v>
      </c>
      <c r="D1856" s="64">
        <v>6608</v>
      </c>
      <c r="E1856" s="10" t="s">
        <v>2164</v>
      </c>
      <c r="F1856" s="11">
        <v>12436</v>
      </c>
      <c r="G1856" s="11">
        <v>12757</v>
      </c>
      <c r="H1856" s="11">
        <v>25193</v>
      </c>
      <c r="I1856" s="11">
        <v>9050</v>
      </c>
      <c r="J1856" s="66">
        <f t="shared" si="112"/>
        <v>49.362918270948278</v>
      </c>
      <c r="K1856" s="66">
        <f t="shared" si="113"/>
        <v>50.637081729051722</v>
      </c>
    </row>
    <row r="1857" spans="1:11" x14ac:dyDescent="0.3">
      <c r="A1857" s="10">
        <v>66</v>
      </c>
      <c r="B1857" s="10" t="s">
        <v>2156</v>
      </c>
      <c r="C1857" s="10" t="str" cm="1">
        <f t="array" ref="C1857">_xlfn.IFS(A1857&lt;20, "ภาคกลาง", A1857&lt;30, "ภาคตะวันออก", A1857&lt;50, "ภาคตะวันออกเฉียงเหนือ", A1857&lt;60, "ภาคเหนือ", A1857&lt;80, "ภาคกลาง/ตะวันตก", A1857&gt;=80, "ภาคใต้")</f>
        <v>ภาคกลาง/ตะวันตก</v>
      </c>
      <c r="D1857" s="64">
        <v>6609</v>
      </c>
      <c r="E1857" s="10" t="s">
        <v>2165</v>
      </c>
      <c r="F1857" s="11">
        <v>16149</v>
      </c>
      <c r="G1857" s="11">
        <v>16770</v>
      </c>
      <c r="H1857" s="11">
        <v>32919</v>
      </c>
      <c r="I1857" s="11">
        <v>13175</v>
      </c>
      <c r="J1857" s="66">
        <f t="shared" si="112"/>
        <v>49.056775722227286</v>
      </c>
      <c r="K1857" s="66">
        <f t="shared" si="113"/>
        <v>50.943224277772714</v>
      </c>
    </row>
    <row r="1858" spans="1:11" x14ac:dyDescent="0.3">
      <c r="A1858" s="10">
        <v>66</v>
      </c>
      <c r="B1858" s="10" t="s">
        <v>2156</v>
      </c>
      <c r="C1858" s="10" t="str" cm="1">
        <f t="array" ref="C1858">_xlfn.IFS(A1858&lt;20, "ภาคกลาง", A1858&lt;30, "ภาคตะวันออก", A1858&lt;50, "ภาคตะวันออกเฉียงเหนือ", A1858&lt;60, "ภาคเหนือ", A1858&lt;80, "ภาคกลาง/ตะวันตก", A1858&gt;=80, "ภาคใต้")</f>
        <v>ภาคกลาง/ตะวันตก</v>
      </c>
      <c r="D1858" s="64">
        <v>6610</v>
      </c>
      <c r="E1858" s="10" t="s">
        <v>2166</v>
      </c>
      <c r="F1858" s="11">
        <v>8724</v>
      </c>
      <c r="G1858" s="11">
        <v>8850</v>
      </c>
      <c r="H1858" s="11">
        <v>17574</v>
      </c>
      <c r="I1858" s="11">
        <v>6349</v>
      </c>
      <c r="J1858" s="66">
        <f t="shared" si="112"/>
        <v>49.641515875725503</v>
      </c>
      <c r="K1858" s="66">
        <f t="shared" si="113"/>
        <v>50.358484124274497</v>
      </c>
    </row>
    <row r="1859" spans="1:11" x14ac:dyDescent="0.3">
      <c r="A1859" s="10">
        <v>66</v>
      </c>
      <c r="B1859" s="10" t="s">
        <v>2156</v>
      </c>
      <c r="C1859" s="10" t="str" cm="1">
        <f t="array" ref="C1859">_xlfn.IFS(A1859&lt;20, "ภาคกลาง", A1859&lt;30, "ภาคตะวันออก", A1859&lt;50, "ภาคตะวันออกเฉียงเหนือ", A1859&lt;60, "ภาคเหนือ", A1859&lt;80, "ภาคกลาง/ตะวันตก", A1859&gt;=80, "ภาคใต้")</f>
        <v>ภาคกลาง/ตะวันตก</v>
      </c>
      <c r="D1859" s="64">
        <v>6611</v>
      </c>
      <c r="E1859" s="10" t="s">
        <v>2167</v>
      </c>
      <c r="F1859" s="11">
        <v>13972</v>
      </c>
      <c r="G1859" s="11">
        <v>14588</v>
      </c>
      <c r="H1859" s="11">
        <v>28560</v>
      </c>
      <c r="I1859" s="11">
        <v>11128</v>
      </c>
      <c r="J1859" s="66">
        <f t="shared" si="112"/>
        <v>48.921568627450981</v>
      </c>
      <c r="K1859" s="66">
        <f t="shared" si="113"/>
        <v>51.078431372549019</v>
      </c>
    </row>
    <row r="1860" spans="1:11" x14ac:dyDescent="0.3">
      <c r="A1860" s="10">
        <v>66</v>
      </c>
      <c r="B1860" s="10" t="s">
        <v>2156</v>
      </c>
      <c r="C1860" s="10" t="str" cm="1">
        <f t="array" ref="C1860">_xlfn.IFS(A1860&lt;20, "ภาคกลาง", A1860&lt;30, "ภาคตะวันออก", A1860&lt;50, "ภาคตะวันออกเฉียงเหนือ", A1860&lt;60, "ภาคเหนือ", A1860&lt;80, "ภาคกลาง/ตะวันตก", A1860&gt;=80, "ภาคใต้")</f>
        <v>ภาคกลาง/ตะวันตก</v>
      </c>
      <c r="D1860" s="64">
        <v>6612</v>
      </c>
      <c r="E1860" s="10" t="s">
        <v>2168</v>
      </c>
      <c r="F1860" s="11">
        <v>8248</v>
      </c>
      <c r="G1860" s="11">
        <v>8524</v>
      </c>
      <c r="H1860" s="11">
        <v>16772</v>
      </c>
      <c r="I1860" s="11">
        <v>6604</v>
      </c>
      <c r="J1860" s="66">
        <f t="shared" si="112"/>
        <v>49.17720009539709</v>
      </c>
      <c r="K1860" s="66">
        <f t="shared" si="113"/>
        <v>50.82279990460291</v>
      </c>
    </row>
    <row r="1861" spans="1:11" ht="27.6" x14ac:dyDescent="0.3">
      <c r="A1861" s="10">
        <v>66</v>
      </c>
      <c r="B1861" s="10" t="s">
        <v>2156</v>
      </c>
      <c r="C1861" s="10" t="str" cm="1">
        <f t="array" ref="C1861">_xlfn.IFS(A1861&lt;20, "ภาคกลาง", A1861&lt;30, "ภาคตะวันออก", A1861&lt;50, "ภาคตะวันออกเฉียงเหนือ", A1861&lt;60, "ภาคเหนือ", A1861&lt;80, "ภาคกลาง/ตะวันตก", A1861&gt;=80, "ภาคใต้")</f>
        <v>ภาคกลาง/ตะวันตก</v>
      </c>
      <c r="D1861" s="64">
        <v>6676</v>
      </c>
      <c r="E1861" s="10" t="s">
        <v>2169</v>
      </c>
      <c r="F1861" s="11">
        <v>15139</v>
      </c>
      <c r="G1861" s="11">
        <v>15524</v>
      </c>
      <c r="H1861" s="11">
        <v>30663</v>
      </c>
      <c r="I1861" s="11">
        <v>11520</v>
      </c>
      <c r="J1861" s="66">
        <f t="shared" si="112"/>
        <v>49.372207546554478</v>
      </c>
      <c r="K1861" s="66">
        <f t="shared" si="113"/>
        <v>50.627792453445522</v>
      </c>
    </row>
    <row r="1862" spans="1:11" ht="27.6" x14ac:dyDescent="0.3">
      <c r="A1862" s="10">
        <v>66</v>
      </c>
      <c r="B1862" s="10" t="s">
        <v>2156</v>
      </c>
      <c r="C1862" s="10" t="str" cm="1">
        <f t="array" ref="C1862">_xlfn.IFS(A1862&lt;20, "ภาคกลาง", A1862&lt;30, "ภาคตะวันออก", A1862&lt;50, "ภาคตะวันออกเฉียงเหนือ", A1862&lt;60, "ภาคเหนือ", A1862&lt;80, "ภาคกลาง/ตะวันตก", A1862&gt;=80, "ภาคใต้")</f>
        <v>ภาคกลาง/ตะวันตก</v>
      </c>
      <c r="D1862" s="64">
        <v>6677</v>
      </c>
      <c r="E1862" s="10" t="s">
        <v>2170</v>
      </c>
      <c r="F1862" s="11">
        <v>3280</v>
      </c>
      <c r="G1862" s="11">
        <v>3442</v>
      </c>
      <c r="H1862" s="11">
        <v>6722</v>
      </c>
      <c r="I1862" s="11">
        <v>2419</v>
      </c>
      <c r="J1862" s="66">
        <f t="shared" si="112"/>
        <v>48.795001487652485</v>
      </c>
      <c r="K1862" s="66">
        <f t="shared" si="113"/>
        <v>51.204998512347508</v>
      </c>
    </row>
    <row r="1863" spans="1:11" ht="27.6" x14ac:dyDescent="0.3">
      <c r="A1863" s="10">
        <v>66</v>
      </c>
      <c r="B1863" s="10" t="s">
        <v>2156</v>
      </c>
      <c r="C1863" s="10" t="str" cm="1">
        <f t="array" ref="C1863">_xlfn.IFS(A1863&lt;20, "ภาคกลาง", A1863&lt;30, "ภาคตะวันออก", A1863&lt;50, "ภาคตะวันออกเฉียงเหนือ", A1863&lt;60, "ภาคเหนือ", A1863&lt;80, "ภาคกลาง/ตะวันตก", A1863&gt;=80, "ภาคใต้")</f>
        <v>ภาคกลาง/ตะวันตก</v>
      </c>
      <c r="D1863" s="64">
        <v>6678</v>
      </c>
      <c r="E1863" s="10" t="s">
        <v>2171</v>
      </c>
      <c r="F1863" s="11">
        <v>1641</v>
      </c>
      <c r="G1863" s="11">
        <v>1694</v>
      </c>
      <c r="H1863" s="11">
        <v>3335</v>
      </c>
      <c r="I1863" s="11">
        <v>1192</v>
      </c>
      <c r="J1863" s="66">
        <f t="shared" si="112"/>
        <v>49.205397301349322</v>
      </c>
      <c r="K1863" s="66">
        <f t="shared" si="113"/>
        <v>50.794602698650671</v>
      </c>
    </row>
    <row r="1864" spans="1:11" x14ac:dyDescent="0.3">
      <c r="A1864" s="10">
        <v>66</v>
      </c>
      <c r="B1864" s="10" t="s">
        <v>2156</v>
      </c>
      <c r="C1864" s="10" t="str" cm="1">
        <f t="array" ref="C1864">_xlfn.IFS(A1864&lt;20, "ภาคกลาง", A1864&lt;30, "ภาคตะวันออก", A1864&lt;50, "ภาคตะวันออกเฉียงเหนือ", A1864&lt;60, "ภาคเหนือ", A1864&lt;80, "ภาคกลาง/ตะวันตก", A1864&gt;=80, "ภาคใต้")</f>
        <v>ภาคกลาง/ตะวันตก</v>
      </c>
      <c r="D1864" s="64">
        <v>6679</v>
      </c>
      <c r="E1864" s="10" t="s">
        <v>2172</v>
      </c>
      <c r="F1864" s="11">
        <v>3173</v>
      </c>
      <c r="G1864" s="11">
        <v>3486</v>
      </c>
      <c r="H1864" s="11">
        <v>6659</v>
      </c>
      <c r="I1864" s="11">
        <v>3145</v>
      </c>
      <c r="J1864" s="66">
        <f t="shared" si="112"/>
        <v>47.649797266856886</v>
      </c>
      <c r="K1864" s="66">
        <f t="shared" si="113"/>
        <v>52.350202733143114</v>
      </c>
    </row>
    <row r="1865" spans="1:11" x14ac:dyDescent="0.3">
      <c r="A1865" s="10">
        <v>66</v>
      </c>
      <c r="B1865" s="10" t="s">
        <v>2156</v>
      </c>
      <c r="C1865" s="10" t="str" cm="1">
        <f t="array" ref="C1865">_xlfn.IFS(A1865&lt;20, "ภาคกลาง", A1865&lt;30, "ภาคตะวันออก", A1865&lt;50, "ภาคตะวันออกเฉียงเหนือ", A1865&lt;60, "ภาคเหนือ", A1865&lt;80, "ภาคกลาง/ตะวันตก", A1865&gt;=80, "ภาคใต้")</f>
        <v>ภาคกลาง/ตะวันตก</v>
      </c>
      <c r="D1865" s="64">
        <v>6680</v>
      </c>
      <c r="E1865" s="10" t="s">
        <v>2173</v>
      </c>
      <c r="F1865" s="11">
        <v>2811</v>
      </c>
      <c r="G1865" s="11">
        <v>2991</v>
      </c>
      <c r="H1865" s="11">
        <v>5802</v>
      </c>
      <c r="I1865" s="11">
        <v>2787</v>
      </c>
      <c r="J1865" s="66">
        <f t="shared" si="112"/>
        <v>48.448810754912095</v>
      </c>
      <c r="K1865" s="66">
        <f t="shared" si="113"/>
        <v>51.551189245087905</v>
      </c>
    </row>
    <row r="1866" spans="1:11" x14ac:dyDescent="0.3">
      <c r="A1866" s="10">
        <v>66</v>
      </c>
      <c r="B1866" s="10" t="s">
        <v>2156</v>
      </c>
      <c r="C1866" s="10" t="str" cm="1">
        <f t="array" ref="C1866">_xlfn.IFS(A1866&lt;20, "ภาคกลาง", A1866&lt;30, "ภาคตะวันออก", A1866&lt;50, "ภาคตะวันออกเฉียงเหนือ", A1866&lt;60, "ภาคเหนือ", A1866&lt;80, "ภาคกลาง/ตะวันตก", A1866&gt;=80, "ภาคใต้")</f>
        <v>ภาคกลาง/ตะวันตก</v>
      </c>
      <c r="D1866" s="64">
        <v>6681</v>
      </c>
      <c r="E1866" s="10" t="s">
        <v>2174</v>
      </c>
      <c r="F1866" s="11">
        <v>2281</v>
      </c>
      <c r="G1866" s="11">
        <v>2372</v>
      </c>
      <c r="H1866" s="11">
        <v>4653</v>
      </c>
      <c r="I1866" s="11">
        <v>1656</v>
      </c>
      <c r="J1866" s="66">
        <f t="shared" si="112"/>
        <v>49.022136256178811</v>
      </c>
      <c r="K1866" s="66">
        <f t="shared" si="113"/>
        <v>50.977863743821196</v>
      </c>
    </row>
    <row r="1867" spans="1:11" ht="27.6" x14ac:dyDescent="0.3">
      <c r="A1867" s="10">
        <v>66</v>
      </c>
      <c r="B1867" s="10" t="s">
        <v>2156</v>
      </c>
      <c r="C1867" s="10" t="str" cm="1">
        <f t="array" ref="C1867">_xlfn.IFS(A1867&lt;20, "ภาคกลาง", A1867&lt;30, "ภาคตะวันออก", A1867&lt;50, "ภาคตะวันออกเฉียงเหนือ", A1867&lt;60, "ภาคเหนือ", A1867&lt;80, "ภาคกลาง/ตะวันตก", A1867&gt;=80, "ภาคใต้")</f>
        <v>ภาคกลาง/ตะวันตก</v>
      </c>
      <c r="D1867" s="64">
        <v>6682</v>
      </c>
      <c r="E1867" s="10" t="s">
        <v>2175</v>
      </c>
      <c r="F1867" s="11">
        <v>4458</v>
      </c>
      <c r="G1867" s="11">
        <v>4521</v>
      </c>
      <c r="H1867" s="11">
        <v>8979</v>
      </c>
      <c r="I1867" s="11">
        <v>3230</v>
      </c>
      <c r="J1867" s="66">
        <f t="shared" si="112"/>
        <v>49.649181423321082</v>
      </c>
      <c r="K1867" s="66">
        <f t="shared" si="113"/>
        <v>50.350818576678911</v>
      </c>
    </row>
    <row r="1868" spans="1:11" ht="27.6" x14ac:dyDescent="0.3">
      <c r="A1868" s="10">
        <v>66</v>
      </c>
      <c r="B1868" s="10" t="s">
        <v>2156</v>
      </c>
      <c r="C1868" s="10" t="str" cm="1">
        <f t="array" ref="C1868">_xlfn.IFS(A1868&lt;20, "ภาคกลาง", A1868&lt;30, "ภาคตะวันออก", A1868&lt;50, "ภาคตะวันออกเฉียงเหนือ", A1868&lt;60, "ภาคเหนือ", A1868&lt;80, "ภาคกลาง/ตะวันตก", A1868&gt;=80, "ภาคใต้")</f>
        <v>ภาคกลาง/ตะวันตก</v>
      </c>
      <c r="D1868" s="64">
        <v>6683</v>
      </c>
      <c r="E1868" s="10" t="s">
        <v>2176</v>
      </c>
      <c r="F1868" s="11">
        <v>1057</v>
      </c>
      <c r="G1868" s="11">
        <v>1069</v>
      </c>
      <c r="H1868" s="11">
        <v>2126</v>
      </c>
      <c r="I1868" s="10">
        <v>934</v>
      </c>
      <c r="J1868" s="66">
        <f t="shared" si="112"/>
        <v>49.717779868297271</v>
      </c>
      <c r="K1868" s="66">
        <f t="shared" si="113"/>
        <v>50.282220131702729</v>
      </c>
    </row>
    <row r="1869" spans="1:11" x14ac:dyDescent="0.3">
      <c r="A1869" s="10">
        <v>66</v>
      </c>
      <c r="B1869" s="10" t="s">
        <v>2156</v>
      </c>
      <c r="C1869" s="10" t="str" cm="1">
        <f t="array" ref="C1869">_xlfn.IFS(A1869&lt;20, "ภาคกลาง", A1869&lt;30, "ภาคตะวันออก", A1869&lt;50, "ภาคตะวันออกเฉียงเหนือ", A1869&lt;60, "ภาคเหนือ", A1869&lt;80, "ภาคกลาง/ตะวันตก", A1869&gt;=80, "ภาคใต้")</f>
        <v>ภาคกลาง/ตะวันตก</v>
      </c>
      <c r="D1869" s="64">
        <v>6684</v>
      </c>
      <c r="E1869" s="10" t="s">
        <v>2177</v>
      </c>
      <c r="F1869" s="11">
        <v>2450</v>
      </c>
      <c r="G1869" s="11">
        <v>2700</v>
      </c>
      <c r="H1869" s="11">
        <v>5150</v>
      </c>
      <c r="I1869" s="11">
        <v>2464</v>
      </c>
      <c r="J1869" s="66">
        <f t="shared" si="112"/>
        <v>47.572815533980581</v>
      </c>
      <c r="K1869" s="66">
        <f t="shared" si="113"/>
        <v>52.427184466019419</v>
      </c>
    </row>
    <row r="1870" spans="1:11" ht="27.6" x14ac:dyDescent="0.3">
      <c r="A1870" s="10">
        <v>66</v>
      </c>
      <c r="B1870" s="10" t="s">
        <v>2156</v>
      </c>
      <c r="C1870" s="10" t="str" cm="1">
        <f t="array" ref="C1870">_xlfn.IFS(A1870&lt;20, "ภาคกลาง", A1870&lt;30, "ภาคตะวันออก", A1870&lt;50, "ภาคตะวันออกเฉียงเหนือ", A1870&lt;60, "ภาคเหนือ", A1870&lt;80, "ภาคกลาง/ตะวันตก", A1870&gt;=80, "ภาคใต้")</f>
        <v>ภาคกลาง/ตะวันตก</v>
      </c>
      <c r="D1870" s="64">
        <v>6685</v>
      </c>
      <c r="E1870" s="10" t="s">
        <v>2178</v>
      </c>
      <c r="F1870" s="11">
        <v>1931</v>
      </c>
      <c r="G1870" s="11">
        <v>2103</v>
      </c>
      <c r="H1870" s="11">
        <v>4034</v>
      </c>
      <c r="I1870" s="11">
        <v>1810</v>
      </c>
      <c r="J1870" s="66">
        <f t="shared" si="112"/>
        <v>47.868120971740211</v>
      </c>
      <c r="K1870" s="66">
        <f t="shared" si="113"/>
        <v>52.131879028259789</v>
      </c>
    </row>
    <row r="1871" spans="1:11" x14ac:dyDescent="0.3">
      <c r="A1871" s="10">
        <v>66</v>
      </c>
      <c r="B1871" s="10" t="s">
        <v>2156</v>
      </c>
      <c r="C1871" s="10" t="str" cm="1">
        <f t="array" ref="C1871">_xlfn.IFS(A1871&lt;20, "ภาคกลาง", A1871&lt;30, "ภาคตะวันออก", A1871&lt;50, "ภาคตะวันออกเฉียงเหนือ", A1871&lt;60, "ภาคเหนือ", A1871&lt;80, "ภาคกลาง/ตะวันตก", A1871&gt;=80, "ภาคใต้")</f>
        <v>ภาคกลาง/ตะวันตก</v>
      </c>
      <c r="D1871" s="64">
        <v>6686</v>
      </c>
      <c r="E1871" s="10" t="s">
        <v>2179</v>
      </c>
      <c r="F1871" s="11">
        <v>2019</v>
      </c>
      <c r="G1871" s="11">
        <v>2072</v>
      </c>
      <c r="H1871" s="11">
        <v>4091</v>
      </c>
      <c r="I1871" s="11">
        <v>1945</v>
      </c>
      <c r="J1871" s="66">
        <f t="shared" si="112"/>
        <v>49.35223661696407</v>
      </c>
      <c r="K1871" s="66">
        <f t="shared" si="113"/>
        <v>50.647763383035937</v>
      </c>
    </row>
    <row r="1872" spans="1:11" ht="27.6" x14ac:dyDescent="0.3">
      <c r="A1872" s="10">
        <v>66</v>
      </c>
      <c r="B1872" s="10" t="s">
        <v>2156</v>
      </c>
      <c r="C1872" s="10" t="str" cm="1">
        <f t="array" ref="C1872">_xlfn.IFS(A1872&lt;20, "ภาคกลาง", A1872&lt;30, "ภาคตะวันออก", A1872&lt;50, "ภาคตะวันออกเฉียงเหนือ", A1872&lt;60, "ภาคเหนือ", A1872&lt;80, "ภาคกลาง/ตะวันตก", A1872&gt;=80, "ภาคใต้")</f>
        <v>ภาคกลาง/ตะวันตก</v>
      </c>
      <c r="D1872" s="64">
        <v>6687</v>
      </c>
      <c r="E1872" s="10" t="s">
        <v>2180</v>
      </c>
      <c r="F1872" s="11">
        <v>2115</v>
      </c>
      <c r="G1872" s="11">
        <v>2444</v>
      </c>
      <c r="H1872" s="11">
        <v>4559</v>
      </c>
      <c r="I1872" s="11">
        <v>2293</v>
      </c>
      <c r="J1872" s="66">
        <f t="shared" si="112"/>
        <v>46.391752577319586</v>
      </c>
      <c r="K1872" s="66">
        <f t="shared" si="113"/>
        <v>53.608247422680414</v>
      </c>
    </row>
    <row r="1873" spans="1:11" x14ac:dyDescent="0.3">
      <c r="A1873" s="10">
        <v>66</v>
      </c>
      <c r="B1873" s="10" t="s">
        <v>2156</v>
      </c>
      <c r="C1873" s="10" t="str" cm="1">
        <f t="array" ref="C1873">_xlfn.IFS(A1873&lt;20, "ภาคกลาง", A1873&lt;30, "ภาคตะวันออก", A1873&lt;50, "ภาคตะวันออกเฉียงเหนือ", A1873&lt;60, "ภาคเหนือ", A1873&lt;80, "ภาคกลาง/ตะวันตก", A1873&gt;=80, "ภาคใต้")</f>
        <v>ภาคกลาง/ตะวันตก</v>
      </c>
      <c r="D1873" s="64">
        <v>6688</v>
      </c>
      <c r="E1873" s="10" t="s">
        <v>2181</v>
      </c>
      <c r="F1873" s="11">
        <v>1010</v>
      </c>
      <c r="G1873" s="11">
        <v>1097</v>
      </c>
      <c r="H1873" s="11">
        <v>2107</v>
      </c>
      <c r="I1873" s="10">
        <v>833</v>
      </c>
      <c r="J1873" s="66">
        <f t="shared" si="112"/>
        <v>47.935453251067869</v>
      </c>
      <c r="K1873" s="66">
        <f t="shared" si="113"/>
        <v>52.064546748932131</v>
      </c>
    </row>
    <row r="1874" spans="1:11" x14ac:dyDescent="0.3">
      <c r="A1874" s="10">
        <v>66</v>
      </c>
      <c r="B1874" s="10" t="s">
        <v>2156</v>
      </c>
      <c r="C1874" s="10" t="str" cm="1">
        <f t="array" ref="C1874">_xlfn.IFS(A1874&lt;20, "ภาคกลาง", A1874&lt;30, "ภาคตะวันออก", A1874&lt;50, "ภาคตะวันออกเฉียงเหนือ", A1874&lt;60, "ภาคเหนือ", A1874&lt;80, "ภาคกลาง/ตะวันตก", A1874&gt;=80, "ภาคใต้")</f>
        <v>ภาคกลาง/ตะวันตก</v>
      </c>
      <c r="D1874" s="64">
        <v>6689</v>
      </c>
      <c r="E1874" s="10" t="s">
        <v>1825</v>
      </c>
      <c r="F1874" s="11">
        <v>1118</v>
      </c>
      <c r="G1874" s="11">
        <v>1200</v>
      </c>
      <c r="H1874" s="11">
        <v>2318</v>
      </c>
      <c r="I1874" s="11">
        <v>1041</v>
      </c>
      <c r="J1874" s="66">
        <f t="shared" si="112"/>
        <v>48.23123382226057</v>
      </c>
      <c r="K1874" s="66">
        <f t="shared" si="113"/>
        <v>51.768766177739437</v>
      </c>
    </row>
    <row r="1875" spans="1:11" x14ac:dyDescent="0.3">
      <c r="A1875" s="10">
        <v>66</v>
      </c>
      <c r="B1875" s="10" t="s">
        <v>2156</v>
      </c>
      <c r="C1875" s="10" t="str" cm="1">
        <f t="array" ref="C1875">_xlfn.IFS(A1875&lt;20, "ภาคกลาง", A1875&lt;30, "ภาคตะวันออก", A1875&lt;50, "ภาคตะวันออกเฉียงเหนือ", A1875&lt;60, "ภาคเหนือ", A1875&lt;80, "ภาคกลาง/ตะวันตก", A1875&gt;=80, "ภาคใต้")</f>
        <v>ภาคกลาง/ตะวันตก</v>
      </c>
      <c r="D1875" s="64">
        <v>6690</v>
      </c>
      <c r="E1875" s="10" t="s">
        <v>2182</v>
      </c>
      <c r="F1875" s="10">
        <v>739</v>
      </c>
      <c r="G1875" s="10">
        <v>719</v>
      </c>
      <c r="H1875" s="11">
        <v>1458</v>
      </c>
      <c r="I1875" s="10">
        <v>538</v>
      </c>
      <c r="J1875" s="66">
        <f t="shared" si="112"/>
        <v>50.685871056241425</v>
      </c>
      <c r="K1875" s="66">
        <f t="shared" si="113"/>
        <v>49.314128943758575</v>
      </c>
    </row>
    <row r="1876" spans="1:11" x14ac:dyDescent="0.3">
      <c r="A1876" s="10">
        <v>66</v>
      </c>
      <c r="B1876" s="10" t="s">
        <v>2156</v>
      </c>
      <c r="C1876" s="10" t="str" cm="1">
        <f t="array" ref="C1876">_xlfn.IFS(A1876&lt;20, "ภาคกลาง", A1876&lt;30, "ภาคตะวันออก", A1876&lt;50, "ภาคตะวันออกเฉียงเหนือ", A1876&lt;60, "ภาคเหนือ", A1876&lt;80, "ภาคกลาง/ตะวันตก", A1876&gt;=80, "ภาคใต้")</f>
        <v>ภาคกลาง/ตะวันตก</v>
      </c>
      <c r="D1876" s="64">
        <v>6691</v>
      </c>
      <c r="E1876" s="10" t="s">
        <v>2183</v>
      </c>
      <c r="F1876" s="10">
        <v>778</v>
      </c>
      <c r="G1876" s="10">
        <v>771</v>
      </c>
      <c r="H1876" s="11">
        <v>1549</v>
      </c>
      <c r="I1876" s="10">
        <v>660</v>
      </c>
      <c r="J1876" s="66">
        <f t="shared" si="112"/>
        <v>50.22595222724339</v>
      </c>
      <c r="K1876" s="66">
        <f t="shared" si="113"/>
        <v>49.774047772756617</v>
      </c>
    </row>
    <row r="1877" spans="1:11" ht="27.6" x14ac:dyDescent="0.3">
      <c r="A1877" s="10">
        <v>66</v>
      </c>
      <c r="B1877" s="10" t="s">
        <v>2156</v>
      </c>
      <c r="C1877" s="10" t="str" cm="1">
        <f t="array" ref="C1877">_xlfn.IFS(A1877&lt;20, "ภาคกลาง", A1877&lt;30, "ภาคตะวันออก", A1877&lt;50, "ภาคตะวันออกเฉียงเหนือ", A1877&lt;60, "ภาคเหนือ", A1877&lt;80, "ภาคกลาง/ตะวันตก", A1877&gt;=80, "ภาคใต้")</f>
        <v>ภาคกลาง/ตะวันตก</v>
      </c>
      <c r="D1877" s="64">
        <v>6692</v>
      </c>
      <c r="E1877" s="10" t="s">
        <v>2184</v>
      </c>
      <c r="F1877" s="10">
        <v>696</v>
      </c>
      <c r="G1877" s="10">
        <v>761</v>
      </c>
      <c r="H1877" s="11">
        <v>1457</v>
      </c>
      <c r="I1877" s="10">
        <v>651</v>
      </c>
      <c r="J1877" s="66">
        <f t="shared" si="112"/>
        <v>47.769389155799594</v>
      </c>
      <c r="K1877" s="66">
        <f t="shared" si="113"/>
        <v>52.230610844200406</v>
      </c>
    </row>
    <row r="1878" spans="1:11" ht="27.6" x14ac:dyDescent="0.3">
      <c r="A1878" s="10">
        <v>66</v>
      </c>
      <c r="B1878" s="10" t="s">
        <v>2156</v>
      </c>
      <c r="C1878" s="10" t="str" cm="1">
        <f t="array" ref="C1878">_xlfn.IFS(A1878&lt;20, "ภาคกลาง", A1878&lt;30, "ภาคตะวันออก", A1878&lt;50, "ภาคตะวันออกเฉียงเหนือ", A1878&lt;60, "ภาคเหนือ", A1878&lt;80, "ภาคกลาง/ตะวันตก", A1878&gt;=80, "ภาคใต้")</f>
        <v>ภาคกลาง/ตะวันตก</v>
      </c>
      <c r="D1878" s="64">
        <v>6693</v>
      </c>
      <c r="E1878" s="10" t="s">
        <v>2185</v>
      </c>
      <c r="F1878" s="11">
        <v>4288</v>
      </c>
      <c r="G1878" s="11">
        <v>4553</v>
      </c>
      <c r="H1878" s="11">
        <v>8841</v>
      </c>
      <c r="I1878" s="11">
        <v>3671</v>
      </c>
      <c r="J1878" s="66">
        <f t="shared" si="112"/>
        <v>48.50130075783283</v>
      </c>
      <c r="K1878" s="66">
        <f t="shared" si="113"/>
        <v>51.498699242167177</v>
      </c>
    </row>
    <row r="1879" spans="1:11" x14ac:dyDescent="0.3">
      <c r="A1879" s="10">
        <v>66</v>
      </c>
      <c r="B1879" s="10" t="s">
        <v>2156</v>
      </c>
      <c r="C1879" s="10" t="str" cm="1">
        <f t="array" ref="C1879">_xlfn.IFS(A1879&lt;20, "ภาคกลาง", A1879&lt;30, "ภาคตะวันออก", A1879&lt;50, "ภาคตะวันออกเฉียงเหนือ", A1879&lt;60, "ภาคเหนือ", A1879&lt;80, "ภาคกลาง/ตะวันตก", A1879&gt;=80, "ภาคใต้")</f>
        <v>ภาคกลาง/ตะวันตก</v>
      </c>
      <c r="D1879" s="64">
        <v>6694</v>
      </c>
      <c r="E1879" s="10" t="s">
        <v>1833</v>
      </c>
      <c r="F1879" s="11">
        <v>1573</v>
      </c>
      <c r="G1879" s="11">
        <v>1629</v>
      </c>
      <c r="H1879" s="11">
        <v>3202</v>
      </c>
      <c r="I1879" s="11">
        <v>1303</v>
      </c>
      <c r="J1879" s="66">
        <f t="shared" si="112"/>
        <v>49.125546533416617</v>
      </c>
      <c r="K1879" s="66">
        <f t="shared" si="113"/>
        <v>50.874453466583383</v>
      </c>
    </row>
    <row r="1880" spans="1:11" x14ac:dyDescent="0.3">
      <c r="A1880" s="10">
        <v>66</v>
      </c>
      <c r="B1880" s="10" t="s">
        <v>2156</v>
      </c>
      <c r="C1880" s="10" t="str" cm="1">
        <f t="array" ref="C1880">_xlfn.IFS(A1880&lt;20, "ภาคกลาง", A1880&lt;30, "ภาคตะวันออก", A1880&lt;50, "ภาคตะวันออกเฉียงเหนือ", A1880&lt;60, "ภาคเหนือ", A1880&lt;80, "ภาคกลาง/ตะวันตก", A1880&gt;=80, "ภาคใต้")</f>
        <v>ภาคกลาง/ตะวันตก</v>
      </c>
      <c r="D1880" s="64">
        <v>6695</v>
      </c>
      <c r="E1880" s="10" t="s">
        <v>2186</v>
      </c>
      <c r="F1880" s="11">
        <v>1432</v>
      </c>
      <c r="G1880" s="11">
        <v>1535</v>
      </c>
      <c r="H1880" s="11">
        <v>2967</v>
      </c>
      <c r="I1880" s="11">
        <v>1220</v>
      </c>
      <c r="J1880" s="66">
        <f t="shared" si="112"/>
        <v>48.264239973036737</v>
      </c>
      <c r="K1880" s="66">
        <f t="shared" si="113"/>
        <v>51.735760026963263</v>
      </c>
    </row>
    <row r="1881" spans="1:11" x14ac:dyDescent="0.3">
      <c r="A1881" s="10">
        <v>66</v>
      </c>
      <c r="B1881" s="10" t="s">
        <v>2156</v>
      </c>
      <c r="C1881" s="10" t="str" cm="1">
        <f t="array" ref="C1881">_xlfn.IFS(A1881&lt;20, "ภาคกลาง", A1881&lt;30, "ภาคตะวันออก", A1881&lt;50, "ภาคตะวันออกเฉียงเหนือ", A1881&lt;60, "ภาคเหนือ", A1881&lt;80, "ภาคกลาง/ตะวันตก", A1881&gt;=80, "ภาคใต้")</f>
        <v>ภาคกลาง/ตะวันตก</v>
      </c>
      <c r="D1881" s="64">
        <v>6696</v>
      </c>
      <c r="E1881" s="10" t="s">
        <v>2187</v>
      </c>
      <c r="F1881" s="11">
        <v>1419</v>
      </c>
      <c r="G1881" s="11">
        <v>1462</v>
      </c>
      <c r="H1881" s="11">
        <v>2881</v>
      </c>
      <c r="I1881" s="11">
        <v>1077</v>
      </c>
      <c r="J1881" s="66">
        <f t="shared" si="112"/>
        <v>49.253731343283583</v>
      </c>
      <c r="K1881" s="66">
        <f t="shared" si="113"/>
        <v>50.746268656716417</v>
      </c>
    </row>
    <row r="1882" spans="1:11" ht="27.6" x14ac:dyDescent="0.3">
      <c r="A1882" s="10">
        <v>66</v>
      </c>
      <c r="B1882" s="10" t="s">
        <v>2156</v>
      </c>
      <c r="C1882" s="10" t="str" cm="1">
        <f t="array" ref="C1882">_xlfn.IFS(A1882&lt;20, "ภาคกลาง", A1882&lt;30, "ภาคตะวันออก", A1882&lt;50, "ภาคตะวันออกเฉียงเหนือ", A1882&lt;60, "ภาคเหนือ", A1882&lt;80, "ภาคกลาง/ตะวันตก", A1882&gt;=80, "ภาคใต้")</f>
        <v>ภาคกลาง/ตะวันตก</v>
      </c>
      <c r="D1882" s="64">
        <v>6697</v>
      </c>
      <c r="E1882" s="10" t="s">
        <v>2188</v>
      </c>
      <c r="F1882" s="11">
        <v>1489</v>
      </c>
      <c r="G1882" s="11">
        <v>1625</v>
      </c>
      <c r="H1882" s="11">
        <v>3114</v>
      </c>
      <c r="I1882" s="11">
        <v>1232</v>
      </c>
      <c r="J1882" s="66">
        <f t="shared" si="112"/>
        <v>47.816313423249838</v>
      </c>
      <c r="K1882" s="66">
        <f t="shared" si="113"/>
        <v>52.183686576750162</v>
      </c>
    </row>
    <row r="1883" spans="1:11" ht="27.6" x14ac:dyDescent="0.3">
      <c r="A1883" s="10">
        <v>66</v>
      </c>
      <c r="B1883" s="10" t="s">
        <v>2156</v>
      </c>
      <c r="C1883" s="10" t="str" cm="1">
        <f t="array" ref="C1883">_xlfn.IFS(A1883&lt;20, "ภาคกลาง", A1883&lt;30, "ภาคตะวันออก", A1883&lt;50, "ภาคตะวันออกเฉียงเหนือ", A1883&lt;60, "ภาคเหนือ", A1883&lt;80, "ภาคกลาง/ตะวันตก", A1883&gt;=80, "ภาคใต้")</f>
        <v>ภาคกลาง/ตะวันตก</v>
      </c>
      <c r="D1883" s="64">
        <v>6698</v>
      </c>
      <c r="E1883" s="10" t="s">
        <v>2189</v>
      </c>
      <c r="F1883" s="11">
        <v>3495</v>
      </c>
      <c r="G1883" s="11">
        <v>3924</v>
      </c>
      <c r="H1883" s="11">
        <v>7419</v>
      </c>
      <c r="I1883" s="11">
        <v>3736</v>
      </c>
      <c r="J1883" s="66">
        <f t="shared" si="112"/>
        <v>47.108774767488882</v>
      </c>
      <c r="K1883" s="66">
        <f t="shared" si="113"/>
        <v>52.891225232511118</v>
      </c>
    </row>
    <row r="1884" spans="1:11" x14ac:dyDescent="0.3">
      <c r="A1884" s="10">
        <v>66</v>
      </c>
      <c r="B1884" s="10" t="s">
        <v>2156</v>
      </c>
      <c r="C1884" s="10" t="str" cm="1">
        <f t="array" ref="C1884">_xlfn.IFS(A1884&lt;20, "ภาคกลาง", A1884&lt;30, "ภาคตะวันออก", A1884&lt;50, "ภาคตะวันออกเฉียงเหนือ", A1884&lt;60, "ภาคเหนือ", A1884&lt;80, "ภาคกลาง/ตะวันตก", A1884&gt;=80, "ภาคใต้")</f>
        <v>ภาคกลาง/ตะวันตก</v>
      </c>
      <c r="D1884" s="64">
        <v>6699</v>
      </c>
      <c r="E1884" s="10" t="s">
        <v>2190</v>
      </c>
      <c r="F1884" s="11">
        <v>5767</v>
      </c>
      <c r="G1884" s="11">
        <v>6674</v>
      </c>
      <c r="H1884" s="11">
        <v>12441</v>
      </c>
      <c r="I1884" s="11">
        <v>6387</v>
      </c>
      <c r="J1884" s="66">
        <f t="shared" si="112"/>
        <v>46.354794630656698</v>
      </c>
      <c r="K1884" s="66">
        <f t="shared" si="113"/>
        <v>53.645205369343294</v>
      </c>
    </row>
    <row r="1885" spans="1:11" hidden="1" x14ac:dyDescent="0.3">
      <c r="A1885" s="10">
        <v>66</v>
      </c>
      <c r="B1885" s="10" t="s">
        <v>2156</v>
      </c>
      <c r="C1885" s="10" t="str" cm="1">
        <f t="array" ref="C1885">_xlfn.IFS(A1885&lt;20, "ภาคกลาง", A1885&lt;30, "ภาคตะวันออก", A1885&lt;50, "ภาคตะวันออกเฉียงเหนือ", A1885&lt;60, "ภาคเหนือ", A1885&lt;80, "ภาคกลาง/ตะวันตก", A1885&gt;=80, "ภาคใต้")</f>
        <v>ภาคกลาง/ตะวันตก</v>
      </c>
      <c r="D1885" s="10">
        <v>0</v>
      </c>
      <c r="E1885" s="10" t="s">
        <v>343</v>
      </c>
      <c r="F1885" s="11">
        <v>9380</v>
      </c>
      <c r="G1885" s="11">
        <v>10730</v>
      </c>
      <c r="H1885" s="11">
        <v>20110</v>
      </c>
      <c r="I1885" s="11">
        <v>12727</v>
      </c>
      <c r="J1885"/>
      <c r="K1885"/>
    </row>
    <row r="1886" spans="1:11" x14ac:dyDescent="0.3">
      <c r="A1886" s="10">
        <v>67</v>
      </c>
      <c r="B1886" s="10" t="s">
        <v>2191</v>
      </c>
      <c r="C1886" s="10" t="str" cm="1">
        <f t="array" ref="C1886">_xlfn.IFS(A1886&lt;20, "ภาคกลาง", A1886&lt;30, "ภาคตะวันออก", A1886&lt;50, "ภาคตะวันออกเฉียงเหนือ", A1886&lt;60, "ภาคเหนือ", A1886&lt;80, "ภาคกลาง/ตะวันตก", A1886&gt;=80, "ภาคใต้")</f>
        <v>ภาคกลาง/ตะวันตก</v>
      </c>
      <c r="D1886" s="64">
        <v>6701</v>
      </c>
      <c r="E1886" s="10" t="s">
        <v>2192</v>
      </c>
      <c r="F1886" s="11">
        <v>472067</v>
      </c>
      <c r="G1886" s="11">
        <v>488651</v>
      </c>
      <c r="H1886" s="11">
        <v>960718</v>
      </c>
      <c r="I1886" s="11">
        <v>382224</v>
      </c>
      <c r="J1886" s="66">
        <f t="shared" ref="J1886:J1918" si="114">F1886/H1886*100</f>
        <v>49.13689553021802</v>
      </c>
      <c r="K1886" s="66">
        <f t="shared" ref="K1886:K1918" si="115">G1886/H1886*100</f>
        <v>50.863104469781973</v>
      </c>
    </row>
    <row r="1887" spans="1:11" x14ac:dyDescent="0.3">
      <c r="A1887" s="10">
        <v>67</v>
      </c>
      <c r="B1887" s="10" t="s">
        <v>2191</v>
      </c>
      <c r="C1887" s="10" t="str" cm="1">
        <f t="array" ref="C1887">_xlfn.IFS(A1887&lt;20, "ภาคกลาง", A1887&lt;30, "ภาคตะวันออก", A1887&lt;50, "ภาคตะวันออกเฉียงเหนือ", A1887&lt;60, "ภาคเหนือ", A1887&lt;80, "ภาคกลาง/ตะวันตก", A1887&gt;=80, "ภาคใต้")</f>
        <v>ภาคกลาง/ตะวันตก</v>
      </c>
      <c r="D1887" s="64">
        <v>6702</v>
      </c>
      <c r="E1887" s="10" t="s">
        <v>2193</v>
      </c>
      <c r="F1887" s="11">
        <v>78298</v>
      </c>
      <c r="G1887" s="11">
        <v>78940</v>
      </c>
      <c r="H1887" s="11">
        <v>157238</v>
      </c>
      <c r="I1887" s="11">
        <v>65186</v>
      </c>
      <c r="J1887" s="66">
        <f t="shared" si="114"/>
        <v>49.795850875742502</v>
      </c>
      <c r="K1887" s="66">
        <f t="shared" si="115"/>
        <v>50.204149124257491</v>
      </c>
    </row>
    <row r="1888" spans="1:11" x14ac:dyDescent="0.3">
      <c r="A1888" s="10">
        <v>67</v>
      </c>
      <c r="B1888" s="10" t="s">
        <v>2191</v>
      </c>
      <c r="C1888" s="10" t="str" cm="1">
        <f t="array" ref="C1888">_xlfn.IFS(A1888&lt;20, "ภาคกลาง", A1888&lt;30, "ภาคตะวันออก", A1888&lt;50, "ภาคตะวันออกเฉียงเหนือ", A1888&lt;60, "ภาคเหนือ", A1888&lt;80, "ภาคกลาง/ตะวันตก", A1888&gt;=80, "ภาคใต้")</f>
        <v>ภาคกลาง/ตะวันตก</v>
      </c>
      <c r="D1888" s="64">
        <v>6703</v>
      </c>
      <c r="E1888" s="10" t="s">
        <v>2194</v>
      </c>
      <c r="F1888" s="11">
        <v>33181</v>
      </c>
      <c r="G1888" s="11">
        <v>33447</v>
      </c>
      <c r="H1888" s="11">
        <v>66628</v>
      </c>
      <c r="I1888" s="11">
        <v>28853</v>
      </c>
      <c r="J1888" s="66">
        <f t="shared" si="114"/>
        <v>49.800384222849253</v>
      </c>
      <c r="K1888" s="66">
        <f t="shared" si="115"/>
        <v>50.199615777150754</v>
      </c>
    </row>
    <row r="1889" spans="1:11" x14ac:dyDescent="0.3">
      <c r="A1889" s="10">
        <v>67</v>
      </c>
      <c r="B1889" s="10" t="s">
        <v>2191</v>
      </c>
      <c r="C1889" s="10" t="str" cm="1">
        <f t="array" ref="C1889">_xlfn.IFS(A1889&lt;20, "ภาคกลาง", A1889&lt;30, "ภาคตะวันออก", A1889&lt;50, "ภาคตะวันออกเฉียงเหนือ", A1889&lt;60, "ภาคเหนือ", A1889&lt;80, "ภาคกลาง/ตะวันตก", A1889&gt;=80, "ภาคใต้")</f>
        <v>ภาคกลาง/ตะวันตก</v>
      </c>
      <c r="D1889" s="64">
        <v>6704</v>
      </c>
      <c r="E1889" s="10" t="s">
        <v>2195</v>
      </c>
      <c r="F1889" s="11">
        <v>68898</v>
      </c>
      <c r="G1889" s="11">
        <v>72868</v>
      </c>
      <c r="H1889" s="11">
        <v>141766</v>
      </c>
      <c r="I1889" s="11">
        <v>51250</v>
      </c>
      <c r="J1889" s="66">
        <f t="shared" si="114"/>
        <v>48.599805312980543</v>
      </c>
      <c r="K1889" s="66">
        <f t="shared" si="115"/>
        <v>51.40019468701945</v>
      </c>
    </row>
    <row r="1890" spans="1:11" x14ac:dyDescent="0.3">
      <c r="A1890" s="10">
        <v>67</v>
      </c>
      <c r="B1890" s="10" t="s">
        <v>2191</v>
      </c>
      <c r="C1890" s="10" t="str" cm="1">
        <f t="array" ref="C1890">_xlfn.IFS(A1890&lt;20, "ภาคกลาง", A1890&lt;30, "ภาคตะวันออก", A1890&lt;50, "ภาคตะวันออกเฉียงเหนือ", A1890&lt;60, "ภาคเหนือ", A1890&lt;80, "ภาคกลาง/ตะวันตก", A1890&gt;=80, "ภาคใต้")</f>
        <v>ภาคกลาง/ตะวันตก</v>
      </c>
      <c r="D1890" s="64">
        <v>6705</v>
      </c>
      <c r="E1890" s="10" t="s">
        <v>2196</v>
      </c>
      <c r="F1890" s="11">
        <v>28559</v>
      </c>
      <c r="G1890" s="11">
        <v>30087</v>
      </c>
      <c r="H1890" s="11">
        <v>58646</v>
      </c>
      <c r="I1890" s="11">
        <v>19775</v>
      </c>
      <c r="J1890" s="66">
        <f t="shared" si="114"/>
        <v>48.697268355898096</v>
      </c>
      <c r="K1890" s="66">
        <f t="shared" si="115"/>
        <v>51.302731644101897</v>
      </c>
    </row>
    <row r="1891" spans="1:11" x14ac:dyDescent="0.3">
      <c r="A1891" s="10">
        <v>67</v>
      </c>
      <c r="B1891" s="10" t="s">
        <v>2191</v>
      </c>
      <c r="C1891" s="10" t="str" cm="1">
        <f t="array" ref="C1891">_xlfn.IFS(A1891&lt;20, "ภาคกลาง", A1891&lt;30, "ภาคตะวันออก", A1891&lt;50, "ภาคตะวันออกเฉียงเหนือ", A1891&lt;60, "ภาคเหนือ", A1891&lt;80, "ภาคกลาง/ตะวันตก", A1891&gt;=80, "ภาคใต้")</f>
        <v>ภาคกลาง/ตะวันตก</v>
      </c>
      <c r="D1891" s="64">
        <v>6706</v>
      </c>
      <c r="E1891" s="10" t="s">
        <v>2197</v>
      </c>
      <c r="F1891" s="11">
        <v>48551</v>
      </c>
      <c r="G1891" s="11">
        <v>49903</v>
      </c>
      <c r="H1891" s="11">
        <v>98454</v>
      </c>
      <c r="I1891" s="11">
        <v>34906</v>
      </c>
      <c r="J1891" s="66">
        <f t="shared" si="114"/>
        <v>49.313384931033781</v>
      </c>
      <c r="K1891" s="66">
        <f t="shared" si="115"/>
        <v>50.686615068966226</v>
      </c>
    </row>
    <row r="1892" spans="1:11" x14ac:dyDescent="0.3">
      <c r="A1892" s="10">
        <v>67</v>
      </c>
      <c r="B1892" s="10" t="s">
        <v>2191</v>
      </c>
      <c r="C1892" s="10" t="str" cm="1">
        <f t="array" ref="C1892">_xlfn.IFS(A1892&lt;20, "ภาคกลาง", A1892&lt;30, "ภาคตะวันออก", A1892&lt;50, "ภาคตะวันออกเฉียงเหนือ", A1892&lt;60, "ภาคเหนือ", A1892&lt;80, "ภาคกลาง/ตะวันตก", A1892&gt;=80, "ภาคใต้")</f>
        <v>ภาคกลาง/ตะวันตก</v>
      </c>
      <c r="D1892" s="64">
        <v>6707</v>
      </c>
      <c r="E1892" s="10" t="s">
        <v>2198</v>
      </c>
      <c r="F1892" s="11">
        <v>27699</v>
      </c>
      <c r="G1892" s="11">
        <v>28225</v>
      </c>
      <c r="H1892" s="11">
        <v>55924</v>
      </c>
      <c r="I1892" s="11">
        <v>20467</v>
      </c>
      <c r="J1892" s="66">
        <f t="shared" si="114"/>
        <v>49.529718904227167</v>
      </c>
      <c r="K1892" s="66">
        <f t="shared" si="115"/>
        <v>50.47028109577284</v>
      </c>
    </row>
    <row r="1893" spans="1:11" x14ac:dyDescent="0.3">
      <c r="A1893" s="10">
        <v>67</v>
      </c>
      <c r="B1893" s="10" t="s">
        <v>2191</v>
      </c>
      <c r="C1893" s="10" t="str" cm="1">
        <f t="array" ref="C1893">_xlfn.IFS(A1893&lt;20, "ภาคกลาง", A1893&lt;30, "ภาคตะวันออก", A1893&lt;50, "ภาคตะวันออกเฉียงเหนือ", A1893&lt;60, "ภาคเหนือ", A1893&lt;80, "ภาคกลาง/ตะวันตก", A1893&gt;=80, "ภาคใต้")</f>
        <v>ภาคกลาง/ตะวันตก</v>
      </c>
      <c r="D1893" s="64">
        <v>6708</v>
      </c>
      <c r="E1893" s="10" t="s">
        <v>2199</v>
      </c>
      <c r="F1893" s="11">
        <v>36867</v>
      </c>
      <c r="G1893" s="11">
        <v>37520</v>
      </c>
      <c r="H1893" s="11">
        <v>74387</v>
      </c>
      <c r="I1893" s="11">
        <v>26138</v>
      </c>
      <c r="J1893" s="66">
        <f t="shared" si="114"/>
        <v>49.561079220831594</v>
      </c>
      <c r="K1893" s="66">
        <f t="shared" si="115"/>
        <v>50.438920779168406</v>
      </c>
    </row>
    <row r="1894" spans="1:11" x14ac:dyDescent="0.3">
      <c r="A1894" s="10">
        <v>67</v>
      </c>
      <c r="B1894" s="10" t="s">
        <v>2191</v>
      </c>
      <c r="C1894" s="10" t="str" cm="1">
        <f t="array" ref="C1894">_xlfn.IFS(A1894&lt;20, "ภาคกลาง", A1894&lt;30, "ภาคตะวันออก", A1894&lt;50, "ภาคตะวันออกเฉียงเหนือ", A1894&lt;60, "ภาคเหนือ", A1894&lt;80, "ภาคกลาง/ตะวันตก", A1894&gt;=80, "ภาคใต้")</f>
        <v>ภาคกลาง/ตะวันตก</v>
      </c>
      <c r="D1894" s="64">
        <v>6709</v>
      </c>
      <c r="E1894" s="10" t="s">
        <v>2200</v>
      </c>
      <c r="F1894" s="11">
        <v>30585</v>
      </c>
      <c r="G1894" s="11">
        <v>31299</v>
      </c>
      <c r="H1894" s="11">
        <v>61884</v>
      </c>
      <c r="I1894" s="11">
        <v>26852</v>
      </c>
      <c r="J1894" s="66">
        <f t="shared" si="114"/>
        <v>49.423114213690127</v>
      </c>
      <c r="K1894" s="66">
        <f t="shared" si="115"/>
        <v>50.576885786309866</v>
      </c>
    </row>
    <row r="1895" spans="1:11" x14ac:dyDescent="0.3">
      <c r="A1895" s="10">
        <v>67</v>
      </c>
      <c r="B1895" s="10" t="s">
        <v>2191</v>
      </c>
      <c r="C1895" s="10" t="str" cm="1">
        <f t="array" ref="C1895">_xlfn.IFS(A1895&lt;20, "ภาคกลาง", A1895&lt;30, "ภาคตะวันออก", A1895&lt;50, "ภาคตะวันออกเฉียงเหนือ", A1895&lt;60, "ภาคเหนือ", A1895&lt;80, "ภาคกลาง/ตะวันตก", A1895&gt;=80, "ภาคใต้")</f>
        <v>ภาคกลาง/ตะวันตก</v>
      </c>
      <c r="D1895" s="64">
        <v>6710</v>
      </c>
      <c r="E1895" s="10" t="s">
        <v>2201</v>
      </c>
      <c r="F1895" s="11">
        <v>9472</v>
      </c>
      <c r="G1895" s="11">
        <v>9136</v>
      </c>
      <c r="H1895" s="11">
        <v>18608</v>
      </c>
      <c r="I1895" s="11">
        <v>7610</v>
      </c>
      <c r="J1895" s="66">
        <f t="shared" si="114"/>
        <v>50.902837489251937</v>
      </c>
      <c r="K1895" s="66">
        <f t="shared" si="115"/>
        <v>49.097162510748063</v>
      </c>
    </row>
    <row r="1896" spans="1:11" x14ac:dyDescent="0.3">
      <c r="A1896" s="10">
        <v>67</v>
      </c>
      <c r="B1896" s="10" t="s">
        <v>2191</v>
      </c>
      <c r="C1896" s="10" t="str" cm="1">
        <f t="array" ref="C1896">_xlfn.IFS(A1896&lt;20, "ภาคกลาง", A1896&lt;30, "ภาคตะวันออก", A1896&lt;50, "ภาคตะวันออกเฉียงเหนือ", A1896&lt;60, "ภาคเหนือ", A1896&lt;80, "ภาคกลาง/ตะวันตก", A1896&gt;=80, "ภาคใต้")</f>
        <v>ภาคกลาง/ตะวันตก</v>
      </c>
      <c r="D1896" s="64">
        <v>6711</v>
      </c>
      <c r="E1896" s="10" t="s">
        <v>2202</v>
      </c>
      <c r="F1896" s="11">
        <v>13723</v>
      </c>
      <c r="G1896" s="11">
        <v>14042</v>
      </c>
      <c r="H1896" s="11">
        <v>27765</v>
      </c>
      <c r="I1896" s="11">
        <v>9636</v>
      </c>
      <c r="J1896" s="66">
        <f t="shared" si="114"/>
        <v>49.425535746443366</v>
      </c>
      <c r="K1896" s="66">
        <f t="shared" si="115"/>
        <v>50.574464253556641</v>
      </c>
    </row>
    <row r="1897" spans="1:11" ht="27.6" x14ac:dyDescent="0.3">
      <c r="A1897" s="10">
        <v>67</v>
      </c>
      <c r="B1897" s="10" t="s">
        <v>2191</v>
      </c>
      <c r="C1897" s="10" t="str" cm="1">
        <f t="array" ref="C1897">_xlfn.IFS(A1897&lt;20, "ภาคกลาง", A1897&lt;30, "ภาคตะวันออก", A1897&lt;50, "ภาคตะวันออกเฉียงเหนือ", A1897&lt;60, "ภาคเหนือ", A1897&lt;80, "ภาคกลาง/ตะวันตก", A1897&gt;=80, "ภาคใต้")</f>
        <v>ภาคกลาง/ตะวันตก</v>
      </c>
      <c r="D1897" s="64">
        <v>6778</v>
      </c>
      <c r="E1897" s="10" t="s">
        <v>2203</v>
      </c>
      <c r="F1897" s="11">
        <v>18245</v>
      </c>
      <c r="G1897" s="11">
        <v>18203</v>
      </c>
      <c r="H1897" s="11">
        <v>36448</v>
      </c>
      <c r="I1897" s="11">
        <v>13251</v>
      </c>
      <c r="J1897" s="66">
        <f t="shared" si="114"/>
        <v>50.057616330114129</v>
      </c>
      <c r="K1897" s="66">
        <f t="shared" si="115"/>
        <v>49.942383669885864</v>
      </c>
    </row>
    <row r="1898" spans="1:11" ht="27.6" x14ac:dyDescent="0.3">
      <c r="A1898" s="10">
        <v>67</v>
      </c>
      <c r="B1898" s="10" t="s">
        <v>2191</v>
      </c>
      <c r="C1898" s="10" t="str" cm="1">
        <f t="array" ref="C1898">_xlfn.IFS(A1898&lt;20, "ภาคกลาง", A1898&lt;30, "ภาคตะวันออก", A1898&lt;50, "ภาคตะวันออกเฉียงเหนือ", A1898&lt;60, "ภาคเหนือ", A1898&lt;80, "ภาคกลาง/ตะวันตก", A1898&gt;=80, "ภาคใต้")</f>
        <v>ภาคกลาง/ตะวันตก</v>
      </c>
      <c r="D1898" s="64">
        <v>6779</v>
      </c>
      <c r="E1898" s="10" t="s">
        <v>2204</v>
      </c>
      <c r="F1898" s="11">
        <v>2565</v>
      </c>
      <c r="G1898" s="11">
        <v>2792</v>
      </c>
      <c r="H1898" s="11">
        <v>5357</v>
      </c>
      <c r="I1898" s="11">
        <v>3336</v>
      </c>
      <c r="J1898" s="66">
        <f t="shared" si="114"/>
        <v>47.881276834048911</v>
      </c>
      <c r="K1898" s="66">
        <f t="shared" si="115"/>
        <v>52.118723165951096</v>
      </c>
    </row>
    <row r="1899" spans="1:11" ht="27.6" x14ac:dyDescent="0.3">
      <c r="A1899" s="10">
        <v>67</v>
      </c>
      <c r="B1899" s="10" t="s">
        <v>2191</v>
      </c>
      <c r="C1899" s="10" t="str" cm="1">
        <f t="array" ref="C1899">_xlfn.IFS(A1899&lt;20, "ภาคกลาง", A1899&lt;30, "ภาคตะวันออก", A1899&lt;50, "ภาคตะวันออกเฉียงเหนือ", A1899&lt;60, "ภาคเหนือ", A1899&lt;80, "ภาคกลาง/ตะวันตก", A1899&gt;=80, "ภาคใต้")</f>
        <v>ภาคกลาง/ตะวันตก</v>
      </c>
      <c r="D1899" s="64">
        <v>6780</v>
      </c>
      <c r="E1899" s="10" t="s">
        <v>2205</v>
      </c>
      <c r="F1899" s="11">
        <v>3172</v>
      </c>
      <c r="G1899" s="11">
        <v>3222</v>
      </c>
      <c r="H1899" s="11">
        <v>6394</v>
      </c>
      <c r="I1899" s="11">
        <v>2250</v>
      </c>
      <c r="J1899" s="66">
        <f t="shared" si="114"/>
        <v>49.609008445417579</v>
      </c>
      <c r="K1899" s="66">
        <f t="shared" si="115"/>
        <v>50.390991554582421</v>
      </c>
    </row>
    <row r="1900" spans="1:11" x14ac:dyDescent="0.3">
      <c r="A1900" s="10">
        <v>67</v>
      </c>
      <c r="B1900" s="10" t="s">
        <v>2191</v>
      </c>
      <c r="C1900" s="10" t="str" cm="1">
        <f t="array" ref="C1900">_xlfn.IFS(A1900&lt;20, "ภาคกลาง", A1900&lt;30, "ภาคตะวันออก", A1900&lt;50, "ภาคตะวันออกเฉียงเหนือ", A1900&lt;60, "ภาคเหนือ", A1900&lt;80, "ภาคกลาง/ตะวันตก", A1900&gt;=80, "ภาคใต้")</f>
        <v>ภาคกลาง/ตะวันตก</v>
      </c>
      <c r="D1900" s="64">
        <v>6781</v>
      </c>
      <c r="E1900" s="10" t="s">
        <v>2206</v>
      </c>
      <c r="F1900" s="11">
        <v>2874</v>
      </c>
      <c r="G1900" s="11">
        <v>2867</v>
      </c>
      <c r="H1900" s="11">
        <v>5741</v>
      </c>
      <c r="I1900" s="11">
        <v>1955</v>
      </c>
      <c r="J1900" s="66">
        <f t="shared" si="114"/>
        <v>50.060964988677938</v>
      </c>
      <c r="K1900" s="66">
        <f t="shared" si="115"/>
        <v>49.939035011322069</v>
      </c>
    </row>
    <row r="1901" spans="1:11" x14ac:dyDescent="0.3">
      <c r="A1901" s="10">
        <v>67</v>
      </c>
      <c r="B1901" s="10" t="s">
        <v>2191</v>
      </c>
      <c r="C1901" s="10" t="str" cm="1">
        <f t="array" ref="C1901">_xlfn.IFS(A1901&lt;20, "ภาคกลาง", A1901&lt;30, "ภาคตะวันออก", A1901&lt;50, "ภาคตะวันออกเฉียงเหนือ", A1901&lt;60, "ภาคเหนือ", A1901&lt;80, "ภาคกลาง/ตะวันตก", A1901&gt;=80, "ภาคใต้")</f>
        <v>ภาคกลาง/ตะวันตก</v>
      </c>
      <c r="D1901" s="64">
        <v>6782</v>
      </c>
      <c r="E1901" s="10" t="s">
        <v>2207</v>
      </c>
      <c r="F1901" s="11">
        <v>4614</v>
      </c>
      <c r="G1901" s="11">
        <v>4798</v>
      </c>
      <c r="H1901" s="11">
        <v>9412</v>
      </c>
      <c r="I1901" s="11">
        <v>3126</v>
      </c>
      <c r="J1901" s="66">
        <f t="shared" si="114"/>
        <v>49.022524436889078</v>
      </c>
      <c r="K1901" s="66">
        <f t="shared" si="115"/>
        <v>50.977475563110922</v>
      </c>
    </row>
    <row r="1902" spans="1:11" ht="27.6" x14ac:dyDescent="0.3">
      <c r="A1902" s="10">
        <v>67</v>
      </c>
      <c r="B1902" s="10" t="s">
        <v>2191</v>
      </c>
      <c r="C1902" s="10" t="str" cm="1">
        <f t="array" ref="C1902">_xlfn.IFS(A1902&lt;20, "ภาคกลาง", A1902&lt;30, "ภาคตะวันออก", A1902&lt;50, "ภาคตะวันออกเฉียงเหนือ", A1902&lt;60, "ภาคเหนือ", A1902&lt;80, "ภาคกลาง/ตะวันตก", A1902&gt;=80, "ภาคใต้")</f>
        <v>ภาคกลาง/ตะวันตก</v>
      </c>
      <c r="D1902" s="64">
        <v>6783</v>
      </c>
      <c r="E1902" s="10" t="s">
        <v>2208</v>
      </c>
      <c r="F1902" s="11">
        <v>5971</v>
      </c>
      <c r="G1902" s="11">
        <v>6711</v>
      </c>
      <c r="H1902" s="11">
        <v>12682</v>
      </c>
      <c r="I1902" s="11">
        <v>5901</v>
      </c>
      <c r="J1902" s="66">
        <f t="shared" si="114"/>
        <v>47.082479104242232</v>
      </c>
      <c r="K1902" s="66">
        <f t="shared" si="115"/>
        <v>52.917520895757761</v>
      </c>
    </row>
    <row r="1903" spans="1:11" x14ac:dyDescent="0.3">
      <c r="A1903" s="10">
        <v>67</v>
      </c>
      <c r="B1903" s="10" t="s">
        <v>2191</v>
      </c>
      <c r="C1903" s="10" t="str" cm="1">
        <f t="array" ref="C1903">_xlfn.IFS(A1903&lt;20, "ภาคกลาง", A1903&lt;30, "ภาคตะวันออก", A1903&lt;50, "ภาคตะวันออกเฉียงเหนือ", A1903&lt;60, "ภาคเหนือ", A1903&lt;80, "ภาคกลาง/ตะวันตก", A1903&gt;=80, "ภาคใต้")</f>
        <v>ภาคกลาง/ตะวันตก</v>
      </c>
      <c r="D1903" s="64">
        <v>6784</v>
      </c>
      <c r="E1903" s="10" t="s">
        <v>2209</v>
      </c>
      <c r="F1903" s="11">
        <v>3636</v>
      </c>
      <c r="G1903" s="11">
        <v>3693</v>
      </c>
      <c r="H1903" s="11">
        <v>7329</v>
      </c>
      <c r="I1903" s="11">
        <v>2659</v>
      </c>
      <c r="J1903" s="66">
        <f t="shared" si="114"/>
        <v>49.611133851821535</v>
      </c>
      <c r="K1903" s="66">
        <f t="shared" si="115"/>
        <v>50.388866148178465</v>
      </c>
    </row>
    <row r="1904" spans="1:11" x14ac:dyDescent="0.3">
      <c r="A1904" s="10">
        <v>67</v>
      </c>
      <c r="B1904" s="10" t="s">
        <v>2191</v>
      </c>
      <c r="C1904" s="10" t="str" cm="1">
        <f t="array" ref="C1904">_xlfn.IFS(A1904&lt;20, "ภาคกลาง", A1904&lt;30, "ภาคตะวันออก", A1904&lt;50, "ภาคตะวันออกเฉียงเหนือ", A1904&lt;60, "ภาคเหนือ", A1904&lt;80, "ภาคกลาง/ตะวันตก", A1904&gt;=80, "ภาคใต้")</f>
        <v>ภาคกลาง/ตะวันตก</v>
      </c>
      <c r="D1904" s="64">
        <v>6785</v>
      </c>
      <c r="E1904" s="10" t="s">
        <v>2210</v>
      </c>
      <c r="F1904" s="11">
        <v>1769</v>
      </c>
      <c r="G1904" s="11">
        <v>1992</v>
      </c>
      <c r="H1904" s="11">
        <v>3761</v>
      </c>
      <c r="I1904" s="11">
        <v>1570</v>
      </c>
      <c r="J1904" s="66">
        <f t="shared" si="114"/>
        <v>47.035362935389522</v>
      </c>
      <c r="K1904" s="66">
        <f t="shared" si="115"/>
        <v>52.964637064610478</v>
      </c>
    </row>
    <row r="1905" spans="1:11" ht="27.6" x14ac:dyDescent="0.3">
      <c r="A1905" s="10">
        <v>67</v>
      </c>
      <c r="B1905" s="10" t="s">
        <v>2191</v>
      </c>
      <c r="C1905" s="10" t="str" cm="1">
        <f t="array" ref="C1905">_xlfn.IFS(A1905&lt;20, "ภาคกลาง", A1905&lt;30, "ภาคตะวันออก", A1905&lt;50, "ภาคตะวันออกเฉียงเหนือ", A1905&lt;60, "ภาคเหนือ", A1905&lt;80, "ภาคกลาง/ตะวันตก", A1905&gt;=80, "ภาคใต้")</f>
        <v>ภาคกลาง/ตะวันตก</v>
      </c>
      <c r="D1905" s="64">
        <v>6786</v>
      </c>
      <c r="E1905" s="10" t="s">
        <v>2211</v>
      </c>
      <c r="F1905" s="11">
        <v>1565</v>
      </c>
      <c r="G1905" s="11">
        <v>1698</v>
      </c>
      <c r="H1905" s="11">
        <v>3263</v>
      </c>
      <c r="I1905" s="11">
        <v>1108</v>
      </c>
      <c r="J1905" s="66">
        <f t="shared" si="114"/>
        <v>47.96199816120135</v>
      </c>
      <c r="K1905" s="66">
        <f t="shared" si="115"/>
        <v>52.03800183879865</v>
      </c>
    </row>
    <row r="1906" spans="1:11" x14ac:dyDescent="0.3">
      <c r="A1906" s="10">
        <v>67</v>
      </c>
      <c r="B1906" s="10" t="s">
        <v>2191</v>
      </c>
      <c r="C1906" s="10" t="str" cm="1">
        <f t="array" ref="C1906">_xlfn.IFS(A1906&lt;20, "ภาคกลาง", A1906&lt;30, "ภาคตะวันออก", A1906&lt;50, "ภาคตะวันออกเฉียงเหนือ", A1906&lt;60, "ภาคเหนือ", A1906&lt;80, "ภาคกลาง/ตะวันตก", A1906&gt;=80, "ภาคใต้")</f>
        <v>ภาคกลาง/ตะวันตก</v>
      </c>
      <c r="D1906" s="64">
        <v>6787</v>
      </c>
      <c r="E1906" s="10" t="s">
        <v>1375</v>
      </c>
      <c r="F1906" s="11">
        <v>3996</v>
      </c>
      <c r="G1906" s="11">
        <v>4242</v>
      </c>
      <c r="H1906" s="11">
        <v>8238</v>
      </c>
      <c r="I1906" s="11">
        <v>5186</v>
      </c>
      <c r="J1906" s="66">
        <f t="shared" si="114"/>
        <v>48.506919155134739</v>
      </c>
      <c r="K1906" s="66">
        <f t="shared" si="115"/>
        <v>51.493080844865261</v>
      </c>
    </row>
    <row r="1907" spans="1:11" ht="27.6" x14ac:dyDescent="0.3">
      <c r="A1907" s="10">
        <v>67</v>
      </c>
      <c r="B1907" s="10" t="s">
        <v>2191</v>
      </c>
      <c r="C1907" s="10" t="str" cm="1">
        <f t="array" ref="C1907">_xlfn.IFS(A1907&lt;20, "ภาคกลาง", A1907&lt;30, "ภาคตะวันออก", A1907&lt;50, "ภาคตะวันออกเฉียงเหนือ", A1907&lt;60, "ภาคเหนือ", A1907&lt;80, "ภาคกลาง/ตะวันตก", A1907&gt;=80, "ภาคใต้")</f>
        <v>ภาคกลาง/ตะวันตก</v>
      </c>
      <c r="D1907" s="64">
        <v>6788</v>
      </c>
      <c r="E1907" s="10" t="s">
        <v>2212</v>
      </c>
      <c r="F1907" s="11">
        <v>3284</v>
      </c>
      <c r="G1907" s="11">
        <v>3656</v>
      </c>
      <c r="H1907" s="11">
        <v>6940</v>
      </c>
      <c r="I1907" s="11">
        <v>3906</v>
      </c>
      <c r="J1907" s="66">
        <f t="shared" si="114"/>
        <v>47.319884726224778</v>
      </c>
      <c r="K1907" s="66">
        <f t="shared" si="115"/>
        <v>52.680115273775222</v>
      </c>
    </row>
    <row r="1908" spans="1:11" ht="27.6" x14ac:dyDescent="0.3">
      <c r="A1908" s="10">
        <v>67</v>
      </c>
      <c r="B1908" s="10" t="s">
        <v>2191</v>
      </c>
      <c r="C1908" s="10" t="str" cm="1">
        <f t="array" ref="C1908">_xlfn.IFS(A1908&lt;20, "ภาคกลาง", A1908&lt;30, "ภาคตะวันออก", A1908&lt;50, "ภาคตะวันออกเฉียงเหนือ", A1908&lt;60, "ภาคเหนือ", A1908&lt;80, "ภาคกลาง/ตะวันตก", A1908&gt;=80, "ภาคใต้")</f>
        <v>ภาคกลาง/ตะวันตก</v>
      </c>
      <c r="D1908" s="64">
        <v>6789</v>
      </c>
      <c r="E1908" s="10" t="s">
        <v>2213</v>
      </c>
      <c r="F1908" s="11">
        <v>1897</v>
      </c>
      <c r="G1908" s="11">
        <v>2137</v>
      </c>
      <c r="H1908" s="11">
        <v>4034</v>
      </c>
      <c r="I1908" s="11">
        <v>1781</v>
      </c>
      <c r="J1908" s="66">
        <f t="shared" si="114"/>
        <v>47.025285076846799</v>
      </c>
      <c r="K1908" s="66">
        <f t="shared" si="115"/>
        <v>52.974714923153201</v>
      </c>
    </row>
    <row r="1909" spans="1:11" x14ac:dyDescent="0.3">
      <c r="A1909" s="10">
        <v>67</v>
      </c>
      <c r="B1909" s="10" t="s">
        <v>2191</v>
      </c>
      <c r="C1909" s="10" t="str" cm="1">
        <f t="array" ref="C1909">_xlfn.IFS(A1909&lt;20, "ภาคกลาง", A1909&lt;30, "ภาคตะวันออก", A1909&lt;50, "ภาคตะวันออกเฉียงเหนือ", A1909&lt;60, "ภาคเหนือ", A1909&lt;80, "ภาคกลาง/ตะวันตก", A1909&gt;=80, "ภาคใต้")</f>
        <v>ภาคกลาง/ตะวันตก</v>
      </c>
      <c r="D1909" s="64">
        <v>6790</v>
      </c>
      <c r="E1909" s="10" t="s">
        <v>2214</v>
      </c>
      <c r="F1909" s="11">
        <v>3016</v>
      </c>
      <c r="G1909" s="11">
        <v>3331</v>
      </c>
      <c r="H1909" s="11">
        <v>6347</v>
      </c>
      <c r="I1909" s="11">
        <v>3004</v>
      </c>
      <c r="J1909" s="66">
        <f t="shared" si="114"/>
        <v>47.518512683157397</v>
      </c>
      <c r="K1909" s="66">
        <f t="shared" si="115"/>
        <v>52.481487316842603</v>
      </c>
    </row>
    <row r="1910" spans="1:11" x14ac:dyDescent="0.3">
      <c r="A1910" s="10">
        <v>67</v>
      </c>
      <c r="B1910" s="10" t="s">
        <v>2191</v>
      </c>
      <c r="C1910" s="10" t="str" cm="1">
        <f t="array" ref="C1910">_xlfn.IFS(A1910&lt;20, "ภาคกลาง", A1910&lt;30, "ภาคตะวันออก", A1910&lt;50, "ภาคตะวันออกเฉียงเหนือ", A1910&lt;60, "ภาคเหนือ", A1910&lt;80, "ภาคกลาง/ตะวันตก", A1910&gt;=80, "ภาคใต้")</f>
        <v>ภาคกลาง/ตะวันตก</v>
      </c>
      <c r="D1910" s="64">
        <v>6791</v>
      </c>
      <c r="E1910" s="10" t="s">
        <v>2215</v>
      </c>
      <c r="F1910" s="11">
        <v>10253</v>
      </c>
      <c r="G1910" s="11">
        <v>11339</v>
      </c>
      <c r="H1910" s="11">
        <v>21592</v>
      </c>
      <c r="I1910" s="11">
        <v>9093</v>
      </c>
      <c r="J1910" s="66">
        <f t="shared" si="114"/>
        <v>47.485179696183771</v>
      </c>
      <c r="K1910" s="66">
        <f t="shared" si="115"/>
        <v>52.514820303816222</v>
      </c>
    </row>
    <row r="1911" spans="1:11" x14ac:dyDescent="0.3">
      <c r="A1911" s="10">
        <v>67</v>
      </c>
      <c r="B1911" s="10" t="s">
        <v>2191</v>
      </c>
      <c r="C1911" s="10" t="str" cm="1">
        <f t="array" ref="C1911">_xlfn.IFS(A1911&lt;20, "ภาคกลาง", A1911&lt;30, "ภาคตะวันออก", A1911&lt;50, "ภาคตะวันออกเฉียงเหนือ", A1911&lt;60, "ภาคเหนือ", A1911&lt;80, "ภาคกลาง/ตะวันตก", A1911&gt;=80, "ภาคใต้")</f>
        <v>ภาคกลาง/ตะวันตก</v>
      </c>
      <c r="D1911" s="64">
        <v>6792</v>
      </c>
      <c r="E1911" s="10" t="s">
        <v>2216</v>
      </c>
      <c r="F1911" s="11">
        <v>3426</v>
      </c>
      <c r="G1911" s="11">
        <v>3580</v>
      </c>
      <c r="H1911" s="11">
        <v>7006</v>
      </c>
      <c r="I1911" s="11">
        <v>3080</v>
      </c>
      <c r="J1911" s="66">
        <f t="shared" si="114"/>
        <v>48.900942049671706</v>
      </c>
      <c r="K1911" s="66">
        <f t="shared" si="115"/>
        <v>51.099057950328287</v>
      </c>
    </row>
    <row r="1912" spans="1:11" x14ac:dyDescent="0.3">
      <c r="A1912" s="10">
        <v>67</v>
      </c>
      <c r="B1912" s="10" t="s">
        <v>2191</v>
      </c>
      <c r="C1912" s="10" t="str" cm="1">
        <f t="array" ref="C1912">_xlfn.IFS(A1912&lt;20, "ภาคกลาง", A1912&lt;30, "ภาคตะวันออก", A1912&lt;50, "ภาคตะวันออกเฉียงเหนือ", A1912&lt;60, "ภาคเหนือ", A1912&lt;80, "ภาคกลาง/ตะวันตก", A1912&gt;=80, "ภาคใต้")</f>
        <v>ภาคกลาง/ตะวันตก</v>
      </c>
      <c r="D1912" s="64">
        <v>6793</v>
      </c>
      <c r="E1912" s="10" t="s">
        <v>815</v>
      </c>
      <c r="F1912" s="11">
        <v>2589</v>
      </c>
      <c r="G1912" s="11">
        <v>2919</v>
      </c>
      <c r="H1912" s="11">
        <v>5508</v>
      </c>
      <c r="I1912" s="11">
        <v>2697</v>
      </c>
      <c r="J1912" s="66">
        <f t="shared" si="114"/>
        <v>47.00435729847495</v>
      </c>
      <c r="K1912" s="66">
        <f t="shared" si="115"/>
        <v>52.995642701525057</v>
      </c>
    </row>
    <row r="1913" spans="1:11" x14ac:dyDescent="0.3">
      <c r="A1913" s="10">
        <v>67</v>
      </c>
      <c r="B1913" s="10" t="s">
        <v>2191</v>
      </c>
      <c r="C1913" s="10" t="str" cm="1">
        <f t="array" ref="C1913">_xlfn.IFS(A1913&lt;20, "ภาคกลาง", A1913&lt;30, "ภาคตะวันออก", A1913&lt;50, "ภาคตะวันออกเฉียงเหนือ", A1913&lt;60, "ภาคเหนือ", A1913&lt;80, "ภาคกลาง/ตะวันตก", A1913&gt;=80, "ภาคใต้")</f>
        <v>ภาคกลาง/ตะวันตก</v>
      </c>
      <c r="D1913" s="64">
        <v>6794</v>
      </c>
      <c r="E1913" s="10" t="s">
        <v>2217</v>
      </c>
      <c r="F1913" s="11">
        <v>1192</v>
      </c>
      <c r="G1913" s="11">
        <v>1188</v>
      </c>
      <c r="H1913" s="11">
        <v>2380</v>
      </c>
      <c r="I1913" s="11">
        <v>1001</v>
      </c>
      <c r="J1913" s="66">
        <f t="shared" si="114"/>
        <v>50.084033613445378</v>
      </c>
      <c r="K1913" s="66">
        <f t="shared" si="115"/>
        <v>49.915966386554622</v>
      </c>
    </row>
    <row r="1914" spans="1:11" x14ac:dyDescent="0.3">
      <c r="A1914" s="10">
        <v>67</v>
      </c>
      <c r="B1914" s="10" t="s">
        <v>2191</v>
      </c>
      <c r="C1914" s="10" t="str" cm="1">
        <f t="array" ref="C1914">_xlfn.IFS(A1914&lt;20, "ภาคกลาง", A1914&lt;30, "ภาคตะวันออก", A1914&lt;50, "ภาคตะวันออกเฉียงเหนือ", A1914&lt;60, "ภาคเหนือ", A1914&lt;80, "ภาคกลาง/ตะวันตก", A1914&gt;=80, "ภาคใต้")</f>
        <v>ภาคกลาง/ตะวันตก</v>
      </c>
      <c r="D1914" s="64">
        <v>6795</v>
      </c>
      <c r="E1914" s="10" t="s">
        <v>2218</v>
      </c>
      <c r="F1914" s="11">
        <v>1146</v>
      </c>
      <c r="G1914" s="11">
        <v>1288</v>
      </c>
      <c r="H1914" s="11">
        <v>2434</v>
      </c>
      <c r="I1914" s="11">
        <v>1087</v>
      </c>
      <c r="J1914" s="66">
        <f t="shared" si="114"/>
        <v>47.082990961380446</v>
      </c>
      <c r="K1914" s="66">
        <f t="shared" si="115"/>
        <v>52.917009038619554</v>
      </c>
    </row>
    <row r="1915" spans="1:11" x14ac:dyDescent="0.3">
      <c r="A1915" s="10">
        <v>67</v>
      </c>
      <c r="B1915" s="10" t="s">
        <v>2191</v>
      </c>
      <c r="C1915" s="10" t="str" cm="1">
        <f t="array" ref="C1915">_xlfn.IFS(A1915&lt;20, "ภาคกลาง", A1915&lt;30, "ภาคตะวันออก", A1915&lt;50, "ภาคตะวันออกเฉียงเหนือ", A1915&lt;60, "ภาคเหนือ", A1915&lt;80, "ภาคกลาง/ตะวันตก", A1915&gt;=80, "ภาคใต้")</f>
        <v>ภาคกลาง/ตะวันตก</v>
      </c>
      <c r="D1915" s="64">
        <v>6796</v>
      </c>
      <c r="E1915" s="10" t="s">
        <v>2219</v>
      </c>
      <c r="F1915" s="11">
        <v>1727</v>
      </c>
      <c r="G1915" s="11">
        <v>1649</v>
      </c>
      <c r="H1915" s="11">
        <v>3376</v>
      </c>
      <c r="I1915" s="11">
        <v>1867</v>
      </c>
      <c r="J1915" s="66">
        <f t="shared" si="114"/>
        <v>51.155213270142177</v>
      </c>
      <c r="K1915" s="66">
        <f t="shared" si="115"/>
        <v>48.844786729857823</v>
      </c>
    </row>
    <row r="1916" spans="1:11" x14ac:dyDescent="0.3">
      <c r="A1916" s="10">
        <v>67</v>
      </c>
      <c r="B1916" s="10" t="s">
        <v>2191</v>
      </c>
      <c r="C1916" s="10" t="str" cm="1">
        <f t="array" ref="C1916">_xlfn.IFS(A1916&lt;20, "ภาคกลาง", A1916&lt;30, "ภาคตะวันออก", A1916&lt;50, "ภาคตะวันออกเฉียงเหนือ", A1916&lt;60, "ภาคเหนือ", A1916&lt;80, "ภาคกลาง/ตะวันตก", A1916&gt;=80, "ภาคใต้")</f>
        <v>ภาคกลาง/ตะวันตก</v>
      </c>
      <c r="D1916" s="64">
        <v>6797</v>
      </c>
      <c r="E1916" s="10" t="s">
        <v>2220</v>
      </c>
      <c r="F1916" s="11">
        <v>1536</v>
      </c>
      <c r="G1916" s="11">
        <v>1760</v>
      </c>
      <c r="H1916" s="11">
        <v>3296</v>
      </c>
      <c r="I1916" s="11">
        <v>1355</v>
      </c>
      <c r="J1916" s="66">
        <f t="shared" si="114"/>
        <v>46.601941747572816</v>
      </c>
      <c r="K1916" s="66">
        <f t="shared" si="115"/>
        <v>53.398058252427184</v>
      </c>
    </row>
    <row r="1917" spans="1:11" x14ac:dyDescent="0.3">
      <c r="A1917" s="10">
        <v>67</v>
      </c>
      <c r="B1917" s="10" t="s">
        <v>2191</v>
      </c>
      <c r="C1917" s="10" t="str" cm="1">
        <f t="array" ref="C1917">_xlfn.IFS(A1917&lt;20, "ภาคกลาง", A1917&lt;30, "ภาคตะวันออก", A1917&lt;50, "ภาคตะวันออกเฉียงเหนือ", A1917&lt;60, "ภาคเหนือ", A1917&lt;80, "ภาคกลาง/ตะวันตก", A1917&gt;=80, "ภาคใต้")</f>
        <v>ภาคกลาง/ตะวันตก</v>
      </c>
      <c r="D1917" s="64">
        <v>6798</v>
      </c>
      <c r="E1917" s="10" t="s">
        <v>2221</v>
      </c>
      <c r="F1917" s="11">
        <v>3501</v>
      </c>
      <c r="G1917" s="11">
        <v>3858</v>
      </c>
      <c r="H1917" s="11">
        <v>7359</v>
      </c>
      <c r="I1917" s="11">
        <v>2653</v>
      </c>
      <c r="J1917" s="66">
        <f t="shared" si="114"/>
        <v>47.574398695474926</v>
      </c>
      <c r="K1917" s="66">
        <f t="shared" si="115"/>
        <v>52.425601304525074</v>
      </c>
    </row>
    <row r="1918" spans="1:11" ht="27.6" x14ac:dyDescent="0.3">
      <c r="A1918" s="10">
        <v>67</v>
      </c>
      <c r="B1918" s="10" t="s">
        <v>2191</v>
      </c>
      <c r="C1918" s="10" t="str" cm="1">
        <f t="array" ref="C1918">_xlfn.IFS(A1918&lt;20, "ภาคกลาง", A1918&lt;30, "ภาคตะวันออก", A1918&lt;50, "ภาคตะวันออกเฉียงเหนือ", A1918&lt;60, "ภาคเหนือ", A1918&lt;80, "ภาคกลาง/ตะวันตก", A1918&gt;=80, "ภาคใต้")</f>
        <v>ภาคกลาง/ตะวันตก</v>
      </c>
      <c r="D1918" s="64">
        <v>6799</v>
      </c>
      <c r="E1918" s="10" t="s">
        <v>2222</v>
      </c>
      <c r="F1918" s="11">
        <v>5153</v>
      </c>
      <c r="G1918" s="11">
        <v>5783</v>
      </c>
      <c r="H1918" s="11">
        <v>10936</v>
      </c>
      <c r="I1918" s="11">
        <v>6740</v>
      </c>
      <c r="J1918" s="66">
        <f t="shared" si="114"/>
        <v>47.119604974396488</v>
      </c>
      <c r="K1918" s="66">
        <f t="shared" si="115"/>
        <v>52.880395025603512</v>
      </c>
    </row>
    <row r="1919" spans="1:11" hidden="1" x14ac:dyDescent="0.3">
      <c r="A1919" s="10">
        <v>67</v>
      </c>
      <c r="B1919" s="10" t="s">
        <v>2191</v>
      </c>
      <c r="C1919" s="10" t="str" cm="1">
        <f t="array" ref="C1919">_xlfn.IFS(A1919&lt;20, "ภาคกลาง", A1919&lt;30, "ภาคตะวันออก", A1919&lt;50, "ภาคตะวันออกเฉียงเหนือ", A1919&lt;60, "ภาคเหนือ", A1919&lt;80, "ภาคกลาง/ตะวันตก", A1919&gt;=80, "ภาคใต้")</f>
        <v>ภาคกลาง/ตะวันตก</v>
      </c>
      <c r="D1919" s="10">
        <v>0</v>
      </c>
      <c r="E1919" s="10" t="s">
        <v>343</v>
      </c>
      <c r="F1919" s="11">
        <v>9107</v>
      </c>
      <c r="G1919" s="11">
        <v>10478</v>
      </c>
      <c r="H1919" s="11">
        <v>19585</v>
      </c>
      <c r="I1919" s="11">
        <v>12945</v>
      </c>
      <c r="J1919"/>
      <c r="K1919"/>
    </row>
    <row r="1920" spans="1:11" x14ac:dyDescent="0.3">
      <c r="A1920" s="10">
        <v>70</v>
      </c>
      <c r="B1920" s="10" t="s">
        <v>2223</v>
      </c>
      <c r="C1920" s="10" t="str" cm="1">
        <f t="array" ref="C1920">_xlfn.IFS(A1920&lt;20, "ภาคกลาง", A1920&lt;30, "ภาคตะวันออก", A1920&lt;50, "ภาคตะวันออกเฉียงเหนือ", A1920&lt;60, "ภาคเหนือ", A1920&lt;80, "ภาคกลาง/ตะวันตก", A1920&gt;=80, "ภาคใต้")</f>
        <v>ภาคกลาง/ตะวันตก</v>
      </c>
      <c r="D1920" s="64">
        <v>7001</v>
      </c>
      <c r="E1920" s="10" t="s">
        <v>2224</v>
      </c>
      <c r="F1920" s="11">
        <v>418947</v>
      </c>
      <c r="G1920" s="11">
        <v>445090</v>
      </c>
      <c r="H1920" s="11">
        <v>864037</v>
      </c>
      <c r="I1920" s="11">
        <v>350718</v>
      </c>
      <c r="J1920" s="66">
        <f t="shared" ref="J1920:J1959" si="116">F1920/H1920*100</f>
        <v>48.487159693392762</v>
      </c>
      <c r="K1920" s="66">
        <f t="shared" ref="K1920:K1959" si="117">G1920/H1920*100</f>
        <v>51.512840306607245</v>
      </c>
    </row>
    <row r="1921" spans="1:11" x14ac:dyDescent="0.3">
      <c r="A1921" s="10">
        <v>70</v>
      </c>
      <c r="B1921" s="10" t="s">
        <v>2223</v>
      </c>
      <c r="C1921" s="10" t="str" cm="1">
        <f t="array" ref="C1921">_xlfn.IFS(A1921&lt;20, "ภาคกลาง", A1921&lt;30, "ภาคตะวันออก", A1921&lt;50, "ภาคตะวันออกเฉียงเหนือ", A1921&lt;60, "ภาคเหนือ", A1921&lt;80, "ภาคกลาง/ตะวันตก", A1921&gt;=80, "ภาคใต้")</f>
        <v>ภาคกลาง/ตะวันตก</v>
      </c>
      <c r="D1921" s="64">
        <v>7002</v>
      </c>
      <c r="E1921" s="10" t="s">
        <v>2225</v>
      </c>
      <c r="F1921" s="11">
        <v>60153</v>
      </c>
      <c r="G1921" s="11">
        <v>63962</v>
      </c>
      <c r="H1921" s="11">
        <v>124115</v>
      </c>
      <c r="I1921" s="11">
        <v>52162</v>
      </c>
      <c r="J1921" s="66">
        <f t="shared" si="116"/>
        <v>48.465535994843492</v>
      </c>
      <c r="K1921" s="66">
        <f t="shared" si="117"/>
        <v>51.534464005156508</v>
      </c>
    </row>
    <row r="1922" spans="1:11" x14ac:dyDescent="0.3">
      <c r="A1922" s="10">
        <v>70</v>
      </c>
      <c r="B1922" s="10" t="s">
        <v>2223</v>
      </c>
      <c r="C1922" s="10" t="str" cm="1">
        <f t="array" ref="C1922">_xlfn.IFS(A1922&lt;20, "ภาคกลาง", A1922&lt;30, "ภาคตะวันออก", A1922&lt;50, "ภาคตะวันออกเฉียงเหนือ", A1922&lt;60, "ภาคเหนือ", A1922&lt;80, "ภาคกลาง/ตะวันตก", A1922&gt;=80, "ภาคใต้")</f>
        <v>ภาคกลาง/ตะวันตก</v>
      </c>
      <c r="D1922" s="64">
        <v>7003</v>
      </c>
      <c r="E1922" s="10" t="s">
        <v>2226</v>
      </c>
      <c r="F1922" s="11">
        <v>28696</v>
      </c>
      <c r="G1922" s="11">
        <v>29645</v>
      </c>
      <c r="H1922" s="11">
        <v>58341</v>
      </c>
      <c r="I1922" s="11">
        <v>20865</v>
      </c>
      <c r="J1922" s="66">
        <f t="shared" si="116"/>
        <v>49.186678322277643</v>
      </c>
      <c r="K1922" s="66">
        <f t="shared" si="117"/>
        <v>50.813321677722357</v>
      </c>
    </row>
    <row r="1923" spans="1:11" x14ac:dyDescent="0.3">
      <c r="A1923" s="10">
        <v>70</v>
      </c>
      <c r="B1923" s="10" t="s">
        <v>2223</v>
      </c>
      <c r="C1923" s="10" t="str" cm="1">
        <f t="array" ref="C1923">_xlfn.IFS(A1923&lt;20, "ภาคกลาง", A1923&lt;30, "ภาคตะวันออก", A1923&lt;50, "ภาคตะวันออกเฉียงเหนือ", A1923&lt;60, "ภาคเหนือ", A1923&lt;80, "ภาคกลาง/ตะวันตก", A1923&gt;=80, "ภาคใต้")</f>
        <v>ภาคกลาง/ตะวันตก</v>
      </c>
      <c r="D1923" s="64">
        <v>7004</v>
      </c>
      <c r="E1923" s="10" t="s">
        <v>2227</v>
      </c>
      <c r="F1923" s="11">
        <v>25022</v>
      </c>
      <c r="G1923" s="11">
        <v>23126</v>
      </c>
      <c r="H1923" s="11">
        <v>48148</v>
      </c>
      <c r="I1923" s="11">
        <v>15578</v>
      </c>
      <c r="J1923" s="66">
        <f t="shared" si="116"/>
        <v>51.968929135166576</v>
      </c>
      <c r="K1923" s="66">
        <f t="shared" si="117"/>
        <v>48.031070864833431</v>
      </c>
    </row>
    <row r="1924" spans="1:11" x14ac:dyDescent="0.3">
      <c r="A1924" s="10">
        <v>70</v>
      </c>
      <c r="B1924" s="10" t="s">
        <v>2223</v>
      </c>
      <c r="C1924" s="10" t="str" cm="1">
        <f t="array" ref="C1924">_xlfn.IFS(A1924&lt;20, "ภาคกลาง", A1924&lt;30, "ภาคตะวันออก", A1924&lt;50, "ภาคตะวันออกเฉียงเหนือ", A1924&lt;60, "ภาคเหนือ", A1924&lt;80, "ภาคกลาง/ตะวันตก", A1924&gt;=80, "ภาคใต้")</f>
        <v>ภาคกลาง/ตะวันตก</v>
      </c>
      <c r="D1924" s="64">
        <v>7005</v>
      </c>
      <c r="E1924" s="10" t="s">
        <v>2228</v>
      </c>
      <c r="F1924" s="11">
        <v>34870</v>
      </c>
      <c r="G1924" s="11">
        <v>37345</v>
      </c>
      <c r="H1924" s="11">
        <v>72215</v>
      </c>
      <c r="I1924" s="11">
        <v>24547</v>
      </c>
      <c r="J1924" s="66">
        <f t="shared" si="116"/>
        <v>48.286367098248284</v>
      </c>
      <c r="K1924" s="66">
        <f t="shared" si="117"/>
        <v>51.713632901751716</v>
      </c>
    </row>
    <row r="1925" spans="1:11" x14ac:dyDescent="0.3">
      <c r="A1925" s="10">
        <v>70</v>
      </c>
      <c r="B1925" s="10" t="s">
        <v>2223</v>
      </c>
      <c r="C1925" s="10" t="str" cm="1">
        <f t="array" ref="C1925">_xlfn.IFS(A1925&lt;20, "ภาคกลาง", A1925&lt;30, "ภาคตะวันออก", A1925&lt;50, "ภาคตะวันออกเฉียงเหนือ", A1925&lt;60, "ภาคเหนือ", A1925&lt;80, "ภาคกลาง/ตะวันตก", A1925&gt;=80, "ภาคใต้")</f>
        <v>ภาคกลาง/ตะวันตก</v>
      </c>
      <c r="D1925" s="64">
        <v>7006</v>
      </c>
      <c r="E1925" s="10" t="s">
        <v>2229</v>
      </c>
      <c r="F1925" s="11">
        <v>46318</v>
      </c>
      <c r="G1925" s="11">
        <v>50415</v>
      </c>
      <c r="H1925" s="11">
        <v>96733</v>
      </c>
      <c r="I1925" s="11">
        <v>39680</v>
      </c>
      <c r="J1925" s="66">
        <f t="shared" si="116"/>
        <v>47.882315238853337</v>
      </c>
      <c r="K1925" s="66">
        <f t="shared" si="117"/>
        <v>52.117684761146663</v>
      </c>
    </row>
    <row r="1926" spans="1:11" x14ac:dyDescent="0.3">
      <c r="A1926" s="10">
        <v>70</v>
      </c>
      <c r="B1926" s="10" t="s">
        <v>2223</v>
      </c>
      <c r="C1926" s="10" t="str" cm="1">
        <f t="array" ref="C1926">_xlfn.IFS(A1926&lt;20, "ภาคกลาง", A1926&lt;30, "ภาคตะวันออก", A1926&lt;50, "ภาคตะวันออกเฉียงเหนือ", A1926&lt;60, "ภาคเหนือ", A1926&lt;80, "ภาคกลาง/ตะวันตก", A1926&gt;=80, "ภาคใต้")</f>
        <v>ภาคกลาง/ตะวันตก</v>
      </c>
      <c r="D1926" s="64">
        <v>7007</v>
      </c>
      <c r="E1926" s="10" t="s">
        <v>2230</v>
      </c>
      <c r="F1926" s="11">
        <v>8438</v>
      </c>
      <c r="G1926" s="11">
        <v>9222</v>
      </c>
      <c r="H1926" s="11">
        <v>17660</v>
      </c>
      <c r="I1926" s="11">
        <v>6927</v>
      </c>
      <c r="J1926" s="66">
        <f t="shared" si="116"/>
        <v>47.780294450736129</v>
      </c>
      <c r="K1926" s="66">
        <f t="shared" si="117"/>
        <v>52.219705549263871</v>
      </c>
    </row>
    <row r="1927" spans="1:11" x14ac:dyDescent="0.3">
      <c r="A1927" s="10">
        <v>70</v>
      </c>
      <c r="B1927" s="10" t="s">
        <v>2223</v>
      </c>
      <c r="C1927" s="10" t="str" cm="1">
        <f t="array" ref="C1927">_xlfn.IFS(A1927&lt;20, "ภาคกลาง", A1927&lt;30, "ภาคตะวันออก", A1927&lt;50, "ภาคตะวันออกเฉียงเหนือ", A1927&lt;60, "ภาคเหนือ", A1927&lt;80, "ภาคกลาง/ตะวันตก", A1927&gt;=80, "ภาคใต้")</f>
        <v>ภาคกลาง/ตะวันตก</v>
      </c>
      <c r="D1927" s="64">
        <v>7008</v>
      </c>
      <c r="E1927" s="10" t="s">
        <v>2231</v>
      </c>
      <c r="F1927" s="11">
        <v>34461</v>
      </c>
      <c r="G1927" s="11">
        <v>36798</v>
      </c>
      <c r="H1927" s="11">
        <v>71259</v>
      </c>
      <c r="I1927" s="11">
        <v>27161</v>
      </c>
      <c r="J1927" s="66">
        <f t="shared" si="116"/>
        <v>48.360207131730732</v>
      </c>
      <c r="K1927" s="66">
        <f t="shared" si="117"/>
        <v>51.639792868269275</v>
      </c>
    </row>
    <row r="1928" spans="1:11" x14ac:dyDescent="0.3">
      <c r="A1928" s="10">
        <v>70</v>
      </c>
      <c r="B1928" s="10" t="s">
        <v>2223</v>
      </c>
      <c r="C1928" s="10" t="str" cm="1">
        <f t="array" ref="C1928">_xlfn.IFS(A1928&lt;20, "ภาคกลาง", A1928&lt;30, "ภาคตะวันออก", A1928&lt;50, "ภาคตะวันออกเฉียงเหนือ", A1928&lt;60, "ภาคเหนือ", A1928&lt;80, "ภาคกลาง/ตะวันตก", A1928&gt;=80, "ภาคใต้")</f>
        <v>ภาคกลาง/ตะวันตก</v>
      </c>
      <c r="D1928" s="64">
        <v>7009</v>
      </c>
      <c r="E1928" s="10" t="s">
        <v>2232</v>
      </c>
      <c r="F1928" s="11">
        <v>25565</v>
      </c>
      <c r="G1928" s="11">
        <v>26158</v>
      </c>
      <c r="H1928" s="11">
        <v>51723</v>
      </c>
      <c r="I1928" s="11">
        <v>19939</v>
      </c>
      <c r="J1928" s="66">
        <f t="shared" si="116"/>
        <v>49.426754055255884</v>
      </c>
      <c r="K1928" s="66">
        <f t="shared" si="117"/>
        <v>50.573245944744116</v>
      </c>
    </row>
    <row r="1929" spans="1:11" x14ac:dyDescent="0.3">
      <c r="A1929" s="10">
        <v>70</v>
      </c>
      <c r="B1929" s="10" t="s">
        <v>2223</v>
      </c>
      <c r="C1929" s="10" t="str" cm="1">
        <f t="array" ref="C1929">_xlfn.IFS(A1929&lt;20, "ภาคกลาง", A1929&lt;30, "ภาคตะวันออก", A1929&lt;50, "ภาคตะวันออกเฉียงเหนือ", A1929&lt;60, "ภาคเหนือ", A1929&lt;80, "ภาคกลาง/ตะวันตก", A1929&gt;=80, "ภาคใต้")</f>
        <v>ภาคกลาง/ตะวันตก</v>
      </c>
      <c r="D1929" s="64">
        <v>7010</v>
      </c>
      <c r="E1929" s="10" t="s">
        <v>2233</v>
      </c>
      <c r="F1929" s="11">
        <v>5071</v>
      </c>
      <c r="G1929" s="11">
        <v>5598</v>
      </c>
      <c r="H1929" s="11">
        <v>10669</v>
      </c>
      <c r="I1929" s="11">
        <v>3836</v>
      </c>
      <c r="J1929" s="66">
        <f t="shared" si="116"/>
        <v>47.530227762676915</v>
      </c>
      <c r="K1929" s="66">
        <f t="shared" si="117"/>
        <v>52.469772237323085</v>
      </c>
    </row>
    <row r="1930" spans="1:11" ht="27.6" x14ac:dyDescent="0.3">
      <c r="A1930" s="10">
        <v>70</v>
      </c>
      <c r="B1930" s="10" t="s">
        <v>2223</v>
      </c>
      <c r="C1930" s="10" t="str" cm="1">
        <f t="array" ref="C1930">_xlfn.IFS(A1930&lt;20, "ภาคกลาง", A1930&lt;30, "ภาคตะวันออก", A1930&lt;50, "ภาคตะวันออกเฉียงเหนือ", A1930&lt;60, "ภาคเหนือ", A1930&lt;80, "ภาคกลาง/ตะวันตก", A1930&gt;=80, "ภาคใต้")</f>
        <v>ภาคกลาง/ตะวันตก</v>
      </c>
      <c r="D1930" s="64">
        <v>7070</v>
      </c>
      <c r="E1930" s="10" t="s">
        <v>2234</v>
      </c>
      <c r="F1930" s="11">
        <v>12777</v>
      </c>
      <c r="G1930" s="11">
        <v>12288</v>
      </c>
      <c r="H1930" s="11">
        <v>25065</v>
      </c>
      <c r="I1930" s="11">
        <v>10157</v>
      </c>
      <c r="J1930" s="66">
        <f t="shared" si="116"/>
        <v>50.975463794135244</v>
      </c>
      <c r="K1930" s="66">
        <f t="shared" si="117"/>
        <v>49.024536205864749</v>
      </c>
    </row>
    <row r="1931" spans="1:11" x14ac:dyDescent="0.3">
      <c r="A1931" s="10">
        <v>70</v>
      </c>
      <c r="B1931" s="10" t="s">
        <v>2223</v>
      </c>
      <c r="C1931" s="10" t="str" cm="1">
        <f t="array" ref="C1931">_xlfn.IFS(A1931&lt;20, "ภาคกลาง", A1931&lt;30, "ภาคตะวันออก", A1931&lt;50, "ภาคตะวันออกเฉียงเหนือ", A1931&lt;60, "ภาคเหนือ", A1931&lt;80, "ภาคกลาง/ตะวันตก", A1931&gt;=80, "ภาคใต้")</f>
        <v>ภาคกลาง/ตะวันตก</v>
      </c>
      <c r="D1931" s="64">
        <v>7071</v>
      </c>
      <c r="E1931" s="10" t="s">
        <v>2235</v>
      </c>
      <c r="F1931" s="11">
        <v>3322</v>
      </c>
      <c r="G1931" s="11">
        <v>3706</v>
      </c>
      <c r="H1931" s="11">
        <v>7028</v>
      </c>
      <c r="I1931" s="11">
        <v>3366</v>
      </c>
      <c r="J1931" s="66">
        <f t="shared" si="116"/>
        <v>47.268070574843485</v>
      </c>
      <c r="K1931" s="66">
        <f t="shared" si="117"/>
        <v>52.731929425156522</v>
      </c>
    </row>
    <row r="1932" spans="1:11" x14ac:dyDescent="0.3">
      <c r="A1932" s="10">
        <v>70</v>
      </c>
      <c r="B1932" s="10" t="s">
        <v>2223</v>
      </c>
      <c r="C1932" s="10" t="str" cm="1">
        <f t="array" ref="C1932">_xlfn.IFS(A1932&lt;20, "ภาคกลาง", A1932&lt;30, "ภาคตะวันออก", A1932&lt;50, "ภาคตะวันออกเฉียงเหนือ", A1932&lt;60, "ภาคเหนือ", A1932&lt;80, "ภาคกลาง/ตะวันตก", A1932&gt;=80, "ภาคใต้")</f>
        <v>ภาคกลาง/ตะวันตก</v>
      </c>
      <c r="D1932" s="64">
        <v>7072</v>
      </c>
      <c r="E1932" s="10" t="s">
        <v>2236</v>
      </c>
      <c r="F1932" s="11">
        <v>2534</v>
      </c>
      <c r="G1932" s="11">
        <v>2675</v>
      </c>
      <c r="H1932" s="11">
        <v>5209</v>
      </c>
      <c r="I1932" s="11">
        <v>2007</v>
      </c>
      <c r="J1932" s="66">
        <f t="shared" si="116"/>
        <v>48.646573238625457</v>
      </c>
      <c r="K1932" s="66">
        <f t="shared" si="117"/>
        <v>51.353426761374543</v>
      </c>
    </row>
    <row r="1933" spans="1:11" x14ac:dyDescent="0.3">
      <c r="A1933" s="10">
        <v>70</v>
      </c>
      <c r="B1933" s="10" t="s">
        <v>2223</v>
      </c>
      <c r="C1933" s="10" t="str" cm="1">
        <f t="array" ref="C1933">_xlfn.IFS(A1933&lt;20, "ภาคกลาง", A1933&lt;30, "ภาคตะวันออก", A1933&lt;50, "ภาคตะวันออกเฉียงเหนือ", A1933&lt;60, "ภาคเหนือ", A1933&lt;80, "ภาคกลาง/ตะวันตก", A1933&gt;=80, "ภาคใต้")</f>
        <v>ภาคกลาง/ตะวันตก</v>
      </c>
      <c r="D1933" s="64">
        <v>7073</v>
      </c>
      <c r="E1933" s="10" t="s">
        <v>2122</v>
      </c>
      <c r="F1933" s="11">
        <v>7654</v>
      </c>
      <c r="G1933" s="11">
        <v>8712</v>
      </c>
      <c r="H1933" s="11">
        <v>16366</v>
      </c>
      <c r="I1933" s="11">
        <v>7156</v>
      </c>
      <c r="J1933" s="66">
        <f t="shared" si="116"/>
        <v>46.767689111572771</v>
      </c>
      <c r="K1933" s="66">
        <f t="shared" si="117"/>
        <v>53.232310888427229</v>
      </c>
    </row>
    <row r="1934" spans="1:11" x14ac:dyDescent="0.3">
      <c r="A1934" s="10">
        <v>70</v>
      </c>
      <c r="B1934" s="10" t="s">
        <v>2223</v>
      </c>
      <c r="C1934" s="10" t="str" cm="1">
        <f t="array" ref="C1934">_xlfn.IFS(A1934&lt;20, "ภาคกลาง", A1934&lt;30, "ภาคตะวันออก", A1934&lt;50, "ภาคตะวันออกเฉียงเหนือ", A1934&lt;60, "ภาคเหนือ", A1934&lt;80, "ภาคกลาง/ตะวันตก", A1934&gt;=80, "ภาคใต้")</f>
        <v>ภาคกลาง/ตะวันตก</v>
      </c>
      <c r="D1934" s="64">
        <v>7074</v>
      </c>
      <c r="E1934" s="10" t="s">
        <v>2237</v>
      </c>
      <c r="F1934" s="11">
        <v>6903</v>
      </c>
      <c r="G1934" s="11">
        <v>7043</v>
      </c>
      <c r="H1934" s="11">
        <v>13946</v>
      </c>
      <c r="I1934" s="11">
        <v>4712</v>
      </c>
      <c r="J1934" s="66">
        <f t="shared" si="116"/>
        <v>49.498063960992397</v>
      </c>
      <c r="K1934" s="66">
        <f t="shared" si="117"/>
        <v>50.501936039007603</v>
      </c>
    </row>
    <row r="1935" spans="1:11" ht="27.6" x14ac:dyDescent="0.3">
      <c r="A1935" s="10">
        <v>70</v>
      </c>
      <c r="B1935" s="10" t="s">
        <v>2223</v>
      </c>
      <c r="C1935" s="10" t="str" cm="1">
        <f t="array" ref="C1935">_xlfn.IFS(A1935&lt;20, "ภาคกลาง", A1935&lt;30, "ภาคตะวันออก", A1935&lt;50, "ภาคตะวันออกเฉียงเหนือ", A1935&lt;60, "ภาคเหนือ", A1935&lt;80, "ภาคกลาง/ตะวันตก", A1935&gt;=80, "ภาคใต้")</f>
        <v>ภาคกลาง/ตะวันตก</v>
      </c>
      <c r="D1935" s="64">
        <v>7075</v>
      </c>
      <c r="E1935" s="10" t="s">
        <v>2238</v>
      </c>
      <c r="F1935" s="11">
        <v>4122</v>
      </c>
      <c r="G1935" s="11">
        <v>4646</v>
      </c>
      <c r="H1935" s="11">
        <v>8768</v>
      </c>
      <c r="I1935" s="11">
        <v>3860</v>
      </c>
      <c r="J1935" s="66">
        <f t="shared" si="116"/>
        <v>47.011861313868614</v>
      </c>
      <c r="K1935" s="66">
        <f t="shared" si="117"/>
        <v>52.988138686131393</v>
      </c>
    </row>
    <row r="1936" spans="1:11" x14ac:dyDescent="0.3">
      <c r="A1936" s="10">
        <v>70</v>
      </c>
      <c r="B1936" s="10" t="s">
        <v>2223</v>
      </c>
      <c r="C1936" s="10" t="str" cm="1">
        <f t="array" ref="C1936">_xlfn.IFS(A1936&lt;20, "ภาคกลาง", A1936&lt;30, "ภาคตะวันออก", A1936&lt;50, "ภาคตะวันออกเฉียงเหนือ", A1936&lt;60, "ภาคเหนือ", A1936&lt;80, "ภาคกลาง/ตะวันตก", A1936&gt;=80, "ภาคใต้")</f>
        <v>ภาคกลาง/ตะวันตก</v>
      </c>
      <c r="D1936" s="64">
        <v>7076</v>
      </c>
      <c r="E1936" s="10" t="s">
        <v>2239</v>
      </c>
      <c r="F1936" s="11">
        <v>6154</v>
      </c>
      <c r="G1936" s="11">
        <v>6710</v>
      </c>
      <c r="H1936" s="11">
        <v>12864</v>
      </c>
      <c r="I1936" s="11">
        <v>4138</v>
      </c>
      <c r="J1936" s="66">
        <f t="shared" si="116"/>
        <v>47.838930348258707</v>
      </c>
      <c r="K1936" s="66">
        <f t="shared" si="117"/>
        <v>52.1610696517413</v>
      </c>
    </row>
    <row r="1937" spans="1:11" x14ac:dyDescent="0.3">
      <c r="A1937" s="10">
        <v>70</v>
      </c>
      <c r="B1937" s="10" t="s">
        <v>2223</v>
      </c>
      <c r="C1937" s="10" t="str" cm="1">
        <f t="array" ref="C1937">_xlfn.IFS(A1937&lt;20, "ภาคกลาง", A1937&lt;30, "ภาคตะวันออก", A1937&lt;50, "ภาคตะวันออกเฉียงเหนือ", A1937&lt;60, "ภาคเหนือ", A1937&lt;80, "ภาคกลาง/ตะวันตก", A1937&gt;=80, "ภาคใต้")</f>
        <v>ภาคกลาง/ตะวันตก</v>
      </c>
      <c r="D1937" s="64">
        <v>7077</v>
      </c>
      <c r="E1937" s="10" t="s">
        <v>2240</v>
      </c>
      <c r="F1937" s="11">
        <v>5694</v>
      </c>
      <c r="G1937" s="11">
        <v>6309</v>
      </c>
      <c r="H1937" s="11">
        <v>12003</v>
      </c>
      <c r="I1937" s="11">
        <v>4825</v>
      </c>
      <c r="J1937" s="66">
        <f t="shared" si="116"/>
        <v>47.43814046488378</v>
      </c>
      <c r="K1937" s="66">
        <f t="shared" si="117"/>
        <v>52.56185953511622</v>
      </c>
    </row>
    <row r="1938" spans="1:11" x14ac:dyDescent="0.3">
      <c r="A1938" s="10">
        <v>70</v>
      </c>
      <c r="B1938" s="10" t="s">
        <v>2223</v>
      </c>
      <c r="C1938" s="10" t="str" cm="1">
        <f t="array" ref="C1938">_xlfn.IFS(A1938&lt;20, "ภาคกลาง", A1938&lt;30, "ภาคตะวันออก", A1938&lt;50, "ภาคตะวันออกเฉียงเหนือ", A1938&lt;60, "ภาคเหนือ", A1938&lt;80, "ภาคกลาง/ตะวันตก", A1938&gt;=80, "ภาคใต้")</f>
        <v>ภาคกลาง/ตะวันตก</v>
      </c>
      <c r="D1938" s="64">
        <v>7078</v>
      </c>
      <c r="E1938" s="10" t="s">
        <v>2241</v>
      </c>
      <c r="F1938" s="10">
        <v>633</v>
      </c>
      <c r="G1938" s="10">
        <v>704</v>
      </c>
      <c r="H1938" s="11">
        <v>1337</v>
      </c>
      <c r="I1938" s="10">
        <v>569</v>
      </c>
      <c r="J1938" s="66">
        <f t="shared" si="116"/>
        <v>47.344801795063574</v>
      </c>
      <c r="K1938" s="66">
        <f t="shared" si="117"/>
        <v>52.655198204936426</v>
      </c>
    </row>
    <row r="1939" spans="1:11" x14ac:dyDescent="0.3">
      <c r="A1939" s="10">
        <v>70</v>
      </c>
      <c r="B1939" s="10" t="s">
        <v>2223</v>
      </c>
      <c r="C1939" s="10" t="str" cm="1">
        <f t="array" ref="C1939">_xlfn.IFS(A1939&lt;20, "ภาคกลาง", A1939&lt;30, "ภาคตะวันออก", A1939&lt;50, "ภาคตะวันออกเฉียงเหนือ", A1939&lt;60, "ภาคเหนือ", A1939&lt;80, "ภาคกลาง/ตะวันตก", A1939&gt;=80, "ภาคใต้")</f>
        <v>ภาคกลาง/ตะวันตก</v>
      </c>
      <c r="D1939" s="64">
        <v>7079</v>
      </c>
      <c r="E1939" s="10" t="s">
        <v>2242</v>
      </c>
      <c r="F1939" s="11">
        <v>1305</v>
      </c>
      <c r="G1939" s="11">
        <v>1394</v>
      </c>
      <c r="H1939" s="11">
        <v>2699</v>
      </c>
      <c r="I1939" s="11">
        <v>1449</v>
      </c>
      <c r="J1939" s="66">
        <f t="shared" si="116"/>
        <v>48.351241200444612</v>
      </c>
      <c r="K1939" s="66">
        <f t="shared" si="117"/>
        <v>51.648758799555395</v>
      </c>
    </row>
    <row r="1940" spans="1:11" ht="27.6" x14ac:dyDescent="0.3">
      <c r="A1940" s="10">
        <v>70</v>
      </c>
      <c r="B1940" s="10" t="s">
        <v>2223</v>
      </c>
      <c r="C1940" s="10" t="str" cm="1">
        <f t="array" ref="C1940">_xlfn.IFS(A1940&lt;20, "ภาคกลาง", A1940&lt;30, "ภาคตะวันออก", A1940&lt;50, "ภาคตะวันออกเฉียงเหนือ", A1940&lt;60, "ภาคเหนือ", A1940&lt;80, "ภาคกลาง/ตะวันตก", A1940&gt;=80, "ภาคใต้")</f>
        <v>ภาคกลาง/ตะวันตก</v>
      </c>
      <c r="D1940" s="64">
        <v>7080</v>
      </c>
      <c r="E1940" s="10" t="s">
        <v>2243</v>
      </c>
      <c r="F1940" s="11">
        <v>1740</v>
      </c>
      <c r="G1940" s="11">
        <v>2025</v>
      </c>
      <c r="H1940" s="11">
        <v>3765</v>
      </c>
      <c r="I1940" s="11">
        <v>2282</v>
      </c>
      <c r="J1940" s="66">
        <f t="shared" si="116"/>
        <v>46.21513944223107</v>
      </c>
      <c r="K1940" s="66">
        <f t="shared" si="117"/>
        <v>53.784860557768923</v>
      </c>
    </row>
    <row r="1941" spans="1:11" ht="27.6" x14ac:dyDescent="0.3">
      <c r="A1941" s="10">
        <v>70</v>
      </c>
      <c r="B1941" s="10" t="s">
        <v>2223</v>
      </c>
      <c r="C1941" s="10" t="str" cm="1">
        <f t="array" ref="C1941">_xlfn.IFS(A1941&lt;20, "ภาคกลาง", A1941&lt;30, "ภาคตะวันออก", A1941&lt;50, "ภาคตะวันออกเฉียงเหนือ", A1941&lt;60, "ภาคเหนือ", A1941&lt;80, "ภาคกลาง/ตะวันตก", A1941&gt;=80, "ภาคใต้")</f>
        <v>ภาคกลาง/ตะวันตก</v>
      </c>
      <c r="D1941" s="64">
        <v>7081</v>
      </c>
      <c r="E1941" s="10" t="s">
        <v>2244</v>
      </c>
      <c r="F1941" s="11">
        <v>5287</v>
      </c>
      <c r="G1941" s="11">
        <v>5840</v>
      </c>
      <c r="H1941" s="11">
        <v>11127</v>
      </c>
      <c r="I1941" s="11">
        <v>5599</v>
      </c>
      <c r="J1941" s="66">
        <f t="shared" si="116"/>
        <v>47.515053473532845</v>
      </c>
      <c r="K1941" s="66">
        <f t="shared" si="117"/>
        <v>52.484946526467148</v>
      </c>
    </row>
    <row r="1942" spans="1:11" x14ac:dyDescent="0.3">
      <c r="A1942" s="10">
        <v>70</v>
      </c>
      <c r="B1942" s="10" t="s">
        <v>2223</v>
      </c>
      <c r="C1942" s="10" t="str" cm="1">
        <f t="array" ref="C1942">_xlfn.IFS(A1942&lt;20, "ภาคกลาง", A1942&lt;30, "ภาคตะวันออก", A1942&lt;50, "ภาคตะวันออกเฉียงเหนือ", A1942&lt;60, "ภาคเหนือ", A1942&lt;80, "ภาคกลาง/ตะวันตก", A1942&gt;=80, "ภาคใต้")</f>
        <v>ภาคกลาง/ตะวันตก</v>
      </c>
      <c r="D1942" s="64">
        <v>7082</v>
      </c>
      <c r="E1942" s="10" t="s">
        <v>2245</v>
      </c>
      <c r="F1942" s="11">
        <v>2752</v>
      </c>
      <c r="G1942" s="11">
        <v>3044</v>
      </c>
      <c r="H1942" s="11">
        <v>5796</v>
      </c>
      <c r="I1942" s="11">
        <v>2484</v>
      </c>
      <c r="J1942" s="66">
        <f t="shared" si="116"/>
        <v>47.481021394064868</v>
      </c>
      <c r="K1942" s="66">
        <f t="shared" si="117"/>
        <v>52.518978605935132</v>
      </c>
    </row>
    <row r="1943" spans="1:11" x14ac:dyDescent="0.3">
      <c r="A1943" s="10">
        <v>70</v>
      </c>
      <c r="B1943" s="10" t="s">
        <v>2223</v>
      </c>
      <c r="C1943" s="10" t="str" cm="1">
        <f t="array" ref="C1943">_xlfn.IFS(A1943&lt;20, "ภาคกลาง", A1943&lt;30, "ภาคตะวันออก", A1943&lt;50, "ภาคตะวันออกเฉียงเหนือ", A1943&lt;60, "ภาคเหนือ", A1943&lt;80, "ภาคกลาง/ตะวันตก", A1943&gt;=80, "ภาคใต้")</f>
        <v>ภาคกลาง/ตะวันตก</v>
      </c>
      <c r="D1943" s="64">
        <v>7083</v>
      </c>
      <c r="E1943" s="10" t="s">
        <v>2246</v>
      </c>
      <c r="F1943" s="11">
        <v>3528</v>
      </c>
      <c r="G1943" s="11">
        <v>3763</v>
      </c>
      <c r="H1943" s="11">
        <v>7291</v>
      </c>
      <c r="I1943" s="11">
        <v>2763</v>
      </c>
      <c r="J1943" s="66">
        <f t="shared" si="116"/>
        <v>48.388424084487724</v>
      </c>
      <c r="K1943" s="66">
        <f t="shared" si="117"/>
        <v>51.611575915512276</v>
      </c>
    </row>
    <row r="1944" spans="1:11" x14ac:dyDescent="0.3">
      <c r="A1944" s="10">
        <v>70</v>
      </c>
      <c r="B1944" s="10" t="s">
        <v>2223</v>
      </c>
      <c r="C1944" s="10" t="str" cm="1">
        <f t="array" ref="C1944">_xlfn.IFS(A1944&lt;20, "ภาคกลาง", A1944&lt;30, "ภาคตะวันออก", A1944&lt;50, "ภาคตะวันออกเฉียงเหนือ", A1944&lt;60, "ภาคเหนือ", A1944&lt;80, "ภาคกลาง/ตะวันตก", A1944&gt;=80, "ภาคใต้")</f>
        <v>ภาคกลาง/ตะวันตก</v>
      </c>
      <c r="D1944" s="64">
        <v>7084</v>
      </c>
      <c r="E1944" s="10" t="s">
        <v>2247</v>
      </c>
      <c r="F1944" s="11">
        <v>5028</v>
      </c>
      <c r="G1944" s="11">
        <v>5360</v>
      </c>
      <c r="H1944" s="11">
        <v>10388</v>
      </c>
      <c r="I1944" s="11">
        <v>3893</v>
      </c>
      <c r="J1944" s="66">
        <f t="shared" si="116"/>
        <v>48.402002310358107</v>
      </c>
      <c r="K1944" s="66">
        <f t="shared" si="117"/>
        <v>51.597997689641893</v>
      </c>
    </row>
    <row r="1945" spans="1:11" ht="27.6" x14ac:dyDescent="0.3">
      <c r="A1945" s="10">
        <v>70</v>
      </c>
      <c r="B1945" s="10" t="s">
        <v>2223</v>
      </c>
      <c r="C1945" s="10" t="str" cm="1">
        <f t="array" ref="C1945">_xlfn.IFS(A1945&lt;20, "ภาคกลาง", A1945&lt;30, "ภาคตะวันออก", A1945&lt;50, "ภาคตะวันออกเฉียงเหนือ", A1945&lt;60, "ภาคเหนือ", A1945&lt;80, "ภาคกลาง/ตะวันตก", A1945&gt;=80, "ภาคใต้")</f>
        <v>ภาคกลาง/ตะวันตก</v>
      </c>
      <c r="D1945" s="64">
        <v>7085</v>
      </c>
      <c r="E1945" s="10" t="s">
        <v>2248</v>
      </c>
      <c r="F1945" s="11">
        <v>7546</v>
      </c>
      <c r="G1945" s="11">
        <v>8316</v>
      </c>
      <c r="H1945" s="11">
        <v>15862</v>
      </c>
      <c r="I1945" s="11">
        <v>6970</v>
      </c>
      <c r="J1945" s="66">
        <f t="shared" si="116"/>
        <v>47.572815533980581</v>
      </c>
      <c r="K1945" s="66">
        <f t="shared" si="117"/>
        <v>52.427184466019419</v>
      </c>
    </row>
    <row r="1946" spans="1:11" x14ac:dyDescent="0.3">
      <c r="A1946" s="10">
        <v>70</v>
      </c>
      <c r="B1946" s="10" t="s">
        <v>2223</v>
      </c>
      <c r="C1946" s="10" t="str" cm="1">
        <f t="array" ref="C1946">_xlfn.IFS(A1946&lt;20, "ภาคกลาง", A1946&lt;30, "ภาคตะวันออก", A1946&lt;50, "ภาคตะวันออกเฉียงเหนือ", A1946&lt;60, "ภาคเหนือ", A1946&lt;80, "ภาคกลาง/ตะวันตก", A1946&gt;=80, "ภาคใต้")</f>
        <v>ภาคกลาง/ตะวันตก</v>
      </c>
      <c r="D1946" s="64">
        <v>7086</v>
      </c>
      <c r="E1946" s="10" t="s">
        <v>2249</v>
      </c>
      <c r="F1946" s="10">
        <v>781</v>
      </c>
      <c r="G1946" s="10">
        <v>814</v>
      </c>
      <c r="H1946" s="11">
        <v>1595</v>
      </c>
      <c r="I1946" s="10">
        <v>750</v>
      </c>
      <c r="J1946" s="66">
        <f t="shared" si="116"/>
        <v>48.96551724137931</v>
      </c>
      <c r="K1946" s="66">
        <f t="shared" si="117"/>
        <v>51.03448275862069</v>
      </c>
    </row>
    <row r="1947" spans="1:11" x14ac:dyDescent="0.3">
      <c r="A1947" s="10">
        <v>70</v>
      </c>
      <c r="B1947" s="10" t="s">
        <v>2223</v>
      </c>
      <c r="C1947" s="10" t="str" cm="1">
        <f t="array" ref="C1947">_xlfn.IFS(A1947&lt;20, "ภาคกลาง", A1947&lt;30, "ภาคตะวันออก", A1947&lt;50, "ภาคตะวันออกเฉียงเหนือ", A1947&lt;60, "ภาคเหนือ", A1947&lt;80, "ภาคกลาง/ตะวันตก", A1947&gt;=80, "ภาคใต้")</f>
        <v>ภาคกลาง/ตะวันตก</v>
      </c>
      <c r="D1947" s="64">
        <v>7087</v>
      </c>
      <c r="E1947" s="10" t="s">
        <v>2250</v>
      </c>
      <c r="F1947" s="11">
        <v>9616</v>
      </c>
      <c r="G1947" s="11">
        <v>10326</v>
      </c>
      <c r="H1947" s="11">
        <v>19942</v>
      </c>
      <c r="I1947" s="11">
        <v>8822</v>
      </c>
      <c r="J1947" s="66">
        <f t="shared" si="116"/>
        <v>48.219837528833622</v>
      </c>
      <c r="K1947" s="66">
        <f t="shared" si="117"/>
        <v>51.780162471166378</v>
      </c>
    </row>
    <row r="1948" spans="1:11" ht="27.6" x14ac:dyDescent="0.3">
      <c r="A1948" s="10">
        <v>70</v>
      </c>
      <c r="B1948" s="10" t="s">
        <v>2223</v>
      </c>
      <c r="C1948" s="10" t="str" cm="1">
        <f t="array" ref="C1948">_xlfn.IFS(A1948&lt;20, "ภาคกลาง", A1948&lt;30, "ภาคตะวันออก", A1948&lt;50, "ภาคตะวันออกเฉียงเหนือ", A1948&lt;60, "ภาคเหนือ", A1948&lt;80, "ภาคกลาง/ตะวันตก", A1948&gt;=80, "ภาคใต้")</f>
        <v>ภาคกลาง/ตะวันตก</v>
      </c>
      <c r="D1948" s="64">
        <v>7088</v>
      </c>
      <c r="E1948" s="10" t="s">
        <v>2251</v>
      </c>
      <c r="F1948" s="11">
        <v>3695</v>
      </c>
      <c r="G1948" s="11">
        <v>4087</v>
      </c>
      <c r="H1948" s="11">
        <v>7782</v>
      </c>
      <c r="I1948" s="11">
        <v>4028</v>
      </c>
      <c r="J1948" s="66">
        <f t="shared" si="116"/>
        <v>47.481367257774352</v>
      </c>
      <c r="K1948" s="66">
        <f t="shared" si="117"/>
        <v>52.518632742225648</v>
      </c>
    </row>
    <row r="1949" spans="1:11" ht="27.6" x14ac:dyDescent="0.3">
      <c r="A1949" s="10">
        <v>70</v>
      </c>
      <c r="B1949" s="10" t="s">
        <v>2223</v>
      </c>
      <c r="C1949" s="10" t="str" cm="1">
        <f t="array" ref="C1949">_xlfn.IFS(A1949&lt;20, "ภาคกลาง", A1949&lt;30, "ภาคตะวันออก", A1949&lt;50, "ภาคตะวันออกเฉียงเหนือ", A1949&lt;60, "ภาคเหนือ", A1949&lt;80, "ภาคกลาง/ตะวันตก", A1949&gt;=80, "ภาคใต้")</f>
        <v>ภาคกลาง/ตะวันตก</v>
      </c>
      <c r="D1949" s="64">
        <v>7089</v>
      </c>
      <c r="E1949" s="10" t="s">
        <v>2252</v>
      </c>
      <c r="F1949" s="11">
        <v>4870</v>
      </c>
      <c r="G1949" s="11">
        <v>5400</v>
      </c>
      <c r="H1949" s="11">
        <v>10270</v>
      </c>
      <c r="I1949" s="11">
        <v>3637</v>
      </c>
      <c r="J1949" s="66">
        <f t="shared" si="116"/>
        <v>47.41966893865628</v>
      </c>
      <c r="K1949" s="66">
        <f t="shared" si="117"/>
        <v>52.58033106134372</v>
      </c>
    </row>
    <row r="1950" spans="1:11" x14ac:dyDescent="0.3">
      <c r="A1950" s="10">
        <v>70</v>
      </c>
      <c r="B1950" s="10" t="s">
        <v>2223</v>
      </c>
      <c r="C1950" s="10" t="str" cm="1">
        <f t="array" ref="C1950">_xlfn.IFS(A1950&lt;20, "ภาคกลาง", A1950&lt;30, "ภาคตะวันออก", A1950&lt;50, "ภาคตะวันออกเฉียงเหนือ", A1950&lt;60, "ภาคเหนือ", A1950&lt;80, "ภาคกลาง/ตะวันตก", A1950&gt;=80, "ภาคใต้")</f>
        <v>ภาคกลาง/ตะวันตก</v>
      </c>
      <c r="D1950" s="64">
        <v>7090</v>
      </c>
      <c r="E1950" s="10" t="s">
        <v>2253</v>
      </c>
      <c r="F1950" s="11">
        <v>3204</v>
      </c>
      <c r="G1950" s="11">
        <v>3670</v>
      </c>
      <c r="H1950" s="11">
        <v>6874</v>
      </c>
      <c r="I1950" s="11">
        <v>3361</v>
      </c>
      <c r="J1950" s="66">
        <f t="shared" si="116"/>
        <v>46.610416060517892</v>
      </c>
      <c r="K1950" s="66">
        <f t="shared" si="117"/>
        <v>53.389583939482108</v>
      </c>
    </row>
    <row r="1951" spans="1:11" ht="27.6" x14ac:dyDescent="0.3">
      <c r="A1951" s="10">
        <v>70</v>
      </c>
      <c r="B1951" s="10" t="s">
        <v>2223</v>
      </c>
      <c r="C1951" s="10" t="str" cm="1">
        <f t="array" ref="C1951">_xlfn.IFS(A1951&lt;20, "ภาคกลาง", A1951&lt;30, "ภาคตะวันออก", A1951&lt;50, "ภาคตะวันออกเฉียงเหนือ", A1951&lt;60, "ภาคเหนือ", A1951&lt;80, "ภาคกลาง/ตะวันตก", A1951&gt;=80, "ภาคใต้")</f>
        <v>ภาคกลาง/ตะวันตก</v>
      </c>
      <c r="D1951" s="64">
        <v>7091</v>
      </c>
      <c r="E1951" s="10" t="s">
        <v>2254</v>
      </c>
      <c r="F1951" s="11">
        <v>1733</v>
      </c>
      <c r="G1951" s="11">
        <v>1730</v>
      </c>
      <c r="H1951" s="11">
        <v>3463</v>
      </c>
      <c r="I1951" s="11">
        <v>1934</v>
      </c>
      <c r="J1951" s="66">
        <f t="shared" si="116"/>
        <v>50.043315044758884</v>
      </c>
      <c r="K1951" s="66">
        <f t="shared" si="117"/>
        <v>49.956684955241123</v>
      </c>
    </row>
    <row r="1952" spans="1:11" ht="27.6" x14ac:dyDescent="0.3">
      <c r="A1952" s="10">
        <v>70</v>
      </c>
      <c r="B1952" s="10" t="s">
        <v>2223</v>
      </c>
      <c r="C1952" s="10" t="str" cm="1">
        <f t="array" ref="C1952">_xlfn.IFS(A1952&lt;20, "ภาคกลาง", A1952&lt;30, "ภาคตะวันออก", A1952&lt;50, "ภาคตะวันออกเฉียงเหนือ", A1952&lt;60, "ภาคเหนือ", A1952&lt;80, "ภาคกลาง/ตะวันตก", A1952&gt;=80, "ภาคใต้")</f>
        <v>ภาคกลาง/ตะวันตก</v>
      </c>
      <c r="D1952" s="64">
        <v>7092</v>
      </c>
      <c r="E1952" s="10" t="s">
        <v>2255</v>
      </c>
      <c r="F1952" s="11">
        <v>1897</v>
      </c>
      <c r="G1952" s="11">
        <v>1901</v>
      </c>
      <c r="H1952" s="11">
        <v>3798</v>
      </c>
      <c r="I1952" s="11">
        <v>2012</v>
      </c>
      <c r="J1952" s="66">
        <f t="shared" si="116"/>
        <v>49.947340705634545</v>
      </c>
      <c r="K1952" s="66">
        <f t="shared" si="117"/>
        <v>50.052659294365455</v>
      </c>
    </row>
    <row r="1953" spans="1:11" x14ac:dyDescent="0.3">
      <c r="A1953" s="10">
        <v>70</v>
      </c>
      <c r="B1953" s="10" t="s">
        <v>2223</v>
      </c>
      <c r="C1953" s="10" t="str" cm="1">
        <f t="array" ref="C1953">_xlfn.IFS(A1953&lt;20, "ภาคกลาง", A1953&lt;30, "ภาคตะวันออก", A1953&lt;50, "ภาคตะวันออกเฉียงเหนือ", A1953&lt;60, "ภาคเหนือ", A1953&lt;80, "ภาคกลาง/ตะวันตก", A1953&gt;=80, "ภาคใต้")</f>
        <v>ภาคกลาง/ตะวันตก</v>
      </c>
      <c r="D1953" s="64">
        <v>7093</v>
      </c>
      <c r="E1953" s="10" t="s">
        <v>2256</v>
      </c>
      <c r="F1953" s="11">
        <v>1249</v>
      </c>
      <c r="G1953" s="11">
        <v>1223</v>
      </c>
      <c r="H1953" s="11">
        <v>2472</v>
      </c>
      <c r="I1953" s="10">
        <v>862</v>
      </c>
      <c r="J1953" s="66">
        <f t="shared" si="116"/>
        <v>50.525889967637539</v>
      </c>
      <c r="K1953" s="66">
        <f t="shared" si="117"/>
        <v>49.474110032362461</v>
      </c>
    </row>
    <row r="1954" spans="1:11" ht="27.6" x14ac:dyDescent="0.3">
      <c r="A1954" s="10">
        <v>70</v>
      </c>
      <c r="B1954" s="10" t="s">
        <v>2223</v>
      </c>
      <c r="C1954" s="10" t="str" cm="1">
        <f t="array" ref="C1954">_xlfn.IFS(A1954&lt;20, "ภาคกลาง", A1954&lt;30, "ภาคตะวันออก", A1954&lt;50, "ภาคตะวันออกเฉียงเหนือ", A1954&lt;60, "ภาคเหนือ", A1954&lt;80, "ภาคกลาง/ตะวันตก", A1954&gt;=80, "ภาคใต้")</f>
        <v>ภาคกลาง/ตะวันตก</v>
      </c>
      <c r="D1954" s="64">
        <v>7094</v>
      </c>
      <c r="E1954" s="10" t="s">
        <v>2257</v>
      </c>
      <c r="F1954" s="11">
        <v>2207</v>
      </c>
      <c r="G1954" s="11">
        <v>2536</v>
      </c>
      <c r="H1954" s="11">
        <v>4743</v>
      </c>
      <c r="I1954" s="11">
        <v>3798</v>
      </c>
      <c r="J1954" s="66">
        <f t="shared" si="116"/>
        <v>46.531730971958673</v>
      </c>
      <c r="K1954" s="66">
        <f t="shared" si="117"/>
        <v>53.468269028041327</v>
      </c>
    </row>
    <row r="1955" spans="1:11" ht="27.6" x14ac:dyDescent="0.3">
      <c r="A1955" s="10">
        <v>70</v>
      </c>
      <c r="B1955" s="10" t="s">
        <v>2223</v>
      </c>
      <c r="C1955" s="10" t="str" cm="1">
        <f t="array" ref="C1955">_xlfn.IFS(A1955&lt;20, "ภาคกลาง", A1955&lt;30, "ภาคตะวันออก", A1955&lt;50, "ภาคตะวันออกเฉียงเหนือ", A1955&lt;60, "ภาคเหนือ", A1955&lt;80, "ภาคกลาง/ตะวันตก", A1955&gt;=80, "ภาคใต้")</f>
        <v>ภาคกลาง/ตะวันตก</v>
      </c>
      <c r="D1955" s="64">
        <v>7095</v>
      </c>
      <c r="E1955" s="10" t="s">
        <v>2258</v>
      </c>
      <c r="F1955" s="11">
        <v>5301</v>
      </c>
      <c r="G1955" s="11">
        <v>5761</v>
      </c>
      <c r="H1955" s="11">
        <v>11062</v>
      </c>
      <c r="I1955" s="11">
        <v>4694</v>
      </c>
      <c r="J1955" s="66">
        <f t="shared" si="116"/>
        <v>47.920809980112097</v>
      </c>
      <c r="K1955" s="66">
        <f t="shared" si="117"/>
        <v>52.079190019887903</v>
      </c>
    </row>
    <row r="1956" spans="1:11" x14ac:dyDescent="0.3">
      <c r="A1956" s="10">
        <v>70</v>
      </c>
      <c r="B1956" s="10" t="s">
        <v>2223</v>
      </c>
      <c r="C1956" s="10" t="str" cm="1">
        <f t="array" ref="C1956">_xlfn.IFS(A1956&lt;20, "ภาคกลาง", A1956&lt;30, "ภาคตะวันออก", A1956&lt;50, "ภาคตะวันออกเฉียงเหนือ", A1956&lt;60, "ภาคเหนือ", A1956&lt;80, "ภาคกลาง/ตะวันตก", A1956&gt;=80, "ภาคใต้")</f>
        <v>ภาคกลาง/ตะวันตก</v>
      </c>
      <c r="D1956" s="64">
        <v>7096</v>
      </c>
      <c r="E1956" s="10" t="s">
        <v>2259</v>
      </c>
      <c r="F1956" s="11">
        <v>8940</v>
      </c>
      <c r="G1956" s="11">
        <v>8092</v>
      </c>
      <c r="H1956" s="11">
        <v>17032</v>
      </c>
      <c r="I1956" s="11">
        <v>7609</v>
      </c>
      <c r="J1956" s="66">
        <f t="shared" si="116"/>
        <v>52.48943165805543</v>
      </c>
      <c r="K1956" s="66">
        <f t="shared" si="117"/>
        <v>47.510568341944577</v>
      </c>
    </row>
    <row r="1957" spans="1:11" x14ac:dyDescent="0.3">
      <c r="A1957" s="10">
        <v>70</v>
      </c>
      <c r="B1957" s="10" t="s">
        <v>2223</v>
      </c>
      <c r="C1957" s="10" t="str" cm="1">
        <f t="array" ref="C1957">_xlfn.IFS(A1957&lt;20, "ภาคกลาง", A1957&lt;30, "ภาคตะวันออก", A1957&lt;50, "ภาคตะวันออกเฉียงเหนือ", A1957&lt;60, "ภาคเหนือ", A1957&lt;80, "ภาคกลาง/ตะวันตก", A1957&gt;=80, "ภาคใต้")</f>
        <v>ภาคกลาง/ตะวันตก</v>
      </c>
      <c r="D1957" s="64">
        <v>7097</v>
      </c>
      <c r="E1957" s="10" t="s">
        <v>2260</v>
      </c>
      <c r="F1957" s="11">
        <v>4401</v>
      </c>
      <c r="G1957" s="11">
        <v>4930</v>
      </c>
      <c r="H1957" s="11">
        <v>9331</v>
      </c>
      <c r="I1957" s="11">
        <v>3450</v>
      </c>
      <c r="J1957" s="66">
        <f t="shared" si="116"/>
        <v>47.165362769263744</v>
      </c>
      <c r="K1957" s="66">
        <f t="shared" si="117"/>
        <v>52.834637230736256</v>
      </c>
    </row>
    <row r="1958" spans="1:11" x14ac:dyDescent="0.3">
      <c r="A1958" s="10">
        <v>70</v>
      </c>
      <c r="B1958" s="10" t="s">
        <v>2223</v>
      </c>
      <c r="C1958" s="10" t="str" cm="1">
        <f t="array" ref="C1958">_xlfn.IFS(A1958&lt;20, "ภาคกลาง", A1958&lt;30, "ภาคตะวันออก", A1958&lt;50, "ภาคตะวันออกเฉียงเหนือ", A1958&lt;60, "ภาคเหนือ", A1958&lt;80, "ภาคกลาง/ตะวันตก", A1958&gt;=80, "ภาคใต้")</f>
        <v>ภาคกลาง/ตะวันตก</v>
      </c>
      <c r="D1958" s="64">
        <v>7098</v>
      </c>
      <c r="E1958" s="10" t="s">
        <v>2261</v>
      </c>
      <c r="F1958" s="11">
        <v>3770</v>
      </c>
      <c r="G1958" s="11">
        <v>4178</v>
      </c>
      <c r="H1958" s="11">
        <v>7948</v>
      </c>
      <c r="I1958" s="11">
        <v>3801</v>
      </c>
      <c r="J1958" s="66">
        <f t="shared" si="116"/>
        <v>47.433316557624558</v>
      </c>
      <c r="K1958" s="66">
        <f t="shared" si="117"/>
        <v>52.566683442375442</v>
      </c>
    </row>
    <row r="1959" spans="1:11" x14ac:dyDescent="0.3">
      <c r="A1959" s="10">
        <v>70</v>
      </c>
      <c r="B1959" s="10" t="s">
        <v>2223</v>
      </c>
      <c r="C1959" s="10" t="str" cm="1">
        <f t="array" ref="C1959">_xlfn.IFS(A1959&lt;20, "ภาคกลาง", A1959&lt;30, "ภาคตะวันออก", A1959&lt;50, "ภาคตะวันออกเฉียงเหนือ", A1959&lt;60, "ภาคเหนือ", A1959&lt;80, "ภาคกลาง/ตะวันตก", A1959&gt;=80, "ภาคใต้")</f>
        <v>ภาคกลาง/ตะวันตก</v>
      </c>
      <c r="D1959" s="64">
        <v>7099</v>
      </c>
      <c r="E1959" s="10" t="s">
        <v>2262</v>
      </c>
      <c r="F1959" s="11">
        <v>6807</v>
      </c>
      <c r="G1959" s="11">
        <v>7837</v>
      </c>
      <c r="H1959" s="11">
        <v>14644</v>
      </c>
      <c r="I1959" s="11">
        <v>8367</v>
      </c>
      <c r="J1959" s="66">
        <f t="shared" si="116"/>
        <v>46.483201311117185</v>
      </c>
      <c r="K1959" s="66">
        <f t="shared" si="117"/>
        <v>53.516798688882815</v>
      </c>
    </row>
    <row r="1960" spans="1:11" hidden="1" x14ac:dyDescent="0.3">
      <c r="A1960" s="10">
        <v>70</v>
      </c>
      <c r="B1960" s="10" t="s">
        <v>2223</v>
      </c>
      <c r="C1960" s="10" t="str" cm="1">
        <f t="array" ref="C1960">_xlfn.IFS(A1960&lt;20, "ภาคกลาง", A1960&lt;30, "ภาคตะวันออก", A1960&lt;50, "ภาคตะวันออกเฉียงเหนือ", A1960&lt;60, "ภาคเหนือ", A1960&lt;80, "ภาคกลาง/ตะวันตก", A1960&gt;=80, "ภาคใต้")</f>
        <v>ภาคกลาง/ตะวันตก</v>
      </c>
      <c r="D1960" s="10">
        <v>0</v>
      </c>
      <c r="E1960" s="10" t="s">
        <v>343</v>
      </c>
      <c r="F1960" s="11">
        <v>14903</v>
      </c>
      <c r="G1960" s="11">
        <v>17801</v>
      </c>
      <c r="H1960" s="11">
        <v>32704</v>
      </c>
      <c r="I1960" s="11">
        <v>16668</v>
      </c>
      <c r="J1960"/>
      <c r="K1960"/>
    </row>
    <row r="1961" spans="1:11" x14ac:dyDescent="0.3">
      <c r="A1961" s="10">
        <v>71</v>
      </c>
      <c r="B1961" s="10" t="s">
        <v>2263</v>
      </c>
      <c r="C1961" s="10" t="str" cm="1">
        <f t="array" ref="C1961">_xlfn.IFS(A1961&lt;20, "ภาคกลาง", A1961&lt;30, "ภาคตะวันออก", A1961&lt;50, "ภาคตะวันออกเฉียงเหนือ", A1961&lt;60, "ภาคเหนือ", A1961&lt;80, "ภาคกลาง/ตะวันตก", A1961&gt;=80, "ภาคใต้")</f>
        <v>ภาคกลาง/ตะวันตก</v>
      </c>
      <c r="D1961" s="64">
        <v>7101</v>
      </c>
      <c r="E1961" s="10" t="s">
        <v>2264</v>
      </c>
      <c r="F1961" s="11">
        <v>447653</v>
      </c>
      <c r="G1961" s="11">
        <v>448698</v>
      </c>
      <c r="H1961" s="11">
        <v>896351</v>
      </c>
      <c r="I1961" s="11">
        <v>370344</v>
      </c>
      <c r="J1961" s="66">
        <f t="shared" ref="J1961:J2006" si="118">F1961/H1961*100</f>
        <v>49.941708103187253</v>
      </c>
      <c r="K1961" s="66">
        <f t="shared" ref="K1961:K2006" si="119">G1961/H1961*100</f>
        <v>50.058291896812747</v>
      </c>
    </row>
    <row r="1962" spans="1:11" x14ac:dyDescent="0.3">
      <c r="A1962" s="10">
        <v>71</v>
      </c>
      <c r="B1962" s="10" t="s">
        <v>2263</v>
      </c>
      <c r="C1962" s="10" t="str" cm="1">
        <f t="array" ref="C1962">_xlfn.IFS(A1962&lt;20, "ภาคกลาง", A1962&lt;30, "ภาคตะวันออก", A1962&lt;50, "ภาคตะวันออกเฉียงเหนือ", A1962&lt;60, "ภาคเหนือ", A1962&lt;80, "ภาคกลาง/ตะวันตก", A1962&gt;=80, "ภาคใต้")</f>
        <v>ภาคกลาง/ตะวันตก</v>
      </c>
      <c r="D1962" s="64">
        <v>7102</v>
      </c>
      <c r="E1962" s="10" t="s">
        <v>2265</v>
      </c>
      <c r="F1962" s="11">
        <v>53705</v>
      </c>
      <c r="G1962" s="11">
        <v>43933</v>
      </c>
      <c r="H1962" s="11">
        <v>97638</v>
      </c>
      <c r="I1962" s="11">
        <v>41020</v>
      </c>
      <c r="J1962" s="66">
        <f t="shared" si="118"/>
        <v>55.004199184743641</v>
      </c>
      <c r="K1962" s="66">
        <f t="shared" si="119"/>
        <v>44.995800815256352</v>
      </c>
    </row>
    <row r="1963" spans="1:11" x14ac:dyDescent="0.3">
      <c r="A1963" s="10">
        <v>71</v>
      </c>
      <c r="B1963" s="10" t="s">
        <v>2263</v>
      </c>
      <c r="C1963" s="10" t="str" cm="1">
        <f t="array" ref="C1963">_xlfn.IFS(A1963&lt;20, "ภาคกลาง", A1963&lt;30, "ภาคตะวันออก", A1963&lt;50, "ภาคตะวันออกเฉียงเหนือ", A1963&lt;60, "ภาคเหนือ", A1963&lt;80, "ภาคกลาง/ตะวันตก", A1963&gt;=80, "ภาคใต้")</f>
        <v>ภาคกลาง/ตะวันตก</v>
      </c>
      <c r="D1963" s="64">
        <v>7103</v>
      </c>
      <c r="E1963" s="10" t="s">
        <v>2266</v>
      </c>
      <c r="F1963" s="11">
        <v>31203</v>
      </c>
      <c r="G1963" s="11">
        <v>29496</v>
      </c>
      <c r="H1963" s="11">
        <v>60699</v>
      </c>
      <c r="I1963" s="11">
        <v>21755</v>
      </c>
      <c r="J1963" s="66">
        <f t="shared" si="118"/>
        <v>51.40611871694756</v>
      </c>
      <c r="K1963" s="66">
        <f t="shared" si="119"/>
        <v>48.59388128305244</v>
      </c>
    </row>
    <row r="1964" spans="1:11" x14ac:dyDescent="0.3">
      <c r="A1964" s="10">
        <v>71</v>
      </c>
      <c r="B1964" s="10" t="s">
        <v>2263</v>
      </c>
      <c r="C1964" s="10" t="str" cm="1">
        <f t="array" ref="C1964">_xlfn.IFS(A1964&lt;20, "ภาคกลาง", A1964&lt;30, "ภาคตะวันออก", A1964&lt;50, "ภาคตะวันออกเฉียงเหนือ", A1964&lt;60, "ภาคเหนือ", A1964&lt;80, "ภาคกลาง/ตะวันตก", A1964&gt;=80, "ภาคใต้")</f>
        <v>ภาคกลาง/ตะวันตก</v>
      </c>
      <c r="D1964" s="64">
        <v>7104</v>
      </c>
      <c r="E1964" s="10" t="s">
        <v>2267</v>
      </c>
      <c r="F1964" s="11">
        <v>24053</v>
      </c>
      <c r="G1964" s="11">
        <v>24276</v>
      </c>
      <c r="H1964" s="11">
        <v>48329</v>
      </c>
      <c r="I1964" s="11">
        <v>19491</v>
      </c>
      <c r="J1964" s="66">
        <f t="shared" si="118"/>
        <v>49.769289660452316</v>
      </c>
      <c r="K1964" s="66">
        <f t="shared" si="119"/>
        <v>50.230710339547677</v>
      </c>
    </row>
    <row r="1965" spans="1:11" x14ac:dyDescent="0.3">
      <c r="A1965" s="10">
        <v>71</v>
      </c>
      <c r="B1965" s="10" t="s">
        <v>2263</v>
      </c>
      <c r="C1965" s="10" t="str" cm="1">
        <f t="array" ref="C1965">_xlfn.IFS(A1965&lt;20, "ภาคกลาง", A1965&lt;30, "ภาคตะวันออก", A1965&lt;50, "ภาคตะวันออกเฉียงเหนือ", A1965&lt;60, "ภาคเหนือ", A1965&lt;80, "ภาคกลาง/ตะวันตก", A1965&gt;=80, "ภาคใต้")</f>
        <v>ภาคกลาง/ตะวันตก</v>
      </c>
      <c r="D1965" s="64">
        <v>7105</v>
      </c>
      <c r="E1965" s="10" t="s">
        <v>2268</v>
      </c>
      <c r="F1965" s="11">
        <v>13294</v>
      </c>
      <c r="G1965" s="11">
        <v>12550</v>
      </c>
      <c r="H1965" s="11">
        <v>25844</v>
      </c>
      <c r="I1965" s="11">
        <v>10672</v>
      </c>
      <c r="J1965" s="66">
        <f t="shared" si="118"/>
        <v>51.439405664757778</v>
      </c>
      <c r="K1965" s="66">
        <f t="shared" si="119"/>
        <v>48.560594335242222</v>
      </c>
    </row>
    <row r="1966" spans="1:11" x14ac:dyDescent="0.3">
      <c r="A1966" s="10">
        <v>71</v>
      </c>
      <c r="B1966" s="10" t="s">
        <v>2263</v>
      </c>
      <c r="C1966" s="10" t="str" cm="1">
        <f t="array" ref="C1966">_xlfn.IFS(A1966&lt;20, "ภาคกลาง", A1966&lt;30, "ภาคตะวันออก", A1966&lt;50, "ภาคตะวันออกเฉียงเหนือ", A1966&lt;60, "ภาคเหนือ", A1966&lt;80, "ภาคกลาง/ตะวันตก", A1966&gt;=80, "ภาคใต้")</f>
        <v>ภาคกลาง/ตะวันตก</v>
      </c>
      <c r="D1966" s="64">
        <v>7106</v>
      </c>
      <c r="E1966" s="10" t="s">
        <v>2269</v>
      </c>
      <c r="F1966" s="11">
        <v>43866</v>
      </c>
      <c r="G1966" s="11">
        <v>46774</v>
      </c>
      <c r="H1966" s="11">
        <v>90640</v>
      </c>
      <c r="I1966" s="11">
        <v>33417</v>
      </c>
      <c r="J1966" s="66">
        <f t="shared" si="118"/>
        <v>48.395851721094438</v>
      </c>
      <c r="K1966" s="66">
        <f t="shared" si="119"/>
        <v>51.604148278905562</v>
      </c>
    </row>
    <row r="1967" spans="1:11" x14ac:dyDescent="0.3">
      <c r="A1967" s="10">
        <v>71</v>
      </c>
      <c r="B1967" s="10" t="s">
        <v>2263</v>
      </c>
      <c r="C1967" s="10" t="str" cm="1">
        <f t="array" ref="C1967">_xlfn.IFS(A1967&lt;20, "ภาคกลาง", A1967&lt;30, "ภาคตะวันออก", A1967&lt;50, "ภาคตะวันออกเฉียงเหนือ", A1967&lt;60, "ภาคเหนือ", A1967&lt;80, "ภาคกลาง/ตะวันตก", A1967&gt;=80, "ภาคใต้")</f>
        <v>ภาคกลาง/ตะวันตก</v>
      </c>
      <c r="D1967" s="64">
        <v>7107</v>
      </c>
      <c r="E1967" s="10" t="s">
        <v>2270</v>
      </c>
      <c r="F1967" s="11">
        <v>28199</v>
      </c>
      <c r="G1967" s="11">
        <v>30128</v>
      </c>
      <c r="H1967" s="11">
        <v>58327</v>
      </c>
      <c r="I1967" s="11">
        <v>25626</v>
      </c>
      <c r="J1967" s="66">
        <f t="shared" si="118"/>
        <v>48.346391893977056</v>
      </c>
      <c r="K1967" s="66">
        <f t="shared" si="119"/>
        <v>51.653608106022944</v>
      </c>
    </row>
    <row r="1968" spans="1:11" x14ac:dyDescent="0.3">
      <c r="A1968" s="10">
        <v>71</v>
      </c>
      <c r="B1968" s="10" t="s">
        <v>2263</v>
      </c>
      <c r="C1968" s="10" t="str" cm="1">
        <f t="array" ref="C1968">_xlfn.IFS(A1968&lt;20, "ภาคกลาง", A1968&lt;30, "ภาคตะวันออก", A1968&lt;50, "ภาคตะวันออกเฉียงเหนือ", A1968&lt;60, "ภาคเหนือ", A1968&lt;80, "ภาคกลาง/ตะวันตก", A1968&gt;=80, "ภาคใต้")</f>
        <v>ภาคกลาง/ตะวันตก</v>
      </c>
      <c r="D1968" s="64">
        <v>7108</v>
      </c>
      <c r="E1968" s="10" t="s">
        <v>2271</v>
      </c>
      <c r="F1968" s="11">
        <v>35360</v>
      </c>
      <c r="G1968" s="11">
        <v>32903</v>
      </c>
      <c r="H1968" s="11">
        <v>68263</v>
      </c>
      <c r="I1968" s="11">
        <v>28793</v>
      </c>
      <c r="J1968" s="66">
        <f t="shared" si="118"/>
        <v>51.799657208150826</v>
      </c>
      <c r="K1968" s="66">
        <f t="shared" si="119"/>
        <v>48.200342791849174</v>
      </c>
    </row>
    <row r="1969" spans="1:11" x14ac:dyDescent="0.3">
      <c r="A1969" s="10">
        <v>71</v>
      </c>
      <c r="B1969" s="10" t="s">
        <v>2263</v>
      </c>
      <c r="C1969" s="10" t="str" cm="1">
        <f t="array" ref="C1969">_xlfn.IFS(A1969&lt;20, "ภาคกลาง", A1969&lt;30, "ภาคตะวันออก", A1969&lt;50, "ภาคตะวันออกเฉียงเหนือ", A1969&lt;60, "ภาคเหนือ", A1969&lt;80, "ภาคกลาง/ตะวันตก", A1969&gt;=80, "ภาคใต้")</f>
        <v>ภาคกลาง/ตะวันตก</v>
      </c>
      <c r="D1969" s="64">
        <v>7109</v>
      </c>
      <c r="E1969" s="10" t="s">
        <v>2272</v>
      </c>
      <c r="F1969" s="11">
        <v>23025</v>
      </c>
      <c r="G1969" s="11">
        <v>21665</v>
      </c>
      <c r="H1969" s="11">
        <v>44690</v>
      </c>
      <c r="I1969" s="11">
        <v>12951</v>
      </c>
      <c r="J1969" s="66">
        <f t="shared" si="118"/>
        <v>51.52159319758335</v>
      </c>
      <c r="K1969" s="66">
        <f t="shared" si="119"/>
        <v>48.478406802416643</v>
      </c>
    </row>
    <row r="1970" spans="1:11" x14ac:dyDescent="0.3">
      <c r="A1970" s="10">
        <v>71</v>
      </c>
      <c r="B1970" s="10" t="s">
        <v>2263</v>
      </c>
      <c r="C1970" s="10" t="str" cm="1">
        <f t="array" ref="C1970">_xlfn.IFS(A1970&lt;20, "ภาคกลาง", A1970&lt;30, "ภาคตะวันออก", A1970&lt;50, "ภาคตะวันออกเฉียงเหนือ", A1970&lt;60, "ภาคเหนือ", A1970&lt;80, "ภาคกลาง/ตะวันตก", A1970&gt;=80, "ภาคใต้")</f>
        <v>ภาคกลาง/ตะวันตก</v>
      </c>
      <c r="D1970" s="64">
        <v>7110</v>
      </c>
      <c r="E1970" s="10" t="s">
        <v>2273</v>
      </c>
      <c r="F1970" s="11">
        <v>15680</v>
      </c>
      <c r="G1970" s="11">
        <v>16736</v>
      </c>
      <c r="H1970" s="11">
        <v>32416</v>
      </c>
      <c r="I1970" s="11">
        <v>11959</v>
      </c>
      <c r="J1970" s="66">
        <f t="shared" si="118"/>
        <v>48.37117472852912</v>
      </c>
      <c r="K1970" s="66">
        <f t="shared" si="119"/>
        <v>51.62882527147088</v>
      </c>
    </row>
    <row r="1971" spans="1:11" x14ac:dyDescent="0.3">
      <c r="A1971" s="10">
        <v>71</v>
      </c>
      <c r="B1971" s="10" t="s">
        <v>2263</v>
      </c>
      <c r="C1971" s="10" t="str" cm="1">
        <f t="array" ref="C1971">_xlfn.IFS(A1971&lt;20, "ภาคกลาง", A1971&lt;30, "ภาคตะวันออก", A1971&lt;50, "ภาคตะวันออกเฉียงเหนือ", A1971&lt;60, "ภาคเหนือ", A1971&lt;80, "ภาคกลาง/ตะวันตก", A1971&gt;=80, "ภาคใต้")</f>
        <v>ภาคกลาง/ตะวันตก</v>
      </c>
      <c r="D1971" s="64">
        <v>7111</v>
      </c>
      <c r="E1971" s="10" t="s">
        <v>2274</v>
      </c>
      <c r="F1971" s="11">
        <v>26726</v>
      </c>
      <c r="G1971" s="11">
        <v>27010</v>
      </c>
      <c r="H1971" s="11">
        <v>53736</v>
      </c>
      <c r="I1971" s="11">
        <v>19798</v>
      </c>
      <c r="J1971" s="66">
        <f t="shared" si="118"/>
        <v>49.73574512431145</v>
      </c>
      <c r="K1971" s="66">
        <f t="shared" si="119"/>
        <v>50.26425487568855</v>
      </c>
    </row>
    <row r="1972" spans="1:11" x14ac:dyDescent="0.3">
      <c r="A1972" s="10">
        <v>71</v>
      </c>
      <c r="B1972" s="10" t="s">
        <v>2263</v>
      </c>
      <c r="C1972" s="10" t="str" cm="1">
        <f t="array" ref="C1972">_xlfn.IFS(A1972&lt;20, "ภาคกลาง", A1972&lt;30, "ภาคตะวันออก", A1972&lt;50, "ภาคตะวันออกเฉียงเหนือ", A1972&lt;60, "ภาคเหนือ", A1972&lt;80, "ภาคกลาง/ตะวันตก", A1972&gt;=80, "ภาคใต้")</f>
        <v>ภาคกลาง/ตะวันตก</v>
      </c>
      <c r="D1972" s="64">
        <v>7112</v>
      </c>
      <c r="E1972" s="10" t="s">
        <v>2275</v>
      </c>
      <c r="F1972" s="11">
        <v>15566</v>
      </c>
      <c r="G1972" s="11">
        <v>15737</v>
      </c>
      <c r="H1972" s="11">
        <v>31303</v>
      </c>
      <c r="I1972" s="11">
        <v>11387</v>
      </c>
      <c r="J1972" s="66">
        <f t="shared" si="118"/>
        <v>49.726863239945054</v>
      </c>
      <c r="K1972" s="66">
        <f t="shared" si="119"/>
        <v>50.273136760054946</v>
      </c>
    </row>
    <row r="1973" spans="1:11" x14ac:dyDescent="0.3">
      <c r="A1973" s="10">
        <v>71</v>
      </c>
      <c r="B1973" s="10" t="s">
        <v>2263</v>
      </c>
      <c r="C1973" s="10" t="str" cm="1">
        <f t="array" ref="C1973">_xlfn.IFS(A1973&lt;20, "ภาคกลาง", A1973&lt;30, "ภาคตะวันออก", A1973&lt;50, "ภาคตะวันออกเฉียงเหนือ", A1973&lt;60, "ภาคเหนือ", A1973&lt;80, "ภาคกลาง/ตะวันตก", A1973&gt;=80, "ภาคใต้")</f>
        <v>ภาคกลาง/ตะวันตก</v>
      </c>
      <c r="D1973" s="64">
        <v>7113</v>
      </c>
      <c r="E1973" s="10" t="s">
        <v>2276</v>
      </c>
      <c r="F1973" s="11">
        <v>13847</v>
      </c>
      <c r="G1973" s="11">
        <v>13510</v>
      </c>
      <c r="H1973" s="11">
        <v>27357</v>
      </c>
      <c r="I1973" s="11">
        <v>10106</v>
      </c>
      <c r="J1973" s="66">
        <f t="shared" si="118"/>
        <v>50.615930109295618</v>
      </c>
      <c r="K1973" s="66">
        <f t="shared" si="119"/>
        <v>49.384069890704389</v>
      </c>
    </row>
    <row r="1974" spans="1:11" ht="27.6" x14ac:dyDescent="0.3">
      <c r="A1974" s="10">
        <v>71</v>
      </c>
      <c r="B1974" s="10" t="s">
        <v>2263</v>
      </c>
      <c r="C1974" s="10" t="str" cm="1">
        <f t="array" ref="C1974">_xlfn.IFS(A1974&lt;20, "ภาคกลาง", A1974&lt;30, "ภาคตะวันออก", A1974&lt;50, "ภาคตะวันออกเฉียงเหนือ", A1974&lt;60, "ภาคเหนือ", A1974&lt;80, "ภาคกลาง/ตะวันตก", A1974&gt;=80, "ภาคใต้")</f>
        <v>ภาคกลาง/ตะวันตก</v>
      </c>
      <c r="D1974" s="64">
        <v>7167</v>
      </c>
      <c r="E1974" s="10" t="s">
        <v>2277</v>
      </c>
      <c r="F1974" s="11">
        <v>16684</v>
      </c>
      <c r="G1974" s="11">
        <v>17414</v>
      </c>
      <c r="H1974" s="11">
        <v>34098</v>
      </c>
      <c r="I1974" s="11">
        <v>12599</v>
      </c>
      <c r="J1974" s="66">
        <f t="shared" si="118"/>
        <v>48.92955598568831</v>
      </c>
      <c r="K1974" s="66">
        <f t="shared" si="119"/>
        <v>51.07044401431169</v>
      </c>
    </row>
    <row r="1975" spans="1:11" ht="27.6" x14ac:dyDescent="0.3">
      <c r="A1975" s="10">
        <v>71</v>
      </c>
      <c r="B1975" s="10" t="s">
        <v>2263</v>
      </c>
      <c r="C1975" s="10" t="str" cm="1">
        <f t="array" ref="C1975">_xlfn.IFS(A1975&lt;20, "ภาคกลาง", A1975&lt;30, "ภาคตะวันออก", A1975&lt;50, "ภาคตะวันออกเฉียงเหนือ", A1975&lt;60, "ภาคเหนือ", A1975&lt;80, "ภาคกลาง/ตะวันตก", A1975&gt;=80, "ภาคใต้")</f>
        <v>ภาคกลาง/ตะวันตก</v>
      </c>
      <c r="D1975" s="64">
        <v>7168</v>
      </c>
      <c r="E1975" s="10" t="s">
        <v>2278</v>
      </c>
      <c r="F1975" s="11">
        <v>3576</v>
      </c>
      <c r="G1975" s="11">
        <v>3593</v>
      </c>
      <c r="H1975" s="11">
        <v>7169</v>
      </c>
      <c r="I1975" s="11">
        <v>2701</v>
      </c>
      <c r="J1975" s="66">
        <f t="shared" si="118"/>
        <v>49.881433951736639</v>
      </c>
      <c r="K1975" s="66">
        <f t="shared" si="119"/>
        <v>50.118566048263361</v>
      </c>
    </row>
    <row r="1976" spans="1:11" ht="27.6" x14ac:dyDescent="0.3">
      <c r="A1976" s="10">
        <v>71</v>
      </c>
      <c r="B1976" s="10" t="s">
        <v>2263</v>
      </c>
      <c r="C1976" s="10" t="str" cm="1">
        <f t="array" ref="C1976">_xlfn.IFS(A1976&lt;20, "ภาคกลาง", A1976&lt;30, "ภาคตะวันออก", A1976&lt;50, "ภาคตะวันออกเฉียงเหนือ", A1976&lt;60, "ภาคเหนือ", A1976&lt;80, "ภาคกลาง/ตะวันตก", A1976&gt;=80, "ภาคใต้")</f>
        <v>ภาคกลาง/ตะวันตก</v>
      </c>
      <c r="D1976" s="64">
        <v>7169</v>
      </c>
      <c r="E1976" s="10" t="s">
        <v>2279</v>
      </c>
      <c r="F1976" s="11">
        <v>1727</v>
      </c>
      <c r="G1976" s="11">
        <v>1940</v>
      </c>
      <c r="H1976" s="11">
        <v>3667</v>
      </c>
      <c r="I1976" s="11">
        <v>1261</v>
      </c>
      <c r="J1976" s="66">
        <f t="shared" si="118"/>
        <v>47.095718571038994</v>
      </c>
      <c r="K1976" s="66">
        <f t="shared" si="119"/>
        <v>52.904281428961006</v>
      </c>
    </row>
    <row r="1977" spans="1:11" x14ac:dyDescent="0.3">
      <c r="A1977" s="10">
        <v>71</v>
      </c>
      <c r="B1977" s="10" t="s">
        <v>2263</v>
      </c>
      <c r="C1977" s="10" t="str" cm="1">
        <f t="array" ref="C1977">_xlfn.IFS(A1977&lt;20, "ภาคกลาง", A1977&lt;30, "ภาคตะวันออก", A1977&lt;50, "ภาคตะวันออกเฉียงเหนือ", A1977&lt;60, "ภาคเหนือ", A1977&lt;80, "ภาคกลาง/ตะวันตก", A1977&gt;=80, "ภาคใต้")</f>
        <v>ภาคกลาง/ตะวันตก</v>
      </c>
      <c r="D1977" s="64">
        <v>7170</v>
      </c>
      <c r="E1977" s="10" t="s">
        <v>2280</v>
      </c>
      <c r="F1977" s="11">
        <v>13488</v>
      </c>
      <c r="G1977" s="11">
        <v>15102</v>
      </c>
      <c r="H1977" s="11">
        <v>28590</v>
      </c>
      <c r="I1977" s="11">
        <v>17024</v>
      </c>
      <c r="J1977" s="66">
        <f t="shared" si="118"/>
        <v>47.177334732423923</v>
      </c>
      <c r="K1977" s="66">
        <f t="shared" si="119"/>
        <v>52.822665267576077</v>
      </c>
    </row>
    <row r="1978" spans="1:11" x14ac:dyDescent="0.3">
      <c r="A1978" s="10">
        <v>71</v>
      </c>
      <c r="B1978" s="10" t="s">
        <v>2263</v>
      </c>
      <c r="C1978" s="10" t="str" cm="1">
        <f t="array" ref="C1978">_xlfn.IFS(A1978&lt;20, "ภาคกลาง", A1978&lt;30, "ภาคตะวันออก", A1978&lt;50, "ภาคตะวันออกเฉียงเหนือ", A1978&lt;60, "ภาคเหนือ", A1978&lt;80, "ภาคกลาง/ตะวันตก", A1978&gt;=80, "ภาคใต้")</f>
        <v>ภาคกลาง/ตะวันตก</v>
      </c>
      <c r="D1978" s="64">
        <v>7171</v>
      </c>
      <c r="E1978" s="10" t="s">
        <v>2281</v>
      </c>
      <c r="F1978" s="11">
        <v>5707</v>
      </c>
      <c r="G1978" s="11">
        <v>6074</v>
      </c>
      <c r="H1978" s="11">
        <v>11781</v>
      </c>
      <c r="I1978" s="11">
        <v>5465</v>
      </c>
      <c r="J1978" s="66">
        <f t="shared" si="118"/>
        <v>48.44240726593668</v>
      </c>
      <c r="K1978" s="66">
        <f t="shared" si="119"/>
        <v>51.55759273406332</v>
      </c>
    </row>
    <row r="1979" spans="1:11" x14ac:dyDescent="0.3">
      <c r="A1979" s="10">
        <v>71</v>
      </c>
      <c r="B1979" s="10" t="s">
        <v>2263</v>
      </c>
      <c r="C1979" s="10" t="str" cm="1">
        <f t="array" ref="C1979">_xlfn.IFS(A1979&lt;20, "ภาคกลาง", A1979&lt;30, "ภาคตะวันออก", A1979&lt;50, "ภาคตะวันออกเฉียงเหนือ", A1979&lt;60, "ภาคเหนือ", A1979&lt;80, "ภาคกลาง/ตะวันตก", A1979&gt;=80, "ภาคใต้")</f>
        <v>ภาคกลาง/ตะวันตก</v>
      </c>
      <c r="D1979" s="64">
        <v>7172</v>
      </c>
      <c r="E1979" s="10" t="s">
        <v>2282</v>
      </c>
      <c r="F1979" s="11">
        <v>4357</v>
      </c>
      <c r="G1979" s="11">
        <v>4873</v>
      </c>
      <c r="H1979" s="11">
        <v>9230</v>
      </c>
      <c r="I1979" s="11">
        <v>4148</v>
      </c>
      <c r="J1979" s="66">
        <f t="shared" si="118"/>
        <v>47.204767063921992</v>
      </c>
      <c r="K1979" s="66">
        <f t="shared" si="119"/>
        <v>52.795232936078008</v>
      </c>
    </row>
    <row r="1980" spans="1:11" ht="27.6" x14ac:dyDescent="0.3">
      <c r="A1980" s="10">
        <v>71</v>
      </c>
      <c r="B1980" s="10" t="s">
        <v>2263</v>
      </c>
      <c r="C1980" s="10" t="str" cm="1">
        <f t="array" ref="C1980">_xlfn.IFS(A1980&lt;20, "ภาคกลาง", A1980&lt;30, "ภาคตะวันออก", A1980&lt;50, "ภาคตะวันออกเฉียงเหนือ", A1980&lt;60, "ภาคเหนือ", A1980&lt;80, "ภาคกลาง/ตะวันตก", A1980&gt;=80, "ภาคใต้")</f>
        <v>ภาคกลาง/ตะวันตก</v>
      </c>
      <c r="D1980" s="64">
        <v>7173</v>
      </c>
      <c r="E1980" s="10" t="s">
        <v>2283</v>
      </c>
      <c r="F1980" s="11">
        <v>4399</v>
      </c>
      <c r="G1980" s="11">
        <v>4932</v>
      </c>
      <c r="H1980" s="11">
        <v>9331</v>
      </c>
      <c r="I1980" s="11">
        <v>4092</v>
      </c>
      <c r="J1980" s="66">
        <f t="shared" si="118"/>
        <v>47.143928839352697</v>
      </c>
      <c r="K1980" s="66">
        <f t="shared" si="119"/>
        <v>52.856071160647303</v>
      </c>
    </row>
    <row r="1981" spans="1:11" ht="27.6" x14ac:dyDescent="0.3">
      <c r="A1981" s="10">
        <v>71</v>
      </c>
      <c r="B1981" s="10" t="s">
        <v>2263</v>
      </c>
      <c r="C1981" s="10" t="str" cm="1">
        <f t="array" ref="C1981">_xlfn.IFS(A1981&lt;20, "ภาคกลาง", A1981&lt;30, "ภาคตะวันออก", A1981&lt;50, "ภาคตะวันออกเฉียงเหนือ", A1981&lt;60, "ภาคเหนือ", A1981&lt;80, "ภาคกลาง/ตะวันตก", A1981&gt;=80, "ภาคใต้")</f>
        <v>ภาคกลาง/ตะวันตก</v>
      </c>
      <c r="D1981" s="64">
        <v>7174</v>
      </c>
      <c r="E1981" s="10" t="s">
        <v>2284</v>
      </c>
      <c r="F1981" s="11">
        <v>2107</v>
      </c>
      <c r="G1981" s="11">
        <v>2268</v>
      </c>
      <c r="H1981" s="11">
        <v>4375</v>
      </c>
      <c r="I1981" s="11">
        <v>1899</v>
      </c>
      <c r="J1981" s="66">
        <f t="shared" si="118"/>
        <v>48.16</v>
      </c>
      <c r="K1981" s="66">
        <f t="shared" si="119"/>
        <v>51.839999999999996</v>
      </c>
    </row>
    <row r="1982" spans="1:11" ht="27.6" x14ac:dyDescent="0.3">
      <c r="A1982" s="10">
        <v>71</v>
      </c>
      <c r="B1982" s="10" t="s">
        <v>2263</v>
      </c>
      <c r="C1982" s="10" t="str" cm="1">
        <f t="array" ref="C1982">_xlfn.IFS(A1982&lt;20, "ภาคกลาง", A1982&lt;30, "ภาคตะวันออก", A1982&lt;50, "ภาคตะวันออกเฉียงเหนือ", A1982&lt;60, "ภาคเหนือ", A1982&lt;80, "ภาคกลาง/ตะวันตก", A1982&gt;=80, "ภาคใต้")</f>
        <v>ภาคกลาง/ตะวันตก</v>
      </c>
      <c r="D1982" s="64">
        <v>7175</v>
      </c>
      <c r="E1982" s="10" t="s">
        <v>2285</v>
      </c>
      <c r="F1982" s="11">
        <v>1185</v>
      </c>
      <c r="G1982" s="11">
        <v>1248</v>
      </c>
      <c r="H1982" s="11">
        <v>2433</v>
      </c>
      <c r="I1982" s="11">
        <v>1333</v>
      </c>
      <c r="J1982" s="66">
        <f t="shared" si="118"/>
        <v>48.705302096177562</v>
      </c>
      <c r="K1982" s="66">
        <f t="shared" si="119"/>
        <v>51.294697903822438</v>
      </c>
    </row>
    <row r="1983" spans="1:11" x14ac:dyDescent="0.3">
      <c r="A1983" s="10">
        <v>71</v>
      </c>
      <c r="B1983" s="10" t="s">
        <v>2263</v>
      </c>
      <c r="C1983" s="10" t="str" cm="1">
        <f t="array" ref="C1983">_xlfn.IFS(A1983&lt;20, "ภาคกลาง", A1983&lt;30, "ภาคตะวันออก", A1983&lt;50, "ภาคตะวันออกเฉียงเหนือ", A1983&lt;60, "ภาคเหนือ", A1983&lt;80, "ภาคกลาง/ตะวันตก", A1983&gt;=80, "ภาคใต้")</f>
        <v>ภาคกลาง/ตะวันตก</v>
      </c>
      <c r="D1983" s="64">
        <v>7176</v>
      </c>
      <c r="E1983" s="10" t="s">
        <v>2286</v>
      </c>
      <c r="F1983" s="11">
        <v>1046</v>
      </c>
      <c r="G1983" s="11">
        <v>1157</v>
      </c>
      <c r="H1983" s="11">
        <v>2203</v>
      </c>
      <c r="I1983" s="10">
        <v>978</v>
      </c>
      <c r="J1983" s="66">
        <f t="shared" si="118"/>
        <v>47.480708125283705</v>
      </c>
      <c r="K1983" s="66">
        <f t="shared" si="119"/>
        <v>52.519291874716302</v>
      </c>
    </row>
    <row r="1984" spans="1:11" ht="27.6" x14ac:dyDescent="0.3">
      <c r="A1984" s="10">
        <v>71</v>
      </c>
      <c r="B1984" s="10" t="s">
        <v>2263</v>
      </c>
      <c r="C1984" s="10" t="str" cm="1">
        <f t="array" ref="C1984">_xlfn.IFS(A1984&lt;20, "ภาคกลาง", A1984&lt;30, "ภาคตะวันออก", A1984&lt;50, "ภาคตะวันออกเฉียงเหนือ", A1984&lt;60, "ภาคเหนือ", A1984&lt;80, "ภาคกลาง/ตะวันตก", A1984&gt;=80, "ภาคใต้")</f>
        <v>ภาคกลาง/ตะวันตก</v>
      </c>
      <c r="D1984" s="64">
        <v>7177</v>
      </c>
      <c r="E1984" s="10" t="s">
        <v>2287</v>
      </c>
      <c r="F1984" s="11">
        <v>1317</v>
      </c>
      <c r="G1984" s="11">
        <v>1331</v>
      </c>
      <c r="H1984" s="11">
        <v>2648</v>
      </c>
      <c r="I1984" s="11">
        <v>1409</v>
      </c>
      <c r="J1984" s="66">
        <f t="shared" si="118"/>
        <v>49.735649546827794</v>
      </c>
      <c r="K1984" s="66">
        <f t="shared" si="119"/>
        <v>50.264350453172199</v>
      </c>
    </row>
    <row r="1985" spans="1:11" ht="27.6" x14ac:dyDescent="0.3">
      <c r="A1985" s="10">
        <v>71</v>
      </c>
      <c r="B1985" s="10" t="s">
        <v>2263</v>
      </c>
      <c r="C1985" s="10" t="str" cm="1">
        <f t="array" ref="C1985">_xlfn.IFS(A1985&lt;20, "ภาคกลาง", A1985&lt;30, "ภาคตะวันออก", A1985&lt;50, "ภาคตะวันออกเฉียงเหนือ", A1985&lt;60, "ภาคเหนือ", A1985&lt;80, "ภาคกลาง/ตะวันตก", A1985&gt;=80, "ภาคใต้")</f>
        <v>ภาคกลาง/ตะวันตก</v>
      </c>
      <c r="D1985" s="64">
        <v>7178</v>
      </c>
      <c r="E1985" s="10" t="s">
        <v>2288</v>
      </c>
      <c r="F1985" s="11">
        <v>1872</v>
      </c>
      <c r="G1985" s="11">
        <v>2113</v>
      </c>
      <c r="H1985" s="11">
        <v>3985</v>
      </c>
      <c r="I1985" s="11">
        <v>1879</v>
      </c>
      <c r="J1985" s="66">
        <f t="shared" si="118"/>
        <v>46.976160602258474</v>
      </c>
      <c r="K1985" s="66">
        <f t="shared" si="119"/>
        <v>53.023839397741533</v>
      </c>
    </row>
    <row r="1986" spans="1:11" x14ac:dyDescent="0.3">
      <c r="A1986" s="10">
        <v>71</v>
      </c>
      <c r="B1986" s="10" t="s">
        <v>2263</v>
      </c>
      <c r="C1986" s="10" t="str" cm="1">
        <f t="array" ref="C1986">_xlfn.IFS(A1986&lt;20, "ภาคกลาง", A1986&lt;30, "ภาคตะวันออก", A1986&lt;50, "ภาคตะวันออกเฉียงเหนือ", A1986&lt;60, "ภาคเหนือ", A1986&lt;80, "ภาคกลาง/ตะวันตก", A1986&gt;=80, "ภาคใต้")</f>
        <v>ภาคกลาง/ตะวันตก</v>
      </c>
      <c r="D1986" s="64">
        <v>7179</v>
      </c>
      <c r="E1986" s="10" t="s">
        <v>2289</v>
      </c>
      <c r="F1986" s="11">
        <v>2389</v>
      </c>
      <c r="G1986" s="11">
        <v>2693</v>
      </c>
      <c r="H1986" s="11">
        <v>5082</v>
      </c>
      <c r="I1986" s="11">
        <v>2286</v>
      </c>
      <c r="J1986" s="66">
        <f t="shared" si="118"/>
        <v>47.009051554506101</v>
      </c>
      <c r="K1986" s="66">
        <f t="shared" si="119"/>
        <v>52.990948445493899</v>
      </c>
    </row>
    <row r="1987" spans="1:11" ht="27.6" x14ac:dyDescent="0.3">
      <c r="A1987" s="10">
        <v>71</v>
      </c>
      <c r="B1987" s="10" t="s">
        <v>2263</v>
      </c>
      <c r="C1987" s="10" t="str" cm="1">
        <f t="array" ref="C1987">_xlfn.IFS(A1987&lt;20, "ภาคกลาง", A1987&lt;30, "ภาคตะวันออก", A1987&lt;50, "ภาคตะวันออกเฉียงเหนือ", A1987&lt;60, "ภาคเหนือ", A1987&lt;80, "ภาคกลาง/ตะวันตก", A1987&gt;=80, "ภาคใต้")</f>
        <v>ภาคกลาง/ตะวันตก</v>
      </c>
      <c r="D1987" s="64">
        <v>7180</v>
      </c>
      <c r="E1987" s="10" t="s">
        <v>2290</v>
      </c>
      <c r="F1987" s="11">
        <v>4974</v>
      </c>
      <c r="G1987" s="11">
        <v>4795</v>
      </c>
      <c r="H1987" s="11">
        <v>9769</v>
      </c>
      <c r="I1987" s="11">
        <v>2731</v>
      </c>
      <c r="J1987" s="66">
        <f t="shared" si="118"/>
        <v>50.916163373937962</v>
      </c>
      <c r="K1987" s="66">
        <f t="shared" si="119"/>
        <v>49.08383662606203</v>
      </c>
    </row>
    <row r="1988" spans="1:11" ht="27.6" x14ac:dyDescent="0.3">
      <c r="A1988" s="10">
        <v>71</v>
      </c>
      <c r="B1988" s="10" t="s">
        <v>2263</v>
      </c>
      <c r="C1988" s="10" t="str" cm="1">
        <f t="array" ref="C1988">_xlfn.IFS(A1988&lt;20, "ภาคกลาง", A1988&lt;30, "ภาคตะวันออก", A1988&lt;50, "ภาคตะวันออกเฉียงเหนือ", A1988&lt;60, "ภาคเหนือ", A1988&lt;80, "ภาคกลาง/ตะวันตก", A1988&gt;=80, "ภาคใต้")</f>
        <v>ภาคกลาง/ตะวันตก</v>
      </c>
      <c r="D1988" s="64">
        <v>7181</v>
      </c>
      <c r="E1988" s="10" t="s">
        <v>2291</v>
      </c>
      <c r="F1988" s="11">
        <v>1547</v>
      </c>
      <c r="G1988" s="11">
        <v>1505</v>
      </c>
      <c r="H1988" s="11">
        <v>3052</v>
      </c>
      <c r="I1988" s="11">
        <v>1633</v>
      </c>
      <c r="J1988" s="66">
        <f t="shared" si="118"/>
        <v>50.688073394495412</v>
      </c>
      <c r="K1988" s="66">
        <f t="shared" si="119"/>
        <v>49.311926605504588</v>
      </c>
    </row>
    <row r="1989" spans="1:11" ht="27.6" x14ac:dyDescent="0.3">
      <c r="A1989" s="10">
        <v>71</v>
      </c>
      <c r="B1989" s="10" t="s">
        <v>2263</v>
      </c>
      <c r="C1989" s="10" t="str" cm="1">
        <f t="array" ref="C1989">_xlfn.IFS(A1989&lt;20, "ภาคกลาง", A1989&lt;30, "ภาคตะวันออก", A1989&lt;50, "ภาคตะวันออกเฉียงเหนือ", A1989&lt;60, "ภาคเหนือ", A1989&lt;80, "ภาคกลาง/ตะวันตก", A1989&gt;=80, "ภาคใต้")</f>
        <v>ภาคกลาง/ตะวันตก</v>
      </c>
      <c r="D1989" s="64">
        <v>7182</v>
      </c>
      <c r="E1989" s="10" t="s">
        <v>2292</v>
      </c>
      <c r="F1989" s="11">
        <v>1488</v>
      </c>
      <c r="G1989" s="11">
        <v>1557</v>
      </c>
      <c r="H1989" s="11">
        <v>3045</v>
      </c>
      <c r="I1989" s="11">
        <v>1015</v>
      </c>
      <c r="J1989" s="66">
        <f t="shared" si="118"/>
        <v>48.86699507389163</v>
      </c>
      <c r="K1989" s="66">
        <f t="shared" si="119"/>
        <v>51.13300492610837</v>
      </c>
    </row>
    <row r="1990" spans="1:11" x14ac:dyDescent="0.3">
      <c r="A1990" s="10">
        <v>71</v>
      </c>
      <c r="B1990" s="10" t="s">
        <v>2263</v>
      </c>
      <c r="C1990" s="10" t="str" cm="1">
        <f t="array" ref="C1990">_xlfn.IFS(A1990&lt;20, "ภาคกลาง", A1990&lt;30, "ภาคตะวันออก", A1990&lt;50, "ภาคตะวันออกเฉียงเหนือ", A1990&lt;60, "ภาคเหนือ", A1990&lt;80, "ภาคกลาง/ตะวันตก", A1990&gt;=80, "ภาคใต้")</f>
        <v>ภาคกลาง/ตะวันตก</v>
      </c>
      <c r="D1990" s="64">
        <v>7183</v>
      </c>
      <c r="E1990" s="10" t="s">
        <v>2293</v>
      </c>
      <c r="F1990" s="11">
        <v>2297</v>
      </c>
      <c r="G1990" s="11">
        <v>2560</v>
      </c>
      <c r="H1990" s="11">
        <v>4857</v>
      </c>
      <c r="I1990" s="11">
        <v>1637</v>
      </c>
      <c r="J1990" s="66">
        <f t="shared" si="118"/>
        <v>47.292567428453779</v>
      </c>
      <c r="K1990" s="66">
        <f t="shared" si="119"/>
        <v>52.707432571546221</v>
      </c>
    </row>
    <row r="1991" spans="1:11" x14ac:dyDescent="0.3">
      <c r="A1991" s="10">
        <v>71</v>
      </c>
      <c r="B1991" s="10" t="s">
        <v>2263</v>
      </c>
      <c r="C1991" s="10" t="str" cm="1">
        <f t="array" ref="C1991">_xlfn.IFS(A1991&lt;20, "ภาคกลาง", A1991&lt;30, "ภาคตะวันออก", A1991&lt;50, "ภาคตะวันออกเฉียงเหนือ", A1991&lt;60, "ภาคเหนือ", A1991&lt;80, "ภาคกลาง/ตะวันตก", A1991&gt;=80, "ภาคใต้")</f>
        <v>ภาคกลาง/ตะวันตก</v>
      </c>
      <c r="D1991" s="64">
        <v>7184</v>
      </c>
      <c r="E1991" s="10" t="s">
        <v>2294</v>
      </c>
      <c r="F1991" s="10">
        <v>872</v>
      </c>
      <c r="G1991" s="10">
        <v>906</v>
      </c>
      <c r="H1991" s="11">
        <v>1778</v>
      </c>
      <c r="I1991" s="10">
        <v>669</v>
      </c>
      <c r="J1991" s="66">
        <f t="shared" si="118"/>
        <v>49.043869516310465</v>
      </c>
      <c r="K1991" s="66">
        <f t="shared" si="119"/>
        <v>50.956130483689542</v>
      </c>
    </row>
    <row r="1992" spans="1:11" ht="27.6" x14ac:dyDescent="0.3">
      <c r="A1992" s="10">
        <v>71</v>
      </c>
      <c r="B1992" s="10" t="s">
        <v>2263</v>
      </c>
      <c r="C1992" s="10" t="str" cm="1">
        <f t="array" ref="C1992">_xlfn.IFS(A1992&lt;20, "ภาคกลาง", A1992&lt;30, "ภาคตะวันออก", A1992&lt;50, "ภาคตะวันออกเฉียงเหนือ", A1992&lt;60, "ภาคเหนือ", A1992&lt;80, "ภาคกลาง/ตะวันตก", A1992&gt;=80, "ภาคใต้")</f>
        <v>ภาคกลาง/ตะวันตก</v>
      </c>
      <c r="D1992" s="64">
        <v>7185</v>
      </c>
      <c r="E1992" s="10" t="s">
        <v>2295</v>
      </c>
      <c r="F1992" s="11">
        <v>4305</v>
      </c>
      <c r="G1992" s="11">
        <v>5046</v>
      </c>
      <c r="H1992" s="11">
        <v>9351</v>
      </c>
      <c r="I1992" s="11">
        <v>5595</v>
      </c>
      <c r="J1992" s="66">
        <f t="shared" si="118"/>
        <v>46.037856913699073</v>
      </c>
      <c r="K1992" s="66">
        <f t="shared" si="119"/>
        <v>53.962143086300927</v>
      </c>
    </row>
    <row r="1993" spans="1:11" x14ac:dyDescent="0.3">
      <c r="A1993" s="10">
        <v>71</v>
      </c>
      <c r="B1993" s="10" t="s">
        <v>2263</v>
      </c>
      <c r="C1993" s="10" t="str" cm="1">
        <f t="array" ref="C1993">_xlfn.IFS(A1993&lt;20, "ภาคกลาง", A1993&lt;30, "ภาคตะวันออก", A1993&lt;50, "ภาคตะวันออกเฉียงเหนือ", A1993&lt;60, "ภาคเหนือ", A1993&lt;80, "ภาคกลาง/ตะวันตก", A1993&gt;=80, "ภาคใต้")</f>
        <v>ภาคกลาง/ตะวันตก</v>
      </c>
      <c r="D1993" s="64">
        <v>7186</v>
      </c>
      <c r="E1993" s="10" t="s">
        <v>2296</v>
      </c>
      <c r="F1993" s="11">
        <v>2116</v>
      </c>
      <c r="G1993" s="11">
        <v>2273</v>
      </c>
      <c r="H1993" s="11">
        <v>4389</v>
      </c>
      <c r="I1993" s="11">
        <v>2056</v>
      </c>
      <c r="J1993" s="66">
        <f t="shared" si="118"/>
        <v>48.211437685121894</v>
      </c>
      <c r="K1993" s="66">
        <f t="shared" si="119"/>
        <v>51.788562314878106</v>
      </c>
    </row>
    <row r="1994" spans="1:11" x14ac:dyDescent="0.3">
      <c r="A1994" s="10">
        <v>71</v>
      </c>
      <c r="B1994" s="10" t="s">
        <v>2263</v>
      </c>
      <c r="C1994" s="10" t="str" cm="1">
        <f t="array" ref="C1994">_xlfn.IFS(A1994&lt;20, "ภาคกลาง", A1994&lt;30, "ภาคตะวันออก", A1994&lt;50, "ภาคตะวันออกเฉียงเหนือ", A1994&lt;60, "ภาคเหนือ", A1994&lt;80, "ภาคกลาง/ตะวันตก", A1994&gt;=80, "ภาคใต้")</f>
        <v>ภาคกลาง/ตะวันตก</v>
      </c>
      <c r="D1994" s="64">
        <v>7187</v>
      </c>
      <c r="E1994" s="10" t="s">
        <v>2297</v>
      </c>
      <c r="F1994" s="11">
        <v>2949</v>
      </c>
      <c r="G1994" s="11">
        <v>3246</v>
      </c>
      <c r="H1994" s="11">
        <v>6195</v>
      </c>
      <c r="I1994" s="11">
        <v>2327</v>
      </c>
      <c r="J1994" s="66">
        <f t="shared" si="118"/>
        <v>47.602905569007262</v>
      </c>
      <c r="K1994" s="66">
        <f t="shared" si="119"/>
        <v>52.397094430992738</v>
      </c>
    </row>
    <row r="1995" spans="1:11" x14ac:dyDescent="0.3">
      <c r="A1995" s="10">
        <v>71</v>
      </c>
      <c r="B1995" s="10" t="s">
        <v>2263</v>
      </c>
      <c r="C1995" s="10" t="str" cm="1">
        <f t="array" ref="C1995">_xlfn.IFS(A1995&lt;20, "ภาคกลาง", A1995&lt;30, "ภาคตะวันออก", A1995&lt;50, "ภาคตะวันออกเฉียงเหนือ", A1995&lt;60, "ภาคเหนือ", A1995&lt;80, "ภาคกลาง/ตะวันตก", A1995&gt;=80, "ภาคใต้")</f>
        <v>ภาคกลาง/ตะวันตก</v>
      </c>
      <c r="D1995" s="64">
        <v>7188</v>
      </c>
      <c r="E1995" s="10" t="s">
        <v>2298</v>
      </c>
      <c r="F1995" s="11">
        <v>4259</v>
      </c>
      <c r="G1995" s="11">
        <v>4625</v>
      </c>
      <c r="H1995" s="11">
        <v>8884</v>
      </c>
      <c r="I1995" s="11">
        <v>4014</v>
      </c>
      <c r="J1995" s="66">
        <f t="shared" si="118"/>
        <v>47.940117064385412</v>
      </c>
      <c r="K1995" s="66">
        <f t="shared" si="119"/>
        <v>52.059882935614588</v>
      </c>
    </row>
    <row r="1996" spans="1:11" x14ac:dyDescent="0.3">
      <c r="A1996" s="10">
        <v>71</v>
      </c>
      <c r="B1996" s="10" t="s">
        <v>2263</v>
      </c>
      <c r="C1996" s="10" t="str" cm="1">
        <f t="array" ref="C1996">_xlfn.IFS(A1996&lt;20, "ภาคกลาง", A1996&lt;30, "ภาคตะวันออก", A1996&lt;50, "ภาคตะวันออกเฉียงเหนือ", A1996&lt;60, "ภาคเหนือ", A1996&lt;80, "ภาคกลาง/ตะวันตก", A1996&gt;=80, "ภาคใต้")</f>
        <v>ภาคกลาง/ตะวันตก</v>
      </c>
      <c r="D1996" s="64">
        <v>7189</v>
      </c>
      <c r="E1996" s="10" t="s">
        <v>2299</v>
      </c>
      <c r="F1996" s="11">
        <v>3713</v>
      </c>
      <c r="G1996" s="11">
        <v>4314</v>
      </c>
      <c r="H1996" s="11">
        <v>8027</v>
      </c>
      <c r="I1996" s="11">
        <v>4803</v>
      </c>
      <c r="J1996" s="66">
        <f t="shared" si="118"/>
        <v>46.256384701631994</v>
      </c>
      <c r="K1996" s="66">
        <f t="shared" si="119"/>
        <v>53.743615298368006</v>
      </c>
    </row>
    <row r="1997" spans="1:11" x14ac:dyDescent="0.3">
      <c r="A1997" s="10">
        <v>71</v>
      </c>
      <c r="B1997" s="10" t="s">
        <v>2263</v>
      </c>
      <c r="C1997" s="10" t="str" cm="1">
        <f t="array" ref="C1997">_xlfn.IFS(A1997&lt;20, "ภาคกลาง", A1997&lt;30, "ภาคตะวันออก", A1997&lt;50, "ภาคตะวันออกเฉียงเหนือ", A1997&lt;60, "ภาคเหนือ", A1997&lt;80, "ภาคกลาง/ตะวันตก", A1997&gt;=80, "ภาคใต้")</f>
        <v>ภาคกลาง/ตะวันตก</v>
      </c>
      <c r="D1997" s="64">
        <v>7190</v>
      </c>
      <c r="E1997" s="10" t="s">
        <v>2300</v>
      </c>
      <c r="F1997" s="11">
        <v>1526</v>
      </c>
      <c r="G1997" s="11">
        <v>1779</v>
      </c>
      <c r="H1997" s="11">
        <v>3305</v>
      </c>
      <c r="I1997" s="11">
        <v>1530</v>
      </c>
      <c r="J1997" s="66">
        <f t="shared" si="118"/>
        <v>46.172465960665662</v>
      </c>
      <c r="K1997" s="66">
        <f t="shared" si="119"/>
        <v>53.827534039334346</v>
      </c>
    </row>
    <row r="1998" spans="1:11" x14ac:dyDescent="0.3">
      <c r="A1998" s="10">
        <v>71</v>
      </c>
      <c r="B1998" s="10" t="s">
        <v>2263</v>
      </c>
      <c r="C1998" s="10" t="str" cm="1">
        <f t="array" ref="C1998">_xlfn.IFS(A1998&lt;20, "ภาคกลาง", A1998&lt;30, "ภาคตะวันออก", A1998&lt;50, "ภาคตะวันออกเฉียงเหนือ", A1998&lt;60, "ภาคเหนือ", A1998&lt;80, "ภาคกลาง/ตะวันตก", A1998&gt;=80, "ภาคใต้")</f>
        <v>ภาคกลาง/ตะวันตก</v>
      </c>
      <c r="D1998" s="64">
        <v>7191</v>
      </c>
      <c r="E1998" s="10" t="s">
        <v>2301</v>
      </c>
      <c r="F1998" s="10">
        <v>482</v>
      </c>
      <c r="G1998" s="10">
        <v>531</v>
      </c>
      <c r="H1998" s="11">
        <v>1013</v>
      </c>
      <c r="I1998" s="10">
        <v>727</v>
      </c>
      <c r="J1998" s="66">
        <f t="shared" si="118"/>
        <v>47.581441263573545</v>
      </c>
      <c r="K1998" s="66">
        <f t="shared" si="119"/>
        <v>52.418558736426455</v>
      </c>
    </row>
    <row r="1999" spans="1:11" ht="27.6" x14ac:dyDescent="0.3">
      <c r="A1999" s="10">
        <v>71</v>
      </c>
      <c r="B1999" s="10" t="s">
        <v>2263</v>
      </c>
      <c r="C1999" s="10" t="str" cm="1">
        <f t="array" ref="C1999">_xlfn.IFS(A1999&lt;20, "ภาคกลาง", A1999&lt;30, "ภาคตะวันออก", A1999&lt;50, "ภาคตะวันออกเฉียงเหนือ", A1999&lt;60, "ภาคเหนือ", A1999&lt;80, "ภาคกลาง/ตะวันตก", A1999&gt;=80, "ภาคใต้")</f>
        <v>ภาคกลาง/ตะวันตก</v>
      </c>
      <c r="D1999" s="64">
        <v>7192</v>
      </c>
      <c r="E1999" s="10" t="s">
        <v>780</v>
      </c>
      <c r="F1999" s="11">
        <v>1042</v>
      </c>
      <c r="G1999" s="11">
        <v>1113</v>
      </c>
      <c r="H1999" s="11">
        <v>2155</v>
      </c>
      <c r="I1999" s="10">
        <v>856</v>
      </c>
      <c r="J1999" s="66">
        <f t="shared" si="118"/>
        <v>48.352668213457079</v>
      </c>
      <c r="K1999" s="66">
        <f t="shared" si="119"/>
        <v>51.647331786542928</v>
      </c>
    </row>
    <row r="2000" spans="1:11" x14ac:dyDescent="0.3">
      <c r="A2000" s="10">
        <v>71</v>
      </c>
      <c r="B2000" s="10" t="s">
        <v>2263</v>
      </c>
      <c r="C2000" s="10" t="str" cm="1">
        <f t="array" ref="C2000">_xlfn.IFS(A2000&lt;20, "ภาคกลาง", A2000&lt;30, "ภาคตะวันออก", A2000&lt;50, "ภาคตะวันออกเฉียงเหนือ", A2000&lt;60, "ภาคเหนือ", A2000&lt;80, "ภาคกลาง/ตะวันตก", A2000&gt;=80, "ภาคใต้")</f>
        <v>ภาคกลาง/ตะวันตก</v>
      </c>
      <c r="D2000" s="64">
        <v>7193</v>
      </c>
      <c r="E2000" s="10" t="s">
        <v>2302</v>
      </c>
      <c r="F2000" s="11">
        <v>3327</v>
      </c>
      <c r="G2000" s="11">
        <v>3365</v>
      </c>
      <c r="H2000" s="11">
        <v>6692</v>
      </c>
      <c r="I2000" s="11">
        <v>2844</v>
      </c>
      <c r="J2000" s="66">
        <f t="shared" si="118"/>
        <v>49.716078900179319</v>
      </c>
      <c r="K2000" s="66">
        <f t="shared" si="119"/>
        <v>50.283921099820681</v>
      </c>
    </row>
    <row r="2001" spans="1:11" ht="27.6" x14ac:dyDescent="0.3">
      <c r="A2001" s="10">
        <v>71</v>
      </c>
      <c r="B2001" s="10" t="s">
        <v>2263</v>
      </c>
      <c r="C2001" s="10" t="str" cm="1">
        <f t="array" ref="C2001">_xlfn.IFS(A2001&lt;20, "ภาคกลาง", A2001&lt;30, "ภาคตะวันออก", A2001&lt;50, "ภาคตะวันออกเฉียงเหนือ", A2001&lt;60, "ภาคเหนือ", A2001&lt;80, "ภาคกลาง/ตะวันตก", A2001&gt;=80, "ภาคใต้")</f>
        <v>ภาคกลาง/ตะวันตก</v>
      </c>
      <c r="D2001" s="64">
        <v>7194</v>
      </c>
      <c r="E2001" s="10" t="s">
        <v>2303</v>
      </c>
      <c r="F2001" s="11">
        <v>1069</v>
      </c>
      <c r="G2001" s="11">
        <v>1051</v>
      </c>
      <c r="H2001" s="11">
        <v>2120</v>
      </c>
      <c r="I2001" s="10">
        <v>925</v>
      </c>
      <c r="J2001" s="66">
        <f t="shared" si="118"/>
        <v>50.424528301886795</v>
      </c>
      <c r="K2001" s="66">
        <f t="shared" si="119"/>
        <v>49.575471698113205</v>
      </c>
    </row>
    <row r="2002" spans="1:11" x14ac:dyDescent="0.3">
      <c r="A2002" s="10">
        <v>71</v>
      </c>
      <c r="B2002" s="10" t="s">
        <v>2263</v>
      </c>
      <c r="C2002" s="10" t="str" cm="1">
        <f t="array" ref="C2002">_xlfn.IFS(A2002&lt;20, "ภาคกลาง", A2002&lt;30, "ภาคตะวันออก", A2002&lt;50, "ภาคตะวันออกเฉียงเหนือ", A2002&lt;60, "ภาคเหนือ", A2002&lt;80, "ภาคกลาง/ตะวันตก", A2002&gt;=80, "ภาคใต้")</f>
        <v>ภาคกลาง/ตะวันตก</v>
      </c>
      <c r="D2002" s="64">
        <v>7195</v>
      </c>
      <c r="E2002" s="10" t="s">
        <v>760</v>
      </c>
      <c r="F2002" s="11">
        <v>1933</v>
      </c>
      <c r="G2002" s="11">
        <v>1981</v>
      </c>
      <c r="H2002" s="11">
        <v>3914</v>
      </c>
      <c r="I2002" s="11">
        <v>1726</v>
      </c>
      <c r="J2002" s="66">
        <f t="shared" si="118"/>
        <v>49.38681655595299</v>
      </c>
      <c r="K2002" s="66">
        <f t="shared" si="119"/>
        <v>50.613183444047003</v>
      </c>
    </row>
    <row r="2003" spans="1:11" ht="27.6" x14ac:dyDescent="0.3">
      <c r="A2003" s="10">
        <v>71</v>
      </c>
      <c r="B2003" s="10" t="s">
        <v>2263</v>
      </c>
      <c r="C2003" s="10" t="str" cm="1">
        <f t="array" ref="C2003">_xlfn.IFS(A2003&lt;20, "ภาคกลาง", A2003&lt;30, "ภาคตะวันออก", A2003&lt;50, "ภาคตะวันออกเฉียงเหนือ", A2003&lt;60, "ภาคเหนือ", A2003&lt;80, "ภาคกลาง/ตะวันตก", A2003&gt;=80, "ภาคใต้")</f>
        <v>ภาคกลาง/ตะวันตก</v>
      </c>
      <c r="D2003" s="64">
        <v>7196</v>
      </c>
      <c r="E2003" s="10" t="s">
        <v>2304</v>
      </c>
      <c r="F2003" s="11">
        <v>3355</v>
      </c>
      <c r="G2003" s="11">
        <v>3765</v>
      </c>
      <c r="H2003" s="11">
        <v>7120</v>
      </c>
      <c r="I2003" s="11">
        <v>3399</v>
      </c>
      <c r="J2003" s="66">
        <f t="shared" si="118"/>
        <v>47.120786516853933</v>
      </c>
      <c r="K2003" s="66">
        <f t="shared" si="119"/>
        <v>52.879213483146067</v>
      </c>
    </row>
    <row r="2004" spans="1:11" ht="27.6" x14ac:dyDescent="0.3">
      <c r="A2004" s="10">
        <v>71</v>
      </c>
      <c r="B2004" s="10" t="s">
        <v>2263</v>
      </c>
      <c r="C2004" s="10" t="str" cm="1">
        <f t="array" ref="C2004">_xlfn.IFS(A2004&lt;20, "ภาคกลาง", A2004&lt;30, "ภาคตะวันออก", A2004&lt;50, "ภาคตะวันออกเฉียงเหนือ", A2004&lt;60, "ภาคเหนือ", A2004&lt;80, "ภาคกลาง/ตะวันตก", A2004&gt;=80, "ภาคใต้")</f>
        <v>ภาคกลาง/ตะวันตก</v>
      </c>
      <c r="D2004" s="64">
        <v>7197</v>
      </c>
      <c r="E2004" s="10" t="s">
        <v>2305</v>
      </c>
      <c r="F2004" s="11">
        <v>2599</v>
      </c>
      <c r="G2004" s="11">
        <v>2814</v>
      </c>
      <c r="H2004" s="11">
        <v>5413</v>
      </c>
      <c r="I2004" s="11">
        <v>2480</v>
      </c>
      <c r="J2004" s="66">
        <f t="shared" si="118"/>
        <v>48.014040273415851</v>
      </c>
      <c r="K2004" s="66">
        <f t="shared" si="119"/>
        <v>51.985959726584156</v>
      </c>
    </row>
    <row r="2005" spans="1:11" ht="27.6" x14ac:dyDescent="0.3">
      <c r="A2005" s="10">
        <v>71</v>
      </c>
      <c r="B2005" s="10" t="s">
        <v>2263</v>
      </c>
      <c r="C2005" s="10" t="str" cm="1">
        <f t="array" ref="C2005">_xlfn.IFS(A2005&lt;20, "ภาคกลาง", A2005&lt;30, "ภาคตะวันออก", A2005&lt;50, "ภาคตะวันออกเฉียงเหนือ", A2005&lt;60, "ภาคเหนือ", A2005&lt;80, "ภาคกลาง/ตะวันตก", A2005&gt;=80, "ภาคใต้")</f>
        <v>ภาคกลาง/ตะวันตก</v>
      </c>
      <c r="D2005" s="64">
        <v>7198</v>
      </c>
      <c r="E2005" s="10" t="s">
        <v>2306</v>
      </c>
      <c r="F2005" s="11">
        <v>3029</v>
      </c>
      <c r="G2005" s="11">
        <v>3428</v>
      </c>
      <c r="H2005" s="11">
        <v>6457</v>
      </c>
      <c r="I2005" s="11">
        <v>3967</v>
      </c>
      <c r="J2005" s="66">
        <f t="shared" si="118"/>
        <v>46.910329874554748</v>
      </c>
      <c r="K2005" s="66">
        <f t="shared" si="119"/>
        <v>53.089670125445252</v>
      </c>
    </row>
    <row r="2006" spans="1:11" ht="27.6" x14ac:dyDescent="0.3">
      <c r="A2006" s="10">
        <v>71</v>
      </c>
      <c r="B2006" s="10" t="s">
        <v>2263</v>
      </c>
      <c r="C2006" s="10" t="str" cm="1">
        <f t="array" ref="C2006">_xlfn.IFS(A2006&lt;20, "ภาคกลาง", A2006&lt;30, "ภาคตะวันออก", A2006&lt;50, "ภาคตะวันออกเฉียงเหนือ", A2006&lt;60, "ภาคเหนือ", A2006&lt;80, "ภาคกลาง/ตะวันตก", A2006&gt;=80, "ภาคใต้")</f>
        <v>ภาคกลาง/ตะวันตก</v>
      </c>
      <c r="D2006" s="64">
        <v>7199</v>
      </c>
      <c r="E2006" s="10" t="s">
        <v>2307</v>
      </c>
      <c r="F2006" s="11">
        <v>4904</v>
      </c>
      <c r="G2006" s="11">
        <v>5453</v>
      </c>
      <c r="H2006" s="11">
        <v>10357</v>
      </c>
      <c r="I2006" s="11">
        <v>5177</v>
      </c>
      <c r="J2006" s="66">
        <f t="shared" si="118"/>
        <v>47.349618615429179</v>
      </c>
      <c r="K2006" s="66">
        <f t="shared" si="119"/>
        <v>52.650381384570821</v>
      </c>
    </row>
    <row r="2007" spans="1:11" hidden="1" x14ac:dyDescent="0.3">
      <c r="A2007" s="10">
        <v>71</v>
      </c>
      <c r="B2007" s="10" t="s">
        <v>2263</v>
      </c>
      <c r="C2007" s="10" t="str" cm="1">
        <f t="array" ref="C2007">_xlfn.IFS(A2007&lt;20, "ภาคกลาง", A2007&lt;30, "ภาคตะวันออก", A2007&lt;50, "ภาคตะวันออกเฉียงเหนือ", A2007&lt;60, "ภาคเหนือ", A2007&lt;80, "ภาคกลาง/ตะวันตก", A2007&gt;=80, "ภาคใต้")</f>
        <v>ภาคกลาง/ตะวันตก</v>
      </c>
      <c r="D2007" s="10">
        <v>0</v>
      </c>
      <c r="E2007" s="10" t="s">
        <v>343</v>
      </c>
      <c r="F2007" s="11">
        <v>11489</v>
      </c>
      <c r="G2007" s="11">
        <v>13135</v>
      </c>
      <c r="H2007" s="11">
        <v>24624</v>
      </c>
      <c r="I2007" s="11">
        <v>16184</v>
      </c>
      <c r="J2007"/>
      <c r="K2007"/>
    </row>
    <row r="2008" spans="1:11" x14ac:dyDescent="0.3">
      <c r="A2008" s="10">
        <v>72</v>
      </c>
      <c r="B2008" s="10" t="s">
        <v>2308</v>
      </c>
      <c r="C2008" s="10" t="str" cm="1">
        <f t="array" ref="C2008">_xlfn.IFS(A2008&lt;20, "ภาคกลาง", A2008&lt;30, "ภาคตะวันออก", A2008&lt;50, "ภาคตะวันออกเฉียงเหนือ", A2008&lt;60, "ภาคเหนือ", A2008&lt;80, "ภาคกลาง/ตะวันตก", A2008&gt;=80, "ภาคใต้")</f>
        <v>ภาคกลาง/ตะวันตก</v>
      </c>
      <c r="D2008" s="64">
        <v>7201</v>
      </c>
      <c r="E2008" s="10" t="s">
        <v>2309</v>
      </c>
      <c r="F2008" s="11">
        <v>395769</v>
      </c>
      <c r="G2008" s="11">
        <v>426442</v>
      </c>
      <c r="H2008" s="11">
        <v>822211</v>
      </c>
      <c r="I2008" s="11">
        <v>324002</v>
      </c>
      <c r="J2008" s="66">
        <f t="shared" ref="J2008:J2052" si="120">F2008/H2008*100</f>
        <v>48.134724541510629</v>
      </c>
      <c r="K2008" s="66">
        <f t="shared" ref="K2008:K2052" si="121">G2008/H2008*100</f>
        <v>51.865275458489371</v>
      </c>
    </row>
    <row r="2009" spans="1:11" x14ac:dyDescent="0.3">
      <c r="A2009" s="10">
        <v>72</v>
      </c>
      <c r="B2009" s="10" t="s">
        <v>2308</v>
      </c>
      <c r="C2009" s="10" t="str" cm="1">
        <f t="array" ref="C2009">_xlfn.IFS(A2009&lt;20, "ภาคกลาง", A2009&lt;30, "ภาคตะวันออก", A2009&lt;50, "ภาคตะวันออกเฉียงเหนือ", A2009&lt;60, "ภาคเหนือ", A2009&lt;80, "ภาคกลาง/ตะวันตก", A2009&gt;=80, "ภาคใต้")</f>
        <v>ภาคกลาง/ตะวันตก</v>
      </c>
      <c r="D2009" s="64">
        <v>7202</v>
      </c>
      <c r="E2009" s="10" t="s">
        <v>2310</v>
      </c>
      <c r="F2009" s="11">
        <v>50456</v>
      </c>
      <c r="G2009" s="11">
        <v>56290</v>
      </c>
      <c r="H2009" s="11">
        <v>106746</v>
      </c>
      <c r="I2009" s="11">
        <v>40705</v>
      </c>
      <c r="J2009" s="66">
        <f t="shared" si="120"/>
        <v>47.267344912221539</v>
      </c>
      <c r="K2009" s="66">
        <f t="shared" si="121"/>
        <v>52.732655087778468</v>
      </c>
    </row>
    <row r="2010" spans="1:11" x14ac:dyDescent="0.3">
      <c r="A2010" s="10">
        <v>72</v>
      </c>
      <c r="B2010" s="10" t="s">
        <v>2308</v>
      </c>
      <c r="C2010" s="10" t="str" cm="1">
        <f t="array" ref="C2010">_xlfn.IFS(A2010&lt;20, "ภาคกลาง", A2010&lt;30, "ภาคตะวันออก", A2010&lt;50, "ภาคตะวันออกเฉียงเหนือ", A2010&lt;60, "ภาคเหนือ", A2010&lt;80, "ภาคกลาง/ตะวันตก", A2010&gt;=80, "ภาคใต้")</f>
        <v>ภาคกลาง/ตะวันตก</v>
      </c>
      <c r="D2010" s="64">
        <v>7203</v>
      </c>
      <c r="E2010" s="10" t="s">
        <v>2311</v>
      </c>
      <c r="F2010" s="11">
        <v>19559</v>
      </c>
      <c r="G2010" s="11">
        <v>20966</v>
      </c>
      <c r="H2010" s="11">
        <v>40525</v>
      </c>
      <c r="I2010" s="11">
        <v>15842</v>
      </c>
      <c r="J2010" s="66">
        <f t="shared" si="120"/>
        <v>48.264034546576191</v>
      </c>
      <c r="K2010" s="66">
        <f t="shared" si="121"/>
        <v>51.735965453423816</v>
      </c>
    </row>
    <row r="2011" spans="1:11" x14ac:dyDescent="0.3">
      <c r="A2011" s="10">
        <v>72</v>
      </c>
      <c r="B2011" s="10" t="s">
        <v>2308</v>
      </c>
      <c r="C2011" s="10" t="str" cm="1">
        <f t="array" ref="C2011">_xlfn.IFS(A2011&lt;20, "ภาคกลาง", A2011&lt;30, "ภาคตะวันออก", A2011&lt;50, "ภาคตะวันออกเฉียงเหนือ", A2011&lt;60, "ภาคเหนือ", A2011&lt;80, "ภาคกลาง/ตะวันตก", A2011&gt;=80, "ภาคใต้")</f>
        <v>ภาคกลาง/ตะวันตก</v>
      </c>
      <c r="D2011" s="64">
        <v>7204</v>
      </c>
      <c r="E2011" s="10" t="s">
        <v>2312</v>
      </c>
      <c r="F2011" s="11">
        <v>30223</v>
      </c>
      <c r="G2011" s="11">
        <v>30947</v>
      </c>
      <c r="H2011" s="11">
        <v>61170</v>
      </c>
      <c r="I2011" s="11">
        <v>24388</v>
      </c>
      <c r="J2011" s="66">
        <f t="shared" si="120"/>
        <v>49.408206637240475</v>
      </c>
      <c r="K2011" s="66">
        <f t="shared" si="121"/>
        <v>50.591793362759518</v>
      </c>
    </row>
    <row r="2012" spans="1:11" x14ac:dyDescent="0.3">
      <c r="A2012" s="10">
        <v>72</v>
      </c>
      <c r="B2012" s="10" t="s">
        <v>2308</v>
      </c>
      <c r="C2012" s="10" t="str" cm="1">
        <f t="array" ref="C2012">_xlfn.IFS(A2012&lt;20, "ภาคกลาง", A2012&lt;30, "ภาคตะวันออก", A2012&lt;50, "ภาคตะวันออกเฉียงเหนือ", A2012&lt;60, "ภาคเหนือ", A2012&lt;80, "ภาคกลาง/ตะวันตก", A2012&gt;=80, "ภาคใต้")</f>
        <v>ภาคกลาง/ตะวันตก</v>
      </c>
      <c r="D2012" s="64">
        <v>7205</v>
      </c>
      <c r="E2012" s="10" t="s">
        <v>2313</v>
      </c>
      <c r="F2012" s="11">
        <v>27813</v>
      </c>
      <c r="G2012" s="11">
        <v>29197</v>
      </c>
      <c r="H2012" s="11">
        <v>57010</v>
      </c>
      <c r="I2012" s="11">
        <v>20334</v>
      </c>
      <c r="J2012" s="66">
        <f t="shared" si="120"/>
        <v>48.786177863532714</v>
      </c>
      <c r="K2012" s="66">
        <f t="shared" si="121"/>
        <v>51.213822136467293</v>
      </c>
    </row>
    <row r="2013" spans="1:11" x14ac:dyDescent="0.3">
      <c r="A2013" s="10">
        <v>72</v>
      </c>
      <c r="B2013" s="10" t="s">
        <v>2308</v>
      </c>
      <c r="C2013" s="10" t="str" cm="1">
        <f t="array" ref="C2013">_xlfn.IFS(A2013&lt;20, "ภาคกลาง", A2013&lt;30, "ภาคตะวันออก", A2013&lt;50, "ภาคตะวันออกเฉียงเหนือ", A2013&lt;60, "ภาคเหนือ", A2013&lt;80, "ภาคกลาง/ตะวันตก", A2013&gt;=80, "ภาคใต้")</f>
        <v>ภาคกลาง/ตะวันตก</v>
      </c>
      <c r="D2013" s="64">
        <v>7206</v>
      </c>
      <c r="E2013" s="10" t="s">
        <v>2314</v>
      </c>
      <c r="F2013" s="11">
        <v>18804</v>
      </c>
      <c r="G2013" s="11">
        <v>20602</v>
      </c>
      <c r="H2013" s="11">
        <v>39406</v>
      </c>
      <c r="I2013" s="11">
        <v>15689</v>
      </c>
      <c r="J2013" s="66">
        <f t="shared" si="120"/>
        <v>47.718621529716287</v>
      </c>
      <c r="K2013" s="66">
        <f t="shared" si="121"/>
        <v>52.281378470283713</v>
      </c>
    </row>
    <row r="2014" spans="1:11" x14ac:dyDescent="0.3">
      <c r="A2014" s="10">
        <v>72</v>
      </c>
      <c r="B2014" s="10" t="s">
        <v>2308</v>
      </c>
      <c r="C2014" s="10" t="str" cm="1">
        <f t="array" ref="C2014">_xlfn.IFS(A2014&lt;20, "ภาคกลาง", A2014&lt;30, "ภาคตะวันออก", A2014&lt;50, "ภาคตะวันออกเฉียงเหนือ", A2014&lt;60, "ภาคเหนือ", A2014&lt;80, "ภาคกลาง/ตะวันตก", A2014&gt;=80, "ภาคใต้")</f>
        <v>ภาคกลาง/ตะวันตก</v>
      </c>
      <c r="D2014" s="64">
        <v>7207</v>
      </c>
      <c r="E2014" s="10" t="s">
        <v>2315</v>
      </c>
      <c r="F2014" s="11">
        <v>19315</v>
      </c>
      <c r="G2014" s="11">
        <v>20878</v>
      </c>
      <c r="H2014" s="11">
        <v>40193</v>
      </c>
      <c r="I2014" s="11">
        <v>15607</v>
      </c>
      <c r="J2014" s="66">
        <f t="shared" si="120"/>
        <v>48.055631577637897</v>
      </c>
      <c r="K2014" s="66">
        <f t="shared" si="121"/>
        <v>51.94436842236211</v>
      </c>
    </row>
    <row r="2015" spans="1:11" x14ac:dyDescent="0.3">
      <c r="A2015" s="10">
        <v>72</v>
      </c>
      <c r="B2015" s="10" t="s">
        <v>2308</v>
      </c>
      <c r="C2015" s="10" t="str" cm="1">
        <f t="array" ref="C2015">_xlfn.IFS(A2015&lt;20, "ภาคกลาง", A2015&lt;30, "ภาคตะวันออก", A2015&lt;50, "ภาคตะวันออกเฉียงเหนือ", A2015&lt;60, "ภาคเหนือ", A2015&lt;80, "ภาคกลาง/ตะวันตก", A2015&gt;=80, "ภาคใต้")</f>
        <v>ภาคกลาง/ตะวันตก</v>
      </c>
      <c r="D2015" s="64">
        <v>7208</v>
      </c>
      <c r="E2015" s="10" t="s">
        <v>2316</v>
      </c>
      <c r="F2015" s="11">
        <v>53361</v>
      </c>
      <c r="G2015" s="11">
        <v>55629</v>
      </c>
      <c r="H2015" s="11">
        <v>108990</v>
      </c>
      <c r="I2015" s="11">
        <v>37714</v>
      </c>
      <c r="J2015" s="66">
        <f t="shared" si="120"/>
        <v>48.959537572254334</v>
      </c>
      <c r="K2015" s="66">
        <f t="shared" si="121"/>
        <v>51.040462427745666</v>
      </c>
    </row>
    <row r="2016" spans="1:11" x14ac:dyDescent="0.3">
      <c r="A2016" s="10">
        <v>72</v>
      </c>
      <c r="B2016" s="10" t="s">
        <v>2308</v>
      </c>
      <c r="C2016" s="10" t="str" cm="1">
        <f t="array" ref="C2016">_xlfn.IFS(A2016&lt;20, "ภาคกลาง", A2016&lt;30, "ภาคตะวันออก", A2016&lt;50, "ภาคตะวันออกเฉียงเหนือ", A2016&lt;60, "ภาคเหนือ", A2016&lt;80, "ภาคกลาง/ตะวันตก", A2016&gt;=80, "ภาคใต้")</f>
        <v>ภาคกลาง/ตะวันตก</v>
      </c>
      <c r="D2016" s="64">
        <v>7209</v>
      </c>
      <c r="E2016" s="10" t="s">
        <v>2317</v>
      </c>
      <c r="F2016" s="11">
        <v>18647</v>
      </c>
      <c r="G2016" s="11">
        <v>20253</v>
      </c>
      <c r="H2016" s="11">
        <v>38900</v>
      </c>
      <c r="I2016" s="11">
        <v>15603</v>
      </c>
      <c r="J2016" s="66">
        <f t="shared" si="120"/>
        <v>47.935732647814909</v>
      </c>
      <c r="K2016" s="66">
        <f t="shared" si="121"/>
        <v>52.064267352185091</v>
      </c>
    </row>
    <row r="2017" spans="1:11" x14ac:dyDescent="0.3">
      <c r="A2017" s="10">
        <v>72</v>
      </c>
      <c r="B2017" s="10" t="s">
        <v>2308</v>
      </c>
      <c r="C2017" s="10" t="str" cm="1">
        <f t="array" ref="C2017">_xlfn.IFS(A2017&lt;20, "ภาคกลาง", A2017&lt;30, "ภาคตะวันออก", A2017&lt;50, "ภาคตะวันออกเฉียงเหนือ", A2017&lt;60, "ภาคเหนือ", A2017&lt;80, "ภาคกลาง/ตะวันตก", A2017&gt;=80, "ภาคใต้")</f>
        <v>ภาคกลาง/ตะวันตก</v>
      </c>
      <c r="D2017" s="64">
        <v>7210</v>
      </c>
      <c r="E2017" s="10" t="s">
        <v>2318</v>
      </c>
      <c r="F2017" s="11">
        <v>31338</v>
      </c>
      <c r="G2017" s="11">
        <v>33245</v>
      </c>
      <c r="H2017" s="11">
        <v>64583</v>
      </c>
      <c r="I2017" s="11">
        <v>22947</v>
      </c>
      <c r="J2017" s="66">
        <f t="shared" si="120"/>
        <v>48.523605283124041</v>
      </c>
      <c r="K2017" s="66">
        <f t="shared" si="121"/>
        <v>51.476394716875959</v>
      </c>
    </row>
    <row r="2018" spans="1:11" x14ac:dyDescent="0.3">
      <c r="A2018" s="10">
        <v>72</v>
      </c>
      <c r="B2018" s="10" t="s">
        <v>2308</v>
      </c>
      <c r="C2018" s="10" t="str" cm="1">
        <f t="array" ref="C2018">_xlfn.IFS(A2018&lt;20, "ภาคกลาง", A2018&lt;30, "ภาคตะวันออก", A2018&lt;50, "ภาคตะวันออกเฉียงเหนือ", A2018&lt;60, "ภาคเหนือ", A2018&lt;80, "ภาคกลาง/ตะวันตก", A2018&gt;=80, "ภาคใต้")</f>
        <v>ภาคกลาง/ตะวันตก</v>
      </c>
      <c r="D2018" s="64">
        <v>7265</v>
      </c>
      <c r="E2018" s="10" t="s">
        <v>820</v>
      </c>
      <c r="F2018" s="11">
        <v>22593</v>
      </c>
      <c r="G2018" s="11">
        <v>23740</v>
      </c>
      <c r="H2018" s="11">
        <v>46333</v>
      </c>
      <c r="I2018" s="11">
        <v>17555</v>
      </c>
      <c r="J2018" s="66">
        <f t="shared" si="120"/>
        <v>48.762221310944682</v>
      </c>
      <c r="K2018" s="66">
        <f t="shared" si="121"/>
        <v>51.237778689055311</v>
      </c>
    </row>
    <row r="2019" spans="1:11" ht="27.6" x14ac:dyDescent="0.3">
      <c r="A2019" s="10">
        <v>72</v>
      </c>
      <c r="B2019" s="10" t="s">
        <v>2308</v>
      </c>
      <c r="C2019" s="10" t="str" cm="1">
        <f t="array" ref="C2019">_xlfn.IFS(A2019&lt;20, "ภาคกลาง", A2019&lt;30, "ภาคตะวันออก", A2019&lt;50, "ภาคตะวันออกเฉียงเหนือ", A2019&lt;60, "ภาคเหนือ", A2019&lt;80, "ภาคกลาง/ตะวันตก", A2019&gt;=80, "ภาคใต้")</f>
        <v>ภาคกลาง/ตะวันตก</v>
      </c>
      <c r="D2019" s="64">
        <v>7266</v>
      </c>
      <c r="E2019" s="10" t="s">
        <v>2319</v>
      </c>
      <c r="F2019" s="11">
        <v>2099</v>
      </c>
      <c r="G2019" s="11">
        <v>2302</v>
      </c>
      <c r="H2019" s="11">
        <v>4401</v>
      </c>
      <c r="I2019" s="11">
        <v>1828</v>
      </c>
      <c r="J2019" s="66">
        <f t="shared" si="120"/>
        <v>47.693705975914561</v>
      </c>
      <c r="K2019" s="66">
        <f t="shared" si="121"/>
        <v>52.306294024085432</v>
      </c>
    </row>
    <row r="2020" spans="1:11" x14ac:dyDescent="0.3">
      <c r="A2020" s="10">
        <v>72</v>
      </c>
      <c r="B2020" s="10" t="s">
        <v>2308</v>
      </c>
      <c r="C2020" s="10" t="str" cm="1">
        <f t="array" ref="C2020">_xlfn.IFS(A2020&lt;20, "ภาคกลาง", A2020&lt;30, "ภาคตะวันออก", A2020&lt;50, "ภาคตะวันออกเฉียงเหนือ", A2020&lt;60, "ภาคเหนือ", A2020&lt;80, "ภาคกลาง/ตะวันตก", A2020&gt;=80, "ภาคใต้")</f>
        <v>ภาคกลาง/ตะวันตก</v>
      </c>
      <c r="D2020" s="64">
        <v>7267</v>
      </c>
      <c r="E2020" s="10" t="s">
        <v>2320</v>
      </c>
      <c r="F2020" s="11">
        <v>7595</v>
      </c>
      <c r="G2020" s="11">
        <v>8031</v>
      </c>
      <c r="H2020" s="11">
        <v>15626</v>
      </c>
      <c r="I2020" s="11">
        <v>6169</v>
      </c>
      <c r="J2020" s="66">
        <f t="shared" si="120"/>
        <v>48.604889287085626</v>
      </c>
      <c r="K2020" s="66">
        <f t="shared" si="121"/>
        <v>51.395110712914374</v>
      </c>
    </row>
    <row r="2021" spans="1:11" x14ac:dyDescent="0.3">
      <c r="A2021" s="10">
        <v>72</v>
      </c>
      <c r="B2021" s="10" t="s">
        <v>2308</v>
      </c>
      <c r="C2021" s="10" t="str" cm="1">
        <f t="array" ref="C2021">_xlfn.IFS(A2021&lt;20, "ภาคกลาง", A2021&lt;30, "ภาคตะวันออก", A2021&lt;50, "ภาคตะวันออกเฉียงเหนือ", A2021&lt;60, "ภาคเหนือ", A2021&lt;80, "ภาคกลาง/ตะวันตก", A2021&gt;=80, "ภาคใต้")</f>
        <v>ภาคกลาง/ตะวันตก</v>
      </c>
      <c r="D2021" s="64">
        <v>7268</v>
      </c>
      <c r="E2021" s="10" t="s">
        <v>2321</v>
      </c>
      <c r="F2021" s="11">
        <v>3568</v>
      </c>
      <c r="G2021" s="11">
        <v>3733</v>
      </c>
      <c r="H2021" s="11">
        <v>7301</v>
      </c>
      <c r="I2021" s="11">
        <v>2042</v>
      </c>
      <c r="J2021" s="66">
        <f t="shared" si="120"/>
        <v>48.87001780578003</v>
      </c>
      <c r="K2021" s="66">
        <f t="shared" si="121"/>
        <v>51.12998219421997</v>
      </c>
    </row>
    <row r="2022" spans="1:11" x14ac:dyDescent="0.3">
      <c r="A2022" s="10">
        <v>72</v>
      </c>
      <c r="B2022" s="10" t="s">
        <v>2308</v>
      </c>
      <c r="C2022" s="10" t="str" cm="1">
        <f t="array" ref="C2022">_xlfn.IFS(A2022&lt;20, "ภาคกลาง", A2022&lt;30, "ภาคตะวันออก", A2022&lt;50, "ภาคตะวันออกเฉียงเหนือ", A2022&lt;60, "ภาคเหนือ", A2022&lt;80, "ภาคกลาง/ตะวันตก", A2022&gt;=80, "ภาคใต้")</f>
        <v>ภาคกลาง/ตะวันตก</v>
      </c>
      <c r="D2022" s="64">
        <v>7269</v>
      </c>
      <c r="E2022" s="10" t="s">
        <v>2322</v>
      </c>
      <c r="F2022" s="11">
        <v>4428</v>
      </c>
      <c r="G2022" s="11">
        <v>4535</v>
      </c>
      <c r="H2022" s="11">
        <v>8963</v>
      </c>
      <c r="I2022" s="11">
        <v>3526</v>
      </c>
      <c r="J2022" s="66">
        <f t="shared" si="120"/>
        <v>49.403101640075867</v>
      </c>
      <c r="K2022" s="66">
        <f t="shared" si="121"/>
        <v>50.59689835992414</v>
      </c>
    </row>
    <row r="2023" spans="1:11" x14ac:dyDescent="0.3">
      <c r="A2023" s="10">
        <v>72</v>
      </c>
      <c r="B2023" s="10" t="s">
        <v>2308</v>
      </c>
      <c r="C2023" s="10" t="str" cm="1">
        <f t="array" ref="C2023">_xlfn.IFS(A2023&lt;20, "ภาคกลาง", A2023&lt;30, "ภาคตะวันออก", A2023&lt;50, "ภาคตะวันออกเฉียงเหนือ", A2023&lt;60, "ภาคเหนือ", A2023&lt;80, "ภาคกลาง/ตะวันตก", A2023&gt;=80, "ภาคใต้")</f>
        <v>ภาคกลาง/ตะวันตก</v>
      </c>
      <c r="D2023" s="64">
        <v>7270</v>
      </c>
      <c r="E2023" s="10" t="s">
        <v>2323</v>
      </c>
      <c r="F2023" s="11">
        <v>3097</v>
      </c>
      <c r="G2023" s="11">
        <v>3544</v>
      </c>
      <c r="H2023" s="11">
        <v>6641</v>
      </c>
      <c r="I2023" s="11">
        <v>2939</v>
      </c>
      <c r="J2023" s="66">
        <f t="shared" si="120"/>
        <v>46.634542990513481</v>
      </c>
      <c r="K2023" s="66">
        <f t="shared" si="121"/>
        <v>53.365457009486526</v>
      </c>
    </row>
    <row r="2024" spans="1:11" x14ac:dyDescent="0.3">
      <c r="A2024" s="10">
        <v>72</v>
      </c>
      <c r="B2024" s="10" t="s">
        <v>2308</v>
      </c>
      <c r="C2024" s="10" t="str" cm="1">
        <f t="array" ref="C2024">_xlfn.IFS(A2024&lt;20, "ภาคกลาง", A2024&lt;30, "ภาคตะวันออก", A2024&lt;50, "ภาคตะวันออกเฉียงเหนือ", A2024&lt;60, "ภาคเหนือ", A2024&lt;80, "ภาคกลาง/ตะวันตก", A2024&gt;=80, "ภาคใต้")</f>
        <v>ภาคกลาง/ตะวันตก</v>
      </c>
      <c r="D2024" s="64">
        <v>7271</v>
      </c>
      <c r="E2024" s="10" t="s">
        <v>2324</v>
      </c>
      <c r="F2024" s="10">
        <v>900</v>
      </c>
      <c r="G2024" s="10">
        <v>961</v>
      </c>
      <c r="H2024" s="11">
        <v>1861</v>
      </c>
      <c r="I2024" s="10">
        <v>599</v>
      </c>
      <c r="J2024" s="66">
        <f t="shared" si="120"/>
        <v>48.361096184846858</v>
      </c>
      <c r="K2024" s="66">
        <f t="shared" si="121"/>
        <v>51.638903815153149</v>
      </c>
    </row>
    <row r="2025" spans="1:11" x14ac:dyDescent="0.3">
      <c r="A2025" s="10">
        <v>72</v>
      </c>
      <c r="B2025" s="10" t="s">
        <v>2308</v>
      </c>
      <c r="C2025" s="10" t="str" cm="1">
        <f t="array" ref="C2025">_xlfn.IFS(A2025&lt;20, "ภาคกลาง", A2025&lt;30, "ภาคตะวันออก", A2025&lt;50, "ภาคตะวันออกเฉียงเหนือ", A2025&lt;60, "ภาคเหนือ", A2025&lt;80, "ภาคกลาง/ตะวันตก", A2025&gt;=80, "ภาคใต้")</f>
        <v>ภาคกลาง/ตะวันตก</v>
      </c>
      <c r="D2025" s="64">
        <v>7272</v>
      </c>
      <c r="E2025" s="10" t="s">
        <v>2325</v>
      </c>
      <c r="F2025" s="11">
        <v>4251</v>
      </c>
      <c r="G2025" s="11">
        <v>5046</v>
      </c>
      <c r="H2025" s="11">
        <v>9297</v>
      </c>
      <c r="I2025" s="11">
        <v>5656</v>
      </c>
      <c r="J2025" s="66">
        <f t="shared" si="120"/>
        <v>45.724427234591801</v>
      </c>
      <c r="K2025" s="66">
        <f t="shared" si="121"/>
        <v>54.275572765408199</v>
      </c>
    </row>
    <row r="2026" spans="1:11" x14ac:dyDescent="0.3">
      <c r="A2026" s="10">
        <v>72</v>
      </c>
      <c r="B2026" s="10" t="s">
        <v>2308</v>
      </c>
      <c r="C2026" s="10" t="str" cm="1">
        <f t="array" ref="C2026">_xlfn.IFS(A2026&lt;20, "ภาคกลาง", A2026&lt;30, "ภาคตะวันออก", A2026&lt;50, "ภาคตะวันออกเฉียงเหนือ", A2026&lt;60, "ภาคเหนือ", A2026&lt;80, "ภาคกลาง/ตะวันตก", A2026&gt;=80, "ภาคใต้")</f>
        <v>ภาคกลาง/ตะวันตก</v>
      </c>
      <c r="D2026" s="64">
        <v>7273</v>
      </c>
      <c r="E2026" s="10" t="s">
        <v>2326</v>
      </c>
      <c r="F2026" s="11">
        <v>2600</v>
      </c>
      <c r="G2026" s="11">
        <v>2798</v>
      </c>
      <c r="H2026" s="11">
        <v>5398</v>
      </c>
      <c r="I2026" s="11">
        <v>1981</v>
      </c>
      <c r="J2026" s="66">
        <f t="shared" si="120"/>
        <v>48.165987402741756</v>
      </c>
      <c r="K2026" s="66">
        <f t="shared" si="121"/>
        <v>51.834012597258237</v>
      </c>
    </row>
    <row r="2027" spans="1:11" x14ac:dyDescent="0.3">
      <c r="A2027" s="10">
        <v>72</v>
      </c>
      <c r="B2027" s="10" t="s">
        <v>2308</v>
      </c>
      <c r="C2027" s="10" t="str" cm="1">
        <f t="array" ref="C2027">_xlfn.IFS(A2027&lt;20, "ภาคกลาง", A2027&lt;30, "ภาคตะวันออก", A2027&lt;50, "ภาคตะวันออกเฉียงเหนือ", A2027&lt;60, "ภาคเหนือ", A2027&lt;80, "ภาคกลาง/ตะวันตก", A2027&gt;=80, "ภาคใต้")</f>
        <v>ภาคกลาง/ตะวันตก</v>
      </c>
      <c r="D2027" s="64">
        <v>7274</v>
      </c>
      <c r="E2027" s="10" t="s">
        <v>2327</v>
      </c>
      <c r="F2027" s="11">
        <v>3612</v>
      </c>
      <c r="G2027" s="11">
        <v>3847</v>
      </c>
      <c r="H2027" s="11">
        <v>7459</v>
      </c>
      <c r="I2027" s="11">
        <v>2116</v>
      </c>
      <c r="J2027" s="66">
        <f t="shared" si="120"/>
        <v>48.424721812575413</v>
      </c>
      <c r="K2027" s="66">
        <f t="shared" si="121"/>
        <v>51.575278187424587</v>
      </c>
    </row>
    <row r="2028" spans="1:11" x14ac:dyDescent="0.3">
      <c r="A2028" s="10">
        <v>72</v>
      </c>
      <c r="B2028" s="10" t="s">
        <v>2308</v>
      </c>
      <c r="C2028" s="10" t="str" cm="1">
        <f t="array" ref="C2028">_xlfn.IFS(A2028&lt;20, "ภาคกลาง", A2028&lt;30, "ภาคตะวันออก", A2028&lt;50, "ภาคตะวันออกเฉียงเหนือ", A2028&lt;60, "ภาคเหนือ", A2028&lt;80, "ภาคกลาง/ตะวันตก", A2028&gt;=80, "ภาคใต้")</f>
        <v>ภาคกลาง/ตะวันตก</v>
      </c>
      <c r="D2028" s="64">
        <v>7275</v>
      </c>
      <c r="E2028" s="10" t="s">
        <v>2328</v>
      </c>
      <c r="F2028" s="11">
        <v>2532</v>
      </c>
      <c r="G2028" s="11">
        <v>2756</v>
      </c>
      <c r="H2028" s="11">
        <v>5288</v>
      </c>
      <c r="I2028" s="11">
        <v>2107</v>
      </c>
      <c r="J2028" s="66">
        <f t="shared" si="120"/>
        <v>47.881996974281392</v>
      </c>
      <c r="K2028" s="66">
        <f t="shared" si="121"/>
        <v>52.118003025718608</v>
      </c>
    </row>
    <row r="2029" spans="1:11" ht="27.6" x14ac:dyDescent="0.3">
      <c r="A2029" s="10">
        <v>72</v>
      </c>
      <c r="B2029" s="10" t="s">
        <v>2308</v>
      </c>
      <c r="C2029" s="10" t="str" cm="1">
        <f t="array" ref="C2029">_xlfn.IFS(A2029&lt;20, "ภาคกลาง", A2029&lt;30, "ภาคตะวันออก", A2029&lt;50, "ภาคตะวันออกเฉียงเหนือ", A2029&lt;60, "ภาคเหนือ", A2029&lt;80, "ภาคกลาง/ตะวันตก", A2029&gt;=80, "ภาคใต้")</f>
        <v>ภาคกลาง/ตะวันตก</v>
      </c>
      <c r="D2029" s="64">
        <v>7276</v>
      </c>
      <c r="E2029" s="10" t="s">
        <v>2329</v>
      </c>
      <c r="F2029" s="11">
        <v>3878</v>
      </c>
      <c r="G2029" s="11">
        <v>4244</v>
      </c>
      <c r="H2029" s="11">
        <v>8122</v>
      </c>
      <c r="I2029" s="11">
        <v>2994</v>
      </c>
      <c r="J2029" s="66">
        <f t="shared" si="120"/>
        <v>47.74686037921694</v>
      </c>
      <c r="K2029" s="66">
        <f t="shared" si="121"/>
        <v>52.25313962078306</v>
      </c>
    </row>
    <row r="2030" spans="1:11" x14ac:dyDescent="0.3">
      <c r="A2030" s="10">
        <v>72</v>
      </c>
      <c r="B2030" s="10" t="s">
        <v>2308</v>
      </c>
      <c r="C2030" s="10" t="str" cm="1">
        <f t="array" ref="C2030">_xlfn.IFS(A2030&lt;20, "ภาคกลาง", A2030&lt;30, "ภาคตะวันออก", A2030&lt;50, "ภาคตะวันออกเฉียงเหนือ", A2030&lt;60, "ภาคเหนือ", A2030&lt;80, "ภาคกลาง/ตะวันตก", A2030&gt;=80, "ภาคใต้")</f>
        <v>ภาคกลาง/ตะวันตก</v>
      </c>
      <c r="D2030" s="64">
        <v>7277</v>
      </c>
      <c r="E2030" s="10" t="s">
        <v>2063</v>
      </c>
      <c r="F2030" s="11">
        <v>2617</v>
      </c>
      <c r="G2030" s="11">
        <v>2662</v>
      </c>
      <c r="H2030" s="11">
        <v>5279</v>
      </c>
      <c r="I2030" s="11">
        <v>1991</v>
      </c>
      <c r="J2030" s="66">
        <f t="shared" si="120"/>
        <v>49.573782913430577</v>
      </c>
      <c r="K2030" s="66">
        <f t="shared" si="121"/>
        <v>50.426217086569423</v>
      </c>
    </row>
    <row r="2031" spans="1:11" x14ac:dyDescent="0.3">
      <c r="A2031" s="10">
        <v>72</v>
      </c>
      <c r="B2031" s="10" t="s">
        <v>2308</v>
      </c>
      <c r="C2031" s="10" t="str" cm="1">
        <f t="array" ref="C2031">_xlfn.IFS(A2031&lt;20, "ภาคกลาง", A2031&lt;30, "ภาคตะวันออก", A2031&lt;50, "ภาคตะวันออกเฉียงเหนือ", A2031&lt;60, "ภาคเหนือ", A2031&lt;80, "ภาคกลาง/ตะวันตก", A2031&gt;=80, "ภาคใต้")</f>
        <v>ภาคกลาง/ตะวันตก</v>
      </c>
      <c r="D2031" s="64">
        <v>7278</v>
      </c>
      <c r="E2031" s="10" t="s">
        <v>2330</v>
      </c>
      <c r="F2031" s="11">
        <v>3209</v>
      </c>
      <c r="G2031" s="11">
        <v>3568</v>
      </c>
      <c r="H2031" s="11">
        <v>6777</v>
      </c>
      <c r="I2031" s="11">
        <v>2877</v>
      </c>
      <c r="J2031" s="66">
        <f t="shared" si="120"/>
        <v>47.351335399144162</v>
      </c>
      <c r="K2031" s="66">
        <f t="shared" si="121"/>
        <v>52.648664600855831</v>
      </c>
    </row>
    <row r="2032" spans="1:11" ht="27.6" x14ac:dyDescent="0.3">
      <c r="A2032" s="10">
        <v>72</v>
      </c>
      <c r="B2032" s="10" t="s">
        <v>2308</v>
      </c>
      <c r="C2032" s="10" t="str" cm="1">
        <f t="array" ref="C2032">_xlfn.IFS(A2032&lt;20, "ภาคกลาง", A2032&lt;30, "ภาคตะวันออก", A2032&lt;50, "ภาคตะวันออกเฉียงเหนือ", A2032&lt;60, "ภาคเหนือ", A2032&lt;80, "ภาคกลาง/ตะวันตก", A2032&gt;=80, "ภาคใต้")</f>
        <v>ภาคกลาง/ตะวันตก</v>
      </c>
      <c r="D2032" s="64">
        <v>7279</v>
      </c>
      <c r="E2032" s="10" t="s">
        <v>2331</v>
      </c>
      <c r="F2032" s="11">
        <v>2896</v>
      </c>
      <c r="G2032" s="11">
        <v>3082</v>
      </c>
      <c r="H2032" s="11">
        <v>5978</v>
      </c>
      <c r="I2032" s="11">
        <v>2140</v>
      </c>
      <c r="J2032" s="66">
        <f t="shared" si="120"/>
        <v>48.444295751087317</v>
      </c>
      <c r="K2032" s="66">
        <f t="shared" si="121"/>
        <v>51.555704248912683</v>
      </c>
    </row>
    <row r="2033" spans="1:11" x14ac:dyDescent="0.3">
      <c r="A2033" s="10">
        <v>72</v>
      </c>
      <c r="B2033" s="10" t="s">
        <v>2308</v>
      </c>
      <c r="C2033" s="10" t="str" cm="1">
        <f t="array" ref="C2033">_xlfn.IFS(A2033&lt;20, "ภาคกลาง", A2033&lt;30, "ภาคตะวันออก", A2033&lt;50, "ภาคตะวันออกเฉียงเหนือ", A2033&lt;60, "ภาคเหนือ", A2033&lt;80, "ภาคกลาง/ตะวันตก", A2033&gt;=80, "ภาคใต้")</f>
        <v>ภาคกลาง/ตะวันตก</v>
      </c>
      <c r="D2033" s="64">
        <v>7280</v>
      </c>
      <c r="E2033" s="10" t="s">
        <v>2332</v>
      </c>
      <c r="F2033" s="11">
        <v>1103</v>
      </c>
      <c r="G2033" s="11">
        <v>1257</v>
      </c>
      <c r="H2033" s="11">
        <v>2360</v>
      </c>
      <c r="I2033" s="11">
        <v>1166</v>
      </c>
      <c r="J2033" s="66">
        <f t="shared" si="120"/>
        <v>46.737288135593218</v>
      </c>
      <c r="K2033" s="66">
        <f t="shared" si="121"/>
        <v>53.262711864406775</v>
      </c>
    </row>
    <row r="2034" spans="1:11" ht="27.6" x14ac:dyDescent="0.3">
      <c r="A2034" s="10">
        <v>72</v>
      </c>
      <c r="B2034" s="10" t="s">
        <v>2308</v>
      </c>
      <c r="C2034" s="10" t="str" cm="1">
        <f t="array" ref="C2034">_xlfn.IFS(A2034&lt;20, "ภาคกลาง", A2034&lt;30, "ภาคตะวันออก", A2034&lt;50, "ภาคตะวันออกเฉียงเหนือ", A2034&lt;60, "ภาคเหนือ", A2034&lt;80, "ภาคกลาง/ตะวันตก", A2034&gt;=80, "ภาคใต้")</f>
        <v>ภาคกลาง/ตะวันตก</v>
      </c>
      <c r="D2034" s="64">
        <v>7281</v>
      </c>
      <c r="E2034" s="10" t="s">
        <v>2333</v>
      </c>
      <c r="F2034" s="11">
        <v>3414</v>
      </c>
      <c r="G2034" s="11">
        <v>3839</v>
      </c>
      <c r="H2034" s="11">
        <v>7253</v>
      </c>
      <c r="I2034" s="11">
        <v>3699</v>
      </c>
      <c r="J2034" s="66">
        <f t="shared" si="120"/>
        <v>47.070177857438303</v>
      </c>
      <c r="K2034" s="66">
        <f t="shared" si="121"/>
        <v>52.929822142561697</v>
      </c>
    </row>
    <row r="2035" spans="1:11" x14ac:dyDescent="0.3">
      <c r="A2035" s="10">
        <v>72</v>
      </c>
      <c r="B2035" s="10" t="s">
        <v>2308</v>
      </c>
      <c r="C2035" s="10" t="str" cm="1">
        <f t="array" ref="C2035">_xlfn.IFS(A2035&lt;20, "ภาคกลาง", A2035&lt;30, "ภาคตะวันออก", A2035&lt;50, "ภาคตะวันออกเฉียงเหนือ", A2035&lt;60, "ภาคเหนือ", A2035&lt;80, "ภาคกลาง/ตะวันตก", A2035&gt;=80, "ภาคใต้")</f>
        <v>ภาคกลาง/ตะวันตก</v>
      </c>
      <c r="D2035" s="64">
        <v>7282</v>
      </c>
      <c r="E2035" s="10" t="s">
        <v>2334</v>
      </c>
      <c r="F2035" s="11">
        <v>1280</v>
      </c>
      <c r="G2035" s="11">
        <v>1440</v>
      </c>
      <c r="H2035" s="11">
        <v>2720</v>
      </c>
      <c r="I2035" s="11">
        <v>1083</v>
      </c>
      <c r="J2035" s="66">
        <f t="shared" si="120"/>
        <v>47.058823529411761</v>
      </c>
      <c r="K2035" s="66">
        <f t="shared" si="121"/>
        <v>52.941176470588239</v>
      </c>
    </row>
    <row r="2036" spans="1:11" x14ac:dyDescent="0.3">
      <c r="A2036" s="10">
        <v>72</v>
      </c>
      <c r="B2036" s="10" t="s">
        <v>2308</v>
      </c>
      <c r="C2036" s="10" t="str" cm="1">
        <f t="array" ref="C2036">_xlfn.IFS(A2036&lt;20, "ภาคกลาง", A2036&lt;30, "ภาคตะวันออก", A2036&lt;50, "ภาคตะวันออกเฉียงเหนือ", A2036&lt;60, "ภาคเหนือ", A2036&lt;80, "ภาคกลาง/ตะวันตก", A2036&gt;=80, "ภาคใต้")</f>
        <v>ภาคกลาง/ตะวันตก</v>
      </c>
      <c r="D2036" s="64">
        <v>7283</v>
      </c>
      <c r="E2036" s="10" t="s">
        <v>2335</v>
      </c>
      <c r="F2036" s="11">
        <v>5723</v>
      </c>
      <c r="G2036" s="11">
        <v>6521</v>
      </c>
      <c r="H2036" s="11">
        <v>12244</v>
      </c>
      <c r="I2036" s="11">
        <v>6947</v>
      </c>
      <c r="J2036" s="66">
        <f t="shared" si="120"/>
        <v>46.741261025808562</v>
      </c>
      <c r="K2036" s="66">
        <f t="shared" si="121"/>
        <v>53.258738974191445</v>
      </c>
    </row>
    <row r="2037" spans="1:11" ht="27.6" x14ac:dyDescent="0.3">
      <c r="A2037" s="10">
        <v>72</v>
      </c>
      <c r="B2037" s="10" t="s">
        <v>2308</v>
      </c>
      <c r="C2037" s="10" t="str" cm="1">
        <f t="array" ref="C2037">_xlfn.IFS(A2037&lt;20, "ภาคกลาง", A2037&lt;30, "ภาคตะวันออก", A2037&lt;50, "ภาคตะวันออกเฉียงเหนือ", A2037&lt;60, "ภาคเหนือ", A2037&lt;80, "ภาคกลาง/ตะวันตก", A2037&gt;=80, "ภาคใต้")</f>
        <v>ภาคกลาง/ตะวันตก</v>
      </c>
      <c r="D2037" s="64">
        <v>7284</v>
      </c>
      <c r="E2037" s="10" t="s">
        <v>2336</v>
      </c>
      <c r="F2037" s="11">
        <v>1507</v>
      </c>
      <c r="G2037" s="11">
        <v>1770</v>
      </c>
      <c r="H2037" s="11">
        <v>3277</v>
      </c>
      <c r="I2037" s="11">
        <v>1336</v>
      </c>
      <c r="J2037" s="66">
        <f t="shared" si="120"/>
        <v>45.987183399450714</v>
      </c>
      <c r="K2037" s="66">
        <f t="shared" si="121"/>
        <v>54.012816600549286</v>
      </c>
    </row>
    <row r="2038" spans="1:11" ht="27.6" x14ac:dyDescent="0.3">
      <c r="A2038" s="10">
        <v>72</v>
      </c>
      <c r="B2038" s="10" t="s">
        <v>2308</v>
      </c>
      <c r="C2038" s="10" t="str" cm="1">
        <f t="array" ref="C2038">_xlfn.IFS(A2038&lt;20, "ภาคกลาง", A2038&lt;30, "ภาคตะวันออก", A2038&lt;50, "ภาคตะวันออกเฉียงเหนือ", A2038&lt;60, "ภาคเหนือ", A2038&lt;80, "ภาคกลาง/ตะวันตก", A2038&gt;=80, "ภาคใต้")</f>
        <v>ภาคกลาง/ตะวันตก</v>
      </c>
      <c r="D2038" s="64">
        <v>7285</v>
      </c>
      <c r="E2038" s="10" t="s">
        <v>2337</v>
      </c>
      <c r="F2038" s="11">
        <v>1187</v>
      </c>
      <c r="G2038" s="11">
        <v>1160</v>
      </c>
      <c r="H2038" s="11">
        <v>2347</v>
      </c>
      <c r="I2038" s="11">
        <v>1074</v>
      </c>
      <c r="J2038" s="66">
        <f t="shared" si="120"/>
        <v>50.575202386024706</v>
      </c>
      <c r="K2038" s="66">
        <f t="shared" si="121"/>
        <v>49.424797613975286</v>
      </c>
    </row>
    <row r="2039" spans="1:11" ht="27.6" x14ac:dyDescent="0.3">
      <c r="A2039" s="10">
        <v>72</v>
      </c>
      <c r="B2039" s="10" t="s">
        <v>2308</v>
      </c>
      <c r="C2039" s="10" t="str" cm="1">
        <f t="array" ref="C2039">_xlfn.IFS(A2039&lt;20, "ภาคกลาง", A2039&lt;30, "ภาคตะวันออก", A2039&lt;50, "ภาคตะวันออกเฉียงเหนือ", A2039&lt;60, "ภาคเหนือ", A2039&lt;80, "ภาคกลาง/ตะวันตก", A2039&gt;=80, "ภาคใต้")</f>
        <v>ภาคกลาง/ตะวันตก</v>
      </c>
      <c r="D2039" s="64">
        <v>7286</v>
      </c>
      <c r="E2039" s="10" t="s">
        <v>2338</v>
      </c>
      <c r="F2039" s="11">
        <v>1370</v>
      </c>
      <c r="G2039" s="11">
        <v>1487</v>
      </c>
      <c r="H2039" s="11">
        <v>2857</v>
      </c>
      <c r="I2039" s="11">
        <v>1425</v>
      </c>
      <c r="J2039" s="66">
        <f t="shared" si="120"/>
        <v>47.95239761988099</v>
      </c>
      <c r="K2039" s="66">
        <f t="shared" si="121"/>
        <v>52.04760238011901</v>
      </c>
    </row>
    <row r="2040" spans="1:11" ht="27.6" x14ac:dyDescent="0.3">
      <c r="A2040" s="10">
        <v>72</v>
      </c>
      <c r="B2040" s="10" t="s">
        <v>2308</v>
      </c>
      <c r="C2040" s="10" t="str" cm="1">
        <f t="array" ref="C2040">_xlfn.IFS(A2040&lt;20, "ภาคกลาง", A2040&lt;30, "ภาคตะวันออก", A2040&lt;50, "ภาคตะวันออกเฉียงเหนือ", A2040&lt;60, "ภาคเหนือ", A2040&lt;80, "ภาคกลาง/ตะวันตก", A2040&gt;=80, "ภาคใต้")</f>
        <v>ภาคกลาง/ตะวันตก</v>
      </c>
      <c r="D2040" s="64">
        <v>7287</v>
      </c>
      <c r="E2040" s="10" t="s">
        <v>2339</v>
      </c>
      <c r="F2040" s="11">
        <v>2557</v>
      </c>
      <c r="G2040" s="11">
        <v>2878</v>
      </c>
      <c r="H2040" s="11">
        <v>5435</v>
      </c>
      <c r="I2040" s="11">
        <v>2699</v>
      </c>
      <c r="J2040" s="66">
        <f t="shared" si="120"/>
        <v>47.04691812327507</v>
      </c>
      <c r="K2040" s="66">
        <f t="shared" si="121"/>
        <v>52.95308187672493</v>
      </c>
    </row>
    <row r="2041" spans="1:11" ht="27.6" x14ac:dyDescent="0.3">
      <c r="A2041" s="10">
        <v>72</v>
      </c>
      <c r="B2041" s="10" t="s">
        <v>2308</v>
      </c>
      <c r="C2041" s="10" t="str" cm="1">
        <f t="array" ref="C2041">_xlfn.IFS(A2041&lt;20, "ภาคกลาง", A2041&lt;30, "ภาคตะวันออก", A2041&lt;50, "ภาคตะวันออกเฉียงเหนือ", A2041&lt;60, "ภาคเหนือ", A2041&lt;80, "ภาคกลาง/ตะวันตก", A2041&gt;=80, "ภาคใต้")</f>
        <v>ภาคกลาง/ตะวันตก</v>
      </c>
      <c r="D2041" s="64">
        <v>7288</v>
      </c>
      <c r="E2041" s="10" t="s">
        <v>2340</v>
      </c>
      <c r="F2041" s="10">
        <v>808</v>
      </c>
      <c r="G2041" s="10">
        <v>861</v>
      </c>
      <c r="H2041" s="11">
        <v>1669</v>
      </c>
      <c r="I2041" s="10">
        <v>619</v>
      </c>
      <c r="J2041" s="66">
        <f t="shared" si="120"/>
        <v>48.412222887956865</v>
      </c>
      <c r="K2041" s="66">
        <f t="shared" si="121"/>
        <v>51.587777112043142</v>
      </c>
    </row>
    <row r="2042" spans="1:11" ht="27.6" x14ac:dyDescent="0.3">
      <c r="A2042" s="10">
        <v>72</v>
      </c>
      <c r="B2042" s="10" t="s">
        <v>2308</v>
      </c>
      <c r="C2042" s="10" t="str" cm="1">
        <f t="array" ref="C2042">_xlfn.IFS(A2042&lt;20, "ภาคกลาง", A2042&lt;30, "ภาคตะวันออก", A2042&lt;50, "ภาคตะวันออกเฉียงเหนือ", A2042&lt;60, "ภาคเหนือ", A2042&lt;80, "ภาคกลาง/ตะวันตก", A2042&gt;=80, "ภาคใต้")</f>
        <v>ภาคกลาง/ตะวันตก</v>
      </c>
      <c r="D2042" s="64">
        <v>7289</v>
      </c>
      <c r="E2042" s="10" t="s">
        <v>2341</v>
      </c>
      <c r="F2042" s="10">
        <v>571</v>
      </c>
      <c r="G2042" s="10">
        <v>569</v>
      </c>
      <c r="H2042" s="11">
        <v>1140</v>
      </c>
      <c r="I2042" s="10">
        <v>461</v>
      </c>
      <c r="J2042" s="66">
        <f t="shared" si="120"/>
        <v>50.087719298245617</v>
      </c>
      <c r="K2042" s="66">
        <f t="shared" si="121"/>
        <v>49.912280701754383</v>
      </c>
    </row>
    <row r="2043" spans="1:11" ht="27.6" x14ac:dyDescent="0.3">
      <c r="A2043" s="10">
        <v>72</v>
      </c>
      <c r="B2043" s="10" t="s">
        <v>2308</v>
      </c>
      <c r="C2043" s="10" t="str" cm="1">
        <f t="array" ref="C2043">_xlfn.IFS(A2043&lt;20, "ภาคกลาง", A2043&lt;30, "ภาคตะวันออก", A2043&lt;50, "ภาคตะวันออกเฉียงเหนือ", A2043&lt;60, "ภาคเหนือ", A2043&lt;80, "ภาคกลาง/ตะวันตก", A2043&gt;=80, "ภาคใต้")</f>
        <v>ภาคกลาง/ตะวันตก</v>
      </c>
      <c r="D2043" s="64">
        <v>7290</v>
      </c>
      <c r="E2043" s="10" t="s">
        <v>2342</v>
      </c>
      <c r="F2043" s="10">
        <v>880</v>
      </c>
      <c r="G2043" s="10">
        <v>913</v>
      </c>
      <c r="H2043" s="11">
        <v>1793</v>
      </c>
      <c r="I2043" s="10">
        <v>693</v>
      </c>
      <c r="J2043" s="66">
        <f t="shared" si="120"/>
        <v>49.079754601226995</v>
      </c>
      <c r="K2043" s="66">
        <f t="shared" si="121"/>
        <v>50.920245398772998</v>
      </c>
    </row>
    <row r="2044" spans="1:11" x14ac:dyDescent="0.3">
      <c r="A2044" s="10">
        <v>72</v>
      </c>
      <c r="B2044" s="10" t="s">
        <v>2308</v>
      </c>
      <c r="C2044" s="10" t="str" cm="1">
        <f t="array" ref="C2044">_xlfn.IFS(A2044&lt;20, "ภาคกลาง", A2044&lt;30, "ภาคตะวันออก", A2044&lt;50, "ภาคตะวันออกเฉียงเหนือ", A2044&lt;60, "ภาคเหนือ", A2044&lt;80, "ภาคกลาง/ตะวันตก", A2044&gt;=80, "ภาคใต้")</f>
        <v>ภาคกลาง/ตะวันตก</v>
      </c>
      <c r="D2044" s="64">
        <v>7291</v>
      </c>
      <c r="E2044" s="10" t="s">
        <v>2343</v>
      </c>
      <c r="F2044" s="10">
        <v>709</v>
      </c>
      <c r="G2044" s="10">
        <v>758</v>
      </c>
      <c r="H2044" s="11">
        <v>1467</v>
      </c>
      <c r="I2044" s="10">
        <v>902</v>
      </c>
      <c r="J2044" s="66">
        <f t="shared" si="120"/>
        <v>48.329925017041582</v>
      </c>
      <c r="K2044" s="66">
        <f t="shared" si="121"/>
        <v>51.670074982958411</v>
      </c>
    </row>
    <row r="2045" spans="1:11" x14ac:dyDescent="0.3">
      <c r="A2045" s="10">
        <v>72</v>
      </c>
      <c r="B2045" s="10" t="s">
        <v>2308</v>
      </c>
      <c r="C2045" s="10" t="str" cm="1">
        <f t="array" ref="C2045">_xlfn.IFS(A2045&lt;20, "ภาคกลาง", A2045&lt;30, "ภาคตะวันออก", A2045&lt;50, "ภาคตะวันออกเฉียงเหนือ", A2045&lt;60, "ภาคเหนือ", A2045&lt;80, "ภาคกลาง/ตะวันตก", A2045&gt;=80, "ภาคใต้")</f>
        <v>ภาคกลาง/ตะวันตก</v>
      </c>
      <c r="D2045" s="64">
        <v>7292</v>
      </c>
      <c r="E2045" s="10" t="s">
        <v>2344</v>
      </c>
      <c r="F2045" s="11">
        <v>2592</v>
      </c>
      <c r="G2045" s="11">
        <v>2956</v>
      </c>
      <c r="H2045" s="11">
        <v>5548</v>
      </c>
      <c r="I2045" s="11">
        <v>3456</v>
      </c>
      <c r="J2045" s="66">
        <f t="shared" si="120"/>
        <v>46.719538572458539</v>
      </c>
      <c r="K2045" s="66">
        <f t="shared" si="121"/>
        <v>53.280461427541461</v>
      </c>
    </row>
    <row r="2046" spans="1:11" x14ac:dyDescent="0.3">
      <c r="A2046" s="10">
        <v>72</v>
      </c>
      <c r="B2046" s="10" t="s">
        <v>2308</v>
      </c>
      <c r="C2046" s="10" t="str" cm="1">
        <f t="array" ref="C2046">_xlfn.IFS(A2046&lt;20, "ภาคกลาง", A2046&lt;30, "ภาคตะวันออก", A2046&lt;50, "ภาคตะวันออกเฉียงเหนือ", A2046&lt;60, "ภาคเหนือ", A2046&lt;80, "ภาคกลาง/ตะวันตก", A2046&gt;=80, "ภาคใต้")</f>
        <v>ภาคกลาง/ตะวันตก</v>
      </c>
      <c r="D2046" s="64">
        <v>7293</v>
      </c>
      <c r="E2046" s="10" t="s">
        <v>2345</v>
      </c>
      <c r="F2046" s="10">
        <v>892</v>
      </c>
      <c r="G2046" s="11">
        <v>1031</v>
      </c>
      <c r="H2046" s="11">
        <v>1923</v>
      </c>
      <c r="I2046" s="10">
        <v>788</v>
      </c>
      <c r="J2046" s="66">
        <f t="shared" si="120"/>
        <v>46.385855434217369</v>
      </c>
      <c r="K2046" s="66">
        <f t="shared" si="121"/>
        <v>53.614144565782631</v>
      </c>
    </row>
    <row r="2047" spans="1:11" x14ac:dyDescent="0.3">
      <c r="A2047" s="10">
        <v>72</v>
      </c>
      <c r="B2047" s="10" t="s">
        <v>2308</v>
      </c>
      <c r="C2047" s="10" t="str" cm="1">
        <f t="array" ref="C2047">_xlfn.IFS(A2047&lt;20, "ภาคกลาง", A2047&lt;30, "ภาคตะวันออก", A2047&lt;50, "ภาคตะวันออกเฉียงเหนือ", A2047&lt;60, "ภาคเหนือ", A2047&lt;80, "ภาคกลาง/ตะวันตก", A2047&gt;=80, "ภาคใต้")</f>
        <v>ภาคกลาง/ตะวันตก</v>
      </c>
      <c r="D2047" s="64">
        <v>7294</v>
      </c>
      <c r="E2047" s="10" t="s">
        <v>2346</v>
      </c>
      <c r="F2047" s="11">
        <v>2030</v>
      </c>
      <c r="G2047" s="11">
        <v>2156</v>
      </c>
      <c r="H2047" s="11">
        <v>4186</v>
      </c>
      <c r="I2047" s="11">
        <v>1721</v>
      </c>
      <c r="J2047" s="66">
        <f t="shared" si="120"/>
        <v>48.494983277591977</v>
      </c>
      <c r="K2047" s="66">
        <f t="shared" si="121"/>
        <v>51.505016722408023</v>
      </c>
    </row>
    <row r="2048" spans="1:11" x14ac:dyDescent="0.3">
      <c r="A2048" s="10">
        <v>72</v>
      </c>
      <c r="B2048" s="10" t="s">
        <v>2308</v>
      </c>
      <c r="C2048" s="10" t="str" cm="1">
        <f t="array" ref="C2048">_xlfn.IFS(A2048&lt;20, "ภาคกลาง", A2048&lt;30, "ภาคตะวันออก", A2048&lt;50, "ภาคตะวันออกเฉียงเหนือ", A2048&lt;60, "ภาคเหนือ", A2048&lt;80, "ภาคกลาง/ตะวันตก", A2048&gt;=80, "ภาคใต้")</f>
        <v>ภาคกลาง/ตะวันตก</v>
      </c>
      <c r="D2048" s="64">
        <v>7295</v>
      </c>
      <c r="E2048" s="10" t="s">
        <v>2347</v>
      </c>
      <c r="F2048" s="11">
        <v>2495</v>
      </c>
      <c r="G2048" s="11">
        <v>2918</v>
      </c>
      <c r="H2048" s="11">
        <v>5413</v>
      </c>
      <c r="I2048" s="11">
        <v>3334</v>
      </c>
      <c r="J2048" s="66">
        <f t="shared" si="120"/>
        <v>46.092739700720486</v>
      </c>
      <c r="K2048" s="66">
        <f t="shared" si="121"/>
        <v>53.907260299279514</v>
      </c>
    </row>
    <row r="2049" spans="1:11" ht="27.6" x14ac:dyDescent="0.3">
      <c r="A2049" s="10">
        <v>72</v>
      </c>
      <c r="B2049" s="10" t="s">
        <v>2308</v>
      </c>
      <c r="C2049" s="10" t="str" cm="1">
        <f t="array" ref="C2049">_xlfn.IFS(A2049&lt;20, "ภาคกลาง", A2049&lt;30, "ภาคตะวันออก", A2049&lt;50, "ภาคตะวันออกเฉียงเหนือ", A2049&lt;60, "ภาคเหนือ", A2049&lt;80, "ภาคกลาง/ตะวันตก", A2049&gt;=80, "ภาคใต้")</f>
        <v>ภาคกลาง/ตะวันตก</v>
      </c>
      <c r="D2049" s="64">
        <v>7296</v>
      </c>
      <c r="E2049" s="10" t="s">
        <v>2348</v>
      </c>
      <c r="F2049" s="11">
        <v>3051</v>
      </c>
      <c r="G2049" s="11">
        <v>3281</v>
      </c>
      <c r="H2049" s="11">
        <v>6332</v>
      </c>
      <c r="I2049" s="11">
        <v>2387</v>
      </c>
      <c r="J2049" s="66">
        <f t="shared" si="120"/>
        <v>48.183828174352492</v>
      </c>
      <c r="K2049" s="66">
        <f t="shared" si="121"/>
        <v>51.816171825647508</v>
      </c>
    </row>
    <row r="2050" spans="1:11" x14ac:dyDescent="0.3">
      <c r="A2050" s="10">
        <v>72</v>
      </c>
      <c r="B2050" s="10" t="s">
        <v>2308</v>
      </c>
      <c r="C2050" s="10" t="str" cm="1">
        <f t="array" ref="C2050">_xlfn.IFS(A2050&lt;20, "ภาคกลาง", A2050&lt;30, "ภาคตะวันออก", A2050&lt;50, "ภาคตะวันออกเฉียงเหนือ", A2050&lt;60, "ภาคเหนือ", A2050&lt;80, "ภาคกลาง/ตะวันตก", A2050&gt;=80, "ภาคใต้")</f>
        <v>ภาคกลาง/ตะวันตก</v>
      </c>
      <c r="D2050" s="64">
        <v>7297</v>
      </c>
      <c r="E2050" s="10" t="s">
        <v>2349</v>
      </c>
      <c r="F2050" s="11">
        <v>1465</v>
      </c>
      <c r="G2050" s="11">
        <v>1820</v>
      </c>
      <c r="H2050" s="11">
        <v>3285</v>
      </c>
      <c r="I2050" s="11">
        <v>1722</v>
      </c>
      <c r="J2050" s="66">
        <f t="shared" si="120"/>
        <v>44.596651445966515</v>
      </c>
      <c r="K2050" s="66">
        <f t="shared" si="121"/>
        <v>55.403348554033485</v>
      </c>
    </row>
    <row r="2051" spans="1:11" ht="27.6" x14ac:dyDescent="0.3">
      <c r="A2051" s="10">
        <v>72</v>
      </c>
      <c r="B2051" s="10" t="s">
        <v>2308</v>
      </c>
      <c r="C2051" s="10" t="str" cm="1">
        <f t="array" ref="C2051">_xlfn.IFS(A2051&lt;20, "ภาคกลาง", A2051&lt;30, "ภาคตะวันออก", A2051&lt;50, "ภาคตะวันออกเฉียงเหนือ", A2051&lt;60, "ภาคเหนือ", A2051&lt;80, "ภาคกลาง/ตะวันตก", A2051&gt;=80, "ภาคใต้")</f>
        <v>ภาคกลาง/ตะวันตก</v>
      </c>
      <c r="D2051" s="64">
        <v>7298</v>
      </c>
      <c r="E2051" s="10" t="s">
        <v>2350</v>
      </c>
      <c r="F2051" s="11">
        <v>6583</v>
      </c>
      <c r="G2051" s="11">
        <v>7024</v>
      </c>
      <c r="H2051" s="11">
        <v>13607</v>
      </c>
      <c r="I2051" s="11">
        <v>4599</v>
      </c>
      <c r="J2051" s="66">
        <f t="shared" si="120"/>
        <v>48.379510546042475</v>
      </c>
      <c r="K2051" s="66">
        <f t="shared" si="121"/>
        <v>51.620489453957518</v>
      </c>
    </row>
    <row r="2052" spans="1:11" ht="27.6" x14ac:dyDescent="0.3">
      <c r="A2052" s="10">
        <v>72</v>
      </c>
      <c r="B2052" s="10" t="s">
        <v>2308</v>
      </c>
      <c r="C2052" s="10" t="str" cm="1">
        <f t="array" ref="C2052">_xlfn.IFS(A2052&lt;20, "ภาคกลาง", A2052&lt;30, "ภาคตะวันออก", A2052&lt;50, "ภาคตะวันออกเฉียงเหนือ", A2052&lt;60, "ภาคเหนือ", A2052&lt;80, "ภาคกลาง/ตะวันตก", A2052&gt;=80, "ภาคใต้")</f>
        <v>ภาคกลาง/ตะวันตก</v>
      </c>
      <c r="D2052" s="64">
        <v>7299</v>
      </c>
      <c r="E2052" s="10" t="s">
        <v>2351</v>
      </c>
      <c r="F2052" s="11">
        <v>5497</v>
      </c>
      <c r="G2052" s="11">
        <v>6294</v>
      </c>
      <c r="H2052" s="11">
        <v>11791</v>
      </c>
      <c r="I2052" s="11">
        <v>5380</v>
      </c>
      <c r="J2052" s="66">
        <f t="shared" si="120"/>
        <v>46.620303621406158</v>
      </c>
      <c r="K2052" s="66">
        <f t="shared" si="121"/>
        <v>53.379696378593842</v>
      </c>
    </row>
    <row r="2053" spans="1:11" hidden="1" x14ac:dyDescent="0.3">
      <c r="A2053" s="10">
        <v>72</v>
      </c>
      <c r="B2053" s="10" t="s">
        <v>2308</v>
      </c>
      <c r="C2053" s="10" t="str" cm="1">
        <f t="array" ref="C2053">_xlfn.IFS(A2053&lt;20, "ภาคกลาง", A2053&lt;30, "ภาคตะวันออก", A2053&lt;50, "ภาคตะวันออกเฉียงเหนือ", A2053&lt;60, "ภาคเหนือ", A2053&lt;80, "ภาคกลาง/ตะวันตก", A2053&gt;=80, "ภาคใต้")</f>
        <v>ภาคกลาง/ตะวันตก</v>
      </c>
      <c r="D2053" s="10">
        <v>0</v>
      </c>
      <c r="E2053" s="10" t="s">
        <v>343</v>
      </c>
      <c r="F2053" s="11">
        <v>10664</v>
      </c>
      <c r="G2053" s="11">
        <v>12653</v>
      </c>
      <c r="H2053" s="11">
        <v>23317</v>
      </c>
      <c r="I2053" s="11">
        <v>13162</v>
      </c>
      <c r="J2053"/>
      <c r="K2053"/>
    </row>
    <row r="2054" spans="1:11" x14ac:dyDescent="0.3">
      <c r="A2054" s="10">
        <v>73</v>
      </c>
      <c r="B2054" s="10" t="s">
        <v>2352</v>
      </c>
      <c r="C2054" s="10" t="str" cm="1">
        <f t="array" ref="C2054">_xlfn.IFS(A2054&lt;20, "ภาคกลาง", A2054&lt;30, "ภาคตะวันออก", A2054&lt;50, "ภาคตะวันออกเฉียงเหนือ", A2054&lt;60, "ภาคเหนือ", A2054&lt;80, "ภาคกลาง/ตะวันตก", A2054&gt;=80, "ภาคใต้")</f>
        <v>ภาคกลาง/ตะวันตก</v>
      </c>
      <c r="D2054" s="64">
        <v>7301</v>
      </c>
      <c r="E2054" s="10" t="s">
        <v>2353</v>
      </c>
      <c r="F2054" s="11">
        <v>443395</v>
      </c>
      <c r="G2054" s="11">
        <v>482363</v>
      </c>
      <c r="H2054" s="11">
        <v>925758</v>
      </c>
      <c r="I2054" s="11">
        <v>442482</v>
      </c>
      <c r="J2054" s="66">
        <f t="shared" ref="J2054:J2080" si="122">F2054/H2054*100</f>
        <v>47.895346300004974</v>
      </c>
      <c r="K2054" s="66">
        <f t="shared" ref="K2054:K2080" si="123">G2054/H2054*100</f>
        <v>52.104653699995026</v>
      </c>
    </row>
    <row r="2055" spans="1:11" x14ac:dyDescent="0.3">
      <c r="A2055" s="10">
        <v>73</v>
      </c>
      <c r="B2055" s="10" t="s">
        <v>2352</v>
      </c>
      <c r="C2055" s="10" t="str" cm="1">
        <f t="array" ref="C2055">_xlfn.IFS(A2055&lt;20, "ภาคกลาง", A2055&lt;30, "ภาคตะวันออก", A2055&lt;50, "ภาคตะวันออกเฉียงเหนือ", A2055&lt;60, "ภาคเหนือ", A2055&lt;80, "ภาคกลาง/ตะวันตก", A2055&gt;=80, "ภาคใต้")</f>
        <v>ภาคกลาง/ตะวันตก</v>
      </c>
      <c r="D2055" s="64">
        <v>7302</v>
      </c>
      <c r="E2055" s="10" t="s">
        <v>2354</v>
      </c>
      <c r="F2055" s="11">
        <v>84488</v>
      </c>
      <c r="G2055" s="11">
        <v>92481</v>
      </c>
      <c r="H2055" s="11">
        <v>176969</v>
      </c>
      <c r="I2055" s="11">
        <v>72539</v>
      </c>
      <c r="J2055" s="66">
        <f t="shared" si="122"/>
        <v>47.741694873113374</v>
      </c>
      <c r="K2055" s="66">
        <f t="shared" si="123"/>
        <v>52.258305126886626</v>
      </c>
    </row>
    <row r="2056" spans="1:11" x14ac:dyDescent="0.3">
      <c r="A2056" s="10">
        <v>73</v>
      </c>
      <c r="B2056" s="10" t="s">
        <v>2352</v>
      </c>
      <c r="C2056" s="10" t="str" cm="1">
        <f t="array" ref="C2056">_xlfn.IFS(A2056&lt;20, "ภาคกลาง", A2056&lt;30, "ภาคตะวันออก", A2056&lt;50, "ภาคตะวันออกเฉียงเหนือ", A2056&lt;60, "ภาคเหนือ", A2056&lt;80, "ภาคกลาง/ตะวันตก", A2056&gt;=80, "ภาคใต้")</f>
        <v>ภาคกลาง/ตะวันตก</v>
      </c>
      <c r="D2056" s="64">
        <v>7303</v>
      </c>
      <c r="E2056" s="10" t="s">
        <v>2355</v>
      </c>
      <c r="F2056" s="11">
        <v>57664</v>
      </c>
      <c r="G2056" s="11">
        <v>60873</v>
      </c>
      <c r="H2056" s="11">
        <v>118537</v>
      </c>
      <c r="I2056" s="11">
        <v>42452</v>
      </c>
      <c r="J2056" s="66">
        <f t="shared" si="122"/>
        <v>48.646414199785717</v>
      </c>
      <c r="K2056" s="66">
        <f t="shared" si="123"/>
        <v>51.353585800214276</v>
      </c>
    </row>
    <row r="2057" spans="1:11" x14ac:dyDescent="0.3">
      <c r="A2057" s="10">
        <v>73</v>
      </c>
      <c r="B2057" s="10" t="s">
        <v>2352</v>
      </c>
      <c r="C2057" s="10" t="str" cm="1">
        <f t="array" ref="C2057">_xlfn.IFS(A2057&lt;20, "ภาคกลาง", A2057&lt;30, "ภาคตะวันออก", A2057&lt;50, "ภาคตะวันออกเฉียงเหนือ", A2057&lt;60, "ภาคเหนือ", A2057&lt;80, "ภาคกลาง/ตะวันตก", A2057&gt;=80, "ภาคใต้")</f>
        <v>ภาคกลาง/ตะวันตก</v>
      </c>
      <c r="D2057" s="64">
        <v>7304</v>
      </c>
      <c r="E2057" s="10" t="s">
        <v>2356</v>
      </c>
      <c r="F2057" s="11">
        <v>48155</v>
      </c>
      <c r="G2057" s="11">
        <v>53201</v>
      </c>
      <c r="H2057" s="11">
        <v>101356</v>
      </c>
      <c r="I2057" s="11">
        <v>41862</v>
      </c>
      <c r="J2057" s="66">
        <f t="shared" si="122"/>
        <v>47.510754173408579</v>
      </c>
      <c r="K2057" s="66">
        <f t="shared" si="123"/>
        <v>52.489245826591421</v>
      </c>
    </row>
    <row r="2058" spans="1:11" x14ac:dyDescent="0.3">
      <c r="A2058" s="10">
        <v>73</v>
      </c>
      <c r="B2058" s="10" t="s">
        <v>2352</v>
      </c>
      <c r="C2058" s="10" t="str" cm="1">
        <f t="array" ref="C2058">_xlfn.IFS(A2058&lt;20, "ภาคกลาง", A2058&lt;30, "ภาคตะวันออก", A2058&lt;50, "ภาคตะวันออกเฉียงเหนือ", A2058&lt;60, "ภาคเหนือ", A2058&lt;80, "ภาคกลาง/ตะวันตก", A2058&gt;=80, "ภาคใต้")</f>
        <v>ภาคกลาง/ตะวันตก</v>
      </c>
      <c r="D2058" s="64">
        <v>7305</v>
      </c>
      <c r="E2058" s="10" t="s">
        <v>2357</v>
      </c>
      <c r="F2058" s="11">
        <v>17445</v>
      </c>
      <c r="G2058" s="11">
        <v>18389</v>
      </c>
      <c r="H2058" s="11">
        <v>35834</v>
      </c>
      <c r="I2058" s="11">
        <v>11946</v>
      </c>
      <c r="J2058" s="66">
        <f t="shared" si="122"/>
        <v>48.682815203438075</v>
      </c>
      <c r="K2058" s="66">
        <f t="shared" si="123"/>
        <v>51.317184796561918</v>
      </c>
    </row>
    <row r="2059" spans="1:11" x14ac:dyDescent="0.3">
      <c r="A2059" s="10">
        <v>73</v>
      </c>
      <c r="B2059" s="10" t="s">
        <v>2352</v>
      </c>
      <c r="C2059" s="10" t="str" cm="1">
        <f t="array" ref="C2059">_xlfn.IFS(A2059&lt;20, "ภาคกลาง", A2059&lt;30, "ภาคตะวันออก", A2059&lt;50, "ภาคตะวันออกเฉียงเหนือ", A2059&lt;60, "ภาคเหนือ", A2059&lt;80, "ภาคกลาง/ตะวันตก", A2059&gt;=80, "ภาคใต้")</f>
        <v>ภาคกลาง/ตะวันตก</v>
      </c>
      <c r="D2059" s="64">
        <v>7306</v>
      </c>
      <c r="E2059" s="10" t="s">
        <v>2358</v>
      </c>
      <c r="F2059" s="11">
        <v>39587</v>
      </c>
      <c r="G2059" s="11">
        <v>40747</v>
      </c>
      <c r="H2059" s="11">
        <v>80334</v>
      </c>
      <c r="I2059" s="11">
        <v>31433</v>
      </c>
      <c r="J2059" s="66">
        <f t="shared" si="122"/>
        <v>49.278014290337843</v>
      </c>
      <c r="K2059" s="66">
        <f t="shared" si="123"/>
        <v>50.721985709662164</v>
      </c>
    </row>
    <row r="2060" spans="1:11" x14ac:dyDescent="0.3">
      <c r="A2060" s="10">
        <v>73</v>
      </c>
      <c r="B2060" s="10" t="s">
        <v>2352</v>
      </c>
      <c r="C2060" s="10" t="str" cm="1">
        <f t="array" ref="C2060">_xlfn.IFS(A2060&lt;20, "ภาคกลาง", A2060&lt;30, "ภาคตะวันออก", A2060&lt;50, "ภาคตะวันออกเฉียงเหนือ", A2060&lt;60, "ภาคเหนือ", A2060&lt;80, "ภาคกลาง/ตะวันตก", A2060&gt;=80, "ภาคใต้")</f>
        <v>ภาคกลาง/ตะวันตก</v>
      </c>
      <c r="D2060" s="64">
        <v>7307</v>
      </c>
      <c r="E2060" s="10" t="s">
        <v>2359</v>
      </c>
      <c r="F2060" s="11">
        <v>47571</v>
      </c>
      <c r="G2060" s="11">
        <v>52910</v>
      </c>
      <c r="H2060" s="11">
        <v>100481</v>
      </c>
      <c r="I2060" s="11">
        <v>52185</v>
      </c>
      <c r="J2060" s="66">
        <f t="shared" si="122"/>
        <v>47.343278828833313</v>
      </c>
      <c r="K2060" s="66">
        <f t="shared" si="123"/>
        <v>52.656721171166687</v>
      </c>
    </row>
    <row r="2061" spans="1:11" x14ac:dyDescent="0.3">
      <c r="A2061" s="10">
        <v>73</v>
      </c>
      <c r="B2061" s="10" t="s">
        <v>2352</v>
      </c>
      <c r="C2061" s="10" t="str" cm="1">
        <f t="array" ref="C2061">_xlfn.IFS(A2061&lt;20, "ภาคกลาง", A2061&lt;30, "ภาคตะวันออก", A2061&lt;50, "ภาคตะวันออกเฉียงเหนือ", A2061&lt;60, "ภาคเหนือ", A2061&lt;80, "ภาคกลาง/ตะวันตก", A2061&gt;=80, "ภาคใต้")</f>
        <v>ภาคกลาง/ตะวันตก</v>
      </c>
      <c r="D2061" s="64">
        <v>7380</v>
      </c>
      <c r="E2061" s="10" t="s">
        <v>2360</v>
      </c>
      <c r="F2061" s="11">
        <v>10584</v>
      </c>
      <c r="G2061" s="11">
        <v>12458</v>
      </c>
      <c r="H2061" s="11">
        <v>23042</v>
      </c>
      <c r="I2061" s="11">
        <v>12471</v>
      </c>
      <c r="J2061" s="66">
        <f t="shared" si="122"/>
        <v>45.933512715910076</v>
      </c>
      <c r="K2061" s="66">
        <f t="shared" si="123"/>
        <v>54.066487284089924</v>
      </c>
    </row>
    <row r="2062" spans="1:11" ht="27.6" x14ac:dyDescent="0.3">
      <c r="A2062" s="10">
        <v>73</v>
      </c>
      <c r="B2062" s="10" t="s">
        <v>2352</v>
      </c>
      <c r="C2062" s="10" t="str" cm="1">
        <f t="array" ref="C2062">_xlfn.IFS(A2062&lt;20, "ภาคกลาง", A2062&lt;30, "ภาคตะวันออก", A2062&lt;50, "ภาคตะวันออกเฉียงเหนือ", A2062&lt;60, "ภาคเหนือ", A2062&lt;80, "ภาคกลาง/ตะวันตก", A2062&gt;=80, "ภาคใต้")</f>
        <v>ภาคกลาง/ตะวันตก</v>
      </c>
      <c r="D2062" s="64">
        <v>7381</v>
      </c>
      <c r="E2062" s="10" t="s">
        <v>2361</v>
      </c>
      <c r="F2062" s="11">
        <v>4598</v>
      </c>
      <c r="G2062" s="11">
        <v>5111</v>
      </c>
      <c r="H2062" s="11">
        <v>9709</v>
      </c>
      <c r="I2062" s="11">
        <v>5079</v>
      </c>
      <c r="J2062" s="66">
        <f t="shared" si="122"/>
        <v>47.358121330724067</v>
      </c>
      <c r="K2062" s="66">
        <f t="shared" si="123"/>
        <v>52.641878669275933</v>
      </c>
    </row>
    <row r="2063" spans="1:11" ht="27.6" x14ac:dyDescent="0.3">
      <c r="A2063" s="10">
        <v>73</v>
      </c>
      <c r="B2063" s="10" t="s">
        <v>2352</v>
      </c>
      <c r="C2063" s="10" t="str" cm="1">
        <f t="array" ref="C2063">_xlfn.IFS(A2063&lt;20, "ภาคกลาง", A2063&lt;30, "ภาคตะวันออก", A2063&lt;50, "ภาคตะวันออกเฉียงเหนือ", A2063&lt;60, "ภาคเหนือ", A2063&lt;80, "ภาคกลาง/ตะวันตก", A2063&gt;=80, "ภาคใต้")</f>
        <v>ภาคกลาง/ตะวันตก</v>
      </c>
      <c r="D2063" s="64">
        <v>7382</v>
      </c>
      <c r="E2063" s="10" t="s">
        <v>2362</v>
      </c>
      <c r="F2063" s="11">
        <v>7218</v>
      </c>
      <c r="G2063" s="11">
        <v>8384</v>
      </c>
      <c r="H2063" s="11">
        <v>15602</v>
      </c>
      <c r="I2063" s="11">
        <v>9517</v>
      </c>
      <c r="J2063" s="66">
        <f t="shared" si="122"/>
        <v>46.26329957697731</v>
      </c>
      <c r="K2063" s="66">
        <f t="shared" si="123"/>
        <v>53.73670042302269</v>
      </c>
    </row>
    <row r="2064" spans="1:11" x14ac:dyDescent="0.3">
      <c r="A2064" s="10">
        <v>73</v>
      </c>
      <c r="B2064" s="10" t="s">
        <v>2352</v>
      </c>
      <c r="C2064" s="10" t="str" cm="1">
        <f t="array" ref="C2064">_xlfn.IFS(A2064&lt;20, "ภาคกลาง", A2064&lt;30, "ภาคตะวันออก", A2064&lt;50, "ภาคตะวันออกเฉียงเหนือ", A2064&lt;60, "ภาคเหนือ", A2064&lt;80, "ภาคกลาง/ตะวันตก", A2064&gt;=80, "ภาคใต้")</f>
        <v>ภาคกลาง/ตะวันตก</v>
      </c>
      <c r="D2064" s="64">
        <v>7383</v>
      </c>
      <c r="E2064" s="10" t="s">
        <v>2363</v>
      </c>
      <c r="F2064" s="11">
        <v>13578</v>
      </c>
      <c r="G2064" s="11">
        <v>15931</v>
      </c>
      <c r="H2064" s="11">
        <v>29509</v>
      </c>
      <c r="I2064" s="11">
        <v>19092</v>
      </c>
      <c r="J2064" s="66">
        <f t="shared" si="122"/>
        <v>46.013080755023886</v>
      </c>
      <c r="K2064" s="66">
        <f t="shared" si="123"/>
        <v>53.986919244976107</v>
      </c>
    </row>
    <row r="2065" spans="1:11" ht="27.6" x14ac:dyDescent="0.3">
      <c r="A2065" s="10">
        <v>73</v>
      </c>
      <c r="B2065" s="10" t="s">
        <v>2352</v>
      </c>
      <c r="C2065" s="10" t="str" cm="1">
        <f t="array" ref="C2065">_xlfn.IFS(A2065&lt;20, "ภาคกลาง", A2065&lt;30, "ภาคตะวันออก", A2065&lt;50, "ภาคตะวันออกเฉียงเหนือ", A2065&lt;60, "ภาคเหนือ", A2065&lt;80, "ภาคกลาง/ตะวันตก", A2065&gt;=80, "ภาคใต้")</f>
        <v>ภาคกลาง/ตะวันตก</v>
      </c>
      <c r="D2065" s="64">
        <v>7384</v>
      </c>
      <c r="E2065" s="10" t="s">
        <v>2364</v>
      </c>
      <c r="F2065" s="11">
        <v>17045</v>
      </c>
      <c r="G2065" s="11">
        <v>19441</v>
      </c>
      <c r="H2065" s="11">
        <v>36486</v>
      </c>
      <c r="I2065" s="11">
        <v>27294</v>
      </c>
      <c r="J2065" s="66">
        <f t="shared" si="122"/>
        <v>46.716548813243435</v>
      </c>
      <c r="K2065" s="66">
        <f t="shared" si="123"/>
        <v>53.283451186756572</v>
      </c>
    </row>
    <row r="2066" spans="1:11" x14ac:dyDescent="0.3">
      <c r="A2066" s="10">
        <v>73</v>
      </c>
      <c r="B2066" s="10" t="s">
        <v>2352</v>
      </c>
      <c r="C2066" s="10" t="str" cm="1">
        <f t="array" ref="C2066">_xlfn.IFS(A2066&lt;20, "ภาคกลาง", A2066&lt;30, "ภาคตะวันออก", A2066&lt;50, "ภาคตะวันออกเฉียงเหนือ", A2066&lt;60, "ภาคเหนือ", A2066&lt;80, "ภาคกลาง/ตะวันตก", A2066&gt;=80, "ภาคใต้")</f>
        <v>ภาคกลาง/ตะวันตก</v>
      </c>
      <c r="D2066" s="64">
        <v>7385</v>
      </c>
      <c r="E2066" s="10" t="s">
        <v>2365</v>
      </c>
      <c r="F2066" s="11">
        <v>5169</v>
      </c>
      <c r="G2066" s="11">
        <v>5783</v>
      </c>
      <c r="H2066" s="11">
        <v>10952</v>
      </c>
      <c r="I2066" s="11">
        <v>4670</v>
      </c>
      <c r="J2066" s="66">
        <f t="shared" si="122"/>
        <v>47.196859021183343</v>
      </c>
      <c r="K2066" s="66">
        <f t="shared" si="123"/>
        <v>52.803140978816657</v>
      </c>
    </row>
    <row r="2067" spans="1:11" ht="27.6" x14ac:dyDescent="0.3">
      <c r="A2067" s="10">
        <v>73</v>
      </c>
      <c r="B2067" s="10" t="s">
        <v>2352</v>
      </c>
      <c r="C2067" s="10" t="str" cm="1">
        <f t="array" ref="C2067">_xlfn.IFS(A2067&lt;20, "ภาคกลาง", A2067&lt;30, "ภาคตะวันออก", A2067&lt;50, "ภาคตะวันออกเฉียงเหนือ", A2067&lt;60, "ภาคเหนือ", A2067&lt;80, "ภาคกลาง/ตะวันตก", A2067&gt;=80, "ภาคใต้")</f>
        <v>ภาคกลาง/ตะวันตก</v>
      </c>
      <c r="D2067" s="64">
        <v>7386</v>
      </c>
      <c r="E2067" s="10" t="s">
        <v>2366</v>
      </c>
      <c r="F2067" s="11">
        <v>6551</v>
      </c>
      <c r="G2067" s="11">
        <v>5279</v>
      </c>
      <c r="H2067" s="11">
        <v>11830</v>
      </c>
      <c r="I2067" s="11">
        <v>9858</v>
      </c>
      <c r="J2067" s="66">
        <f t="shared" si="122"/>
        <v>55.376162299239219</v>
      </c>
      <c r="K2067" s="66">
        <f t="shared" si="123"/>
        <v>44.623837700760774</v>
      </c>
    </row>
    <row r="2068" spans="1:11" ht="27.6" x14ac:dyDescent="0.3">
      <c r="A2068" s="10">
        <v>73</v>
      </c>
      <c r="B2068" s="10" t="s">
        <v>2352</v>
      </c>
      <c r="C2068" s="10" t="str" cm="1">
        <f t="array" ref="C2068">_xlfn.IFS(A2068&lt;20, "ภาคกลาง", A2068&lt;30, "ภาคตะวันออก", A2068&lt;50, "ภาคตะวันออกเฉียงเหนือ", A2068&lt;60, "ภาคเหนือ", A2068&lt;80, "ภาคกลาง/ตะวันตก", A2068&gt;=80, "ภาคใต้")</f>
        <v>ภาคกลาง/ตะวันตก</v>
      </c>
      <c r="D2068" s="64">
        <v>7387</v>
      </c>
      <c r="E2068" s="10" t="s">
        <v>2367</v>
      </c>
      <c r="F2068" s="11">
        <v>11551</v>
      </c>
      <c r="G2068" s="11">
        <v>12823</v>
      </c>
      <c r="H2068" s="11">
        <v>24374</v>
      </c>
      <c r="I2068" s="11">
        <v>22440</v>
      </c>
      <c r="J2068" s="66">
        <f t="shared" si="122"/>
        <v>47.390662181012559</v>
      </c>
      <c r="K2068" s="66">
        <f t="shared" si="123"/>
        <v>52.609337818987441</v>
      </c>
    </row>
    <row r="2069" spans="1:11" x14ac:dyDescent="0.3">
      <c r="A2069" s="10">
        <v>73</v>
      </c>
      <c r="B2069" s="10" t="s">
        <v>2352</v>
      </c>
      <c r="C2069" s="10" t="str" cm="1">
        <f t="array" ref="C2069">_xlfn.IFS(A2069&lt;20, "ภาคกลาง", A2069&lt;30, "ภาคตะวันออก", A2069&lt;50, "ภาคตะวันออกเฉียงเหนือ", A2069&lt;60, "ภาคเหนือ", A2069&lt;80, "ภาคกลาง/ตะวันตก", A2069&gt;=80, "ภาคใต้")</f>
        <v>ภาคกลาง/ตะวันตก</v>
      </c>
      <c r="D2069" s="64">
        <v>7388</v>
      </c>
      <c r="E2069" s="10" t="s">
        <v>2368</v>
      </c>
      <c r="F2069" s="11">
        <v>8520</v>
      </c>
      <c r="G2069" s="11">
        <v>7587</v>
      </c>
      <c r="H2069" s="11">
        <v>16107</v>
      </c>
      <c r="I2069" s="11">
        <v>9310</v>
      </c>
      <c r="J2069" s="66">
        <f t="shared" si="122"/>
        <v>52.896256286086796</v>
      </c>
      <c r="K2069" s="66">
        <f t="shared" si="123"/>
        <v>47.103743713913204</v>
      </c>
    </row>
    <row r="2070" spans="1:11" ht="27.6" x14ac:dyDescent="0.3">
      <c r="A2070" s="10">
        <v>73</v>
      </c>
      <c r="B2070" s="10" t="s">
        <v>2352</v>
      </c>
      <c r="C2070" s="10" t="str" cm="1">
        <f t="array" ref="C2070">_xlfn.IFS(A2070&lt;20, "ภาคกลาง", A2070&lt;30, "ภาคตะวันออก", A2070&lt;50, "ภาคตะวันออกเฉียงเหนือ", A2070&lt;60, "ภาคเหนือ", A2070&lt;80, "ภาคกลาง/ตะวันตก", A2070&gt;=80, "ภาคใต้")</f>
        <v>ภาคกลาง/ตะวันตก</v>
      </c>
      <c r="D2070" s="64">
        <v>7389</v>
      </c>
      <c r="E2070" s="10" t="s">
        <v>2369</v>
      </c>
      <c r="F2070" s="10">
        <v>902</v>
      </c>
      <c r="G2070" s="10">
        <v>977</v>
      </c>
      <c r="H2070" s="11">
        <v>1879</v>
      </c>
      <c r="I2070" s="10">
        <v>665</v>
      </c>
      <c r="J2070" s="66">
        <f t="shared" si="122"/>
        <v>48.004257583821179</v>
      </c>
      <c r="K2070" s="66">
        <f t="shared" si="123"/>
        <v>51.995742416178814</v>
      </c>
    </row>
    <row r="2071" spans="1:11" ht="27.6" x14ac:dyDescent="0.3">
      <c r="A2071" s="10">
        <v>73</v>
      </c>
      <c r="B2071" s="10" t="s">
        <v>2352</v>
      </c>
      <c r="C2071" s="10" t="str" cm="1">
        <f t="array" ref="C2071">_xlfn.IFS(A2071&lt;20, "ภาคกลาง", A2071&lt;30, "ภาคตะวันออก", A2071&lt;50, "ภาคตะวันออกเฉียงเหนือ", A2071&lt;60, "ภาคเหนือ", A2071&lt;80, "ภาคกลาง/ตะวันตก", A2071&gt;=80, "ภาคใต้")</f>
        <v>ภาคกลาง/ตะวันตก</v>
      </c>
      <c r="D2071" s="64">
        <v>7390</v>
      </c>
      <c r="E2071" s="10" t="s">
        <v>463</v>
      </c>
      <c r="F2071" s="10">
        <v>981</v>
      </c>
      <c r="G2071" s="11">
        <v>1024</v>
      </c>
      <c r="H2071" s="11">
        <v>2005</v>
      </c>
      <c r="I2071" s="10">
        <v>753</v>
      </c>
      <c r="J2071" s="66">
        <f t="shared" si="122"/>
        <v>48.927680798004985</v>
      </c>
      <c r="K2071" s="66">
        <f t="shared" si="123"/>
        <v>51.072319201995008</v>
      </c>
    </row>
    <row r="2072" spans="1:11" x14ac:dyDescent="0.3">
      <c r="A2072" s="10">
        <v>73</v>
      </c>
      <c r="B2072" s="10" t="s">
        <v>2352</v>
      </c>
      <c r="C2072" s="10" t="str" cm="1">
        <f t="array" ref="C2072">_xlfn.IFS(A2072&lt;20, "ภาคกลาง", A2072&lt;30, "ภาคตะวันออก", A2072&lt;50, "ภาคตะวันออกเฉียงเหนือ", A2072&lt;60, "ภาคเหนือ", A2072&lt;80, "ภาคกลาง/ตะวันตก", A2072&gt;=80, "ภาคใต้")</f>
        <v>ภาคกลาง/ตะวันตก</v>
      </c>
      <c r="D2072" s="64">
        <v>7391</v>
      </c>
      <c r="E2072" s="10" t="s">
        <v>2370</v>
      </c>
      <c r="F2072" s="10">
        <v>976</v>
      </c>
      <c r="G2072" s="11">
        <v>1010</v>
      </c>
      <c r="H2072" s="11">
        <v>1986</v>
      </c>
      <c r="I2072" s="10">
        <v>738</v>
      </c>
      <c r="J2072" s="66">
        <f t="shared" si="122"/>
        <v>49.14400805639476</v>
      </c>
      <c r="K2072" s="66">
        <f t="shared" si="123"/>
        <v>50.85599194360524</v>
      </c>
    </row>
    <row r="2073" spans="1:11" x14ac:dyDescent="0.3">
      <c r="A2073" s="10">
        <v>73</v>
      </c>
      <c r="B2073" s="10" t="s">
        <v>2352</v>
      </c>
      <c r="C2073" s="10" t="str" cm="1">
        <f t="array" ref="C2073">_xlfn.IFS(A2073&lt;20, "ภาคกลาง", A2073&lt;30, "ภาคตะวันออก", A2073&lt;50, "ภาคตะวันออกเฉียงเหนือ", A2073&lt;60, "ภาคเหนือ", A2073&lt;80, "ภาคกลาง/ตะวันตก", A2073&gt;=80, "ภาคใต้")</f>
        <v>ภาคกลาง/ตะวันตก</v>
      </c>
      <c r="D2073" s="64">
        <v>7392</v>
      </c>
      <c r="E2073" s="10" t="s">
        <v>2179</v>
      </c>
      <c r="F2073" s="11">
        <v>4169</v>
      </c>
      <c r="G2073" s="11">
        <v>4205</v>
      </c>
      <c r="H2073" s="11">
        <v>8374</v>
      </c>
      <c r="I2073" s="11">
        <v>4440</v>
      </c>
      <c r="J2073" s="66">
        <f t="shared" si="122"/>
        <v>49.785048961069975</v>
      </c>
      <c r="K2073" s="66">
        <f t="shared" si="123"/>
        <v>50.214951038930025</v>
      </c>
    </row>
    <row r="2074" spans="1:11" x14ac:dyDescent="0.3">
      <c r="A2074" s="10">
        <v>73</v>
      </c>
      <c r="B2074" s="10" t="s">
        <v>2352</v>
      </c>
      <c r="C2074" s="10" t="str" cm="1">
        <f t="array" ref="C2074">_xlfn.IFS(A2074&lt;20, "ภาคกลาง", A2074&lt;30, "ภาคตะวันออก", A2074&lt;50, "ภาคตะวันออกเฉียงเหนือ", A2074&lt;60, "ภาคเหนือ", A2074&lt;80, "ภาคกลาง/ตะวันตก", A2074&gt;=80, "ภาคใต้")</f>
        <v>ภาคกลาง/ตะวันตก</v>
      </c>
      <c r="D2074" s="64">
        <v>7393</v>
      </c>
      <c r="E2074" s="10" t="s">
        <v>2371</v>
      </c>
      <c r="F2074" s="11">
        <v>6636</v>
      </c>
      <c r="G2074" s="11">
        <v>7291</v>
      </c>
      <c r="H2074" s="11">
        <v>13927</v>
      </c>
      <c r="I2074" s="11">
        <v>5216</v>
      </c>
      <c r="J2074" s="66">
        <f t="shared" si="122"/>
        <v>47.648452645939543</v>
      </c>
      <c r="K2074" s="66">
        <f t="shared" si="123"/>
        <v>52.351547354060457</v>
      </c>
    </row>
    <row r="2075" spans="1:11" ht="27.6" x14ac:dyDescent="0.3">
      <c r="A2075" s="10">
        <v>73</v>
      </c>
      <c r="B2075" s="10" t="s">
        <v>2352</v>
      </c>
      <c r="C2075" s="10" t="str" cm="1">
        <f t="array" ref="C2075">_xlfn.IFS(A2075&lt;20, "ภาคกลาง", A2075&lt;30, "ภาคตะวันออก", A2075&lt;50, "ภาคตะวันออกเฉียงเหนือ", A2075&lt;60, "ภาคเหนือ", A2075&lt;80, "ภาคกลาง/ตะวันตก", A2075&gt;=80, "ภาคใต้")</f>
        <v>ภาคกลาง/ตะวันตก</v>
      </c>
      <c r="D2075" s="64">
        <v>7394</v>
      </c>
      <c r="E2075" s="10" t="s">
        <v>2372</v>
      </c>
      <c r="F2075" s="11">
        <v>1015</v>
      </c>
      <c r="G2075" s="11">
        <v>1132</v>
      </c>
      <c r="H2075" s="11">
        <v>2147</v>
      </c>
      <c r="I2075" s="10">
        <v>943</v>
      </c>
      <c r="J2075" s="66">
        <f t="shared" si="122"/>
        <v>47.275267815556596</v>
      </c>
      <c r="K2075" s="66">
        <f t="shared" si="123"/>
        <v>52.724732184443411</v>
      </c>
    </row>
    <row r="2076" spans="1:11" ht="27.6" x14ac:dyDescent="0.3">
      <c r="A2076" s="10">
        <v>73</v>
      </c>
      <c r="B2076" s="10" t="s">
        <v>2352</v>
      </c>
      <c r="C2076" s="10" t="str" cm="1">
        <f t="array" ref="C2076">_xlfn.IFS(A2076&lt;20, "ภาคกลาง", A2076&lt;30, "ภาคตะวันออก", A2076&lt;50, "ภาคตะวันออกเฉียงเหนือ", A2076&lt;60, "ภาคเหนือ", A2076&lt;80, "ภาคกลาง/ตะวันตก", A2076&gt;=80, "ภาคใต้")</f>
        <v>ภาคกลาง/ตะวันตก</v>
      </c>
      <c r="D2076" s="64">
        <v>7395</v>
      </c>
      <c r="E2076" s="10" t="s">
        <v>2373</v>
      </c>
      <c r="F2076" s="11">
        <v>3573</v>
      </c>
      <c r="G2076" s="11">
        <v>4304</v>
      </c>
      <c r="H2076" s="11">
        <v>7877</v>
      </c>
      <c r="I2076" s="11">
        <v>5210</v>
      </c>
      <c r="J2076" s="66">
        <f t="shared" si="122"/>
        <v>45.359908594642626</v>
      </c>
      <c r="K2076" s="66">
        <f t="shared" si="123"/>
        <v>54.640091405357374</v>
      </c>
    </row>
    <row r="2077" spans="1:11" ht="27.6" x14ac:dyDescent="0.3">
      <c r="A2077" s="10">
        <v>73</v>
      </c>
      <c r="B2077" s="10" t="s">
        <v>2352</v>
      </c>
      <c r="C2077" s="10" t="str" cm="1">
        <f t="array" ref="C2077">_xlfn.IFS(A2077&lt;20, "ภาคกลาง", A2077&lt;30, "ภาคตะวันออก", A2077&lt;50, "ภาคตะวันออกเฉียงเหนือ", A2077&lt;60, "ภาคเหนือ", A2077&lt;80, "ภาคกลาง/ตะวันตก", A2077&gt;=80, "ภาคใต้")</f>
        <v>ภาคกลาง/ตะวันตก</v>
      </c>
      <c r="D2077" s="64">
        <v>7396</v>
      </c>
      <c r="E2077" s="10" t="s">
        <v>2374</v>
      </c>
      <c r="F2077" s="11">
        <v>3151</v>
      </c>
      <c r="G2077" s="11">
        <v>3597</v>
      </c>
      <c r="H2077" s="11">
        <v>6748</v>
      </c>
      <c r="I2077" s="11">
        <v>4369</v>
      </c>
      <c r="J2077" s="66">
        <f t="shared" si="122"/>
        <v>46.695317131001779</v>
      </c>
      <c r="K2077" s="66">
        <f t="shared" si="123"/>
        <v>53.304682868998221</v>
      </c>
    </row>
    <row r="2078" spans="1:11" ht="27.6" x14ac:dyDescent="0.3">
      <c r="A2078" s="10">
        <v>73</v>
      </c>
      <c r="B2078" s="10" t="s">
        <v>2352</v>
      </c>
      <c r="C2078" s="10" t="str" cm="1">
        <f t="array" ref="C2078">_xlfn.IFS(A2078&lt;20, "ภาคกลาง", A2078&lt;30, "ภาคตะวันออก", A2078&lt;50, "ภาคตะวันออกเฉียงเหนือ", A2078&lt;60, "ภาคเหนือ", A2078&lt;80, "ภาคกลาง/ตะวันตก", A2078&gt;=80, "ภาคใต้")</f>
        <v>ภาคกลาง/ตะวันตก</v>
      </c>
      <c r="D2078" s="64">
        <v>7397</v>
      </c>
      <c r="E2078" s="10" t="s">
        <v>2375</v>
      </c>
      <c r="F2078" s="11">
        <v>5124</v>
      </c>
      <c r="G2078" s="11">
        <v>5668</v>
      </c>
      <c r="H2078" s="11">
        <v>10792</v>
      </c>
      <c r="I2078" s="11">
        <v>4471</v>
      </c>
      <c r="J2078" s="66">
        <f t="shared" si="122"/>
        <v>47.479614529280951</v>
      </c>
      <c r="K2078" s="66">
        <f t="shared" si="123"/>
        <v>52.520385470719056</v>
      </c>
    </row>
    <row r="2079" spans="1:11" ht="27.6" x14ac:dyDescent="0.3">
      <c r="A2079" s="10">
        <v>73</v>
      </c>
      <c r="B2079" s="10" t="s">
        <v>2352</v>
      </c>
      <c r="C2079" s="10" t="str" cm="1">
        <f t="array" ref="C2079">_xlfn.IFS(A2079&lt;20, "ภาคกลาง", A2079&lt;30, "ภาคตะวันออก", A2079&lt;50, "ภาคตะวันออกเฉียงเหนือ", A2079&lt;60, "ภาคเหนือ", A2079&lt;80, "ภาคกลาง/ตะวันตก", A2079&gt;=80, "ภาคใต้")</f>
        <v>ภาคกลาง/ตะวันตก</v>
      </c>
      <c r="D2079" s="64">
        <v>7398</v>
      </c>
      <c r="E2079" s="10" t="s">
        <v>2376</v>
      </c>
      <c r="F2079" s="11">
        <v>3218</v>
      </c>
      <c r="G2079" s="11">
        <v>3586</v>
      </c>
      <c r="H2079" s="11">
        <v>6804</v>
      </c>
      <c r="I2079" s="11">
        <v>3082</v>
      </c>
      <c r="J2079" s="66">
        <f t="shared" si="122"/>
        <v>47.295708406819521</v>
      </c>
      <c r="K2079" s="66">
        <f t="shared" si="123"/>
        <v>52.704291593180486</v>
      </c>
    </row>
    <row r="2080" spans="1:11" x14ac:dyDescent="0.3">
      <c r="A2080" s="10">
        <v>73</v>
      </c>
      <c r="B2080" s="10" t="s">
        <v>2352</v>
      </c>
      <c r="C2080" s="10" t="str" cm="1">
        <f t="array" ref="C2080">_xlfn.IFS(A2080&lt;20, "ภาคกลาง", A2080&lt;30, "ภาคตะวันออก", A2080&lt;50, "ภาคตะวันออกเฉียงเหนือ", A2080&lt;60, "ภาคเหนือ", A2080&lt;80, "ภาคกลาง/ตะวันตก", A2080&gt;=80, "ภาคใต้")</f>
        <v>ภาคกลาง/ตะวันตก</v>
      </c>
      <c r="D2080" s="64">
        <v>7399</v>
      </c>
      <c r="E2080" s="10" t="s">
        <v>2377</v>
      </c>
      <c r="F2080" s="11">
        <v>3010</v>
      </c>
      <c r="G2080" s="11">
        <v>3273</v>
      </c>
      <c r="H2080" s="11">
        <v>6283</v>
      </c>
      <c r="I2080" s="11">
        <v>2278</v>
      </c>
      <c r="J2080" s="66">
        <f t="shared" si="122"/>
        <v>47.90705077192424</v>
      </c>
      <c r="K2080" s="66">
        <f t="shared" si="123"/>
        <v>52.09294922807576</v>
      </c>
    </row>
    <row r="2081" spans="1:11" hidden="1" x14ac:dyDescent="0.3">
      <c r="A2081" s="10">
        <v>73</v>
      </c>
      <c r="B2081" s="10" t="s">
        <v>2352</v>
      </c>
      <c r="C2081" s="10" t="str" cm="1">
        <f t="array" ref="C2081">_xlfn.IFS(A2081&lt;20, "ภาคกลาง", A2081&lt;30, "ภาคตะวันออก", A2081&lt;50, "ภาคตะวันออกเฉียงเหนือ", A2081&lt;60, "ภาคเหนือ", A2081&lt;80, "ภาคกลาง/ตะวันตก", A2081&gt;=80, "ภาคใต้")</f>
        <v>ภาคกลาง/ตะวันตก</v>
      </c>
      <c r="D2081" s="10">
        <v>0</v>
      </c>
      <c r="E2081" s="10" t="s">
        <v>343</v>
      </c>
      <c r="F2081" s="11">
        <v>30916</v>
      </c>
      <c r="G2081" s="11">
        <v>34898</v>
      </c>
      <c r="H2081" s="11">
        <v>65814</v>
      </c>
      <c r="I2081" s="11">
        <v>38169</v>
      </c>
      <c r="J2081"/>
      <c r="K2081"/>
    </row>
    <row r="2082" spans="1:11" x14ac:dyDescent="0.3">
      <c r="A2082" s="10">
        <v>74</v>
      </c>
      <c r="B2082" s="10" t="s">
        <v>2378</v>
      </c>
      <c r="C2082" s="10" t="str" cm="1">
        <f t="array" ref="C2082">_xlfn.IFS(A2082&lt;20, "ภาคกลาง", A2082&lt;30, "ภาคตะวันออก", A2082&lt;50, "ภาคตะวันออกเฉียงเหนือ", A2082&lt;60, "ภาคเหนือ", A2082&lt;80, "ภาคกลาง/ตะวันตก", A2082&gt;=80, "ภาคใต้")</f>
        <v>ภาคกลาง/ตะวันตก</v>
      </c>
      <c r="D2082" s="64">
        <v>7401</v>
      </c>
      <c r="E2082" s="10" t="s">
        <v>2379</v>
      </c>
      <c r="F2082" s="11">
        <v>283460</v>
      </c>
      <c r="G2082" s="11">
        <v>307407</v>
      </c>
      <c r="H2082" s="11">
        <v>590867</v>
      </c>
      <c r="I2082" s="11">
        <v>323332</v>
      </c>
      <c r="J2082" s="66">
        <f t="shared" ref="J2082:J2093" si="124">F2082/H2082*100</f>
        <v>47.973571040521811</v>
      </c>
      <c r="K2082" s="66">
        <f t="shared" ref="K2082:K2093" si="125">G2082/H2082*100</f>
        <v>52.026428959478189</v>
      </c>
    </row>
    <row r="2083" spans="1:11" x14ac:dyDescent="0.3">
      <c r="A2083" s="10">
        <v>74</v>
      </c>
      <c r="B2083" s="10" t="s">
        <v>2378</v>
      </c>
      <c r="C2083" s="10" t="str" cm="1">
        <f t="array" ref="C2083">_xlfn.IFS(A2083&lt;20, "ภาคกลาง", A2083&lt;30, "ภาคตะวันออก", A2083&lt;50, "ภาคตะวันออกเฉียงเหนือ", A2083&lt;60, "ภาคเหนือ", A2083&lt;80, "ภาคกลาง/ตะวันตก", A2083&gt;=80, "ภาคใต้")</f>
        <v>ภาคกลาง/ตะวันตก</v>
      </c>
      <c r="D2083" s="64">
        <v>7402</v>
      </c>
      <c r="E2083" s="10" t="s">
        <v>2380</v>
      </c>
      <c r="F2083" s="11">
        <v>103022</v>
      </c>
      <c r="G2083" s="11">
        <v>113467</v>
      </c>
      <c r="H2083" s="11">
        <v>216489</v>
      </c>
      <c r="I2083" s="11">
        <v>126839</v>
      </c>
      <c r="J2083" s="66">
        <f t="shared" si="124"/>
        <v>47.587637247158057</v>
      </c>
      <c r="K2083" s="66">
        <f t="shared" si="125"/>
        <v>52.412362752841943</v>
      </c>
    </row>
    <row r="2084" spans="1:11" x14ac:dyDescent="0.3">
      <c r="A2084" s="10">
        <v>74</v>
      </c>
      <c r="B2084" s="10" t="s">
        <v>2378</v>
      </c>
      <c r="C2084" s="10" t="str" cm="1">
        <f t="array" ref="C2084">_xlfn.IFS(A2084&lt;20, "ภาคกลาง", A2084&lt;30, "ภาคตะวันออก", A2084&lt;50, "ภาคตะวันออกเฉียงเหนือ", A2084&lt;60, "ภาคเหนือ", A2084&lt;80, "ภาคกลาง/ตะวันตก", A2084&gt;=80, "ภาคใต้")</f>
        <v>ภาคกลาง/ตะวันตก</v>
      </c>
      <c r="D2084" s="64">
        <v>7403</v>
      </c>
      <c r="E2084" s="10" t="s">
        <v>2381</v>
      </c>
      <c r="F2084" s="11">
        <v>32519</v>
      </c>
      <c r="G2084" s="11">
        <v>35259</v>
      </c>
      <c r="H2084" s="11">
        <v>67778</v>
      </c>
      <c r="I2084" s="11">
        <v>40695</v>
      </c>
      <c r="J2084" s="66">
        <f t="shared" si="124"/>
        <v>47.978695151819174</v>
      </c>
      <c r="K2084" s="66">
        <f t="shared" si="125"/>
        <v>52.021304848180826</v>
      </c>
    </row>
    <row r="2085" spans="1:11" ht="27.6" x14ac:dyDescent="0.3">
      <c r="A2085" s="10">
        <v>74</v>
      </c>
      <c r="B2085" s="10" t="s">
        <v>2378</v>
      </c>
      <c r="C2085" s="10" t="str" cm="1">
        <f t="array" ref="C2085">_xlfn.IFS(A2085&lt;20, "ภาคกลาง", A2085&lt;30, "ภาคตะวันออก", A2085&lt;50, "ภาคตะวันออกเฉียงเหนือ", A2085&lt;60, "ภาคเหนือ", A2085&lt;80, "ภาคกลาง/ตะวันตก", A2085&gt;=80, "ภาคใต้")</f>
        <v>ภาคกลาง/ตะวันตก</v>
      </c>
      <c r="D2085" s="64">
        <v>7491</v>
      </c>
      <c r="E2085" s="10" t="s">
        <v>2382</v>
      </c>
      <c r="F2085" s="11">
        <v>24371</v>
      </c>
      <c r="G2085" s="11">
        <v>26606</v>
      </c>
      <c r="H2085" s="11">
        <v>50977</v>
      </c>
      <c r="I2085" s="11">
        <v>17232</v>
      </c>
      <c r="J2085" s="66">
        <f t="shared" si="124"/>
        <v>47.807834905937973</v>
      </c>
      <c r="K2085" s="66">
        <f t="shared" si="125"/>
        <v>52.192165094062027</v>
      </c>
    </row>
    <row r="2086" spans="1:11" x14ac:dyDescent="0.3">
      <c r="A2086" s="10">
        <v>74</v>
      </c>
      <c r="B2086" s="10" t="s">
        <v>2378</v>
      </c>
      <c r="C2086" s="10" t="str" cm="1">
        <f t="array" ref="C2086">_xlfn.IFS(A2086&lt;20, "ภาคกลาง", A2086&lt;30, "ภาคตะวันออก", A2086&lt;50, "ภาคตะวันออกเฉียงเหนือ", A2086&lt;60, "ภาคเหนือ", A2086&lt;80, "ภาคกลาง/ตะวันตก", A2086&gt;=80, "ภาคใต้")</f>
        <v>ภาคกลาง/ตะวันตก</v>
      </c>
      <c r="D2086" s="64">
        <v>7492</v>
      </c>
      <c r="E2086" s="10" t="s">
        <v>837</v>
      </c>
      <c r="F2086" s="11">
        <v>19300</v>
      </c>
      <c r="G2086" s="11">
        <v>19707</v>
      </c>
      <c r="H2086" s="11">
        <v>39007</v>
      </c>
      <c r="I2086" s="11">
        <v>24172</v>
      </c>
      <c r="J2086" s="66">
        <f t="shared" si="124"/>
        <v>49.478298766887995</v>
      </c>
      <c r="K2086" s="66">
        <f t="shared" si="125"/>
        <v>50.521701233112005</v>
      </c>
    </row>
    <row r="2087" spans="1:11" x14ac:dyDescent="0.3">
      <c r="A2087" s="10">
        <v>74</v>
      </c>
      <c r="B2087" s="10" t="s">
        <v>2378</v>
      </c>
      <c r="C2087" s="10" t="str" cm="1">
        <f t="array" ref="C2087">_xlfn.IFS(A2087&lt;20, "ภาคกลาง", A2087&lt;30, "ภาคตะวันออก", A2087&lt;50, "ภาคตะวันออกเฉียงเหนือ", A2087&lt;60, "ภาคเหนือ", A2087&lt;80, "ภาคกลาง/ตะวันตก", A2087&gt;=80, "ภาคใต้")</f>
        <v>ภาคกลาง/ตะวันตก</v>
      </c>
      <c r="D2087" s="64">
        <v>7493</v>
      </c>
      <c r="E2087" s="10" t="s">
        <v>2383</v>
      </c>
      <c r="F2087" s="11">
        <v>13395</v>
      </c>
      <c r="G2087" s="11">
        <v>14943</v>
      </c>
      <c r="H2087" s="11">
        <v>28338</v>
      </c>
      <c r="I2087" s="11">
        <v>17422</v>
      </c>
      <c r="J2087" s="66">
        <f t="shared" si="124"/>
        <v>47.26868515773873</v>
      </c>
      <c r="K2087" s="66">
        <f t="shared" si="125"/>
        <v>52.731314842261277</v>
      </c>
    </row>
    <row r="2088" spans="1:11" x14ac:dyDescent="0.3">
      <c r="A2088" s="10">
        <v>74</v>
      </c>
      <c r="B2088" s="10" t="s">
        <v>2378</v>
      </c>
      <c r="C2088" s="10" t="str" cm="1">
        <f t="array" ref="C2088">_xlfn.IFS(A2088&lt;20, "ภาคกลาง", A2088&lt;30, "ภาคตะวันออก", A2088&lt;50, "ภาคตะวันออกเฉียงเหนือ", A2088&lt;60, "ภาคเหนือ", A2088&lt;80, "ภาคกลาง/ตะวันตก", A2088&gt;=80, "ภาคใต้")</f>
        <v>ภาคกลาง/ตะวันตก</v>
      </c>
      <c r="D2088" s="64">
        <v>7494</v>
      </c>
      <c r="E2088" s="10" t="s">
        <v>2384</v>
      </c>
      <c r="F2088" s="11">
        <v>20494</v>
      </c>
      <c r="G2088" s="11">
        <v>21802</v>
      </c>
      <c r="H2088" s="11">
        <v>42296</v>
      </c>
      <c r="I2088" s="11">
        <v>11441</v>
      </c>
      <c r="J2088" s="66">
        <f t="shared" si="124"/>
        <v>48.453754492150559</v>
      </c>
      <c r="K2088" s="66">
        <f t="shared" si="125"/>
        <v>51.546245507849441</v>
      </c>
    </row>
    <row r="2089" spans="1:11" ht="27.6" x14ac:dyDescent="0.3">
      <c r="A2089" s="10">
        <v>74</v>
      </c>
      <c r="B2089" s="10" t="s">
        <v>2378</v>
      </c>
      <c r="C2089" s="10" t="str" cm="1">
        <f t="array" ref="C2089">_xlfn.IFS(A2089&lt;20, "ภาคกลาง", A2089&lt;30, "ภาคตะวันออก", A2089&lt;50, "ภาคตะวันออกเฉียงเหนือ", A2089&lt;60, "ภาคเหนือ", A2089&lt;80, "ภาคกลาง/ตะวันตก", A2089&gt;=80, "ภาคใต้")</f>
        <v>ภาคกลาง/ตะวันตก</v>
      </c>
      <c r="D2089" s="64">
        <v>7495</v>
      </c>
      <c r="E2089" s="10" t="s">
        <v>2385</v>
      </c>
      <c r="F2089" s="11">
        <v>1351</v>
      </c>
      <c r="G2089" s="11">
        <v>1421</v>
      </c>
      <c r="H2089" s="11">
        <v>2772</v>
      </c>
      <c r="I2089" s="11">
        <v>1062</v>
      </c>
      <c r="J2089" s="66">
        <f t="shared" si="124"/>
        <v>48.737373737373737</v>
      </c>
      <c r="K2089" s="66">
        <f t="shared" si="125"/>
        <v>51.262626262626263</v>
      </c>
    </row>
    <row r="2090" spans="1:11" x14ac:dyDescent="0.3">
      <c r="A2090" s="10">
        <v>74</v>
      </c>
      <c r="B2090" s="10" t="s">
        <v>2378</v>
      </c>
      <c r="C2090" s="10" t="str" cm="1">
        <f t="array" ref="C2090">_xlfn.IFS(A2090&lt;20, "ภาคกลาง", A2090&lt;30, "ภาคตะวันออก", A2090&lt;50, "ภาคตะวันออกเฉียงเหนือ", A2090&lt;60, "ภาคเหนือ", A2090&lt;80, "ภาคกลาง/ตะวันตก", A2090&gt;=80, "ภาคใต้")</f>
        <v>ภาคกลาง/ตะวันตก</v>
      </c>
      <c r="D2090" s="64">
        <v>7496</v>
      </c>
      <c r="E2090" s="10" t="s">
        <v>2386</v>
      </c>
      <c r="F2090" s="11">
        <v>2533</v>
      </c>
      <c r="G2090" s="11">
        <v>2688</v>
      </c>
      <c r="H2090" s="11">
        <v>5221</v>
      </c>
      <c r="I2090" s="11">
        <v>1677</v>
      </c>
      <c r="J2090" s="66">
        <f t="shared" si="124"/>
        <v>48.515610036391493</v>
      </c>
      <c r="K2090" s="66">
        <f t="shared" si="125"/>
        <v>51.4843899636085</v>
      </c>
    </row>
    <row r="2091" spans="1:11" x14ac:dyDescent="0.3">
      <c r="A2091" s="10">
        <v>74</v>
      </c>
      <c r="B2091" s="10" t="s">
        <v>2378</v>
      </c>
      <c r="C2091" s="10" t="str" cm="1">
        <f t="array" ref="C2091">_xlfn.IFS(A2091&lt;20, "ภาคกลาง", A2091&lt;30, "ภาคตะวันออก", A2091&lt;50, "ภาคตะวันออกเฉียงเหนือ", A2091&lt;60, "ภาคเหนือ", A2091&lt;80, "ภาคกลาง/ตะวันตก", A2091&gt;=80, "ภาคใต้")</f>
        <v>ภาคกลาง/ตะวันตก</v>
      </c>
      <c r="D2091" s="64">
        <v>7497</v>
      </c>
      <c r="E2091" s="10" t="s">
        <v>2387</v>
      </c>
      <c r="F2091" s="11">
        <v>3660</v>
      </c>
      <c r="G2091" s="11">
        <v>3990</v>
      </c>
      <c r="H2091" s="11">
        <v>7650</v>
      </c>
      <c r="I2091" s="11">
        <v>4956</v>
      </c>
      <c r="J2091" s="66">
        <f t="shared" si="124"/>
        <v>47.843137254901961</v>
      </c>
      <c r="K2091" s="66">
        <f t="shared" si="125"/>
        <v>52.156862745098046</v>
      </c>
    </row>
    <row r="2092" spans="1:11" ht="27.6" x14ac:dyDescent="0.3">
      <c r="A2092" s="10">
        <v>74</v>
      </c>
      <c r="B2092" s="10" t="s">
        <v>2378</v>
      </c>
      <c r="C2092" s="10" t="str" cm="1">
        <f t="array" ref="C2092">_xlfn.IFS(A2092&lt;20, "ภาคกลาง", A2092&lt;30, "ภาคตะวันออก", A2092&lt;50, "ภาคตะวันออกเฉียงเหนือ", A2092&lt;60, "ภาคเหนือ", A2092&lt;80, "ภาคกลาง/ตะวันตก", A2092&gt;=80, "ภาคใต้")</f>
        <v>ภาคกลาง/ตะวันตก</v>
      </c>
      <c r="D2092" s="64">
        <v>7498</v>
      </c>
      <c r="E2092" s="10" t="s">
        <v>2388</v>
      </c>
      <c r="F2092" s="11">
        <v>25497</v>
      </c>
      <c r="G2092" s="11">
        <v>28417</v>
      </c>
      <c r="H2092" s="11">
        <v>53914</v>
      </c>
      <c r="I2092" s="11">
        <v>51913</v>
      </c>
      <c r="J2092" s="66">
        <f t="shared" si="124"/>
        <v>47.291983529324476</v>
      </c>
      <c r="K2092" s="66">
        <f t="shared" si="125"/>
        <v>52.708016470675524</v>
      </c>
    </row>
    <row r="2093" spans="1:11" ht="27.6" x14ac:dyDescent="0.3">
      <c r="A2093" s="10">
        <v>74</v>
      </c>
      <c r="B2093" s="10" t="s">
        <v>2378</v>
      </c>
      <c r="C2093" s="10" t="str" cm="1">
        <f t="array" ref="C2093">_xlfn.IFS(A2093&lt;20, "ภาคกลาง", A2093&lt;30, "ภาคตะวันออก", A2093&lt;50, "ภาคตะวันออกเฉียงเหนือ", A2093&lt;60, "ภาคเหนือ", A2093&lt;80, "ภาคกลาง/ตะวันตก", A2093&gt;=80, "ภาคใต้")</f>
        <v>ภาคกลาง/ตะวันตก</v>
      </c>
      <c r="D2093" s="64">
        <v>7499</v>
      </c>
      <c r="E2093" s="10" t="s">
        <v>2389</v>
      </c>
      <c r="F2093" s="11">
        <v>11274</v>
      </c>
      <c r="G2093" s="11">
        <v>11930</v>
      </c>
      <c r="H2093" s="11">
        <v>23204</v>
      </c>
      <c r="I2093" s="11">
        <v>6688</v>
      </c>
      <c r="J2093" s="66">
        <f t="shared" si="124"/>
        <v>48.586450611963457</v>
      </c>
      <c r="K2093" s="66">
        <f t="shared" si="125"/>
        <v>51.41354938803655</v>
      </c>
    </row>
    <row r="2094" spans="1:11" hidden="1" x14ac:dyDescent="0.3">
      <c r="A2094" s="10">
        <v>74</v>
      </c>
      <c r="B2094" s="10" t="s">
        <v>2378</v>
      </c>
      <c r="C2094" s="10" t="str" cm="1">
        <f t="array" ref="C2094">_xlfn.IFS(A2094&lt;20, "ภาคกลาง", A2094&lt;30, "ภาคตะวันออก", A2094&lt;50, "ภาคตะวันออกเฉียงเหนือ", A2094&lt;60, "ภาคเหนือ", A2094&lt;80, "ภาคกลาง/ตะวันตก", A2094&gt;=80, "ภาคใต้")</f>
        <v>ภาคกลาง/ตะวันตก</v>
      </c>
      <c r="D2094" s="10">
        <v>0</v>
      </c>
      <c r="E2094" s="10" t="s">
        <v>343</v>
      </c>
      <c r="F2094" s="11">
        <v>26044</v>
      </c>
      <c r="G2094" s="11">
        <v>27177</v>
      </c>
      <c r="H2094" s="11">
        <v>53221</v>
      </c>
      <c r="I2094" s="11">
        <v>19235</v>
      </c>
      <c r="J2094"/>
      <c r="K2094"/>
    </row>
    <row r="2095" spans="1:11" x14ac:dyDescent="0.3">
      <c r="A2095" s="10">
        <v>75</v>
      </c>
      <c r="B2095" s="10" t="s">
        <v>2390</v>
      </c>
      <c r="C2095" s="10" t="str" cm="1">
        <f t="array" ref="C2095">_xlfn.IFS(A2095&lt;20, "ภาคกลาง", A2095&lt;30, "ภาคตะวันออก", A2095&lt;50, "ภาคตะวันออกเฉียงเหนือ", A2095&lt;60, "ภาคเหนือ", A2095&lt;80, "ภาคกลาง/ตะวันตก", A2095&gt;=80, "ภาคใต้")</f>
        <v>ภาคกลาง/ตะวันตก</v>
      </c>
      <c r="D2095" s="64">
        <v>7501</v>
      </c>
      <c r="E2095" s="10" t="s">
        <v>2391</v>
      </c>
      <c r="F2095" s="11">
        <v>89040</v>
      </c>
      <c r="G2095" s="11">
        <v>97744</v>
      </c>
      <c r="H2095" s="11">
        <v>186784</v>
      </c>
      <c r="I2095" s="11">
        <v>77393</v>
      </c>
      <c r="J2095" s="66">
        <f t="shared" ref="J2095:J2102" si="126">F2095/H2095*100</f>
        <v>47.670035977385645</v>
      </c>
      <c r="K2095" s="66">
        <f t="shared" ref="K2095:K2102" si="127">G2095/H2095*100</f>
        <v>52.329964022614362</v>
      </c>
    </row>
    <row r="2096" spans="1:11" x14ac:dyDescent="0.3">
      <c r="A2096" s="10">
        <v>75</v>
      </c>
      <c r="B2096" s="10" t="s">
        <v>2390</v>
      </c>
      <c r="C2096" s="10" t="str" cm="1">
        <f t="array" ref="C2096">_xlfn.IFS(A2096&lt;20, "ภาคกลาง", A2096&lt;30, "ภาคตะวันออก", A2096&lt;50, "ภาคตะวันออกเฉียงเหนือ", A2096&lt;60, "ภาคเหนือ", A2096&lt;80, "ภาคกลาง/ตะวันตก", A2096&gt;=80, "ภาคใต้")</f>
        <v>ภาคกลาง/ตะวันตก</v>
      </c>
      <c r="D2096" s="64">
        <v>7502</v>
      </c>
      <c r="E2096" s="10" t="s">
        <v>2392</v>
      </c>
      <c r="F2096" s="11">
        <v>37394</v>
      </c>
      <c r="G2096" s="11">
        <v>40985</v>
      </c>
      <c r="H2096" s="11">
        <v>78379</v>
      </c>
      <c r="I2096" s="11">
        <v>34397</v>
      </c>
      <c r="J2096" s="66">
        <f t="shared" si="126"/>
        <v>47.70920782352416</v>
      </c>
      <c r="K2096" s="66">
        <f t="shared" si="127"/>
        <v>52.29079217647584</v>
      </c>
    </row>
    <row r="2097" spans="1:11" x14ac:dyDescent="0.3">
      <c r="A2097" s="10">
        <v>75</v>
      </c>
      <c r="B2097" s="10" t="s">
        <v>2390</v>
      </c>
      <c r="C2097" s="10" t="str" cm="1">
        <f t="array" ref="C2097">_xlfn.IFS(A2097&lt;20, "ภาคกลาง", A2097&lt;30, "ภาคตะวันออก", A2097&lt;50, "ภาคตะวันออกเฉียงเหนือ", A2097&lt;60, "ภาคเหนือ", A2097&lt;80, "ภาคกลาง/ตะวันตก", A2097&gt;=80, "ภาคใต้")</f>
        <v>ภาคกลาง/ตะวันตก</v>
      </c>
      <c r="D2097" s="64">
        <v>7503</v>
      </c>
      <c r="E2097" s="10" t="s">
        <v>2393</v>
      </c>
      <c r="F2097" s="11">
        <v>12533</v>
      </c>
      <c r="G2097" s="11">
        <v>13833</v>
      </c>
      <c r="H2097" s="11">
        <v>26366</v>
      </c>
      <c r="I2097" s="11">
        <v>10382</v>
      </c>
      <c r="J2097" s="66">
        <f t="shared" si="126"/>
        <v>47.534703785177882</v>
      </c>
      <c r="K2097" s="66">
        <f t="shared" si="127"/>
        <v>52.465296214822118</v>
      </c>
    </row>
    <row r="2098" spans="1:11" ht="27.6" x14ac:dyDescent="0.3">
      <c r="A2098" s="10">
        <v>75</v>
      </c>
      <c r="B2098" s="10" t="s">
        <v>2390</v>
      </c>
      <c r="C2098" s="10" t="str" cm="1">
        <f t="array" ref="C2098">_xlfn.IFS(A2098&lt;20, "ภาคกลาง", A2098&lt;30, "ภาคตะวันออก", A2098&lt;50, "ภาคตะวันออกเฉียงเหนือ", A2098&lt;60, "ภาคเหนือ", A2098&lt;80, "ภาคกลาง/ตะวันตก", A2098&gt;=80, "ภาคใต้")</f>
        <v>ภาคกลาง/ตะวันตก</v>
      </c>
      <c r="D2098" s="64">
        <v>7595</v>
      </c>
      <c r="E2098" s="10" t="s">
        <v>2394</v>
      </c>
      <c r="F2098" s="11">
        <v>22591</v>
      </c>
      <c r="G2098" s="11">
        <v>24417</v>
      </c>
      <c r="H2098" s="11">
        <v>47008</v>
      </c>
      <c r="I2098" s="11">
        <v>16641</v>
      </c>
      <c r="J2098" s="66">
        <f t="shared" si="126"/>
        <v>48.057777399591558</v>
      </c>
      <c r="K2098" s="66">
        <f t="shared" si="127"/>
        <v>51.942222600408442</v>
      </c>
    </row>
    <row r="2099" spans="1:11" ht="27.6" x14ac:dyDescent="0.3">
      <c r="A2099" s="10">
        <v>75</v>
      </c>
      <c r="B2099" s="10" t="s">
        <v>2390</v>
      </c>
      <c r="C2099" s="10" t="str" cm="1">
        <f t="array" ref="C2099">_xlfn.IFS(A2099&lt;20, "ภาคกลาง", A2099&lt;30, "ภาคตะวันออก", A2099&lt;50, "ภาคตะวันออกเฉียงเหนือ", A2099&lt;60, "ภาคเหนือ", A2099&lt;80, "ภาคกลาง/ตะวันตก", A2099&gt;=80, "ภาคใต้")</f>
        <v>ภาคกลาง/ตะวันตก</v>
      </c>
      <c r="D2099" s="64">
        <v>7596</v>
      </c>
      <c r="E2099" s="10" t="s">
        <v>2395</v>
      </c>
      <c r="F2099" s="10">
        <v>888</v>
      </c>
      <c r="G2099" s="10">
        <v>958</v>
      </c>
      <c r="H2099" s="11">
        <v>1846</v>
      </c>
      <c r="I2099" s="10">
        <v>810</v>
      </c>
      <c r="J2099" s="66">
        <f t="shared" si="126"/>
        <v>48.104008667388946</v>
      </c>
      <c r="K2099" s="66">
        <f t="shared" si="127"/>
        <v>51.895991332611047</v>
      </c>
    </row>
    <row r="2100" spans="1:11" x14ac:dyDescent="0.3">
      <c r="A2100" s="10">
        <v>75</v>
      </c>
      <c r="B2100" s="10" t="s">
        <v>2390</v>
      </c>
      <c r="C2100" s="10" t="str" cm="1">
        <f t="array" ref="C2100">_xlfn.IFS(A2100&lt;20, "ภาคกลาง", A2100&lt;30, "ภาคตะวันออก", A2100&lt;50, "ภาคตะวันออกเฉียงเหนือ", A2100&lt;60, "ภาคเหนือ", A2100&lt;80, "ภาคกลาง/ตะวันตก", A2100&gt;=80, "ภาคใต้")</f>
        <v>ภาคกลาง/ตะวันตก</v>
      </c>
      <c r="D2100" s="64">
        <v>7597</v>
      </c>
      <c r="E2100" s="10" t="s">
        <v>2396</v>
      </c>
      <c r="F2100" s="10">
        <v>780</v>
      </c>
      <c r="G2100" s="10">
        <v>915</v>
      </c>
      <c r="H2100" s="11">
        <v>1695</v>
      </c>
      <c r="I2100" s="10">
        <v>865</v>
      </c>
      <c r="J2100" s="66">
        <f t="shared" si="126"/>
        <v>46.017699115044245</v>
      </c>
      <c r="K2100" s="66">
        <f t="shared" si="127"/>
        <v>53.982300884955748</v>
      </c>
    </row>
    <row r="2101" spans="1:11" x14ac:dyDescent="0.3">
      <c r="A2101" s="10">
        <v>75</v>
      </c>
      <c r="B2101" s="10" t="s">
        <v>2390</v>
      </c>
      <c r="C2101" s="10" t="str" cm="1">
        <f t="array" ref="C2101">_xlfn.IFS(A2101&lt;20, "ภาคกลาง", A2101&lt;30, "ภาคตะวันออก", A2101&lt;50, "ภาคตะวันออกเฉียงเหนือ", A2101&lt;60, "ภาคเหนือ", A2101&lt;80, "ภาคกลาง/ตะวันตก", A2101&gt;=80, "ภาคใต้")</f>
        <v>ภาคกลาง/ตะวันตก</v>
      </c>
      <c r="D2101" s="64">
        <v>7598</v>
      </c>
      <c r="E2101" s="10" t="s">
        <v>2397</v>
      </c>
      <c r="F2101" s="10">
        <v>973</v>
      </c>
      <c r="G2101" s="11">
        <v>1128</v>
      </c>
      <c r="H2101" s="11">
        <v>2101</v>
      </c>
      <c r="I2101" s="10">
        <v>882</v>
      </c>
      <c r="J2101" s="66">
        <f t="shared" si="126"/>
        <v>46.311280342693955</v>
      </c>
      <c r="K2101" s="66">
        <f t="shared" si="127"/>
        <v>53.688719657306052</v>
      </c>
    </row>
    <row r="2102" spans="1:11" ht="27.6" x14ac:dyDescent="0.3">
      <c r="A2102" s="10">
        <v>75</v>
      </c>
      <c r="B2102" s="10" t="s">
        <v>2390</v>
      </c>
      <c r="C2102" s="10" t="str" cm="1">
        <f t="array" ref="C2102">_xlfn.IFS(A2102&lt;20, "ภาคกลาง", A2102&lt;30, "ภาคตะวันออก", A2102&lt;50, "ภาคตะวันออกเฉียงเหนือ", A2102&lt;60, "ภาคเหนือ", A2102&lt;80, "ภาคกลาง/ตะวันตก", A2102&gt;=80, "ภาคใต้")</f>
        <v>ภาคกลาง/ตะวันตก</v>
      </c>
      <c r="D2102" s="64">
        <v>7599</v>
      </c>
      <c r="E2102" s="10" t="s">
        <v>2398</v>
      </c>
      <c r="F2102" s="11">
        <v>2071</v>
      </c>
      <c r="G2102" s="11">
        <v>2288</v>
      </c>
      <c r="H2102" s="11">
        <v>4359</v>
      </c>
      <c r="I2102" s="11">
        <v>2028</v>
      </c>
      <c r="J2102" s="66">
        <f t="shared" si="126"/>
        <v>47.510896994723559</v>
      </c>
      <c r="K2102" s="66">
        <f t="shared" si="127"/>
        <v>52.489103005276441</v>
      </c>
    </row>
    <row r="2103" spans="1:11" hidden="1" x14ac:dyDescent="0.3">
      <c r="A2103" s="10">
        <v>75</v>
      </c>
      <c r="B2103" s="10" t="s">
        <v>2390</v>
      </c>
      <c r="C2103" s="10" t="str" cm="1">
        <f t="array" ref="C2103">_xlfn.IFS(A2103&lt;20, "ภาคกลาง", A2103&lt;30, "ภาคตะวันออก", A2103&lt;50, "ภาคตะวันออกเฉียงเหนือ", A2103&lt;60, "ภาคเหนือ", A2103&lt;80, "ภาคกลาง/ตะวันตก", A2103&gt;=80, "ภาคใต้")</f>
        <v>ภาคกลาง/ตะวันตก</v>
      </c>
      <c r="D2103" s="10">
        <v>0</v>
      </c>
      <c r="E2103" s="10" t="s">
        <v>343</v>
      </c>
      <c r="F2103" s="11">
        <v>11810</v>
      </c>
      <c r="G2103" s="11">
        <v>13220</v>
      </c>
      <c r="H2103" s="11">
        <v>25030</v>
      </c>
      <c r="I2103" s="11">
        <v>11388</v>
      </c>
      <c r="J2103"/>
      <c r="K2103"/>
    </row>
    <row r="2104" spans="1:11" x14ac:dyDescent="0.3">
      <c r="A2104" s="10">
        <v>76</v>
      </c>
      <c r="B2104" s="10" t="s">
        <v>2399</v>
      </c>
      <c r="C2104" s="10" t="str" cm="1">
        <f t="array" ref="C2104">_xlfn.IFS(A2104&lt;20, "ภาคกลาง", A2104&lt;30, "ภาคตะวันออก", A2104&lt;50, "ภาคตะวันออกเฉียงเหนือ", A2104&lt;60, "ภาคเหนือ", A2104&lt;80, "ภาคกลาง/ตะวันตก", A2104&gt;=80, "ภาคใต้")</f>
        <v>ภาคกลาง/ตะวันตก</v>
      </c>
      <c r="D2104" s="64">
        <v>7601</v>
      </c>
      <c r="E2104" s="10" t="s">
        <v>2400</v>
      </c>
      <c r="F2104" s="11">
        <v>232930</v>
      </c>
      <c r="G2104" s="11">
        <v>251215</v>
      </c>
      <c r="H2104" s="11">
        <v>484145</v>
      </c>
      <c r="I2104" s="11">
        <v>237512</v>
      </c>
      <c r="J2104" s="66">
        <f t="shared" ref="J2104:J2123" si="128">F2104/H2104*100</f>
        <v>48.111619452849865</v>
      </c>
      <c r="K2104" s="66">
        <f t="shared" ref="K2104:K2123" si="129">G2104/H2104*100</f>
        <v>51.888380547150128</v>
      </c>
    </row>
    <row r="2105" spans="1:11" x14ac:dyDescent="0.3">
      <c r="A2105" s="10">
        <v>76</v>
      </c>
      <c r="B2105" s="10" t="s">
        <v>2399</v>
      </c>
      <c r="C2105" s="10" t="str" cm="1">
        <f t="array" ref="C2105">_xlfn.IFS(A2105&lt;20, "ภาคกลาง", A2105&lt;30, "ภาคตะวันออก", A2105&lt;50, "ภาคตะวันออกเฉียงเหนือ", A2105&lt;60, "ภาคเหนือ", A2105&lt;80, "ภาคกลาง/ตะวันตก", A2105&gt;=80, "ภาคใต้")</f>
        <v>ภาคกลาง/ตะวันตก</v>
      </c>
      <c r="D2105" s="64">
        <v>7602</v>
      </c>
      <c r="E2105" s="10" t="s">
        <v>2401</v>
      </c>
      <c r="F2105" s="11">
        <v>42451</v>
      </c>
      <c r="G2105" s="11">
        <v>48646</v>
      </c>
      <c r="H2105" s="11">
        <v>91097</v>
      </c>
      <c r="I2105" s="11">
        <v>37991</v>
      </c>
      <c r="J2105" s="66">
        <f t="shared" si="128"/>
        <v>46.599778258340017</v>
      </c>
      <c r="K2105" s="66">
        <f t="shared" si="129"/>
        <v>53.40022174165999</v>
      </c>
    </row>
    <row r="2106" spans="1:11" x14ac:dyDescent="0.3">
      <c r="A2106" s="10">
        <v>76</v>
      </c>
      <c r="B2106" s="10" t="s">
        <v>2399</v>
      </c>
      <c r="C2106" s="10" t="str" cm="1">
        <f t="array" ref="C2106">_xlfn.IFS(A2106&lt;20, "ภาคกลาง", A2106&lt;30, "ภาคตะวันออก", A2106&lt;50, "ภาคตะวันออกเฉียงเหนือ", A2106&lt;60, "ภาคเหนือ", A2106&lt;80, "ภาคกลาง/ตะวันตก", A2106&gt;=80, "ภาคใต้")</f>
        <v>ภาคกลาง/ตะวันตก</v>
      </c>
      <c r="D2106" s="64">
        <v>7603</v>
      </c>
      <c r="E2106" s="10" t="s">
        <v>2402</v>
      </c>
      <c r="F2106" s="11">
        <v>11493</v>
      </c>
      <c r="G2106" s="11">
        <v>12141</v>
      </c>
      <c r="H2106" s="11">
        <v>23634</v>
      </c>
      <c r="I2106" s="11">
        <v>11748</v>
      </c>
      <c r="J2106" s="66">
        <f t="shared" si="128"/>
        <v>48.629093678598629</v>
      </c>
      <c r="K2106" s="66">
        <f t="shared" si="129"/>
        <v>51.370906321401364</v>
      </c>
    </row>
    <row r="2107" spans="1:11" x14ac:dyDescent="0.3">
      <c r="A2107" s="10">
        <v>76</v>
      </c>
      <c r="B2107" s="10" t="s">
        <v>2399</v>
      </c>
      <c r="C2107" s="10" t="str" cm="1">
        <f t="array" ref="C2107">_xlfn.IFS(A2107&lt;20, "ภาคกลาง", A2107&lt;30, "ภาคตะวันออก", A2107&lt;50, "ภาคตะวันออกเฉียงเหนือ", A2107&lt;60, "ภาคเหนือ", A2107&lt;80, "ภาคกลาง/ตะวันตก", A2107&gt;=80, "ภาคใต้")</f>
        <v>ภาคกลาง/ตะวันตก</v>
      </c>
      <c r="D2107" s="64">
        <v>7604</v>
      </c>
      <c r="E2107" s="10" t="s">
        <v>2403</v>
      </c>
      <c r="F2107" s="11">
        <v>8238</v>
      </c>
      <c r="G2107" s="11">
        <v>8265</v>
      </c>
      <c r="H2107" s="11">
        <v>16503</v>
      </c>
      <c r="I2107" s="11">
        <v>7327</v>
      </c>
      <c r="J2107" s="66">
        <f t="shared" si="128"/>
        <v>49.918196691510637</v>
      </c>
      <c r="K2107" s="66">
        <f t="shared" si="129"/>
        <v>50.08180330848937</v>
      </c>
    </row>
    <row r="2108" spans="1:11" x14ac:dyDescent="0.3">
      <c r="A2108" s="10">
        <v>76</v>
      </c>
      <c r="B2108" s="10" t="s">
        <v>2399</v>
      </c>
      <c r="C2108" s="10" t="str" cm="1">
        <f t="array" ref="C2108">_xlfn.IFS(A2108&lt;20, "ภาคกลาง", A2108&lt;30, "ภาคตะวันออก", A2108&lt;50, "ภาคตะวันออกเฉียงเหนือ", A2108&lt;60, "ภาคเหนือ", A2108&lt;80, "ภาคกลาง/ตะวันตก", A2108&gt;=80, "ภาคใต้")</f>
        <v>ภาคกลาง/ตะวันตก</v>
      </c>
      <c r="D2108" s="64">
        <v>7605</v>
      </c>
      <c r="E2108" s="10" t="s">
        <v>2404</v>
      </c>
      <c r="F2108" s="11">
        <v>11199</v>
      </c>
      <c r="G2108" s="11">
        <v>11323</v>
      </c>
      <c r="H2108" s="11">
        <v>22522</v>
      </c>
      <c r="I2108" s="11">
        <v>9709</v>
      </c>
      <c r="J2108" s="66">
        <f t="shared" si="128"/>
        <v>49.724713613355831</v>
      </c>
      <c r="K2108" s="66">
        <f t="shared" si="129"/>
        <v>50.275286386644169</v>
      </c>
    </row>
    <row r="2109" spans="1:11" x14ac:dyDescent="0.3">
      <c r="A2109" s="10">
        <v>76</v>
      </c>
      <c r="B2109" s="10" t="s">
        <v>2399</v>
      </c>
      <c r="C2109" s="10" t="str" cm="1">
        <f t="array" ref="C2109">_xlfn.IFS(A2109&lt;20, "ภาคกลาง", A2109&lt;30, "ภาคตะวันออก", A2109&lt;50, "ภาคตะวันออกเฉียงเหนือ", A2109&lt;60, "ภาคเหนือ", A2109&lt;80, "ภาคกลาง/ตะวันตก", A2109&gt;=80, "ภาคใต้")</f>
        <v>ภาคกลาง/ตะวันตก</v>
      </c>
      <c r="D2109" s="64">
        <v>7606</v>
      </c>
      <c r="E2109" s="10" t="s">
        <v>2405</v>
      </c>
      <c r="F2109" s="11">
        <v>23768</v>
      </c>
      <c r="G2109" s="11">
        <v>25094</v>
      </c>
      <c r="H2109" s="11">
        <v>48862</v>
      </c>
      <c r="I2109" s="11">
        <v>20888</v>
      </c>
      <c r="J2109" s="66">
        <f t="shared" si="128"/>
        <v>48.643117350906635</v>
      </c>
      <c r="K2109" s="66">
        <f t="shared" si="129"/>
        <v>51.356882649093357</v>
      </c>
    </row>
    <row r="2110" spans="1:11" x14ac:dyDescent="0.3">
      <c r="A2110" s="10">
        <v>76</v>
      </c>
      <c r="B2110" s="10" t="s">
        <v>2399</v>
      </c>
      <c r="C2110" s="10" t="str" cm="1">
        <f t="array" ref="C2110">_xlfn.IFS(A2110&lt;20, "ภาคกลาง", A2110&lt;30, "ภาคตะวันออก", A2110&lt;50, "ภาคตะวันออกเฉียงเหนือ", A2110&lt;60, "ภาคเหนือ", A2110&lt;80, "ภาคกลาง/ตะวันตก", A2110&gt;=80, "ภาคใต้")</f>
        <v>ภาคกลาง/ตะวันตก</v>
      </c>
      <c r="D2110" s="64">
        <v>7607</v>
      </c>
      <c r="E2110" s="10" t="s">
        <v>2406</v>
      </c>
      <c r="F2110" s="11">
        <v>22932</v>
      </c>
      <c r="G2110" s="11">
        <v>25160</v>
      </c>
      <c r="H2110" s="11">
        <v>48092</v>
      </c>
      <c r="I2110" s="11">
        <v>16808</v>
      </c>
      <c r="J2110" s="66">
        <f t="shared" si="128"/>
        <v>47.683606421026361</v>
      </c>
      <c r="K2110" s="66">
        <f t="shared" si="129"/>
        <v>52.316393578973631</v>
      </c>
    </row>
    <row r="2111" spans="1:11" x14ac:dyDescent="0.3">
      <c r="A2111" s="10">
        <v>76</v>
      </c>
      <c r="B2111" s="10" t="s">
        <v>2399</v>
      </c>
      <c r="C2111" s="10" t="str" cm="1">
        <f t="array" ref="C2111">_xlfn.IFS(A2111&lt;20, "ภาคกลาง", A2111&lt;30, "ภาคตะวันออก", A2111&lt;50, "ภาคตะวันออกเฉียงเหนือ", A2111&lt;60, "ภาคเหนือ", A2111&lt;80, "ภาคกลาง/ตะวันตก", A2111&gt;=80, "ภาคใต้")</f>
        <v>ภาคกลาง/ตะวันตก</v>
      </c>
      <c r="D2111" s="64">
        <v>7608</v>
      </c>
      <c r="E2111" s="10" t="s">
        <v>2407</v>
      </c>
      <c r="F2111" s="11">
        <v>17654</v>
      </c>
      <c r="G2111" s="11">
        <v>18305</v>
      </c>
      <c r="H2111" s="11">
        <v>35959</v>
      </c>
      <c r="I2111" s="11">
        <v>12322</v>
      </c>
      <c r="J2111" s="66">
        <f t="shared" si="128"/>
        <v>49.094802413860229</v>
      </c>
      <c r="K2111" s="66">
        <f t="shared" si="129"/>
        <v>50.905197586139771</v>
      </c>
    </row>
    <row r="2112" spans="1:11" x14ac:dyDescent="0.3">
      <c r="A2112" s="10">
        <v>76</v>
      </c>
      <c r="B2112" s="10" t="s">
        <v>2399</v>
      </c>
      <c r="C2112" s="10" t="str" cm="1">
        <f t="array" ref="C2112">_xlfn.IFS(A2112&lt;20, "ภาคกลาง", A2112&lt;30, "ภาคตะวันออก", A2112&lt;50, "ภาคตะวันออกเฉียงเหนือ", A2112&lt;60, "ภาคเหนือ", A2112&lt;80, "ภาคกลาง/ตะวันตก", A2112&gt;=80, "ภาคใต้")</f>
        <v>ภาคกลาง/ตะวันตก</v>
      </c>
      <c r="D2112" s="64">
        <v>7688</v>
      </c>
      <c r="E2112" s="10" t="s">
        <v>2408</v>
      </c>
      <c r="F2112" s="11">
        <v>17592</v>
      </c>
      <c r="G2112" s="11">
        <v>16638</v>
      </c>
      <c r="H2112" s="11">
        <v>34230</v>
      </c>
      <c r="I2112" s="11">
        <v>16353</v>
      </c>
      <c r="J2112" s="66">
        <f t="shared" si="128"/>
        <v>51.393514460999121</v>
      </c>
      <c r="K2112" s="66">
        <f t="shared" si="129"/>
        <v>48.606485539000879</v>
      </c>
    </row>
    <row r="2113" spans="1:11" ht="27.6" x14ac:dyDescent="0.3">
      <c r="A2113" s="10">
        <v>76</v>
      </c>
      <c r="B2113" s="10" t="s">
        <v>2399</v>
      </c>
      <c r="C2113" s="10" t="str" cm="1">
        <f t="array" ref="C2113">_xlfn.IFS(A2113&lt;20, "ภาคกลาง", A2113&lt;30, "ภาคตะวันออก", A2113&lt;50, "ภาคตะวันออกเฉียงเหนือ", A2113&lt;60, "ภาคเหนือ", A2113&lt;80, "ภาคกลาง/ตะวันตก", A2113&gt;=80, "ภาคใต้")</f>
        <v>ภาคกลาง/ตะวันตก</v>
      </c>
      <c r="D2113" s="64">
        <v>7689</v>
      </c>
      <c r="E2113" s="10" t="s">
        <v>2340</v>
      </c>
      <c r="F2113" s="11">
        <v>3069</v>
      </c>
      <c r="G2113" s="11">
        <v>3256</v>
      </c>
      <c r="H2113" s="11">
        <v>6325</v>
      </c>
      <c r="I2113" s="11">
        <v>2276</v>
      </c>
      <c r="J2113" s="66">
        <f t="shared" si="128"/>
        <v>48.521739130434781</v>
      </c>
      <c r="K2113" s="66">
        <f t="shared" si="129"/>
        <v>51.478260869565219</v>
      </c>
    </row>
    <row r="2114" spans="1:11" ht="27.6" x14ac:dyDescent="0.3">
      <c r="A2114" s="10">
        <v>76</v>
      </c>
      <c r="B2114" s="10" t="s">
        <v>2399</v>
      </c>
      <c r="C2114" s="10" t="str" cm="1">
        <f t="array" ref="C2114">_xlfn.IFS(A2114&lt;20, "ภาคกลาง", A2114&lt;30, "ภาคตะวันออก", A2114&lt;50, "ภาคตะวันออกเฉียงเหนือ", A2114&lt;60, "ภาคเหนือ", A2114&lt;80, "ภาคกลาง/ตะวันตก", A2114&gt;=80, "ภาคใต้")</f>
        <v>ภาคกลาง/ตะวันตก</v>
      </c>
      <c r="D2114" s="64">
        <v>7690</v>
      </c>
      <c r="E2114" s="10" t="s">
        <v>2409</v>
      </c>
      <c r="F2114" s="11">
        <v>5371</v>
      </c>
      <c r="G2114" s="11">
        <v>5747</v>
      </c>
      <c r="H2114" s="11">
        <v>11118</v>
      </c>
      <c r="I2114" s="11">
        <v>4341</v>
      </c>
      <c r="J2114" s="66">
        <f t="shared" si="128"/>
        <v>48.309048389998196</v>
      </c>
      <c r="K2114" s="66">
        <f t="shared" si="129"/>
        <v>51.690951610001804</v>
      </c>
    </row>
    <row r="2115" spans="1:11" x14ac:dyDescent="0.3">
      <c r="A2115" s="10">
        <v>76</v>
      </c>
      <c r="B2115" s="10" t="s">
        <v>2399</v>
      </c>
      <c r="C2115" s="10" t="str" cm="1">
        <f t="array" ref="C2115">_xlfn.IFS(A2115&lt;20, "ภาคกลาง", A2115&lt;30, "ภาคตะวันออก", A2115&lt;50, "ภาคตะวันออกเฉียงเหนือ", A2115&lt;60, "ภาคเหนือ", A2115&lt;80, "ภาคกลาง/ตะวันตก", A2115&gt;=80, "ภาคใต้")</f>
        <v>ภาคกลาง/ตะวันตก</v>
      </c>
      <c r="D2115" s="64">
        <v>7691</v>
      </c>
      <c r="E2115" s="10" t="s">
        <v>2410</v>
      </c>
      <c r="F2115" s="11">
        <v>2370</v>
      </c>
      <c r="G2115" s="11">
        <v>2509</v>
      </c>
      <c r="H2115" s="11">
        <v>4879</v>
      </c>
      <c r="I2115" s="11">
        <v>1919</v>
      </c>
      <c r="J2115" s="66">
        <f t="shared" si="128"/>
        <v>48.575527772084442</v>
      </c>
      <c r="K2115" s="66">
        <f t="shared" si="129"/>
        <v>51.424472227915551</v>
      </c>
    </row>
    <row r="2116" spans="1:11" ht="27.6" x14ac:dyDescent="0.3">
      <c r="A2116" s="10">
        <v>76</v>
      </c>
      <c r="B2116" s="10" t="s">
        <v>2399</v>
      </c>
      <c r="C2116" s="10" t="str" cm="1">
        <f t="array" ref="C2116">_xlfn.IFS(A2116&lt;20, "ภาคกลาง", A2116&lt;30, "ภาคตะวันออก", A2116&lt;50, "ภาคตะวันออกเฉียงเหนือ", A2116&lt;60, "ภาคเหนือ", A2116&lt;80, "ภาคกลาง/ตะวันตก", A2116&gt;=80, "ภาคใต้")</f>
        <v>ภาคกลาง/ตะวันตก</v>
      </c>
      <c r="D2116" s="64">
        <v>7692</v>
      </c>
      <c r="E2116" s="10" t="s">
        <v>2411</v>
      </c>
      <c r="F2116" s="11">
        <v>1689</v>
      </c>
      <c r="G2116" s="11">
        <v>2006</v>
      </c>
      <c r="H2116" s="11">
        <v>3695</v>
      </c>
      <c r="I2116" s="11">
        <v>1784</v>
      </c>
      <c r="J2116" s="66">
        <f t="shared" si="128"/>
        <v>45.710419485791611</v>
      </c>
      <c r="K2116" s="66">
        <f t="shared" si="129"/>
        <v>54.289580514208389</v>
      </c>
    </row>
    <row r="2117" spans="1:11" x14ac:dyDescent="0.3">
      <c r="A2117" s="10">
        <v>76</v>
      </c>
      <c r="B2117" s="10" t="s">
        <v>2399</v>
      </c>
      <c r="C2117" s="10" t="str" cm="1">
        <f t="array" ref="C2117">_xlfn.IFS(A2117&lt;20, "ภาคกลาง", A2117&lt;30, "ภาคตะวันออก", A2117&lt;50, "ภาคตะวันออกเฉียงเหนือ", A2117&lt;60, "ภาคเหนือ", A2117&lt;80, "ภาคกลาง/ตะวันตก", A2117&gt;=80, "ภาคใต้")</f>
        <v>ภาคกลาง/ตะวันตก</v>
      </c>
      <c r="D2117" s="64">
        <v>7693</v>
      </c>
      <c r="E2117" s="10" t="s">
        <v>2412</v>
      </c>
      <c r="F2117" s="11">
        <v>1272</v>
      </c>
      <c r="G2117" s="11">
        <v>1408</v>
      </c>
      <c r="H2117" s="11">
        <v>2680</v>
      </c>
      <c r="I2117" s="11">
        <v>1070</v>
      </c>
      <c r="J2117" s="66">
        <f t="shared" si="128"/>
        <v>47.462686567164184</v>
      </c>
      <c r="K2117" s="66">
        <f t="shared" si="129"/>
        <v>52.537313432835816</v>
      </c>
    </row>
    <row r="2118" spans="1:11" x14ac:dyDescent="0.3">
      <c r="A2118" s="10">
        <v>76</v>
      </c>
      <c r="B2118" s="10" t="s">
        <v>2399</v>
      </c>
      <c r="C2118" s="10" t="str" cm="1">
        <f t="array" ref="C2118">_xlfn.IFS(A2118&lt;20, "ภาคกลาง", A2118&lt;30, "ภาคตะวันออก", A2118&lt;50, "ภาคตะวันออกเฉียงเหนือ", A2118&lt;60, "ภาคเหนือ", A2118&lt;80, "ภาคกลาง/ตะวันตก", A2118&gt;=80, "ภาคใต้")</f>
        <v>ภาคกลาง/ตะวันตก</v>
      </c>
      <c r="D2118" s="64">
        <v>7694</v>
      </c>
      <c r="E2118" s="10" t="s">
        <v>2413</v>
      </c>
      <c r="F2118" s="11">
        <v>13035</v>
      </c>
      <c r="G2118" s="11">
        <v>14519</v>
      </c>
      <c r="H2118" s="11">
        <v>27554</v>
      </c>
      <c r="I2118" s="11">
        <v>12080</v>
      </c>
      <c r="J2118" s="66">
        <f t="shared" si="128"/>
        <v>47.307106046309066</v>
      </c>
      <c r="K2118" s="66">
        <f t="shared" si="129"/>
        <v>52.692893953690934</v>
      </c>
    </row>
    <row r="2119" spans="1:11" x14ac:dyDescent="0.3">
      <c r="A2119" s="10">
        <v>76</v>
      </c>
      <c r="B2119" s="10" t="s">
        <v>2399</v>
      </c>
      <c r="C2119" s="10" t="str" cm="1">
        <f t="array" ref="C2119">_xlfn.IFS(A2119&lt;20, "ภาคกลาง", A2119&lt;30, "ภาคตะวันออก", A2119&lt;50, "ภาคตะวันออกเฉียงเหนือ", A2119&lt;60, "ภาคเหนือ", A2119&lt;80, "ภาคกลาง/ตะวันตก", A2119&gt;=80, "ภาคใต้")</f>
        <v>ภาคกลาง/ตะวันตก</v>
      </c>
      <c r="D2119" s="64">
        <v>7695</v>
      </c>
      <c r="E2119" s="10" t="s">
        <v>2414</v>
      </c>
      <c r="F2119" s="11">
        <v>9185</v>
      </c>
      <c r="G2119" s="11">
        <v>9924</v>
      </c>
      <c r="H2119" s="11">
        <v>19109</v>
      </c>
      <c r="I2119" s="11">
        <v>7778</v>
      </c>
      <c r="J2119" s="66">
        <f t="shared" si="128"/>
        <v>48.066356167251037</v>
      </c>
      <c r="K2119" s="66">
        <f t="shared" si="129"/>
        <v>51.933643832748963</v>
      </c>
    </row>
    <row r="2120" spans="1:11" ht="27.6" x14ac:dyDescent="0.3">
      <c r="A2120" s="10">
        <v>76</v>
      </c>
      <c r="B2120" s="10" t="s">
        <v>2399</v>
      </c>
      <c r="C2120" s="10" t="str" cm="1">
        <f t="array" ref="C2120">_xlfn.IFS(A2120&lt;20, "ภาคกลาง", A2120&lt;30, "ภาคตะวันออก", A2120&lt;50, "ภาคตะวันออกเฉียงเหนือ", A2120&lt;60, "ภาคเหนือ", A2120&lt;80, "ภาคกลาง/ตะวันตก", A2120&gt;=80, "ภาคใต้")</f>
        <v>ภาคกลาง/ตะวันตก</v>
      </c>
      <c r="D2120" s="64">
        <v>7696</v>
      </c>
      <c r="E2120" s="10" t="s">
        <v>2415</v>
      </c>
      <c r="F2120" s="11">
        <v>7125</v>
      </c>
      <c r="G2120" s="11">
        <v>7805</v>
      </c>
      <c r="H2120" s="11">
        <v>14930</v>
      </c>
      <c r="I2120" s="11">
        <v>8918</v>
      </c>
      <c r="J2120" s="66">
        <f t="shared" si="128"/>
        <v>47.722705961152045</v>
      </c>
      <c r="K2120" s="66">
        <f t="shared" si="129"/>
        <v>52.277294038847955</v>
      </c>
    </row>
    <row r="2121" spans="1:11" ht="27.6" x14ac:dyDescent="0.3">
      <c r="A2121" s="10">
        <v>76</v>
      </c>
      <c r="B2121" s="10" t="s">
        <v>2399</v>
      </c>
      <c r="C2121" s="10" t="str" cm="1">
        <f t="array" ref="C2121">_xlfn.IFS(A2121&lt;20, "ภาคกลาง", A2121&lt;30, "ภาคตะวันออก", A2121&lt;50, "ภาคตะวันออกเฉียงเหนือ", A2121&lt;60, "ภาคเหนือ", A2121&lt;80, "ภาคกลาง/ตะวันตก", A2121&gt;=80, "ภาคใต้")</f>
        <v>ภาคกลาง/ตะวันตก</v>
      </c>
      <c r="D2121" s="64">
        <v>7697</v>
      </c>
      <c r="E2121" s="10" t="s">
        <v>2416</v>
      </c>
      <c r="F2121" s="11">
        <v>2363</v>
      </c>
      <c r="G2121" s="11">
        <v>2571</v>
      </c>
      <c r="H2121" s="11">
        <v>4934</v>
      </c>
      <c r="I2121" s="11">
        <v>2704</v>
      </c>
      <c r="J2121" s="66">
        <f t="shared" si="128"/>
        <v>47.892176732873935</v>
      </c>
      <c r="K2121" s="66">
        <f t="shared" si="129"/>
        <v>52.107823267126065</v>
      </c>
    </row>
    <row r="2122" spans="1:11" x14ac:dyDescent="0.3">
      <c r="A2122" s="10">
        <v>76</v>
      </c>
      <c r="B2122" s="10" t="s">
        <v>2399</v>
      </c>
      <c r="C2122" s="10" t="str" cm="1">
        <f t="array" ref="C2122">_xlfn.IFS(A2122&lt;20, "ภาคกลาง", A2122&lt;30, "ภาคตะวันออก", A2122&lt;50, "ภาคตะวันออกเฉียงเหนือ", A2122&lt;60, "ภาคเหนือ", A2122&lt;80, "ภาคกลาง/ตะวันตก", A2122&gt;=80, "ภาคใต้")</f>
        <v>ภาคกลาง/ตะวันตก</v>
      </c>
      <c r="D2122" s="64">
        <v>7698</v>
      </c>
      <c r="E2122" s="10" t="s">
        <v>2417</v>
      </c>
      <c r="F2122" s="11">
        <v>2754</v>
      </c>
      <c r="G2122" s="11">
        <v>3087</v>
      </c>
      <c r="H2122" s="11">
        <v>5841</v>
      </c>
      <c r="I2122" s="11">
        <v>2095</v>
      </c>
      <c r="J2122" s="66">
        <f t="shared" si="128"/>
        <v>47.14946070878274</v>
      </c>
      <c r="K2122" s="66">
        <f t="shared" si="129"/>
        <v>52.85053929121726</v>
      </c>
    </row>
    <row r="2123" spans="1:11" x14ac:dyDescent="0.3">
      <c r="A2123" s="10">
        <v>76</v>
      </c>
      <c r="B2123" s="10" t="s">
        <v>2399</v>
      </c>
      <c r="C2123" s="10" t="str" cm="1">
        <f t="array" ref="C2123">_xlfn.IFS(A2123&lt;20, "ภาคกลาง", A2123&lt;30, "ภาคตะวันออก", A2123&lt;50, "ภาคตะวันออกเฉียงเหนือ", A2123&lt;60, "ภาคเหนือ", A2123&lt;80, "ภาคกลาง/ตะวันตก", A2123&gt;=80, "ภาคใต้")</f>
        <v>ภาคกลาง/ตะวันตก</v>
      </c>
      <c r="D2123" s="64">
        <v>7699</v>
      </c>
      <c r="E2123" s="10" t="s">
        <v>2418</v>
      </c>
      <c r="F2123" s="11">
        <v>20271</v>
      </c>
      <c r="G2123" s="11">
        <v>22448</v>
      </c>
      <c r="H2123" s="11">
        <v>42719</v>
      </c>
      <c r="I2123" s="11">
        <v>48985</v>
      </c>
      <c r="J2123" s="66">
        <f t="shared" si="128"/>
        <v>47.451953463330135</v>
      </c>
      <c r="K2123" s="66">
        <f t="shared" si="129"/>
        <v>52.548046536669865</v>
      </c>
    </row>
    <row r="2124" spans="1:11" hidden="1" x14ac:dyDescent="0.3">
      <c r="A2124" s="10">
        <v>76</v>
      </c>
      <c r="B2124" s="10" t="s">
        <v>2399</v>
      </c>
      <c r="C2124" s="10" t="str" cm="1">
        <f t="array" ref="C2124">_xlfn.IFS(A2124&lt;20, "ภาคกลาง", A2124&lt;30, "ภาคตะวันออก", A2124&lt;50, "ภาคตะวันออกเฉียงเหนือ", A2124&lt;60, "ภาคเหนือ", A2124&lt;80, "ภาคกลาง/ตะวันตก", A2124&gt;=80, "ภาคใต้")</f>
        <v>ภาคกลาง/ตะวันตก</v>
      </c>
      <c r="D2124" s="10">
        <v>0</v>
      </c>
      <c r="E2124" s="10" t="s">
        <v>343</v>
      </c>
      <c r="F2124" s="11">
        <v>9099</v>
      </c>
      <c r="G2124" s="11">
        <v>10363</v>
      </c>
      <c r="H2124" s="11">
        <v>19462</v>
      </c>
      <c r="I2124" s="11">
        <v>10416</v>
      </c>
      <c r="J2124"/>
      <c r="K2124"/>
    </row>
    <row r="2125" spans="1:11" x14ac:dyDescent="0.3">
      <c r="A2125" s="10">
        <v>77</v>
      </c>
      <c r="B2125" s="10" t="s">
        <v>2419</v>
      </c>
      <c r="C2125" s="10" t="str" cm="1">
        <f t="array" ref="C2125">_xlfn.IFS(A2125&lt;20, "ภาคกลาง", A2125&lt;30, "ภาคตะวันออก", A2125&lt;50, "ภาคตะวันออกเฉียงเหนือ", A2125&lt;60, "ภาคเหนือ", A2125&lt;80, "ภาคกลาง/ตะวันตก", A2125&gt;=80, "ภาคใต้")</f>
        <v>ภาคกลาง/ตะวันตก</v>
      </c>
      <c r="D2125" s="64">
        <v>7701</v>
      </c>
      <c r="E2125" s="10" t="s">
        <v>2420</v>
      </c>
      <c r="F2125" s="11">
        <v>270215</v>
      </c>
      <c r="G2125" s="11">
        <v>281554</v>
      </c>
      <c r="H2125" s="11">
        <v>551769</v>
      </c>
      <c r="I2125" s="11">
        <v>293330</v>
      </c>
      <c r="J2125" s="66">
        <f t="shared" ref="J2125:J2148" si="130">F2125/H2125*100</f>
        <v>48.97248667467727</v>
      </c>
      <c r="K2125" s="66">
        <f t="shared" ref="K2125:K2148" si="131">G2125/H2125*100</f>
        <v>51.027513325322737</v>
      </c>
    </row>
    <row r="2126" spans="1:11" x14ac:dyDescent="0.3">
      <c r="A2126" s="10">
        <v>77</v>
      </c>
      <c r="B2126" s="10" t="s">
        <v>2419</v>
      </c>
      <c r="C2126" s="10" t="str" cm="1">
        <f t="array" ref="C2126">_xlfn.IFS(A2126&lt;20, "ภาคกลาง", A2126&lt;30, "ภาคตะวันออก", A2126&lt;50, "ภาคตะวันออกเฉียงเหนือ", A2126&lt;60, "ภาคเหนือ", A2126&lt;80, "ภาคกลาง/ตะวันตก", A2126&gt;=80, "ภาคใต้")</f>
        <v>ภาคกลาง/ตะวันตก</v>
      </c>
      <c r="D2126" s="64">
        <v>7702</v>
      </c>
      <c r="E2126" s="10" t="s">
        <v>2421</v>
      </c>
      <c r="F2126" s="11">
        <v>32319</v>
      </c>
      <c r="G2126" s="11">
        <v>32593</v>
      </c>
      <c r="H2126" s="11">
        <v>64912</v>
      </c>
      <c r="I2126" s="11">
        <v>28197</v>
      </c>
      <c r="J2126" s="66">
        <f t="shared" si="130"/>
        <v>49.788945033275823</v>
      </c>
      <c r="K2126" s="66">
        <f t="shared" si="131"/>
        <v>50.211054966724177</v>
      </c>
    </row>
    <row r="2127" spans="1:11" x14ac:dyDescent="0.3">
      <c r="A2127" s="10">
        <v>77</v>
      </c>
      <c r="B2127" s="10" t="s">
        <v>2419</v>
      </c>
      <c r="C2127" s="10" t="str" cm="1">
        <f t="array" ref="C2127">_xlfn.IFS(A2127&lt;20, "ภาคกลาง", A2127&lt;30, "ภาคตะวันออก", A2127&lt;50, "ภาคตะวันออกเฉียงเหนือ", A2127&lt;60, "ภาคเหนือ", A2127&lt;80, "ภาคกลาง/ตะวันตก", A2127&gt;=80, "ภาคใต้")</f>
        <v>ภาคกลาง/ตะวันตก</v>
      </c>
      <c r="D2127" s="64">
        <v>7703</v>
      </c>
      <c r="E2127" s="10" t="s">
        <v>2422</v>
      </c>
      <c r="F2127" s="11">
        <v>17085</v>
      </c>
      <c r="G2127" s="11">
        <v>17635</v>
      </c>
      <c r="H2127" s="11">
        <v>34720</v>
      </c>
      <c r="I2127" s="11">
        <v>11953</v>
      </c>
      <c r="J2127" s="66">
        <f t="shared" si="130"/>
        <v>49.207949308755758</v>
      </c>
      <c r="K2127" s="66">
        <f t="shared" si="131"/>
        <v>50.792050691244242</v>
      </c>
    </row>
    <row r="2128" spans="1:11" x14ac:dyDescent="0.3">
      <c r="A2128" s="10">
        <v>77</v>
      </c>
      <c r="B2128" s="10" t="s">
        <v>2419</v>
      </c>
      <c r="C2128" s="10" t="str" cm="1">
        <f t="array" ref="C2128">_xlfn.IFS(A2128&lt;20, "ภาคกลาง", A2128&lt;30, "ภาคตะวันออก", A2128&lt;50, "ภาคตะวันออกเฉียงเหนือ", A2128&lt;60, "ภาคเหนือ", A2128&lt;80, "ภาคกลาง/ตะวันตก", A2128&gt;=80, "ภาคใต้")</f>
        <v>ภาคกลาง/ตะวันตก</v>
      </c>
      <c r="D2128" s="64">
        <v>7704</v>
      </c>
      <c r="E2128" s="10" t="s">
        <v>2423</v>
      </c>
      <c r="F2128" s="11">
        <v>21048</v>
      </c>
      <c r="G2128" s="11">
        <v>21550</v>
      </c>
      <c r="H2128" s="11">
        <v>42598</v>
      </c>
      <c r="I2128" s="11">
        <v>15857</v>
      </c>
      <c r="J2128" s="66">
        <f t="shared" si="130"/>
        <v>49.410770458706985</v>
      </c>
      <c r="K2128" s="66">
        <f t="shared" si="131"/>
        <v>50.589229541293022</v>
      </c>
    </row>
    <row r="2129" spans="1:11" x14ac:dyDescent="0.3">
      <c r="A2129" s="10">
        <v>77</v>
      </c>
      <c r="B2129" s="10" t="s">
        <v>2419</v>
      </c>
      <c r="C2129" s="10" t="str" cm="1">
        <f t="array" ref="C2129">_xlfn.IFS(A2129&lt;20, "ภาคกลาง", A2129&lt;30, "ภาคตะวันออก", A2129&lt;50, "ภาคตะวันออกเฉียงเหนือ", A2129&lt;60, "ภาคเหนือ", A2129&lt;80, "ภาคกลาง/ตะวันตก", A2129&gt;=80, "ภาคใต้")</f>
        <v>ภาคกลาง/ตะวันตก</v>
      </c>
      <c r="D2129" s="64">
        <v>7705</v>
      </c>
      <c r="E2129" s="10" t="s">
        <v>2424</v>
      </c>
      <c r="F2129" s="11">
        <v>30552</v>
      </c>
      <c r="G2129" s="11">
        <v>31086</v>
      </c>
      <c r="H2129" s="11">
        <v>61638</v>
      </c>
      <c r="I2129" s="11">
        <v>28124</v>
      </c>
      <c r="J2129" s="66">
        <f t="shared" si="130"/>
        <v>49.56682565949577</v>
      </c>
      <c r="K2129" s="66">
        <f t="shared" si="131"/>
        <v>50.433174340504237</v>
      </c>
    </row>
    <row r="2130" spans="1:11" x14ac:dyDescent="0.3">
      <c r="A2130" s="10">
        <v>77</v>
      </c>
      <c r="B2130" s="10" t="s">
        <v>2419</v>
      </c>
      <c r="C2130" s="10" t="str" cm="1">
        <f t="array" ref="C2130">_xlfn.IFS(A2130&lt;20, "ภาคกลาง", A2130&lt;30, "ภาคตะวันออก", A2130&lt;50, "ภาคตะวันออกเฉียงเหนือ", A2130&lt;60, "ภาคเหนือ", A2130&lt;80, "ภาคกลาง/ตะวันตก", A2130&gt;=80, "ภาคใต้")</f>
        <v>ภาคกลาง/ตะวันตก</v>
      </c>
      <c r="D2130" s="64">
        <v>7706</v>
      </c>
      <c r="E2130" s="10" t="s">
        <v>2425</v>
      </c>
      <c r="F2130" s="11">
        <v>18256</v>
      </c>
      <c r="G2130" s="11">
        <v>18425</v>
      </c>
      <c r="H2130" s="11">
        <v>36681</v>
      </c>
      <c r="I2130" s="11">
        <v>16976</v>
      </c>
      <c r="J2130" s="66">
        <f t="shared" si="130"/>
        <v>49.769635506120338</v>
      </c>
      <c r="K2130" s="66">
        <f t="shared" si="131"/>
        <v>50.230364493879662</v>
      </c>
    </row>
    <row r="2131" spans="1:11" x14ac:dyDescent="0.3">
      <c r="A2131" s="10">
        <v>77</v>
      </c>
      <c r="B2131" s="10" t="s">
        <v>2419</v>
      </c>
      <c r="C2131" s="10" t="str" cm="1">
        <f t="array" ref="C2131">_xlfn.IFS(A2131&lt;20, "ภาคกลาง", A2131&lt;30, "ภาคตะวันออก", A2131&lt;50, "ภาคตะวันออกเฉียงเหนือ", A2131&lt;60, "ภาคเหนือ", A2131&lt;80, "ภาคกลาง/ตะวันตก", A2131&gt;=80, "ภาคใต้")</f>
        <v>ภาคกลาง/ตะวันตก</v>
      </c>
      <c r="D2131" s="64">
        <v>7707</v>
      </c>
      <c r="E2131" s="10" t="s">
        <v>2426</v>
      </c>
      <c r="F2131" s="11">
        <v>21188</v>
      </c>
      <c r="G2131" s="11">
        <v>22661</v>
      </c>
      <c r="H2131" s="11">
        <v>43849</v>
      </c>
      <c r="I2131" s="11">
        <v>23077</v>
      </c>
      <c r="J2131" s="66">
        <f t="shared" si="130"/>
        <v>48.320372186366853</v>
      </c>
      <c r="K2131" s="66">
        <f t="shared" si="131"/>
        <v>51.679627813633154</v>
      </c>
    </row>
    <row r="2132" spans="1:11" x14ac:dyDescent="0.3">
      <c r="A2132" s="10">
        <v>77</v>
      </c>
      <c r="B2132" s="10" t="s">
        <v>2419</v>
      </c>
      <c r="C2132" s="10" t="str" cm="1">
        <f t="array" ref="C2132">_xlfn.IFS(A2132&lt;20, "ภาคกลาง", A2132&lt;30, "ภาคตะวันออก", A2132&lt;50, "ภาคตะวันออกเฉียงเหนือ", A2132&lt;60, "ภาคเหนือ", A2132&lt;80, "ภาคกลาง/ตะวันตก", A2132&gt;=80, "ภาคใต้")</f>
        <v>ภาคกลาง/ตะวันตก</v>
      </c>
      <c r="D2132" s="64">
        <v>7708</v>
      </c>
      <c r="E2132" s="10" t="s">
        <v>2427</v>
      </c>
      <c r="F2132" s="11">
        <v>28557</v>
      </c>
      <c r="G2132" s="11">
        <v>31186</v>
      </c>
      <c r="H2132" s="11">
        <v>59743</v>
      </c>
      <c r="I2132" s="11">
        <v>33943</v>
      </c>
      <c r="J2132" s="66">
        <f t="shared" si="130"/>
        <v>47.799742229215134</v>
      </c>
      <c r="K2132" s="66">
        <f t="shared" si="131"/>
        <v>52.200257770784866</v>
      </c>
    </row>
    <row r="2133" spans="1:11" x14ac:dyDescent="0.3">
      <c r="A2133" s="10">
        <v>77</v>
      </c>
      <c r="B2133" s="10" t="s">
        <v>2419</v>
      </c>
      <c r="C2133" s="10" t="str" cm="1">
        <f t="array" ref="C2133">_xlfn.IFS(A2133&lt;20, "ภาคกลาง", A2133&lt;30, "ภาคตะวันออก", A2133&lt;50, "ภาคตะวันออกเฉียงเหนือ", A2133&lt;60, "ภาคเหนือ", A2133&lt;80, "ภาคกลาง/ตะวันตก", A2133&gt;=80, "ภาคใต้")</f>
        <v>ภาคกลาง/ตะวันตก</v>
      </c>
      <c r="D2133" s="64">
        <v>7784</v>
      </c>
      <c r="E2133" s="10" t="s">
        <v>2428</v>
      </c>
      <c r="F2133" s="11">
        <v>15698</v>
      </c>
      <c r="G2133" s="11">
        <v>16048</v>
      </c>
      <c r="H2133" s="11">
        <v>31746</v>
      </c>
      <c r="I2133" s="11">
        <v>13284</v>
      </c>
      <c r="J2133" s="66">
        <f t="shared" si="130"/>
        <v>49.448749448749446</v>
      </c>
      <c r="K2133" s="66">
        <f t="shared" si="131"/>
        <v>50.551250551250547</v>
      </c>
    </row>
    <row r="2134" spans="1:11" x14ac:dyDescent="0.3">
      <c r="A2134" s="10">
        <v>77</v>
      </c>
      <c r="B2134" s="10" t="s">
        <v>2419</v>
      </c>
      <c r="C2134" s="10" t="str" cm="1">
        <f t="array" ref="C2134">_xlfn.IFS(A2134&lt;20, "ภาคกลาง", A2134&lt;30, "ภาคตะวันออก", A2134&lt;50, "ภาคตะวันออกเฉียงเหนือ", A2134&lt;60, "ภาคเหนือ", A2134&lt;80, "ภาคกลาง/ตะวันตก", A2134&gt;=80, "ภาคใต้")</f>
        <v>ภาคกลาง/ตะวันตก</v>
      </c>
      <c r="D2134" s="64">
        <v>7785</v>
      </c>
      <c r="E2134" s="10" t="s">
        <v>2429</v>
      </c>
      <c r="F2134" s="11">
        <v>6744</v>
      </c>
      <c r="G2134" s="11">
        <v>3073</v>
      </c>
      <c r="H2134" s="11">
        <v>9817</v>
      </c>
      <c r="I2134" s="11">
        <v>6147</v>
      </c>
      <c r="J2134" s="66">
        <f t="shared" si="130"/>
        <v>68.697157991239692</v>
      </c>
      <c r="K2134" s="66">
        <f t="shared" si="131"/>
        <v>31.302842008760312</v>
      </c>
    </row>
    <row r="2135" spans="1:11" ht="27.6" x14ac:dyDescent="0.3">
      <c r="A2135" s="10">
        <v>77</v>
      </c>
      <c r="B2135" s="10" t="s">
        <v>2419</v>
      </c>
      <c r="C2135" s="10" t="str" cm="1">
        <f t="array" ref="C2135">_xlfn.IFS(A2135&lt;20, "ภาคกลาง", A2135&lt;30, "ภาคตะวันออก", A2135&lt;50, "ภาคตะวันออกเฉียงเหนือ", A2135&lt;60, "ภาคเหนือ", A2135&lt;80, "ภาคกลาง/ตะวันตก", A2135&gt;=80, "ภาคใต้")</f>
        <v>ภาคกลาง/ตะวันตก</v>
      </c>
      <c r="D2135" s="64">
        <v>7786</v>
      </c>
      <c r="E2135" s="10" t="s">
        <v>2430</v>
      </c>
      <c r="F2135" s="11">
        <v>5193</v>
      </c>
      <c r="G2135" s="11">
        <v>5347</v>
      </c>
      <c r="H2135" s="11">
        <v>10540</v>
      </c>
      <c r="I2135" s="11">
        <v>4397</v>
      </c>
      <c r="J2135" s="66">
        <f t="shared" si="130"/>
        <v>49.269449715370015</v>
      </c>
      <c r="K2135" s="66">
        <f t="shared" si="131"/>
        <v>50.730550284629985</v>
      </c>
    </row>
    <row r="2136" spans="1:11" ht="27.6" x14ac:dyDescent="0.3">
      <c r="A2136" s="10">
        <v>77</v>
      </c>
      <c r="B2136" s="10" t="s">
        <v>2419</v>
      </c>
      <c r="C2136" s="10" t="str" cm="1">
        <f t="array" ref="C2136">_xlfn.IFS(A2136&lt;20, "ภาคกลาง", A2136&lt;30, "ภาคตะวันออก", A2136&lt;50, "ภาคตะวันออกเฉียงเหนือ", A2136&lt;60, "ภาคเหนือ", A2136&lt;80, "ภาคกลาง/ตะวันตก", A2136&gt;=80, "ภาคใต้")</f>
        <v>ภาคกลาง/ตะวันตก</v>
      </c>
      <c r="D2136" s="64">
        <v>7787</v>
      </c>
      <c r="E2136" s="10" t="s">
        <v>2431</v>
      </c>
      <c r="F2136" s="11">
        <v>2395</v>
      </c>
      <c r="G2136" s="11">
        <v>2605</v>
      </c>
      <c r="H2136" s="11">
        <v>5000</v>
      </c>
      <c r="I2136" s="11">
        <v>2993</v>
      </c>
      <c r="J2136" s="66">
        <f t="shared" si="130"/>
        <v>47.9</v>
      </c>
      <c r="K2136" s="66">
        <f t="shared" si="131"/>
        <v>52.1</v>
      </c>
    </row>
    <row r="2137" spans="1:11" x14ac:dyDescent="0.3">
      <c r="A2137" s="10">
        <v>77</v>
      </c>
      <c r="B2137" s="10" t="s">
        <v>2419</v>
      </c>
      <c r="C2137" s="10" t="str" cm="1">
        <f t="array" ref="C2137">_xlfn.IFS(A2137&lt;20, "ภาคกลาง", A2137&lt;30, "ภาคตะวันออก", A2137&lt;50, "ภาคตะวันออกเฉียงเหนือ", A2137&lt;60, "ภาคเหนือ", A2137&lt;80, "ภาคกลาง/ตะวันตก", A2137&gt;=80, "ภาคใต้")</f>
        <v>ภาคกลาง/ตะวันตก</v>
      </c>
      <c r="D2137" s="64">
        <v>7788</v>
      </c>
      <c r="E2137" s="10" t="s">
        <v>2432</v>
      </c>
      <c r="F2137" s="11">
        <v>3796</v>
      </c>
      <c r="G2137" s="11">
        <v>3809</v>
      </c>
      <c r="H2137" s="11">
        <v>7605</v>
      </c>
      <c r="I2137" s="11">
        <v>3580</v>
      </c>
      <c r="J2137" s="66">
        <f t="shared" si="130"/>
        <v>49.914529914529915</v>
      </c>
      <c r="K2137" s="66">
        <f t="shared" si="131"/>
        <v>50.085470085470085</v>
      </c>
    </row>
    <row r="2138" spans="1:11" ht="27.6" x14ac:dyDescent="0.3">
      <c r="A2138" s="10">
        <v>77</v>
      </c>
      <c r="B2138" s="10" t="s">
        <v>2419</v>
      </c>
      <c r="C2138" s="10" t="str" cm="1">
        <f t="array" ref="C2138">_xlfn.IFS(A2138&lt;20, "ภาคกลาง", A2138&lt;30, "ภาคตะวันออก", A2138&lt;50, "ภาคตะวันออกเฉียงเหนือ", A2138&lt;60, "ภาคเหนือ", A2138&lt;80, "ภาคกลาง/ตะวันตก", A2138&gt;=80, "ภาคใต้")</f>
        <v>ภาคกลาง/ตะวันตก</v>
      </c>
      <c r="D2138" s="64">
        <v>7789</v>
      </c>
      <c r="E2138" s="10" t="s">
        <v>2433</v>
      </c>
      <c r="F2138" s="11">
        <v>7882</v>
      </c>
      <c r="G2138" s="11">
        <v>8619</v>
      </c>
      <c r="H2138" s="11">
        <v>16501</v>
      </c>
      <c r="I2138" s="11">
        <v>9896</v>
      </c>
      <c r="J2138" s="66">
        <f t="shared" si="130"/>
        <v>47.766802011999268</v>
      </c>
      <c r="K2138" s="66">
        <f t="shared" si="131"/>
        <v>52.233197988000725</v>
      </c>
    </row>
    <row r="2139" spans="1:11" x14ac:dyDescent="0.3">
      <c r="A2139" s="10">
        <v>77</v>
      </c>
      <c r="B2139" s="10" t="s">
        <v>2419</v>
      </c>
      <c r="C2139" s="10" t="str" cm="1">
        <f t="array" ref="C2139">_xlfn.IFS(A2139&lt;20, "ภาคกลาง", A2139&lt;30, "ภาคตะวันออก", A2139&lt;50, "ภาคตะวันออกเฉียงเหนือ", A2139&lt;60, "ภาคเหนือ", A2139&lt;80, "ภาคกลาง/ตะวันตก", A2139&gt;=80, "ภาคใต้")</f>
        <v>ภาคกลาง/ตะวันตก</v>
      </c>
      <c r="D2139" s="64">
        <v>7790</v>
      </c>
      <c r="E2139" s="10" t="s">
        <v>2434</v>
      </c>
      <c r="F2139" s="11">
        <v>1459</v>
      </c>
      <c r="G2139" s="11">
        <v>1492</v>
      </c>
      <c r="H2139" s="11">
        <v>2951</v>
      </c>
      <c r="I2139" s="11">
        <v>1647</v>
      </c>
      <c r="J2139" s="66">
        <f t="shared" si="130"/>
        <v>49.440867502541515</v>
      </c>
      <c r="K2139" s="66">
        <f t="shared" si="131"/>
        <v>50.559132497458492</v>
      </c>
    </row>
    <row r="2140" spans="1:11" x14ac:dyDescent="0.3">
      <c r="A2140" s="10">
        <v>77</v>
      </c>
      <c r="B2140" s="10" t="s">
        <v>2419</v>
      </c>
      <c r="C2140" s="10" t="str" cm="1">
        <f t="array" ref="C2140">_xlfn.IFS(A2140&lt;20, "ภาคกลาง", A2140&lt;30, "ภาคตะวันออก", A2140&lt;50, "ภาคตะวันออกเฉียงเหนือ", A2140&lt;60, "ภาคเหนือ", A2140&lt;80, "ภาคกลาง/ตะวันตก", A2140&gt;=80, "ภาคใต้")</f>
        <v>ภาคกลาง/ตะวันตก</v>
      </c>
      <c r="D2140" s="64">
        <v>7791</v>
      </c>
      <c r="E2140" s="10" t="s">
        <v>2435</v>
      </c>
      <c r="F2140" s="11">
        <v>3798</v>
      </c>
      <c r="G2140" s="11">
        <v>3929</v>
      </c>
      <c r="H2140" s="11">
        <v>7727</v>
      </c>
      <c r="I2140" s="11">
        <v>3635</v>
      </c>
      <c r="J2140" s="66">
        <f t="shared" si="130"/>
        <v>49.152323023165522</v>
      </c>
      <c r="K2140" s="66">
        <f t="shared" si="131"/>
        <v>50.847676976834478</v>
      </c>
    </row>
    <row r="2141" spans="1:11" ht="27.6" x14ac:dyDescent="0.3">
      <c r="A2141" s="10">
        <v>77</v>
      </c>
      <c r="B2141" s="10" t="s">
        <v>2419</v>
      </c>
      <c r="C2141" s="10" t="str" cm="1">
        <f t="array" ref="C2141">_xlfn.IFS(A2141&lt;20, "ภาคกลาง", A2141&lt;30, "ภาคตะวันออก", A2141&lt;50, "ภาคตะวันออกเฉียงเหนือ", A2141&lt;60, "ภาคเหนือ", A2141&lt;80, "ภาคกลาง/ตะวันตก", A2141&gt;=80, "ภาคใต้")</f>
        <v>ภาคกลาง/ตะวันตก</v>
      </c>
      <c r="D2141" s="64">
        <v>7792</v>
      </c>
      <c r="E2141" s="10" t="s">
        <v>2436</v>
      </c>
      <c r="F2141" s="11">
        <v>1960</v>
      </c>
      <c r="G2141" s="11">
        <v>2153</v>
      </c>
      <c r="H2141" s="11">
        <v>4113</v>
      </c>
      <c r="I2141" s="11">
        <v>2463</v>
      </c>
      <c r="J2141" s="66">
        <f t="shared" si="130"/>
        <v>47.65378069535619</v>
      </c>
      <c r="K2141" s="66">
        <f t="shared" si="131"/>
        <v>52.346219304643817</v>
      </c>
    </row>
    <row r="2142" spans="1:11" ht="27.6" x14ac:dyDescent="0.3">
      <c r="A2142" s="10">
        <v>77</v>
      </c>
      <c r="B2142" s="10" t="s">
        <v>2419</v>
      </c>
      <c r="C2142" s="10" t="str" cm="1">
        <f t="array" ref="C2142">_xlfn.IFS(A2142&lt;20, "ภาคกลาง", A2142&lt;30, "ภาคตะวันออก", A2142&lt;50, "ภาคตะวันออกเฉียงเหนือ", A2142&lt;60, "ภาคเหนือ", A2142&lt;80, "ภาคกลาง/ตะวันตก", A2142&gt;=80, "ภาคใต้")</f>
        <v>ภาคกลาง/ตะวันตก</v>
      </c>
      <c r="D2142" s="64">
        <v>7793</v>
      </c>
      <c r="E2142" s="10" t="s">
        <v>2437</v>
      </c>
      <c r="F2142" s="11">
        <v>1233</v>
      </c>
      <c r="G2142" s="11">
        <v>1272</v>
      </c>
      <c r="H2142" s="11">
        <v>2505</v>
      </c>
      <c r="I2142" s="11">
        <v>1678</v>
      </c>
      <c r="J2142" s="66">
        <f t="shared" si="130"/>
        <v>49.221556886227546</v>
      </c>
      <c r="K2142" s="66">
        <f t="shared" si="131"/>
        <v>50.778443113772454</v>
      </c>
    </row>
    <row r="2143" spans="1:11" x14ac:dyDescent="0.3">
      <c r="A2143" s="10">
        <v>77</v>
      </c>
      <c r="B2143" s="10" t="s">
        <v>2419</v>
      </c>
      <c r="C2143" s="10" t="str" cm="1">
        <f t="array" ref="C2143">_xlfn.IFS(A2143&lt;20, "ภาคกลาง", A2143&lt;30, "ภาคตะวันออก", A2143&lt;50, "ภาคตะวันออกเฉียงเหนือ", A2143&lt;60, "ภาคเหนือ", A2143&lt;80, "ภาคกลาง/ตะวันตก", A2143&gt;=80, "ภาคใต้")</f>
        <v>ภาคกลาง/ตะวันตก</v>
      </c>
      <c r="D2143" s="64">
        <v>7794</v>
      </c>
      <c r="E2143" s="10" t="s">
        <v>2438</v>
      </c>
      <c r="F2143" s="11">
        <v>2903</v>
      </c>
      <c r="G2143" s="11">
        <v>3327</v>
      </c>
      <c r="H2143" s="11">
        <v>6230</v>
      </c>
      <c r="I2143" s="11">
        <v>3639</v>
      </c>
      <c r="J2143" s="66">
        <f t="shared" si="130"/>
        <v>46.597110754414125</v>
      </c>
      <c r="K2143" s="66">
        <f t="shared" si="131"/>
        <v>53.402889245585868</v>
      </c>
    </row>
    <row r="2144" spans="1:11" x14ac:dyDescent="0.3">
      <c r="A2144" s="10">
        <v>77</v>
      </c>
      <c r="B2144" s="10" t="s">
        <v>2419</v>
      </c>
      <c r="C2144" s="10" t="str" cm="1">
        <f t="array" ref="C2144">_xlfn.IFS(A2144&lt;20, "ภาคกลาง", A2144&lt;30, "ภาคตะวันออก", A2144&lt;50, "ภาคตะวันออกเฉียงเหนือ", A2144&lt;60, "ภาคเหนือ", A2144&lt;80, "ภาคกลาง/ตะวันตก", A2144&gt;=80, "ภาคใต้")</f>
        <v>ภาคกลาง/ตะวันตก</v>
      </c>
      <c r="D2144" s="64">
        <v>7795</v>
      </c>
      <c r="E2144" s="10" t="s">
        <v>2439</v>
      </c>
      <c r="F2144" s="11">
        <v>3634</v>
      </c>
      <c r="G2144" s="11">
        <v>3941</v>
      </c>
      <c r="H2144" s="11">
        <v>7575</v>
      </c>
      <c r="I2144" s="11">
        <v>3032</v>
      </c>
      <c r="J2144" s="66">
        <f t="shared" si="130"/>
        <v>47.973597359735976</v>
      </c>
      <c r="K2144" s="66">
        <f t="shared" si="131"/>
        <v>52.026402640264024</v>
      </c>
    </row>
    <row r="2145" spans="1:11" ht="27.6" x14ac:dyDescent="0.3">
      <c r="A2145" s="10">
        <v>77</v>
      </c>
      <c r="B2145" s="10" t="s">
        <v>2419</v>
      </c>
      <c r="C2145" s="10" t="str" cm="1">
        <f t="array" ref="C2145">_xlfn.IFS(A2145&lt;20, "ภาคกลาง", A2145&lt;30, "ภาคตะวันออก", A2145&lt;50, "ภาคตะวันออกเฉียงเหนือ", A2145&lt;60, "ภาคเหนือ", A2145&lt;80, "ภาคกลาง/ตะวันตก", A2145&gt;=80, "ภาคใต้")</f>
        <v>ภาคกลาง/ตะวันตก</v>
      </c>
      <c r="D2145" s="64">
        <v>7796</v>
      </c>
      <c r="E2145" s="10" t="s">
        <v>2440</v>
      </c>
      <c r="F2145" s="11">
        <v>4071</v>
      </c>
      <c r="G2145" s="11">
        <v>4408</v>
      </c>
      <c r="H2145" s="11">
        <v>8479</v>
      </c>
      <c r="I2145" s="11">
        <v>4434</v>
      </c>
      <c r="J2145" s="66">
        <f t="shared" si="130"/>
        <v>48.012737351102722</v>
      </c>
      <c r="K2145" s="66">
        <f t="shared" si="131"/>
        <v>51.987262648897278</v>
      </c>
    </row>
    <row r="2146" spans="1:11" x14ac:dyDescent="0.3">
      <c r="A2146" s="10">
        <v>77</v>
      </c>
      <c r="B2146" s="10" t="s">
        <v>2419</v>
      </c>
      <c r="C2146" s="10" t="str" cm="1">
        <f t="array" ref="C2146">_xlfn.IFS(A2146&lt;20, "ภาคกลาง", A2146&lt;30, "ภาคตะวันออก", A2146&lt;50, "ภาคตะวันออกเฉียงเหนือ", A2146&lt;60, "ภาคเหนือ", A2146&lt;80, "ภาคกลาง/ตะวันตก", A2146&gt;=80, "ภาคใต้")</f>
        <v>ภาคกลาง/ตะวันตก</v>
      </c>
      <c r="D2146" s="64">
        <v>7797</v>
      </c>
      <c r="E2146" s="10" t="s">
        <v>2441</v>
      </c>
      <c r="F2146" s="11">
        <v>2031</v>
      </c>
      <c r="G2146" s="11">
        <v>2180</v>
      </c>
      <c r="H2146" s="11">
        <v>4211</v>
      </c>
      <c r="I2146" s="11">
        <v>1918</v>
      </c>
      <c r="J2146" s="66">
        <f t="shared" si="130"/>
        <v>48.230824032296368</v>
      </c>
      <c r="K2146" s="66">
        <f t="shared" si="131"/>
        <v>51.769175967703632</v>
      </c>
    </row>
    <row r="2147" spans="1:11" x14ac:dyDescent="0.3">
      <c r="A2147" s="10">
        <v>77</v>
      </c>
      <c r="B2147" s="10" t="s">
        <v>2419</v>
      </c>
      <c r="C2147" s="10" t="str" cm="1">
        <f t="array" ref="C2147">_xlfn.IFS(A2147&lt;20, "ภาคกลาง", A2147&lt;30, "ภาคตะวันออก", A2147&lt;50, "ภาคตะวันออกเฉียงเหนือ", A2147&lt;60, "ภาคเหนือ", A2147&lt;80, "ภาคกลาง/ตะวันตก", A2147&gt;=80, "ภาคใต้")</f>
        <v>ภาคกลาง/ตะวันตก</v>
      </c>
      <c r="D2147" s="64">
        <v>7798</v>
      </c>
      <c r="E2147" s="10" t="s">
        <v>2442</v>
      </c>
      <c r="F2147" s="11">
        <v>1756</v>
      </c>
      <c r="G2147" s="11">
        <v>1854</v>
      </c>
      <c r="H2147" s="11">
        <v>3610</v>
      </c>
      <c r="I2147" s="11">
        <v>1469</v>
      </c>
      <c r="J2147" s="66">
        <f t="shared" si="130"/>
        <v>48.642659279778393</v>
      </c>
      <c r="K2147" s="66">
        <f t="shared" si="131"/>
        <v>51.357340720221615</v>
      </c>
    </row>
    <row r="2148" spans="1:11" ht="27.6" x14ac:dyDescent="0.3">
      <c r="A2148" s="10">
        <v>77</v>
      </c>
      <c r="B2148" s="10" t="s">
        <v>2419</v>
      </c>
      <c r="C2148" s="10" t="str" cm="1">
        <f t="array" ref="C2148">_xlfn.IFS(A2148&lt;20, "ภาคกลาง", A2148&lt;30, "ภาคตะวันออก", A2148&lt;50, "ภาคตะวันออกเฉียงเหนือ", A2148&lt;60, "ภาคเหนือ", A2148&lt;80, "ภาคกลาง/ตะวันตก", A2148&gt;=80, "ภาคใต้")</f>
        <v>ภาคกลาง/ตะวันตก</v>
      </c>
      <c r="D2148" s="64">
        <v>7799</v>
      </c>
      <c r="E2148" s="10" t="s">
        <v>2443</v>
      </c>
      <c r="F2148" s="11">
        <v>28609</v>
      </c>
      <c r="G2148" s="11">
        <v>32878</v>
      </c>
      <c r="H2148" s="11">
        <v>61487</v>
      </c>
      <c r="I2148" s="11">
        <v>59601</v>
      </c>
      <c r="J2148" s="66">
        <f t="shared" si="130"/>
        <v>46.528534486964723</v>
      </c>
      <c r="K2148" s="66">
        <f t="shared" si="131"/>
        <v>53.471465513035277</v>
      </c>
    </row>
    <row r="2149" spans="1:11" hidden="1" x14ac:dyDescent="0.3">
      <c r="A2149" s="10">
        <v>77</v>
      </c>
      <c r="B2149" s="10" t="s">
        <v>2419</v>
      </c>
      <c r="C2149" s="10" t="str" cm="1">
        <f t="array" ref="C2149">_xlfn.IFS(A2149&lt;20, "ภาคกลาง", A2149&lt;30, "ภาคตะวันออก", A2149&lt;50, "ภาคตะวันออกเฉียงเหนือ", A2149&lt;60, "ภาคเหนือ", A2149&lt;80, "ภาคกลาง/ตะวันตก", A2149&gt;=80, "ภาคใต้")</f>
        <v>ภาคกลาง/ตะวันตก</v>
      </c>
      <c r="D2149" s="10">
        <v>0</v>
      </c>
      <c r="E2149" s="10" t="s">
        <v>343</v>
      </c>
      <c r="F2149" s="11">
        <v>8048</v>
      </c>
      <c r="G2149" s="11">
        <v>9483</v>
      </c>
      <c r="H2149" s="11">
        <v>17531</v>
      </c>
      <c r="I2149" s="11">
        <v>11390</v>
      </c>
      <c r="J2149"/>
      <c r="K2149"/>
    </row>
    <row r="2150" spans="1:11" x14ac:dyDescent="0.3">
      <c r="A2150" s="10">
        <v>80</v>
      </c>
      <c r="B2150" s="10" t="s">
        <v>2444</v>
      </c>
      <c r="C2150" s="10" t="str" cm="1">
        <f t="array" ref="C2150">_xlfn.IFS(A2150&lt;20, "ภาคกลาง", A2150&lt;30, "ภาคตะวันออก", A2150&lt;50, "ภาคตะวันออกเฉียงเหนือ", A2150&lt;60, "ภาคเหนือ", A2150&lt;80, "ภาคกลาง/ตะวันตก", A2150&gt;=80, "ภาคใต้")</f>
        <v>ภาคใต้</v>
      </c>
      <c r="D2150" s="64">
        <v>8001</v>
      </c>
      <c r="E2150" s="10" t="s">
        <v>2445</v>
      </c>
      <c r="F2150" s="11">
        <v>757539</v>
      </c>
      <c r="G2150" s="11">
        <v>777114</v>
      </c>
      <c r="H2150" s="11">
        <v>1534653</v>
      </c>
      <c r="I2150" s="11">
        <v>616268</v>
      </c>
      <c r="J2150" s="66">
        <f t="shared" ref="J2150:J2202" si="132">F2150/H2150*100</f>
        <v>49.362233677580534</v>
      </c>
      <c r="K2150" s="66">
        <f t="shared" ref="K2150:K2202" si="133">G2150/H2150*100</f>
        <v>50.637766322419466</v>
      </c>
    </row>
    <row r="2151" spans="1:11" x14ac:dyDescent="0.3">
      <c r="A2151" s="10">
        <v>80</v>
      </c>
      <c r="B2151" s="10" t="s">
        <v>2444</v>
      </c>
      <c r="C2151" s="10" t="str" cm="1">
        <f t="array" ref="C2151">_xlfn.IFS(A2151&lt;20, "ภาคกลาง", A2151&lt;30, "ภาคตะวันออก", A2151&lt;50, "ภาคตะวันออกเฉียงเหนือ", A2151&lt;60, "ภาคเหนือ", A2151&lt;80, "ภาคกลาง/ตะวันตก", A2151&gt;=80, "ภาคใต้")</f>
        <v>ภาคใต้</v>
      </c>
      <c r="D2151" s="64">
        <v>8002</v>
      </c>
      <c r="E2151" s="10" t="s">
        <v>2446</v>
      </c>
      <c r="F2151" s="11">
        <v>79562</v>
      </c>
      <c r="G2151" s="11">
        <v>82345</v>
      </c>
      <c r="H2151" s="11">
        <v>161907</v>
      </c>
      <c r="I2151" s="11">
        <v>67890</v>
      </c>
      <c r="J2151" s="66">
        <f t="shared" si="132"/>
        <v>49.140555998196497</v>
      </c>
      <c r="K2151" s="66">
        <f t="shared" si="133"/>
        <v>50.859444001803503</v>
      </c>
    </row>
    <row r="2152" spans="1:11" x14ac:dyDescent="0.3">
      <c r="A2152" s="10">
        <v>80</v>
      </c>
      <c r="B2152" s="10" t="s">
        <v>2444</v>
      </c>
      <c r="C2152" s="10" t="str" cm="1">
        <f t="array" ref="C2152">_xlfn.IFS(A2152&lt;20, "ภาคกลาง", A2152&lt;30, "ภาคตะวันออก", A2152&lt;50, "ภาคตะวันออกเฉียงเหนือ", A2152&lt;60, "ภาคเหนือ", A2152&lt;80, "ภาคกลาง/ตะวันตก", A2152&gt;=80, "ภาคใต้")</f>
        <v>ภาคใต้</v>
      </c>
      <c r="D2152" s="64">
        <v>8003</v>
      </c>
      <c r="E2152" s="10" t="s">
        <v>2447</v>
      </c>
      <c r="F2152" s="11">
        <v>13425</v>
      </c>
      <c r="G2152" s="11">
        <v>13886</v>
      </c>
      <c r="H2152" s="11">
        <v>27311</v>
      </c>
      <c r="I2152" s="11">
        <v>9589</v>
      </c>
      <c r="J2152" s="66">
        <f t="shared" si="132"/>
        <v>49.156017721797078</v>
      </c>
      <c r="K2152" s="66">
        <f t="shared" si="133"/>
        <v>50.84398227820293</v>
      </c>
    </row>
    <row r="2153" spans="1:11" x14ac:dyDescent="0.3">
      <c r="A2153" s="10">
        <v>80</v>
      </c>
      <c r="B2153" s="10" t="s">
        <v>2444</v>
      </c>
      <c r="C2153" s="10" t="str" cm="1">
        <f t="array" ref="C2153">_xlfn.IFS(A2153&lt;20, "ภาคกลาง", A2153&lt;30, "ภาคตะวันออก", A2153&lt;50, "ภาคตะวันออกเฉียงเหนือ", A2153&lt;60, "ภาคเหนือ", A2153&lt;80, "ภาคกลาง/ตะวันตก", A2153&gt;=80, "ภาคใต้")</f>
        <v>ภาคใต้</v>
      </c>
      <c r="D2153" s="64">
        <v>8004</v>
      </c>
      <c r="E2153" s="10" t="s">
        <v>2448</v>
      </c>
      <c r="F2153" s="11">
        <v>19006</v>
      </c>
      <c r="G2153" s="11">
        <v>19954</v>
      </c>
      <c r="H2153" s="11">
        <v>38960</v>
      </c>
      <c r="I2153" s="11">
        <v>15293</v>
      </c>
      <c r="J2153" s="66">
        <f t="shared" si="132"/>
        <v>48.783367556468171</v>
      </c>
      <c r="K2153" s="66">
        <f t="shared" si="133"/>
        <v>51.216632443531829</v>
      </c>
    </row>
    <row r="2154" spans="1:11" x14ac:dyDescent="0.3">
      <c r="A2154" s="10">
        <v>80</v>
      </c>
      <c r="B2154" s="10" t="s">
        <v>2444</v>
      </c>
      <c r="C2154" s="10" t="str" cm="1">
        <f t="array" ref="C2154">_xlfn.IFS(A2154&lt;20, "ภาคกลาง", A2154&lt;30, "ภาคตะวันออก", A2154&lt;50, "ภาคตะวันออกเฉียงเหนือ", A2154&lt;60, "ภาคเหนือ", A2154&lt;80, "ภาคกลาง/ตะวันตก", A2154&gt;=80, "ภาคใต้")</f>
        <v>ภาคใต้</v>
      </c>
      <c r="D2154" s="64">
        <v>8005</v>
      </c>
      <c r="E2154" s="10" t="s">
        <v>2449</v>
      </c>
      <c r="F2154" s="11">
        <v>25571</v>
      </c>
      <c r="G2154" s="11">
        <v>26665</v>
      </c>
      <c r="H2154" s="11">
        <v>52236</v>
      </c>
      <c r="I2154" s="11">
        <v>19753</v>
      </c>
      <c r="J2154" s="66">
        <f t="shared" si="132"/>
        <v>48.952829466268469</v>
      </c>
      <c r="K2154" s="66">
        <f t="shared" si="133"/>
        <v>51.047170533731524</v>
      </c>
    </row>
    <row r="2155" spans="1:11" x14ac:dyDescent="0.3">
      <c r="A2155" s="10">
        <v>80</v>
      </c>
      <c r="B2155" s="10" t="s">
        <v>2444</v>
      </c>
      <c r="C2155" s="10" t="str" cm="1">
        <f t="array" ref="C2155">_xlfn.IFS(A2155&lt;20, "ภาคกลาง", A2155&lt;30, "ภาคตะวันออก", A2155&lt;50, "ภาคตะวันออกเฉียงเหนือ", A2155&lt;60, "ภาคเหนือ", A2155&lt;80, "ภาคกลาง/ตะวันตก", A2155&gt;=80, "ภาคใต้")</f>
        <v>ภาคใต้</v>
      </c>
      <c r="D2155" s="64">
        <v>8006</v>
      </c>
      <c r="E2155" s="10" t="s">
        <v>2450</v>
      </c>
      <c r="F2155" s="11">
        <v>8743</v>
      </c>
      <c r="G2155" s="11">
        <v>9103</v>
      </c>
      <c r="H2155" s="11">
        <v>17846</v>
      </c>
      <c r="I2155" s="11">
        <v>7525</v>
      </c>
      <c r="J2155" s="66">
        <f t="shared" si="132"/>
        <v>48.991370615263925</v>
      </c>
      <c r="K2155" s="66">
        <f t="shared" si="133"/>
        <v>51.008629384736068</v>
      </c>
    </row>
    <row r="2156" spans="1:11" x14ac:dyDescent="0.3">
      <c r="A2156" s="10">
        <v>80</v>
      </c>
      <c r="B2156" s="10" t="s">
        <v>2444</v>
      </c>
      <c r="C2156" s="10" t="str" cm="1">
        <f t="array" ref="C2156">_xlfn.IFS(A2156&lt;20, "ภาคกลาง", A2156&lt;30, "ภาคตะวันออก", A2156&lt;50, "ภาคตะวันออกเฉียงเหนือ", A2156&lt;60, "ภาคเหนือ", A2156&lt;80, "ภาคกลาง/ตะวันตก", A2156&gt;=80, "ภาคใต้")</f>
        <v>ภาคใต้</v>
      </c>
      <c r="D2156" s="64">
        <v>8007</v>
      </c>
      <c r="E2156" s="10" t="s">
        <v>2451</v>
      </c>
      <c r="F2156" s="11">
        <v>20028</v>
      </c>
      <c r="G2156" s="11">
        <v>19917</v>
      </c>
      <c r="H2156" s="11">
        <v>39945</v>
      </c>
      <c r="I2156" s="11">
        <v>15269</v>
      </c>
      <c r="J2156" s="66">
        <f t="shared" si="132"/>
        <v>50.138941043935418</v>
      </c>
      <c r="K2156" s="66">
        <f t="shared" si="133"/>
        <v>49.861058956064589</v>
      </c>
    </row>
    <row r="2157" spans="1:11" x14ac:dyDescent="0.3">
      <c r="A2157" s="10">
        <v>80</v>
      </c>
      <c r="B2157" s="10" t="s">
        <v>2444</v>
      </c>
      <c r="C2157" s="10" t="str" cm="1">
        <f t="array" ref="C2157">_xlfn.IFS(A2157&lt;20, "ภาคกลาง", A2157&lt;30, "ภาคตะวันออก", A2157&lt;50, "ภาคตะวันออกเฉียงเหนือ", A2157&lt;60, "ภาคเหนือ", A2157&lt;80, "ภาคกลาง/ตะวันตก", A2157&gt;=80, "ภาคใต้")</f>
        <v>ภาคใต้</v>
      </c>
      <c r="D2157" s="64">
        <v>8008</v>
      </c>
      <c r="E2157" s="10" t="s">
        <v>2452</v>
      </c>
      <c r="F2157" s="11">
        <v>40246</v>
      </c>
      <c r="G2157" s="11">
        <v>40897</v>
      </c>
      <c r="H2157" s="11">
        <v>81143</v>
      </c>
      <c r="I2157" s="11">
        <v>31051</v>
      </c>
      <c r="J2157" s="66">
        <f t="shared" si="132"/>
        <v>49.59885634004165</v>
      </c>
      <c r="K2157" s="66">
        <f t="shared" si="133"/>
        <v>50.40114365995835</v>
      </c>
    </row>
    <row r="2158" spans="1:11" x14ac:dyDescent="0.3">
      <c r="A2158" s="10">
        <v>80</v>
      </c>
      <c r="B2158" s="10" t="s">
        <v>2444</v>
      </c>
      <c r="C2158" s="10" t="str" cm="1">
        <f t="array" ref="C2158">_xlfn.IFS(A2158&lt;20, "ภาคกลาง", A2158&lt;30, "ภาคตะวันออก", A2158&lt;50, "ภาคตะวันออกเฉียงเหนือ", A2158&lt;60, "ภาคเหนือ", A2158&lt;80, "ภาคกลาง/ตะวันตก", A2158&gt;=80, "ภาคใต้")</f>
        <v>ภาคใต้</v>
      </c>
      <c r="D2158" s="64">
        <v>8009</v>
      </c>
      <c r="E2158" s="10" t="s">
        <v>2453</v>
      </c>
      <c r="F2158" s="11">
        <v>55911</v>
      </c>
      <c r="G2158" s="11">
        <v>57587</v>
      </c>
      <c r="H2158" s="11">
        <v>113498</v>
      </c>
      <c r="I2158" s="11">
        <v>38972</v>
      </c>
      <c r="J2158" s="66">
        <f t="shared" si="132"/>
        <v>49.261660998431687</v>
      </c>
      <c r="K2158" s="66">
        <f t="shared" si="133"/>
        <v>50.738339001568313</v>
      </c>
    </row>
    <row r="2159" spans="1:11" x14ac:dyDescent="0.3">
      <c r="A2159" s="10">
        <v>80</v>
      </c>
      <c r="B2159" s="10" t="s">
        <v>2444</v>
      </c>
      <c r="C2159" s="10" t="str" cm="1">
        <f t="array" ref="C2159">_xlfn.IFS(A2159&lt;20, "ภาคกลาง", A2159&lt;30, "ภาคตะวันออก", A2159&lt;50, "ภาคตะวันออกเฉียงเหนือ", A2159&lt;60, "ภาคเหนือ", A2159&lt;80, "ภาคกลาง/ตะวันตก", A2159&gt;=80, "ภาคใต้")</f>
        <v>ภาคใต้</v>
      </c>
      <c r="D2159" s="64">
        <v>8010</v>
      </c>
      <c r="E2159" s="10" t="s">
        <v>2454</v>
      </c>
      <c r="F2159" s="11">
        <v>58596</v>
      </c>
      <c r="G2159" s="11">
        <v>57458</v>
      </c>
      <c r="H2159" s="11">
        <v>116054</v>
      </c>
      <c r="I2159" s="11">
        <v>50742</v>
      </c>
      <c r="J2159" s="66">
        <f t="shared" si="132"/>
        <v>50.49028900339497</v>
      </c>
      <c r="K2159" s="66">
        <f t="shared" si="133"/>
        <v>49.50971099660503</v>
      </c>
    </row>
    <row r="2160" spans="1:11" x14ac:dyDescent="0.3">
      <c r="A2160" s="10">
        <v>80</v>
      </c>
      <c r="B2160" s="10" t="s">
        <v>2444</v>
      </c>
      <c r="C2160" s="10" t="str" cm="1">
        <f t="array" ref="C2160">_xlfn.IFS(A2160&lt;20, "ภาคกลาง", A2160&lt;30, "ภาคตะวันออก", A2160&lt;50, "ภาคตะวันออกเฉียงเหนือ", A2160&lt;60, "ภาคเหนือ", A2160&lt;80, "ภาคกลาง/ตะวันตก", A2160&gt;=80, "ภาคใต้")</f>
        <v>ภาคใต้</v>
      </c>
      <c r="D2160" s="64">
        <v>8011</v>
      </c>
      <c r="E2160" s="10" t="s">
        <v>2455</v>
      </c>
      <c r="F2160" s="11">
        <v>11863</v>
      </c>
      <c r="G2160" s="11">
        <v>12084</v>
      </c>
      <c r="H2160" s="11">
        <v>23947</v>
      </c>
      <c r="I2160" s="11">
        <v>8901</v>
      </c>
      <c r="J2160" s="66">
        <f t="shared" si="132"/>
        <v>49.538564329561112</v>
      </c>
      <c r="K2160" s="66">
        <f t="shared" si="133"/>
        <v>50.461435670438881</v>
      </c>
    </row>
    <row r="2161" spans="1:11" x14ac:dyDescent="0.3">
      <c r="A2161" s="10">
        <v>80</v>
      </c>
      <c r="B2161" s="10" t="s">
        <v>2444</v>
      </c>
      <c r="C2161" s="10" t="str" cm="1">
        <f t="array" ref="C2161">_xlfn.IFS(A2161&lt;20, "ภาคกลาง", A2161&lt;30, "ภาคตะวันออก", A2161&lt;50, "ภาคตะวันออกเฉียงเหนือ", A2161&lt;60, "ภาคเหนือ", A2161&lt;80, "ภาคกลาง/ตะวันตก", A2161&gt;=80, "ภาคใต้")</f>
        <v>ภาคใต้</v>
      </c>
      <c r="D2161" s="64">
        <v>8012</v>
      </c>
      <c r="E2161" s="10" t="s">
        <v>2456</v>
      </c>
      <c r="F2161" s="11">
        <v>34488</v>
      </c>
      <c r="G2161" s="11">
        <v>34694</v>
      </c>
      <c r="H2161" s="11">
        <v>69182</v>
      </c>
      <c r="I2161" s="11">
        <v>25093</v>
      </c>
      <c r="J2161" s="66">
        <f t="shared" si="132"/>
        <v>49.851117342661389</v>
      </c>
      <c r="K2161" s="66">
        <f t="shared" si="133"/>
        <v>50.148882657338611</v>
      </c>
    </row>
    <row r="2162" spans="1:11" x14ac:dyDescent="0.3">
      <c r="A2162" s="10">
        <v>80</v>
      </c>
      <c r="B2162" s="10" t="s">
        <v>2444</v>
      </c>
      <c r="C2162" s="10" t="str" cm="1">
        <f t="array" ref="C2162">_xlfn.IFS(A2162&lt;20, "ภาคกลาง", A2162&lt;30, "ภาคตะวันออก", A2162&lt;50, "ภาคตะวันออกเฉียงเหนือ", A2162&lt;60, "ภาคเหนือ", A2162&lt;80, "ภาคกลาง/ตะวันตก", A2162&gt;=80, "ภาคใต้")</f>
        <v>ภาคใต้</v>
      </c>
      <c r="D2162" s="64">
        <v>8013</v>
      </c>
      <c r="E2162" s="10" t="s">
        <v>2457</v>
      </c>
      <c r="F2162" s="11">
        <v>38592</v>
      </c>
      <c r="G2162" s="11">
        <v>38076</v>
      </c>
      <c r="H2162" s="11">
        <v>76668</v>
      </c>
      <c r="I2162" s="11">
        <v>27499</v>
      </c>
      <c r="J2162" s="66">
        <f t="shared" si="132"/>
        <v>50.336515886680232</v>
      </c>
      <c r="K2162" s="66">
        <f t="shared" si="133"/>
        <v>49.663484113319768</v>
      </c>
    </row>
    <row r="2163" spans="1:11" x14ac:dyDescent="0.3">
      <c r="A2163" s="10">
        <v>80</v>
      </c>
      <c r="B2163" s="10" t="s">
        <v>2444</v>
      </c>
      <c r="C2163" s="10" t="str" cm="1">
        <f t="array" ref="C2163">_xlfn.IFS(A2163&lt;20, "ภาคกลาง", A2163&lt;30, "ภาคตะวันออก", A2163&lt;50, "ภาคตะวันออกเฉียงเหนือ", A2163&lt;60, "ภาคเหนือ", A2163&lt;80, "ภาคกลาง/ตะวันตก", A2163&gt;=80, "ภาคใต้")</f>
        <v>ภาคใต้</v>
      </c>
      <c r="D2163" s="64">
        <v>8014</v>
      </c>
      <c r="E2163" s="10" t="s">
        <v>2458</v>
      </c>
      <c r="F2163" s="11">
        <v>30501</v>
      </c>
      <c r="G2163" s="11">
        <v>30702</v>
      </c>
      <c r="H2163" s="11">
        <v>61203</v>
      </c>
      <c r="I2163" s="11">
        <v>21226</v>
      </c>
      <c r="J2163" s="66">
        <f t="shared" si="132"/>
        <v>49.835792363119459</v>
      </c>
      <c r="K2163" s="66">
        <f t="shared" si="133"/>
        <v>50.164207636880541</v>
      </c>
    </row>
    <row r="2164" spans="1:11" x14ac:dyDescent="0.3">
      <c r="A2164" s="10">
        <v>80</v>
      </c>
      <c r="B2164" s="10" t="s">
        <v>2444</v>
      </c>
      <c r="C2164" s="10" t="str" cm="1">
        <f t="array" ref="C2164">_xlfn.IFS(A2164&lt;20, "ภาคกลาง", A2164&lt;30, "ภาคตะวันออก", A2164&lt;50, "ภาคตะวันออกเฉียงเหนือ", A2164&lt;60, "ภาคเหนือ", A2164&lt;80, "ภาคกลาง/ตะวันตก", A2164&gt;=80, "ภาคใต้")</f>
        <v>ภาคใต้</v>
      </c>
      <c r="D2164" s="64">
        <v>8015</v>
      </c>
      <c r="E2164" s="10" t="s">
        <v>2459</v>
      </c>
      <c r="F2164" s="11">
        <v>40428</v>
      </c>
      <c r="G2164" s="11">
        <v>41182</v>
      </c>
      <c r="H2164" s="11">
        <v>81610</v>
      </c>
      <c r="I2164" s="11">
        <v>30774</v>
      </c>
      <c r="J2164" s="66">
        <f t="shared" si="132"/>
        <v>49.538046807989218</v>
      </c>
      <c r="K2164" s="66">
        <f t="shared" si="133"/>
        <v>50.461953192010775</v>
      </c>
    </row>
    <row r="2165" spans="1:11" x14ac:dyDescent="0.3">
      <c r="A2165" s="10">
        <v>80</v>
      </c>
      <c r="B2165" s="10" t="s">
        <v>2444</v>
      </c>
      <c r="C2165" s="10" t="str" cm="1">
        <f t="array" ref="C2165">_xlfn.IFS(A2165&lt;20, "ภาคกลาง", A2165&lt;30, "ภาคตะวันออก", A2165&lt;50, "ภาคตะวันออกเฉียงเหนือ", A2165&lt;60, "ภาคเหนือ", A2165&lt;80, "ภาคกลาง/ตะวันตก", A2165&gt;=80, "ภาคใต้")</f>
        <v>ภาคใต้</v>
      </c>
      <c r="D2165" s="64">
        <v>8016</v>
      </c>
      <c r="E2165" s="10" t="s">
        <v>2460</v>
      </c>
      <c r="F2165" s="11">
        <v>10160</v>
      </c>
      <c r="G2165" s="11">
        <v>10556</v>
      </c>
      <c r="H2165" s="11">
        <v>20716</v>
      </c>
      <c r="I2165" s="11">
        <v>10275</v>
      </c>
      <c r="J2165" s="66">
        <f t="shared" si="132"/>
        <v>49.044217030314734</v>
      </c>
      <c r="K2165" s="66">
        <f t="shared" si="133"/>
        <v>50.955782969685274</v>
      </c>
    </row>
    <row r="2166" spans="1:11" x14ac:dyDescent="0.3">
      <c r="A2166" s="10">
        <v>80</v>
      </c>
      <c r="B2166" s="10" t="s">
        <v>2444</v>
      </c>
      <c r="C2166" s="10" t="str" cm="1">
        <f t="array" ref="C2166">_xlfn.IFS(A2166&lt;20, "ภาคกลาง", A2166&lt;30, "ภาคตะวันออก", A2166&lt;50, "ภาคตะวันออกเฉียงเหนือ", A2166&lt;60, "ภาคเหนือ", A2166&lt;80, "ภาคกลาง/ตะวันตก", A2166&gt;=80, "ภาคใต้")</f>
        <v>ภาคใต้</v>
      </c>
      <c r="D2166" s="64">
        <v>8017</v>
      </c>
      <c r="E2166" s="10" t="s">
        <v>2461</v>
      </c>
      <c r="F2166" s="11">
        <v>21524</v>
      </c>
      <c r="G2166" s="11">
        <v>21753</v>
      </c>
      <c r="H2166" s="11">
        <v>43277</v>
      </c>
      <c r="I2166" s="11">
        <v>18583</v>
      </c>
      <c r="J2166" s="66">
        <f t="shared" si="132"/>
        <v>49.735425283637966</v>
      </c>
      <c r="K2166" s="66">
        <f t="shared" si="133"/>
        <v>50.264574716362041</v>
      </c>
    </row>
    <row r="2167" spans="1:11" x14ac:dyDescent="0.3">
      <c r="A2167" s="10">
        <v>80</v>
      </c>
      <c r="B2167" s="10" t="s">
        <v>2444</v>
      </c>
      <c r="C2167" s="10" t="str" cm="1">
        <f t="array" ref="C2167">_xlfn.IFS(A2167&lt;20, "ภาคกลาง", A2167&lt;30, "ภาคตะวันออก", A2167&lt;50, "ภาคตะวันออกเฉียงเหนือ", A2167&lt;60, "ภาคเหนือ", A2167&lt;80, "ภาคกลาง/ตะวันตก", A2167&gt;=80, "ภาคใต้")</f>
        <v>ภาคใต้</v>
      </c>
      <c r="D2167" s="64">
        <v>8018</v>
      </c>
      <c r="E2167" s="10" t="s">
        <v>2462</v>
      </c>
      <c r="F2167" s="11">
        <v>23939</v>
      </c>
      <c r="G2167" s="11">
        <v>23284</v>
      </c>
      <c r="H2167" s="11">
        <v>47223</v>
      </c>
      <c r="I2167" s="11">
        <v>17409</v>
      </c>
      <c r="J2167" s="66">
        <f t="shared" si="132"/>
        <v>50.693517989115477</v>
      </c>
      <c r="K2167" s="66">
        <f t="shared" si="133"/>
        <v>49.30648201088453</v>
      </c>
    </row>
    <row r="2168" spans="1:11" x14ac:dyDescent="0.3">
      <c r="A2168" s="10">
        <v>80</v>
      </c>
      <c r="B2168" s="10" t="s">
        <v>2444</v>
      </c>
      <c r="C2168" s="10" t="str" cm="1">
        <f t="array" ref="C2168">_xlfn.IFS(A2168&lt;20, "ภาคกลาง", A2168&lt;30, "ภาคตะวันออก", A2168&lt;50, "ภาคตะวันออกเฉียงเหนือ", A2168&lt;60, "ภาคเหนือ", A2168&lt;80, "ภาคกลาง/ตะวันตก", A2168&gt;=80, "ภาคใต้")</f>
        <v>ภาคใต้</v>
      </c>
      <c r="D2168" s="64">
        <v>8019</v>
      </c>
      <c r="E2168" s="10" t="s">
        <v>2463</v>
      </c>
      <c r="F2168" s="11">
        <v>9540</v>
      </c>
      <c r="G2168" s="11">
        <v>9505</v>
      </c>
      <c r="H2168" s="11">
        <v>19045</v>
      </c>
      <c r="I2168" s="11">
        <v>7663</v>
      </c>
      <c r="J2168" s="66">
        <f t="shared" si="132"/>
        <v>50.091887634549749</v>
      </c>
      <c r="K2168" s="66">
        <f t="shared" si="133"/>
        <v>49.908112365450243</v>
      </c>
    </row>
    <row r="2169" spans="1:11" x14ac:dyDescent="0.3">
      <c r="A2169" s="10">
        <v>80</v>
      </c>
      <c r="B2169" s="10" t="s">
        <v>2444</v>
      </c>
      <c r="C2169" s="10" t="str" cm="1">
        <f t="array" ref="C2169">_xlfn.IFS(A2169&lt;20, "ภาคกลาง", A2169&lt;30, "ภาคตะวันออก", A2169&lt;50, "ภาคตะวันออกเฉียงเหนือ", A2169&lt;60, "ภาคเหนือ", A2169&lt;80, "ภาคกลาง/ตะวันตก", A2169&gt;=80, "ภาคใต้")</f>
        <v>ภาคใต้</v>
      </c>
      <c r="D2169" s="64">
        <v>8020</v>
      </c>
      <c r="E2169" s="10" t="s">
        <v>2464</v>
      </c>
      <c r="F2169" s="11">
        <v>15434</v>
      </c>
      <c r="G2169" s="11">
        <v>15870</v>
      </c>
      <c r="H2169" s="11">
        <v>31304</v>
      </c>
      <c r="I2169" s="11">
        <v>11289</v>
      </c>
      <c r="J2169" s="66">
        <f t="shared" si="132"/>
        <v>49.303603373370812</v>
      </c>
      <c r="K2169" s="66">
        <f t="shared" si="133"/>
        <v>50.696396626629181</v>
      </c>
    </row>
    <row r="2170" spans="1:11" x14ac:dyDescent="0.3">
      <c r="A2170" s="10">
        <v>80</v>
      </c>
      <c r="B2170" s="10" t="s">
        <v>2444</v>
      </c>
      <c r="C2170" s="10" t="str" cm="1">
        <f t="array" ref="C2170">_xlfn.IFS(A2170&lt;20, "ภาคกลาง", A2170&lt;30, "ภาคตะวันออก", A2170&lt;50, "ภาคตะวันออกเฉียงเหนือ", A2170&lt;60, "ภาคเหนือ", A2170&lt;80, "ภาคกลาง/ตะวันตก", A2170&gt;=80, "ภาคใต้")</f>
        <v>ภาคใต้</v>
      </c>
      <c r="D2170" s="64">
        <v>8021</v>
      </c>
      <c r="E2170" s="10" t="s">
        <v>2465</v>
      </c>
      <c r="F2170" s="11">
        <v>21995</v>
      </c>
      <c r="G2170" s="11">
        <v>22672</v>
      </c>
      <c r="H2170" s="11">
        <v>44667</v>
      </c>
      <c r="I2170" s="11">
        <v>17455</v>
      </c>
      <c r="J2170" s="66">
        <f t="shared" si="132"/>
        <v>49.242169834553472</v>
      </c>
      <c r="K2170" s="66">
        <f t="shared" si="133"/>
        <v>50.757830165446528</v>
      </c>
    </row>
    <row r="2171" spans="1:11" x14ac:dyDescent="0.3">
      <c r="A2171" s="10">
        <v>80</v>
      </c>
      <c r="B2171" s="10" t="s">
        <v>2444</v>
      </c>
      <c r="C2171" s="10" t="str" cm="1">
        <f t="array" ref="C2171">_xlfn.IFS(A2171&lt;20, "ภาคกลาง", A2171&lt;30, "ภาคตะวันออก", A2171&lt;50, "ภาคตะวันออกเฉียงเหนือ", A2171&lt;60, "ภาคเหนือ", A2171&lt;80, "ภาคกลาง/ตะวันตก", A2171&gt;=80, "ภาคใต้")</f>
        <v>ภาคใต้</v>
      </c>
      <c r="D2171" s="64">
        <v>8022</v>
      </c>
      <c r="E2171" s="10" t="s">
        <v>2466</v>
      </c>
      <c r="F2171" s="11">
        <v>17066</v>
      </c>
      <c r="G2171" s="11">
        <v>16910</v>
      </c>
      <c r="H2171" s="11">
        <v>33976</v>
      </c>
      <c r="I2171" s="11">
        <v>12795</v>
      </c>
      <c r="J2171" s="66">
        <f t="shared" si="132"/>
        <v>50.229573816811865</v>
      </c>
      <c r="K2171" s="66">
        <f t="shared" si="133"/>
        <v>49.770426183188135</v>
      </c>
    </row>
    <row r="2172" spans="1:11" x14ac:dyDescent="0.3">
      <c r="A2172" s="10">
        <v>80</v>
      </c>
      <c r="B2172" s="10" t="s">
        <v>2444</v>
      </c>
      <c r="C2172" s="10" t="str" cm="1">
        <f t="array" ref="C2172">_xlfn.IFS(A2172&lt;20, "ภาคกลาง", A2172&lt;30, "ภาคตะวันออก", A2172&lt;50, "ภาคตะวันออกเฉียงเหนือ", A2172&lt;60, "ภาคเหนือ", A2172&lt;80, "ภาคกลาง/ตะวันตก", A2172&gt;=80, "ภาคใต้")</f>
        <v>ภาคใต้</v>
      </c>
      <c r="D2172" s="64">
        <v>8023</v>
      </c>
      <c r="E2172" s="10" t="s">
        <v>621</v>
      </c>
      <c r="F2172" s="11">
        <v>13638</v>
      </c>
      <c r="G2172" s="11">
        <v>14176</v>
      </c>
      <c r="H2172" s="11">
        <v>27814</v>
      </c>
      <c r="I2172" s="11">
        <v>11314</v>
      </c>
      <c r="J2172" s="66">
        <f t="shared" si="132"/>
        <v>49.032861149061624</v>
      </c>
      <c r="K2172" s="66">
        <f t="shared" si="133"/>
        <v>50.967138850938376</v>
      </c>
    </row>
    <row r="2173" spans="1:11" x14ac:dyDescent="0.3">
      <c r="A2173" s="10">
        <v>80</v>
      </c>
      <c r="B2173" s="10" t="s">
        <v>2444</v>
      </c>
      <c r="C2173" s="10" t="str" cm="1">
        <f t="array" ref="C2173">_xlfn.IFS(A2173&lt;20, "ภาคกลาง", A2173&lt;30, "ภาคตะวันออก", A2173&lt;50, "ภาคตะวันออกเฉียงเหนือ", A2173&lt;60, "ภาคเหนือ", A2173&lt;80, "ภาคกลาง/ตะวันตก", A2173&gt;=80, "ภาคใต้")</f>
        <v>ภาคใต้</v>
      </c>
      <c r="D2173" s="64">
        <v>8070</v>
      </c>
      <c r="E2173" s="10" t="s">
        <v>2467</v>
      </c>
      <c r="F2173" s="11">
        <v>10880</v>
      </c>
      <c r="G2173" s="11">
        <v>11000</v>
      </c>
      <c r="H2173" s="11">
        <v>21880</v>
      </c>
      <c r="I2173" s="11">
        <v>8275</v>
      </c>
      <c r="J2173" s="66">
        <f t="shared" si="132"/>
        <v>49.725776965265084</v>
      </c>
      <c r="K2173" s="66">
        <f t="shared" si="133"/>
        <v>50.274223034734923</v>
      </c>
    </row>
    <row r="2174" spans="1:11" x14ac:dyDescent="0.3">
      <c r="A2174" s="10">
        <v>80</v>
      </c>
      <c r="B2174" s="10" t="s">
        <v>2444</v>
      </c>
      <c r="C2174" s="10" t="str" cm="1">
        <f t="array" ref="C2174">_xlfn.IFS(A2174&lt;20, "ภาคกลาง", A2174&lt;30, "ภาคตะวันออก", A2174&lt;50, "ภาคตะวันออกเฉียงเหนือ", A2174&lt;60, "ภาคเหนือ", A2174&lt;80, "ภาคกลาง/ตะวันตก", A2174&gt;=80, "ภาคใต้")</f>
        <v>ภาคใต้</v>
      </c>
      <c r="D2174" s="64">
        <v>8071</v>
      </c>
      <c r="E2174" s="10" t="s">
        <v>2346</v>
      </c>
      <c r="F2174" s="11">
        <v>4027</v>
      </c>
      <c r="G2174" s="11">
        <v>3971</v>
      </c>
      <c r="H2174" s="11">
        <v>7998</v>
      </c>
      <c r="I2174" s="11">
        <v>3014</v>
      </c>
      <c r="J2174" s="66">
        <f t="shared" si="132"/>
        <v>50.350087521880468</v>
      </c>
      <c r="K2174" s="66">
        <f t="shared" si="133"/>
        <v>49.649912478119532</v>
      </c>
    </row>
    <row r="2175" spans="1:11" ht="27.6" x14ac:dyDescent="0.3">
      <c r="A2175" s="10">
        <v>80</v>
      </c>
      <c r="B2175" s="10" t="s">
        <v>2444</v>
      </c>
      <c r="C2175" s="10" t="str" cm="1">
        <f t="array" ref="C2175">_xlfn.IFS(A2175&lt;20, "ภาคกลาง", A2175&lt;30, "ภาคตะวันออก", A2175&lt;50, "ภาคตะวันออกเฉียงเหนือ", A2175&lt;60, "ภาคเหนือ", A2175&lt;80, "ภาคกลาง/ตะวันตก", A2175&gt;=80, "ภาคใต้")</f>
        <v>ภาคใต้</v>
      </c>
      <c r="D2175" s="64">
        <v>8072</v>
      </c>
      <c r="E2175" s="10" t="s">
        <v>2468</v>
      </c>
      <c r="F2175" s="11">
        <v>4042</v>
      </c>
      <c r="G2175" s="11">
        <v>4070</v>
      </c>
      <c r="H2175" s="11">
        <v>8112</v>
      </c>
      <c r="I2175" s="11">
        <v>3433</v>
      </c>
      <c r="J2175" s="66">
        <f t="shared" si="132"/>
        <v>49.827416173570022</v>
      </c>
      <c r="K2175" s="66">
        <f t="shared" si="133"/>
        <v>50.172583826429985</v>
      </c>
    </row>
    <row r="2176" spans="1:11" x14ac:dyDescent="0.3">
      <c r="A2176" s="10">
        <v>80</v>
      </c>
      <c r="B2176" s="10" t="s">
        <v>2444</v>
      </c>
      <c r="C2176" s="10" t="str" cm="1">
        <f t="array" ref="C2176">_xlfn.IFS(A2176&lt;20, "ภาคกลาง", A2176&lt;30, "ภาคตะวันออก", A2176&lt;50, "ภาคตะวันออกเฉียงเหนือ", A2176&lt;60, "ภาคเหนือ", A2176&lt;80, "ภาคกลาง/ตะวันตก", A2176&gt;=80, "ภาคใต้")</f>
        <v>ภาคใต้</v>
      </c>
      <c r="D2176" s="64">
        <v>8073</v>
      </c>
      <c r="E2176" s="10" t="s">
        <v>2469</v>
      </c>
      <c r="F2176" s="11">
        <v>3399</v>
      </c>
      <c r="G2176" s="11">
        <v>3349</v>
      </c>
      <c r="H2176" s="11">
        <v>6748</v>
      </c>
      <c r="I2176" s="11">
        <v>2257</v>
      </c>
      <c r="J2176" s="66">
        <f t="shared" si="132"/>
        <v>50.37048014226437</v>
      </c>
      <c r="K2176" s="66">
        <f t="shared" si="133"/>
        <v>49.62951985773563</v>
      </c>
    </row>
    <row r="2177" spans="1:11" x14ac:dyDescent="0.3">
      <c r="A2177" s="10">
        <v>80</v>
      </c>
      <c r="B2177" s="10" t="s">
        <v>2444</v>
      </c>
      <c r="C2177" s="10" t="str" cm="1">
        <f t="array" ref="C2177">_xlfn.IFS(A2177&lt;20, "ภาคกลาง", A2177&lt;30, "ภาคตะวันออก", A2177&lt;50, "ภาคตะวันออกเฉียงเหนือ", A2177&lt;60, "ภาคเหนือ", A2177&lt;80, "ภาคกลาง/ตะวันตก", A2177&gt;=80, "ภาคใต้")</f>
        <v>ภาคใต้</v>
      </c>
      <c r="D2177" s="64">
        <v>8074</v>
      </c>
      <c r="E2177" s="10" t="s">
        <v>2470</v>
      </c>
      <c r="F2177" s="11">
        <v>4527</v>
      </c>
      <c r="G2177" s="11">
        <v>4281</v>
      </c>
      <c r="H2177" s="11">
        <v>8808</v>
      </c>
      <c r="I2177" s="11">
        <v>3001</v>
      </c>
      <c r="J2177" s="66">
        <f t="shared" si="132"/>
        <v>51.396457765667577</v>
      </c>
      <c r="K2177" s="66">
        <f t="shared" si="133"/>
        <v>48.603542234332423</v>
      </c>
    </row>
    <row r="2178" spans="1:11" ht="27.6" x14ac:dyDescent="0.3">
      <c r="A2178" s="10">
        <v>80</v>
      </c>
      <c r="B2178" s="10" t="s">
        <v>2444</v>
      </c>
      <c r="C2178" s="10" t="str" cm="1">
        <f t="array" ref="C2178">_xlfn.IFS(A2178&lt;20, "ภาคกลาง", A2178&lt;30, "ภาคตะวันออก", A2178&lt;50, "ภาคตะวันออกเฉียงเหนือ", A2178&lt;60, "ภาคเหนือ", A2178&lt;80, "ภาคกลาง/ตะวันตก", A2178&gt;=80, "ภาคใต้")</f>
        <v>ภาคใต้</v>
      </c>
      <c r="D2178" s="64">
        <v>8075</v>
      </c>
      <c r="E2178" s="10" t="s">
        <v>2471</v>
      </c>
      <c r="F2178" s="11">
        <v>7270</v>
      </c>
      <c r="G2178" s="11">
        <v>7337</v>
      </c>
      <c r="H2178" s="11">
        <v>14607</v>
      </c>
      <c r="I2178" s="11">
        <v>6818</v>
      </c>
      <c r="J2178" s="66">
        <f t="shared" si="132"/>
        <v>49.770657903744784</v>
      </c>
      <c r="K2178" s="66">
        <f t="shared" si="133"/>
        <v>50.229342096255223</v>
      </c>
    </row>
    <row r="2179" spans="1:11" x14ac:dyDescent="0.3">
      <c r="A2179" s="10">
        <v>80</v>
      </c>
      <c r="B2179" s="10" t="s">
        <v>2444</v>
      </c>
      <c r="C2179" s="10" t="str" cm="1">
        <f t="array" ref="C2179">_xlfn.IFS(A2179&lt;20, "ภาคกลาง", A2179&lt;30, "ภาคตะวันออก", A2179&lt;50, "ภาคตะวันออกเฉียงเหนือ", A2179&lt;60, "ภาคเหนือ", A2179&lt;80, "ภาคกลาง/ตะวันตก", A2179&gt;=80, "ภาคใต้")</f>
        <v>ภาคใต้</v>
      </c>
      <c r="D2179" s="64">
        <v>8076</v>
      </c>
      <c r="E2179" s="10" t="s">
        <v>2472</v>
      </c>
      <c r="F2179" s="11">
        <v>2853</v>
      </c>
      <c r="G2179" s="11">
        <v>2867</v>
      </c>
      <c r="H2179" s="11">
        <v>5720</v>
      </c>
      <c r="I2179" s="11">
        <v>3428</v>
      </c>
      <c r="J2179" s="66">
        <f t="shared" si="132"/>
        <v>49.87762237762238</v>
      </c>
      <c r="K2179" s="66">
        <f t="shared" si="133"/>
        <v>50.12237762237762</v>
      </c>
    </row>
    <row r="2180" spans="1:11" x14ac:dyDescent="0.3">
      <c r="A2180" s="10">
        <v>80</v>
      </c>
      <c r="B2180" s="10" t="s">
        <v>2444</v>
      </c>
      <c r="C2180" s="10" t="str" cm="1">
        <f t="array" ref="C2180">_xlfn.IFS(A2180&lt;20, "ภาคกลาง", A2180&lt;30, "ภาคตะวันออก", A2180&lt;50, "ภาคตะวันออกเฉียงเหนือ", A2180&lt;60, "ภาคเหนือ", A2180&lt;80, "ภาคกลาง/ตะวันตก", A2180&gt;=80, "ภาคใต้")</f>
        <v>ภาคใต้</v>
      </c>
      <c r="D2180" s="64">
        <v>8077</v>
      </c>
      <c r="E2180" s="10" t="s">
        <v>2473</v>
      </c>
      <c r="F2180" s="11">
        <v>1883</v>
      </c>
      <c r="G2180" s="11">
        <v>2081</v>
      </c>
      <c r="H2180" s="11">
        <v>3964</v>
      </c>
      <c r="I2180" s="11">
        <v>1928</v>
      </c>
      <c r="J2180" s="66">
        <f t="shared" si="132"/>
        <v>47.50252270433905</v>
      </c>
      <c r="K2180" s="66">
        <f t="shared" si="133"/>
        <v>52.497477295660943</v>
      </c>
    </row>
    <row r="2181" spans="1:11" x14ac:dyDescent="0.3">
      <c r="A2181" s="10">
        <v>80</v>
      </c>
      <c r="B2181" s="10" t="s">
        <v>2444</v>
      </c>
      <c r="C2181" s="10" t="str" cm="1">
        <f t="array" ref="C2181">_xlfn.IFS(A2181&lt;20, "ภาคกลาง", A2181&lt;30, "ภาคตะวันออก", A2181&lt;50, "ภาคตะวันออกเฉียงเหนือ", A2181&lt;60, "ภาคเหนือ", A2181&lt;80, "ภาคกลาง/ตะวันตก", A2181&gt;=80, "ภาคใต้")</f>
        <v>ภาคใต้</v>
      </c>
      <c r="D2181" s="64">
        <v>8078</v>
      </c>
      <c r="E2181" s="10" t="s">
        <v>2474</v>
      </c>
      <c r="F2181" s="11">
        <v>2163</v>
      </c>
      <c r="G2181" s="11">
        <v>2204</v>
      </c>
      <c r="H2181" s="11">
        <v>4367</v>
      </c>
      <c r="I2181" s="11">
        <v>2540</v>
      </c>
      <c r="J2181" s="66">
        <f t="shared" si="132"/>
        <v>49.530570185482027</v>
      </c>
      <c r="K2181" s="66">
        <f t="shared" si="133"/>
        <v>50.469429814517973</v>
      </c>
    </row>
    <row r="2182" spans="1:11" x14ac:dyDescent="0.3">
      <c r="A2182" s="10">
        <v>80</v>
      </c>
      <c r="B2182" s="10" t="s">
        <v>2444</v>
      </c>
      <c r="C2182" s="10" t="str" cm="1">
        <f t="array" ref="C2182">_xlfn.IFS(A2182&lt;20, "ภาคกลาง", A2182&lt;30, "ภาคตะวันออก", A2182&lt;50, "ภาคตะวันออกเฉียงเหนือ", A2182&lt;60, "ภาคเหนือ", A2182&lt;80, "ภาคกลาง/ตะวันตก", A2182&gt;=80, "ภาคใต้")</f>
        <v>ภาคใต้</v>
      </c>
      <c r="D2182" s="64">
        <v>8079</v>
      </c>
      <c r="E2182" s="10" t="s">
        <v>2475</v>
      </c>
      <c r="F2182" s="11">
        <v>3261</v>
      </c>
      <c r="G2182" s="11">
        <v>3538</v>
      </c>
      <c r="H2182" s="11">
        <v>6799</v>
      </c>
      <c r="I2182" s="11">
        <v>4205</v>
      </c>
      <c r="J2182" s="66">
        <f t="shared" si="132"/>
        <v>47.962935725842037</v>
      </c>
      <c r="K2182" s="66">
        <f t="shared" si="133"/>
        <v>52.037064274157963</v>
      </c>
    </row>
    <row r="2183" spans="1:11" ht="27.6" x14ac:dyDescent="0.3">
      <c r="A2183" s="10">
        <v>80</v>
      </c>
      <c r="B2183" s="10" t="s">
        <v>2444</v>
      </c>
      <c r="C2183" s="10" t="str" cm="1">
        <f t="array" ref="C2183">_xlfn.IFS(A2183&lt;20, "ภาคกลาง", A2183&lt;30, "ภาคตะวันออก", A2183&lt;50, "ภาคตะวันออกเฉียงเหนือ", A2183&lt;60, "ภาคเหนือ", A2183&lt;80, "ภาคกลาง/ตะวันตก", A2183&gt;=80, "ภาคใต้")</f>
        <v>ภาคใต้</v>
      </c>
      <c r="D2183" s="64">
        <v>8080</v>
      </c>
      <c r="E2183" s="10" t="s">
        <v>2476</v>
      </c>
      <c r="F2183" s="11">
        <v>4252</v>
      </c>
      <c r="G2183" s="11">
        <v>4215</v>
      </c>
      <c r="H2183" s="11">
        <v>8467</v>
      </c>
      <c r="I2183" s="11">
        <v>2924</v>
      </c>
      <c r="J2183" s="66">
        <f t="shared" si="132"/>
        <v>50.218495334829342</v>
      </c>
      <c r="K2183" s="66">
        <f t="shared" si="133"/>
        <v>49.781504665170658</v>
      </c>
    </row>
    <row r="2184" spans="1:11" ht="27.6" x14ac:dyDescent="0.3">
      <c r="A2184" s="10">
        <v>80</v>
      </c>
      <c r="B2184" s="10" t="s">
        <v>2444</v>
      </c>
      <c r="C2184" s="10" t="str" cm="1">
        <f t="array" ref="C2184">_xlfn.IFS(A2184&lt;20, "ภาคกลาง", A2184&lt;30, "ภาคตะวันออก", A2184&lt;50, "ภาคตะวันออกเฉียงเหนือ", A2184&lt;60, "ภาคเหนือ", A2184&lt;80, "ภาคกลาง/ตะวันตก", A2184&gt;=80, "ภาคใต้")</f>
        <v>ภาคใต้</v>
      </c>
      <c r="D2184" s="64">
        <v>8081</v>
      </c>
      <c r="E2184" s="10" t="s">
        <v>2477</v>
      </c>
      <c r="F2184" s="11">
        <v>3599</v>
      </c>
      <c r="G2184" s="11">
        <v>3938</v>
      </c>
      <c r="H2184" s="11">
        <v>7537</v>
      </c>
      <c r="I2184" s="11">
        <v>3468</v>
      </c>
      <c r="J2184" s="66">
        <f t="shared" si="132"/>
        <v>47.751094599973463</v>
      </c>
      <c r="K2184" s="66">
        <f t="shared" si="133"/>
        <v>52.248905400026537</v>
      </c>
    </row>
    <row r="2185" spans="1:11" x14ac:dyDescent="0.3">
      <c r="A2185" s="10">
        <v>80</v>
      </c>
      <c r="B2185" s="10" t="s">
        <v>2444</v>
      </c>
      <c r="C2185" s="10" t="str" cm="1">
        <f t="array" ref="C2185">_xlfn.IFS(A2185&lt;20, "ภาคกลาง", A2185&lt;30, "ภาคตะวันออก", A2185&lt;50, "ภาคตะวันออกเฉียงเหนือ", A2185&lt;60, "ภาคเหนือ", A2185&lt;80, "ภาคกลาง/ตะวันตก", A2185&gt;=80, "ภาคใต้")</f>
        <v>ภาคใต้</v>
      </c>
      <c r="D2185" s="64">
        <v>8082</v>
      </c>
      <c r="E2185" s="10" t="s">
        <v>2412</v>
      </c>
      <c r="F2185" s="11">
        <v>2085</v>
      </c>
      <c r="G2185" s="11">
        <v>2218</v>
      </c>
      <c r="H2185" s="11">
        <v>4303</v>
      </c>
      <c r="I2185" s="11">
        <v>1399</v>
      </c>
      <c r="J2185" s="66">
        <f t="shared" si="132"/>
        <v>48.454566581454799</v>
      </c>
      <c r="K2185" s="66">
        <f t="shared" si="133"/>
        <v>51.545433418545208</v>
      </c>
    </row>
    <row r="2186" spans="1:11" x14ac:dyDescent="0.3">
      <c r="A2186" s="10">
        <v>80</v>
      </c>
      <c r="B2186" s="10" t="s">
        <v>2444</v>
      </c>
      <c r="C2186" s="10" t="str" cm="1">
        <f t="array" ref="C2186">_xlfn.IFS(A2186&lt;20, "ภาคกลาง", A2186&lt;30, "ภาคตะวันออก", A2186&lt;50, "ภาคตะวันออกเฉียงเหนือ", A2186&lt;60, "ภาคเหนือ", A2186&lt;80, "ภาคกลาง/ตะวันตก", A2186&gt;=80, "ภาคใต้")</f>
        <v>ภาคใต้</v>
      </c>
      <c r="D2186" s="64">
        <v>8083</v>
      </c>
      <c r="E2186" s="10" t="s">
        <v>2478</v>
      </c>
      <c r="F2186" s="11">
        <v>2418</v>
      </c>
      <c r="G2186" s="11">
        <v>2600</v>
      </c>
      <c r="H2186" s="11">
        <v>5018</v>
      </c>
      <c r="I2186" s="11">
        <v>3140</v>
      </c>
      <c r="J2186" s="66">
        <f t="shared" si="132"/>
        <v>48.186528497409327</v>
      </c>
      <c r="K2186" s="66">
        <f t="shared" si="133"/>
        <v>51.813471502590666</v>
      </c>
    </row>
    <row r="2187" spans="1:11" x14ac:dyDescent="0.3">
      <c r="A2187" s="10">
        <v>80</v>
      </c>
      <c r="B2187" s="10" t="s">
        <v>2444</v>
      </c>
      <c r="C2187" s="10" t="str" cm="1">
        <f t="array" ref="C2187">_xlfn.IFS(A2187&lt;20, "ภาคกลาง", A2187&lt;30, "ภาคตะวันออก", A2187&lt;50, "ภาคตะวันออกเฉียงเหนือ", A2187&lt;60, "ภาคเหนือ", A2187&lt;80, "ภาคกลาง/ตะวันตก", A2187&gt;=80, "ภาคใต้")</f>
        <v>ภาคใต้</v>
      </c>
      <c r="D2187" s="64">
        <v>8084</v>
      </c>
      <c r="E2187" s="10" t="s">
        <v>553</v>
      </c>
      <c r="F2187" s="11">
        <v>1023</v>
      </c>
      <c r="G2187" s="11">
        <v>1086</v>
      </c>
      <c r="H2187" s="11">
        <v>2109</v>
      </c>
      <c r="I2187" s="11">
        <v>1167</v>
      </c>
      <c r="J2187" s="66">
        <f t="shared" si="132"/>
        <v>48.506401137980085</v>
      </c>
      <c r="K2187" s="66">
        <f t="shared" si="133"/>
        <v>51.493598862019915</v>
      </c>
    </row>
    <row r="2188" spans="1:11" x14ac:dyDescent="0.3">
      <c r="A2188" s="10">
        <v>80</v>
      </c>
      <c r="B2188" s="10" t="s">
        <v>2444</v>
      </c>
      <c r="C2188" s="10" t="str" cm="1">
        <f t="array" ref="C2188">_xlfn.IFS(A2188&lt;20, "ภาคกลาง", A2188&lt;30, "ภาคตะวันออก", A2188&lt;50, "ภาคตะวันออกเฉียงเหนือ", A2188&lt;60, "ภาคเหนือ", A2188&lt;80, "ภาคกลาง/ตะวันตก", A2188&gt;=80, "ภาคใต้")</f>
        <v>ภาคใต้</v>
      </c>
      <c r="D2188" s="64">
        <v>8085</v>
      </c>
      <c r="E2188" s="10" t="s">
        <v>2479</v>
      </c>
      <c r="F2188" s="11">
        <v>1305</v>
      </c>
      <c r="G2188" s="11">
        <v>1466</v>
      </c>
      <c r="H2188" s="11">
        <v>2771</v>
      </c>
      <c r="I2188" s="11">
        <v>1838</v>
      </c>
      <c r="J2188" s="66">
        <f t="shared" si="132"/>
        <v>47.09491158426561</v>
      </c>
      <c r="K2188" s="66">
        <f t="shared" si="133"/>
        <v>52.90508841573439</v>
      </c>
    </row>
    <row r="2189" spans="1:11" ht="27.6" x14ac:dyDescent="0.3">
      <c r="A2189" s="10">
        <v>80</v>
      </c>
      <c r="B2189" s="10" t="s">
        <v>2444</v>
      </c>
      <c r="C2189" s="10" t="str" cm="1">
        <f t="array" ref="C2189">_xlfn.IFS(A2189&lt;20, "ภาคกลาง", A2189&lt;30, "ภาคตะวันออก", A2189&lt;50, "ภาคตะวันออกเฉียงเหนือ", A2189&lt;60, "ภาคเหนือ", A2189&lt;80, "ภาคกลาง/ตะวันตก", A2189&gt;=80, "ภาคใต้")</f>
        <v>ภาคใต้</v>
      </c>
      <c r="D2189" s="64">
        <v>8086</v>
      </c>
      <c r="E2189" s="10" t="s">
        <v>2480</v>
      </c>
      <c r="F2189" s="11">
        <v>1557</v>
      </c>
      <c r="G2189" s="11">
        <v>1829</v>
      </c>
      <c r="H2189" s="11">
        <v>3386</v>
      </c>
      <c r="I2189" s="11">
        <v>1687</v>
      </c>
      <c r="J2189" s="66">
        <f t="shared" si="132"/>
        <v>45.983461311281751</v>
      </c>
      <c r="K2189" s="66">
        <f t="shared" si="133"/>
        <v>54.016538688718249</v>
      </c>
    </row>
    <row r="2190" spans="1:11" x14ac:dyDescent="0.3">
      <c r="A2190" s="10">
        <v>80</v>
      </c>
      <c r="B2190" s="10" t="s">
        <v>2444</v>
      </c>
      <c r="C2190" s="10" t="str" cm="1">
        <f t="array" ref="C2190">_xlfn.IFS(A2190&lt;20, "ภาคกลาง", A2190&lt;30, "ภาคตะวันออก", A2190&lt;50, "ภาคตะวันออกเฉียงเหนือ", A2190&lt;60, "ภาคเหนือ", A2190&lt;80, "ภาคกลาง/ตะวันตก", A2190&gt;=80, "ภาคใต้")</f>
        <v>ภาคใต้</v>
      </c>
      <c r="D2190" s="64">
        <v>8087</v>
      </c>
      <c r="E2190" s="10" t="s">
        <v>2481</v>
      </c>
      <c r="F2190" s="10">
        <v>782</v>
      </c>
      <c r="G2190" s="10">
        <v>831</v>
      </c>
      <c r="H2190" s="11">
        <v>1613</v>
      </c>
      <c r="I2190" s="10">
        <v>802</v>
      </c>
      <c r="J2190" s="66">
        <f t="shared" si="132"/>
        <v>48.48109113453193</v>
      </c>
      <c r="K2190" s="66">
        <f t="shared" si="133"/>
        <v>51.51890886546807</v>
      </c>
    </row>
    <row r="2191" spans="1:11" x14ac:dyDescent="0.3">
      <c r="A2191" s="10">
        <v>80</v>
      </c>
      <c r="B2191" s="10" t="s">
        <v>2444</v>
      </c>
      <c r="C2191" s="10" t="str" cm="1">
        <f t="array" ref="C2191">_xlfn.IFS(A2191&lt;20, "ภาคกลาง", A2191&lt;30, "ภาคตะวันออก", A2191&lt;50, "ภาคตะวันออกเฉียงเหนือ", A2191&lt;60, "ภาคเหนือ", A2191&lt;80, "ภาคกลาง/ตะวันตก", A2191&gt;=80, "ภาคใต้")</f>
        <v>ภาคใต้</v>
      </c>
      <c r="D2191" s="64">
        <v>8088</v>
      </c>
      <c r="E2191" s="10" t="s">
        <v>2482</v>
      </c>
      <c r="F2191" s="11">
        <v>1300</v>
      </c>
      <c r="G2191" s="11">
        <v>1396</v>
      </c>
      <c r="H2191" s="11">
        <v>2696</v>
      </c>
      <c r="I2191" s="11">
        <v>1158</v>
      </c>
      <c r="J2191" s="66">
        <f t="shared" si="132"/>
        <v>48.219584569732937</v>
      </c>
      <c r="K2191" s="66">
        <f t="shared" si="133"/>
        <v>51.780415430267055</v>
      </c>
    </row>
    <row r="2192" spans="1:11" x14ac:dyDescent="0.3">
      <c r="A2192" s="10">
        <v>80</v>
      </c>
      <c r="B2192" s="10" t="s">
        <v>2444</v>
      </c>
      <c r="C2192" s="10" t="str" cm="1">
        <f t="array" ref="C2192">_xlfn.IFS(A2192&lt;20, "ภาคกลาง", A2192&lt;30, "ภาคตะวันออก", A2192&lt;50, "ภาคตะวันออกเฉียงเหนือ", A2192&lt;60, "ภาคเหนือ", A2192&lt;80, "ภาคกลาง/ตะวันตก", A2192&gt;=80, "ภาคใต้")</f>
        <v>ภาคใต้</v>
      </c>
      <c r="D2192" s="64">
        <v>8089</v>
      </c>
      <c r="E2192" s="10" t="s">
        <v>2483</v>
      </c>
      <c r="F2192" s="11">
        <v>1126</v>
      </c>
      <c r="G2192" s="11">
        <v>1171</v>
      </c>
      <c r="H2192" s="11">
        <v>2297</v>
      </c>
      <c r="I2192" s="11">
        <v>1273</v>
      </c>
      <c r="J2192" s="66">
        <f t="shared" si="132"/>
        <v>49.020461471484545</v>
      </c>
      <c r="K2192" s="66">
        <f t="shared" si="133"/>
        <v>50.979538528515455</v>
      </c>
    </row>
    <row r="2193" spans="1:11" x14ac:dyDescent="0.3">
      <c r="A2193" s="10">
        <v>80</v>
      </c>
      <c r="B2193" s="10" t="s">
        <v>2444</v>
      </c>
      <c r="C2193" s="10" t="str" cm="1">
        <f t="array" ref="C2193">_xlfn.IFS(A2193&lt;20, "ภาคกลาง", A2193&lt;30, "ภาคตะวันออก", A2193&lt;50, "ภาคตะวันออกเฉียงเหนือ", A2193&lt;60, "ภาคเหนือ", A2193&lt;80, "ภาคกลาง/ตะวันตก", A2193&gt;=80, "ภาคใต้")</f>
        <v>ภาคใต้</v>
      </c>
      <c r="D2193" s="64">
        <v>8090</v>
      </c>
      <c r="E2193" s="10" t="s">
        <v>2484</v>
      </c>
      <c r="F2193" s="11">
        <v>1183</v>
      </c>
      <c r="G2193" s="11">
        <v>1216</v>
      </c>
      <c r="H2193" s="11">
        <v>2399</v>
      </c>
      <c r="I2193" s="11">
        <v>1313</v>
      </c>
      <c r="J2193" s="66">
        <f t="shared" si="132"/>
        <v>49.312213422259276</v>
      </c>
      <c r="K2193" s="66">
        <f t="shared" si="133"/>
        <v>50.687786577740724</v>
      </c>
    </row>
    <row r="2194" spans="1:11" x14ac:dyDescent="0.3">
      <c r="A2194" s="10">
        <v>80</v>
      </c>
      <c r="B2194" s="10" t="s">
        <v>2444</v>
      </c>
      <c r="C2194" s="10" t="str" cm="1">
        <f t="array" ref="C2194">_xlfn.IFS(A2194&lt;20, "ภาคกลาง", A2194&lt;30, "ภาคตะวันออก", A2194&lt;50, "ภาคตะวันออกเฉียงเหนือ", A2194&lt;60, "ภาคเหนือ", A2194&lt;80, "ภาคกลาง/ตะวันตก", A2194&gt;=80, "ภาคใต้")</f>
        <v>ภาคใต้</v>
      </c>
      <c r="D2194" s="64">
        <v>8091</v>
      </c>
      <c r="E2194" s="10" t="s">
        <v>2485</v>
      </c>
      <c r="F2194" s="11">
        <v>3442</v>
      </c>
      <c r="G2194" s="11">
        <v>3832</v>
      </c>
      <c r="H2194" s="11">
        <v>7274</v>
      </c>
      <c r="I2194" s="11">
        <v>4043</v>
      </c>
      <c r="J2194" s="66">
        <f t="shared" si="132"/>
        <v>47.319219136651085</v>
      </c>
      <c r="K2194" s="66">
        <f t="shared" si="133"/>
        <v>52.680780863348922</v>
      </c>
    </row>
    <row r="2195" spans="1:11" ht="27.6" x14ac:dyDescent="0.3">
      <c r="A2195" s="10">
        <v>80</v>
      </c>
      <c r="B2195" s="10" t="s">
        <v>2444</v>
      </c>
      <c r="C2195" s="10" t="str" cm="1">
        <f t="array" ref="C2195">_xlfn.IFS(A2195&lt;20, "ภาคกลาง", A2195&lt;30, "ภาคตะวันออก", A2195&lt;50, "ภาคตะวันออกเฉียงเหนือ", A2195&lt;60, "ภาคเหนือ", A2195&lt;80, "ภาคกลาง/ตะวันตก", A2195&gt;=80, "ภาคใต้")</f>
        <v>ภาคใต้</v>
      </c>
      <c r="D2195" s="64">
        <v>8092</v>
      </c>
      <c r="E2195" s="10" t="s">
        <v>2486</v>
      </c>
      <c r="F2195" s="10">
        <v>866</v>
      </c>
      <c r="G2195" s="10">
        <v>956</v>
      </c>
      <c r="H2195" s="11">
        <v>1822</v>
      </c>
      <c r="I2195" s="11">
        <v>1051</v>
      </c>
      <c r="J2195" s="66">
        <f t="shared" si="132"/>
        <v>47.530186608122946</v>
      </c>
      <c r="K2195" s="66">
        <f t="shared" si="133"/>
        <v>52.469813391877061</v>
      </c>
    </row>
    <row r="2196" spans="1:11" ht="27.6" x14ac:dyDescent="0.3">
      <c r="A2196" s="10">
        <v>80</v>
      </c>
      <c r="B2196" s="10" t="s">
        <v>2444</v>
      </c>
      <c r="C2196" s="10" t="str" cm="1">
        <f t="array" ref="C2196">_xlfn.IFS(A2196&lt;20, "ภาคกลาง", A2196&lt;30, "ภาคตะวันออก", A2196&lt;50, "ภาคตะวันออกเฉียงเหนือ", A2196&lt;60, "ภาคเหนือ", A2196&lt;80, "ภาคกลาง/ตะวันตก", A2196&gt;=80, "ภาคใต้")</f>
        <v>ภาคใต้</v>
      </c>
      <c r="D2196" s="64">
        <v>8093</v>
      </c>
      <c r="E2196" s="10" t="s">
        <v>2487</v>
      </c>
      <c r="F2196" s="11">
        <v>3264</v>
      </c>
      <c r="G2196" s="11">
        <v>3404</v>
      </c>
      <c r="H2196" s="11">
        <v>6668</v>
      </c>
      <c r="I2196" s="11">
        <v>2856</v>
      </c>
      <c r="J2196" s="66">
        <f t="shared" si="132"/>
        <v>48.950209958008401</v>
      </c>
      <c r="K2196" s="66">
        <f t="shared" si="133"/>
        <v>51.049790041991606</v>
      </c>
    </row>
    <row r="2197" spans="1:11" x14ac:dyDescent="0.3">
      <c r="A2197" s="10">
        <v>80</v>
      </c>
      <c r="B2197" s="10" t="s">
        <v>2444</v>
      </c>
      <c r="C2197" s="10" t="str" cm="1">
        <f t="array" ref="C2197">_xlfn.IFS(A2197&lt;20, "ภาคกลาง", A2197&lt;30, "ภาคตะวันออก", A2197&lt;50, "ภาคตะวันออกเฉียงเหนือ", A2197&lt;60, "ภาคเหนือ", A2197&lt;80, "ภาคกลาง/ตะวันตก", A2197&gt;=80, "ภาคใต้")</f>
        <v>ภาคใต้</v>
      </c>
      <c r="D2197" s="64">
        <v>8094</v>
      </c>
      <c r="E2197" s="10" t="s">
        <v>2488</v>
      </c>
      <c r="F2197" s="11">
        <v>1699</v>
      </c>
      <c r="G2197" s="11">
        <v>1729</v>
      </c>
      <c r="H2197" s="11">
        <v>3428</v>
      </c>
      <c r="I2197" s="11">
        <v>1172</v>
      </c>
      <c r="J2197" s="66">
        <f t="shared" si="132"/>
        <v>49.562427071178526</v>
      </c>
      <c r="K2197" s="66">
        <f t="shared" si="133"/>
        <v>50.437572928821474</v>
      </c>
    </row>
    <row r="2198" spans="1:11" x14ac:dyDescent="0.3">
      <c r="A2198" s="10">
        <v>80</v>
      </c>
      <c r="B2198" s="10" t="s">
        <v>2444</v>
      </c>
      <c r="C2198" s="10" t="str" cm="1">
        <f t="array" ref="C2198">_xlfn.IFS(A2198&lt;20, "ภาคกลาง", A2198&lt;30, "ภาคตะวันออก", A2198&lt;50, "ภาคตะวันออกเฉียงเหนือ", A2198&lt;60, "ภาคเหนือ", A2198&lt;80, "ภาคกลาง/ตะวันตก", A2198&gt;=80, "ภาคใต้")</f>
        <v>ภาคใต้</v>
      </c>
      <c r="D2198" s="64">
        <v>8095</v>
      </c>
      <c r="E2198" s="10" t="s">
        <v>2489</v>
      </c>
      <c r="F2198" s="11">
        <v>3112</v>
      </c>
      <c r="G2198" s="11">
        <v>3030</v>
      </c>
      <c r="H2198" s="11">
        <v>6142</v>
      </c>
      <c r="I2198" s="11">
        <v>2112</v>
      </c>
      <c r="J2198" s="66">
        <f t="shared" si="132"/>
        <v>50.6675350048844</v>
      </c>
      <c r="K2198" s="66">
        <f t="shared" si="133"/>
        <v>49.3324649951156</v>
      </c>
    </row>
    <row r="2199" spans="1:11" x14ac:dyDescent="0.3">
      <c r="A2199" s="10">
        <v>80</v>
      </c>
      <c r="B2199" s="10" t="s">
        <v>2444</v>
      </c>
      <c r="C2199" s="10" t="str" cm="1">
        <f t="array" ref="C2199">_xlfn.IFS(A2199&lt;20, "ภาคกลาง", A2199&lt;30, "ภาคตะวันออก", A2199&lt;50, "ภาคตะวันออกเฉียงเหนือ", A2199&lt;60, "ภาคเหนือ", A2199&lt;80, "ภาคกลาง/ตะวันตก", A2199&gt;=80, "ภาคใต้")</f>
        <v>ภาคใต้</v>
      </c>
      <c r="D2199" s="64">
        <v>8096</v>
      </c>
      <c r="E2199" s="10" t="s">
        <v>2490</v>
      </c>
      <c r="F2199" s="10">
        <v>886</v>
      </c>
      <c r="G2199" s="10">
        <v>936</v>
      </c>
      <c r="H2199" s="11">
        <v>1822</v>
      </c>
      <c r="I2199" s="10">
        <v>702</v>
      </c>
      <c r="J2199" s="66">
        <f t="shared" si="132"/>
        <v>48.62788144895719</v>
      </c>
      <c r="K2199" s="66">
        <f t="shared" si="133"/>
        <v>51.37211855104281</v>
      </c>
    </row>
    <row r="2200" spans="1:11" x14ac:dyDescent="0.3">
      <c r="A2200" s="10">
        <v>80</v>
      </c>
      <c r="B2200" s="10" t="s">
        <v>2444</v>
      </c>
      <c r="C2200" s="10" t="str" cm="1">
        <f t="array" ref="C2200">_xlfn.IFS(A2200&lt;20, "ภาคกลาง", A2200&lt;30, "ภาคตะวันออก", A2200&lt;50, "ภาคตะวันออกเฉียงเหนือ", A2200&lt;60, "ภาคเหนือ", A2200&lt;80, "ภาคกลาง/ตะวันตก", A2200&gt;=80, "ภาคใต้")</f>
        <v>ภาคใต้</v>
      </c>
      <c r="D2200" s="64">
        <v>8097</v>
      </c>
      <c r="E2200" s="10" t="s">
        <v>2491</v>
      </c>
      <c r="F2200" s="11">
        <v>1826</v>
      </c>
      <c r="G2200" s="11">
        <v>1868</v>
      </c>
      <c r="H2200" s="11">
        <v>3694</v>
      </c>
      <c r="I2200" s="11">
        <v>1291</v>
      </c>
      <c r="J2200" s="66">
        <f t="shared" si="132"/>
        <v>49.43151055766107</v>
      </c>
      <c r="K2200" s="66">
        <f t="shared" si="133"/>
        <v>50.56848944233893</v>
      </c>
    </row>
    <row r="2201" spans="1:11" x14ac:dyDescent="0.3">
      <c r="A2201" s="10">
        <v>80</v>
      </c>
      <c r="B2201" s="10" t="s">
        <v>2444</v>
      </c>
      <c r="C2201" s="10" t="str" cm="1">
        <f t="array" ref="C2201">_xlfn.IFS(A2201&lt;20, "ภาคกลาง", A2201&lt;30, "ภาคตะวันออก", A2201&lt;50, "ภาคตะวันออกเฉียงเหนือ", A2201&lt;60, "ภาคเหนือ", A2201&lt;80, "ภาคกลาง/ตะวันตก", A2201&gt;=80, "ภาคใต้")</f>
        <v>ภาคใต้</v>
      </c>
      <c r="D2201" s="64">
        <v>8098</v>
      </c>
      <c r="E2201" s="10" t="s">
        <v>2492</v>
      </c>
      <c r="F2201" s="11">
        <v>13248</v>
      </c>
      <c r="G2201" s="11">
        <v>15629</v>
      </c>
      <c r="H2201" s="11">
        <v>28877</v>
      </c>
      <c r="I2201" s="11">
        <v>11809</v>
      </c>
      <c r="J2201" s="66">
        <f t="shared" si="132"/>
        <v>45.877341829137372</v>
      </c>
      <c r="K2201" s="66">
        <f t="shared" si="133"/>
        <v>54.122658170862628</v>
      </c>
    </row>
    <row r="2202" spans="1:11" ht="27.6" x14ac:dyDescent="0.3">
      <c r="A2202" s="10">
        <v>80</v>
      </c>
      <c r="B2202" s="10" t="s">
        <v>2444</v>
      </c>
      <c r="C2202" s="10" t="str" cm="1">
        <f t="array" ref="C2202">_xlfn.IFS(A2202&lt;20, "ภาคกลาง", A2202&lt;30, "ภาคตะวันออก", A2202&lt;50, "ภาคตะวันออกเฉียงเหนือ", A2202&lt;60, "ภาคเหนือ", A2202&lt;80, "ภาคกลาง/ตะวันตก", A2202&gt;=80, "ภาคใต้")</f>
        <v>ภาคใต้</v>
      </c>
      <c r="D2202" s="64">
        <v>8099</v>
      </c>
      <c r="E2202" s="10" t="s">
        <v>2493</v>
      </c>
      <c r="F2202" s="11">
        <v>9111</v>
      </c>
      <c r="G2202" s="11">
        <v>9353</v>
      </c>
      <c r="H2202" s="11">
        <v>18464</v>
      </c>
      <c r="I2202" s="11">
        <v>8254</v>
      </c>
      <c r="J2202" s="66">
        <f t="shared" si="132"/>
        <v>49.344670710571926</v>
      </c>
      <c r="K2202" s="66">
        <f t="shared" si="133"/>
        <v>50.655329289428074</v>
      </c>
    </row>
    <row r="2203" spans="1:11" hidden="1" x14ac:dyDescent="0.3">
      <c r="A2203" s="10">
        <v>80</v>
      </c>
      <c r="B2203" s="10" t="s">
        <v>2444</v>
      </c>
      <c r="C2203" s="10" t="str" cm="1">
        <f t="array" ref="C2203">_xlfn.IFS(A2203&lt;20, "ภาคกลาง", A2203&lt;30, "ภาคตะวันออก", A2203&lt;50, "ภาคตะวันออกเฉียงเหนือ", A2203&lt;60, "ภาคเหนือ", A2203&lt;80, "ภาคกลาง/ตะวันตก", A2203&gt;=80, "ภาคใต้")</f>
        <v>ภาคใต้</v>
      </c>
      <c r="D2203" s="10">
        <v>0</v>
      </c>
      <c r="E2203" s="10" t="s">
        <v>343</v>
      </c>
      <c r="F2203" s="11">
        <v>44894</v>
      </c>
      <c r="G2203" s="11">
        <v>50437</v>
      </c>
      <c r="H2203" s="11">
        <v>95331</v>
      </c>
      <c r="I2203" s="11">
        <v>47550</v>
      </c>
      <c r="J2203"/>
      <c r="K2203"/>
    </row>
    <row r="2204" spans="1:11" x14ac:dyDescent="0.3">
      <c r="A2204" s="10">
        <v>81</v>
      </c>
      <c r="B2204" s="10" t="s">
        <v>2494</v>
      </c>
      <c r="C2204" s="10" t="str" cm="1">
        <f t="array" ref="C2204">_xlfn.IFS(A2204&lt;20, "ภาคกลาง", A2204&lt;30, "ภาคตะวันออก", A2204&lt;50, "ภาคตะวันออกเฉียงเหนือ", A2204&lt;60, "ภาคเหนือ", A2204&lt;80, "ภาคกลาง/ตะวันตก", A2204&gt;=80, "ภาคใต้")</f>
        <v>ภาคใต้</v>
      </c>
      <c r="D2204" s="64">
        <v>8101</v>
      </c>
      <c r="E2204" s="10" t="s">
        <v>2495</v>
      </c>
      <c r="F2204" s="11">
        <v>240313</v>
      </c>
      <c r="G2204" s="11">
        <v>243542</v>
      </c>
      <c r="H2204" s="11">
        <v>483855</v>
      </c>
      <c r="I2204" s="11">
        <v>208232</v>
      </c>
      <c r="J2204" s="66">
        <f t="shared" ref="J2204:J2222" si="134">F2204/H2204*100</f>
        <v>49.666325655413296</v>
      </c>
      <c r="K2204" s="66">
        <f t="shared" ref="K2204:K2222" si="135">G2204/H2204*100</f>
        <v>50.333674344586711</v>
      </c>
    </row>
    <row r="2205" spans="1:11" x14ac:dyDescent="0.3">
      <c r="A2205" s="10">
        <v>81</v>
      </c>
      <c r="B2205" s="10" t="s">
        <v>2494</v>
      </c>
      <c r="C2205" s="10" t="str" cm="1">
        <f t="array" ref="C2205">_xlfn.IFS(A2205&lt;20, "ภาคกลาง", A2205&lt;30, "ภาคตะวันออก", A2205&lt;50, "ภาคตะวันออกเฉียงเหนือ", A2205&lt;60, "ภาคเหนือ", A2205&lt;80, "ภาคกลาง/ตะวันตก", A2205&gt;=80, "ภาคใต้")</f>
        <v>ภาคใต้</v>
      </c>
      <c r="D2205" s="64">
        <v>8102</v>
      </c>
      <c r="E2205" s="10" t="s">
        <v>2496</v>
      </c>
      <c r="F2205" s="11">
        <v>37954</v>
      </c>
      <c r="G2205" s="11">
        <v>38721</v>
      </c>
      <c r="H2205" s="11">
        <v>76675</v>
      </c>
      <c r="I2205" s="11">
        <v>42038</v>
      </c>
      <c r="J2205" s="66">
        <f t="shared" si="134"/>
        <v>49.49983697424193</v>
      </c>
      <c r="K2205" s="66">
        <f t="shared" si="135"/>
        <v>50.50016302575807</v>
      </c>
    </row>
    <row r="2206" spans="1:11" x14ac:dyDescent="0.3">
      <c r="A2206" s="10">
        <v>81</v>
      </c>
      <c r="B2206" s="10" t="s">
        <v>2494</v>
      </c>
      <c r="C2206" s="10" t="str" cm="1">
        <f t="array" ref="C2206">_xlfn.IFS(A2206&lt;20, "ภาคกลาง", A2206&lt;30, "ภาคตะวันออก", A2206&lt;50, "ภาคตะวันออกเฉียงเหนือ", A2206&lt;60, "ภาคเหนือ", A2206&lt;80, "ภาคกลาง/ตะวันตก", A2206&gt;=80, "ภาคใต้")</f>
        <v>ภาคใต้</v>
      </c>
      <c r="D2206" s="64">
        <v>8103</v>
      </c>
      <c r="E2206" s="10" t="s">
        <v>2497</v>
      </c>
      <c r="F2206" s="11">
        <v>25489</v>
      </c>
      <c r="G2206" s="11">
        <v>25287</v>
      </c>
      <c r="H2206" s="11">
        <v>50776</v>
      </c>
      <c r="I2206" s="11">
        <v>19101</v>
      </c>
      <c r="J2206" s="66">
        <f t="shared" si="134"/>
        <v>50.198912872223097</v>
      </c>
      <c r="K2206" s="66">
        <f t="shared" si="135"/>
        <v>49.801087127776903</v>
      </c>
    </row>
    <row r="2207" spans="1:11" x14ac:dyDescent="0.3">
      <c r="A2207" s="10">
        <v>81</v>
      </c>
      <c r="B2207" s="10" t="s">
        <v>2494</v>
      </c>
      <c r="C2207" s="10" t="str" cm="1">
        <f t="array" ref="C2207">_xlfn.IFS(A2207&lt;20, "ภาคกลาง", A2207&lt;30, "ภาคตะวันออก", A2207&lt;50, "ภาคตะวันออกเฉียงเหนือ", A2207&lt;60, "ภาคเหนือ", A2207&lt;80, "ภาคกลาง/ตะวันตก", A2207&gt;=80, "ภาคใต้")</f>
        <v>ภาคใต้</v>
      </c>
      <c r="D2207" s="64">
        <v>8104</v>
      </c>
      <c r="E2207" s="10" t="s">
        <v>2498</v>
      </c>
      <c r="F2207" s="11">
        <v>17891</v>
      </c>
      <c r="G2207" s="11">
        <v>17429</v>
      </c>
      <c r="H2207" s="11">
        <v>35320</v>
      </c>
      <c r="I2207" s="11">
        <v>15683</v>
      </c>
      <c r="J2207" s="66">
        <f t="shared" si="134"/>
        <v>50.654020385050956</v>
      </c>
      <c r="K2207" s="66">
        <f t="shared" si="135"/>
        <v>49.345979614949037</v>
      </c>
    </row>
    <row r="2208" spans="1:11" x14ac:dyDescent="0.3">
      <c r="A2208" s="10">
        <v>81</v>
      </c>
      <c r="B2208" s="10" t="s">
        <v>2494</v>
      </c>
      <c r="C2208" s="10" t="str" cm="1">
        <f t="array" ref="C2208">_xlfn.IFS(A2208&lt;20, "ภาคกลาง", A2208&lt;30, "ภาคตะวันออก", A2208&lt;50, "ภาคตะวันออกเฉียงเหนือ", A2208&lt;60, "ภาคเหนือ", A2208&lt;80, "ภาคกลาง/ตะวันตก", A2208&gt;=80, "ภาคใต้")</f>
        <v>ภาคใต้</v>
      </c>
      <c r="D2208" s="64">
        <v>8105</v>
      </c>
      <c r="E2208" s="10" t="s">
        <v>2499</v>
      </c>
      <c r="F2208" s="11">
        <v>36838</v>
      </c>
      <c r="G2208" s="11">
        <v>35594</v>
      </c>
      <c r="H2208" s="11">
        <v>72432</v>
      </c>
      <c r="I2208" s="11">
        <v>26167</v>
      </c>
      <c r="J2208" s="66">
        <f t="shared" si="134"/>
        <v>50.858736470068479</v>
      </c>
      <c r="K2208" s="66">
        <f t="shared" si="135"/>
        <v>49.141263529931521</v>
      </c>
    </row>
    <row r="2209" spans="1:11" x14ac:dyDescent="0.3">
      <c r="A2209" s="10">
        <v>81</v>
      </c>
      <c r="B2209" s="10" t="s">
        <v>2494</v>
      </c>
      <c r="C2209" s="10" t="str" cm="1">
        <f t="array" ref="C2209">_xlfn.IFS(A2209&lt;20, "ภาคกลาง", A2209&lt;30, "ภาคตะวันออก", A2209&lt;50, "ภาคตะวันออกเฉียงเหนือ", A2209&lt;60, "ภาคเหนือ", A2209&lt;80, "ภาคกลาง/ตะวันตก", A2209&gt;=80, "ภาคใต้")</f>
        <v>ภาคใต้</v>
      </c>
      <c r="D2209" s="64">
        <v>8106</v>
      </c>
      <c r="E2209" s="10" t="s">
        <v>2500</v>
      </c>
      <c r="F2209" s="11">
        <v>23420</v>
      </c>
      <c r="G2209" s="11">
        <v>23642</v>
      </c>
      <c r="H2209" s="11">
        <v>47062</v>
      </c>
      <c r="I2209" s="11">
        <v>17520</v>
      </c>
      <c r="J2209" s="66">
        <f t="shared" si="134"/>
        <v>49.764140920487861</v>
      </c>
      <c r="K2209" s="66">
        <f t="shared" si="135"/>
        <v>50.235859079512139</v>
      </c>
    </row>
    <row r="2210" spans="1:11" x14ac:dyDescent="0.3">
      <c r="A2210" s="10">
        <v>81</v>
      </c>
      <c r="B2210" s="10" t="s">
        <v>2494</v>
      </c>
      <c r="C2210" s="10" t="str" cm="1">
        <f t="array" ref="C2210">_xlfn.IFS(A2210&lt;20, "ภาคกลาง", A2210&lt;30, "ภาคตะวันออก", A2210&lt;50, "ภาคตะวันออกเฉียงเหนือ", A2210&lt;60, "ภาคเหนือ", A2210&lt;80, "ภาคกลาง/ตะวันตก", A2210&gt;=80, "ภาคใต้")</f>
        <v>ภาคใต้</v>
      </c>
      <c r="D2210" s="64">
        <v>8107</v>
      </c>
      <c r="E2210" s="10" t="s">
        <v>2501</v>
      </c>
      <c r="F2210" s="11">
        <v>16244</v>
      </c>
      <c r="G2210" s="11">
        <v>16208</v>
      </c>
      <c r="H2210" s="11">
        <v>32452</v>
      </c>
      <c r="I2210" s="11">
        <v>11615</v>
      </c>
      <c r="J2210" s="66">
        <f t="shared" si="134"/>
        <v>50.05546653519044</v>
      </c>
      <c r="K2210" s="66">
        <f t="shared" si="135"/>
        <v>49.944533464809567</v>
      </c>
    </row>
    <row r="2211" spans="1:11" x14ac:dyDescent="0.3">
      <c r="A2211" s="10">
        <v>81</v>
      </c>
      <c r="B2211" s="10" t="s">
        <v>2494</v>
      </c>
      <c r="C2211" s="10" t="str" cm="1">
        <f t="array" ref="C2211">_xlfn.IFS(A2211&lt;20, "ภาคกลาง", A2211&lt;30, "ภาคตะวันออก", A2211&lt;50, "ภาคตะวันออกเฉียงเหนือ", A2211&lt;60, "ภาคเหนือ", A2211&lt;80, "ภาคกลาง/ตะวันตก", A2211&gt;=80, "ภาคใต้")</f>
        <v>ภาคใต้</v>
      </c>
      <c r="D2211" s="64">
        <v>8108</v>
      </c>
      <c r="E2211" s="10" t="s">
        <v>2502</v>
      </c>
      <c r="F2211" s="11">
        <v>10280</v>
      </c>
      <c r="G2211" s="11">
        <v>9995</v>
      </c>
      <c r="H2211" s="11">
        <v>20275</v>
      </c>
      <c r="I2211" s="11">
        <v>7616</v>
      </c>
      <c r="J2211" s="66">
        <f t="shared" si="134"/>
        <v>50.70283600493218</v>
      </c>
      <c r="K2211" s="66">
        <f t="shared" si="135"/>
        <v>49.29716399506782</v>
      </c>
    </row>
    <row r="2212" spans="1:11" ht="27.6" x14ac:dyDescent="0.3">
      <c r="A2212" s="10">
        <v>81</v>
      </c>
      <c r="B2212" s="10" t="s">
        <v>2494</v>
      </c>
      <c r="C2212" s="10" t="str" cm="1">
        <f t="array" ref="C2212">_xlfn.IFS(A2212&lt;20, "ภาคกลาง", A2212&lt;30, "ภาคตะวันออก", A2212&lt;50, "ภาคตะวันออกเฉียงเหนือ", A2212&lt;60, "ภาคเหนือ", A2212&lt;80, "ภาคกลาง/ตะวันตก", A2212&gt;=80, "ภาคใต้")</f>
        <v>ภาคใต้</v>
      </c>
      <c r="D2212" s="64">
        <v>8189</v>
      </c>
      <c r="E2212" s="10" t="s">
        <v>2503</v>
      </c>
      <c r="F2212" s="11">
        <v>30340</v>
      </c>
      <c r="G2212" s="11">
        <v>31034</v>
      </c>
      <c r="H2212" s="11">
        <v>61374</v>
      </c>
      <c r="I2212" s="11">
        <v>21765</v>
      </c>
      <c r="J2212" s="66">
        <f t="shared" si="134"/>
        <v>49.434614005930847</v>
      </c>
      <c r="K2212" s="66">
        <f t="shared" si="135"/>
        <v>50.565385994069146</v>
      </c>
    </row>
    <row r="2213" spans="1:11" ht="27.6" x14ac:dyDescent="0.3">
      <c r="A2213" s="10">
        <v>81</v>
      </c>
      <c r="B2213" s="10" t="s">
        <v>2494</v>
      </c>
      <c r="C2213" s="10" t="str" cm="1">
        <f t="array" ref="C2213">_xlfn.IFS(A2213&lt;20, "ภาคกลาง", A2213&lt;30, "ภาคตะวันออก", A2213&lt;50, "ภาคตะวันออกเฉียงเหนือ", A2213&lt;60, "ภาคเหนือ", A2213&lt;80, "ภาคกลาง/ตะวันตก", A2213&gt;=80, "ภาคใต้")</f>
        <v>ภาคใต้</v>
      </c>
      <c r="D2213" s="64">
        <v>8190</v>
      </c>
      <c r="E2213" s="10" t="s">
        <v>2504</v>
      </c>
      <c r="F2213" s="11">
        <v>9703</v>
      </c>
      <c r="G2213" s="11">
        <v>10085</v>
      </c>
      <c r="H2213" s="11">
        <v>19788</v>
      </c>
      <c r="I2213" s="11">
        <v>9878</v>
      </c>
      <c r="J2213" s="66">
        <f t="shared" si="134"/>
        <v>49.034768546593895</v>
      </c>
      <c r="K2213" s="66">
        <f t="shared" si="135"/>
        <v>50.965231453406105</v>
      </c>
    </row>
    <row r="2214" spans="1:11" x14ac:dyDescent="0.3">
      <c r="A2214" s="10">
        <v>81</v>
      </c>
      <c r="B2214" s="10" t="s">
        <v>2494</v>
      </c>
      <c r="C2214" s="10" t="str" cm="1">
        <f t="array" ref="C2214">_xlfn.IFS(A2214&lt;20, "ภาคกลาง", A2214&lt;30, "ภาคตะวันออก", A2214&lt;50, "ภาคตะวันออกเฉียงเหนือ", A2214&lt;60, "ภาคเหนือ", A2214&lt;80, "ภาคกลาง/ตะวันตก", A2214&gt;=80, "ภาคใต้")</f>
        <v>ภาคใต้</v>
      </c>
      <c r="D2214" s="64">
        <v>8191</v>
      </c>
      <c r="E2214" s="10" t="s">
        <v>2505</v>
      </c>
      <c r="F2214" s="11">
        <v>2089</v>
      </c>
      <c r="G2214" s="11">
        <v>2267</v>
      </c>
      <c r="H2214" s="11">
        <v>4356</v>
      </c>
      <c r="I2214" s="11">
        <v>2505</v>
      </c>
      <c r="J2214" s="66">
        <f t="shared" si="134"/>
        <v>47.956841138659321</v>
      </c>
      <c r="K2214" s="66">
        <f t="shared" si="135"/>
        <v>52.043158861340679</v>
      </c>
    </row>
    <row r="2215" spans="1:11" ht="27.6" x14ac:dyDescent="0.3">
      <c r="A2215" s="10">
        <v>81</v>
      </c>
      <c r="B2215" s="10" t="s">
        <v>2494</v>
      </c>
      <c r="C2215" s="10" t="str" cm="1">
        <f t="array" ref="C2215">_xlfn.IFS(A2215&lt;20, "ภาคกลาง", A2215&lt;30, "ภาคตะวันออก", A2215&lt;50, "ภาคตะวันออกเฉียงเหนือ", A2215&lt;60, "ภาคเหนือ", A2215&lt;80, "ภาคกลาง/ตะวันตก", A2215&gt;=80, "ภาคใต้")</f>
        <v>ภาคใต้</v>
      </c>
      <c r="D2215" s="64">
        <v>8192</v>
      </c>
      <c r="E2215" s="10" t="s">
        <v>2506</v>
      </c>
      <c r="F2215" s="11">
        <v>2096</v>
      </c>
      <c r="G2215" s="11">
        <v>2270</v>
      </c>
      <c r="H2215" s="11">
        <v>4366</v>
      </c>
      <c r="I2215" s="11">
        <v>2482</v>
      </c>
      <c r="J2215" s="66">
        <f t="shared" si="134"/>
        <v>48.007329363261569</v>
      </c>
      <c r="K2215" s="66">
        <f t="shared" si="135"/>
        <v>51.992670636738438</v>
      </c>
    </row>
    <row r="2216" spans="1:11" ht="27.6" x14ac:dyDescent="0.3">
      <c r="A2216" s="10">
        <v>81</v>
      </c>
      <c r="B2216" s="10" t="s">
        <v>2494</v>
      </c>
      <c r="C2216" s="10" t="str" cm="1">
        <f t="array" ref="C2216">_xlfn.IFS(A2216&lt;20, "ภาคกลาง", A2216&lt;30, "ภาคตะวันออก", A2216&lt;50, "ภาคตะวันออกเฉียงเหนือ", A2216&lt;60, "ภาคเหนือ", A2216&lt;80, "ภาคกลาง/ตะวันตก", A2216&gt;=80, "ภาคใต้")</f>
        <v>ภาคใต้</v>
      </c>
      <c r="D2216" s="64">
        <v>8193</v>
      </c>
      <c r="E2216" s="10" t="s">
        <v>2507</v>
      </c>
      <c r="F2216" s="11">
        <v>3012</v>
      </c>
      <c r="G2216" s="11">
        <v>3034</v>
      </c>
      <c r="H2216" s="11">
        <v>6046</v>
      </c>
      <c r="I2216" s="11">
        <v>2719</v>
      </c>
      <c r="J2216" s="66">
        <f t="shared" si="134"/>
        <v>49.818061528283167</v>
      </c>
      <c r="K2216" s="66">
        <f t="shared" si="135"/>
        <v>50.181938471716833</v>
      </c>
    </row>
    <row r="2217" spans="1:11" ht="27.6" x14ac:dyDescent="0.3">
      <c r="A2217" s="10">
        <v>81</v>
      </c>
      <c r="B2217" s="10" t="s">
        <v>2494</v>
      </c>
      <c r="C2217" s="10" t="str" cm="1">
        <f t="array" ref="C2217">_xlfn.IFS(A2217&lt;20, "ภาคกลาง", A2217&lt;30, "ภาคตะวันออก", A2217&lt;50, "ภาคตะวันออกเฉียงเหนือ", A2217&lt;60, "ภาคเหนือ", A2217&lt;80, "ภาคกลาง/ตะวันตก", A2217&gt;=80, "ภาคใต้")</f>
        <v>ภาคใต้</v>
      </c>
      <c r="D2217" s="64">
        <v>8194</v>
      </c>
      <c r="E2217" s="10" t="s">
        <v>2508</v>
      </c>
      <c r="F2217" s="11">
        <v>2591</v>
      </c>
      <c r="G2217" s="11">
        <v>2811</v>
      </c>
      <c r="H2217" s="11">
        <v>5402</v>
      </c>
      <c r="I2217" s="11">
        <v>3090</v>
      </c>
      <c r="J2217" s="66">
        <f t="shared" si="134"/>
        <v>47.963717141799336</v>
      </c>
      <c r="K2217" s="66">
        <f t="shared" si="135"/>
        <v>52.036282858200664</v>
      </c>
    </row>
    <row r="2218" spans="1:11" ht="27.6" x14ac:dyDescent="0.3">
      <c r="A2218" s="10">
        <v>81</v>
      </c>
      <c r="B2218" s="10" t="s">
        <v>2494</v>
      </c>
      <c r="C2218" s="10" t="str" cm="1">
        <f t="array" ref="C2218">_xlfn.IFS(A2218&lt;20, "ภาคกลาง", A2218&lt;30, "ภาคตะวันออก", A2218&lt;50, "ภาคตะวันออกเฉียงเหนือ", A2218&lt;60, "ภาคเหนือ", A2218&lt;80, "ภาคกลาง/ตะวันตก", A2218&gt;=80, "ภาคใต้")</f>
        <v>ภาคใต้</v>
      </c>
      <c r="D2218" s="64">
        <v>8195</v>
      </c>
      <c r="E2218" s="10" t="s">
        <v>2509</v>
      </c>
      <c r="F2218" s="11">
        <v>2057</v>
      </c>
      <c r="G2218" s="11">
        <v>2044</v>
      </c>
      <c r="H2218" s="11">
        <v>4101</v>
      </c>
      <c r="I2218" s="11">
        <v>1306</v>
      </c>
      <c r="J2218" s="66">
        <f t="shared" si="134"/>
        <v>50.1584979273348</v>
      </c>
      <c r="K2218" s="66">
        <f t="shared" si="135"/>
        <v>49.841502072665207</v>
      </c>
    </row>
    <row r="2219" spans="1:11" ht="27.6" x14ac:dyDescent="0.3">
      <c r="A2219" s="10">
        <v>81</v>
      </c>
      <c r="B2219" s="10" t="s">
        <v>2494</v>
      </c>
      <c r="C2219" s="10" t="str" cm="1">
        <f t="array" ref="C2219">_xlfn.IFS(A2219&lt;20, "ภาคกลาง", A2219&lt;30, "ภาคตะวันออก", A2219&lt;50, "ภาคตะวันออกเฉียงเหนือ", A2219&lt;60, "ภาคเหนือ", A2219&lt;80, "ภาคกลาง/ตะวันตก", A2219&gt;=80, "ภาคใต้")</f>
        <v>ภาคใต้</v>
      </c>
      <c r="D2219" s="64">
        <v>8196</v>
      </c>
      <c r="E2219" s="10" t="s">
        <v>2510</v>
      </c>
      <c r="F2219" s="11">
        <v>1421</v>
      </c>
      <c r="G2219" s="11">
        <v>1475</v>
      </c>
      <c r="H2219" s="11">
        <v>2896</v>
      </c>
      <c r="I2219" s="11">
        <v>1371</v>
      </c>
      <c r="J2219" s="66">
        <f t="shared" si="134"/>
        <v>49.067679558011051</v>
      </c>
      <c r="K2219" s="66">
        <f t="shared" si="135"/>
        <v>50.932320441988956</v>
      </c>
    </row>
    <row r="2220" spans="1:11" ht="27.6" x14ac:dyDescent="0.3">
      <c r="A2220" s="10">
        <v>81</v>
      </c>
      <c r="B2220" s="10" t="s">
        <v>2494</v>
      </c>
      <c r="C2220" s="10" t="str" cm="1">
        <f t="array" ref="C2220">_xlfn.IFS(A2220&lt;20, "ภาคกลาง", A2220&lt;30, "ภาคตะวันออก", A2220&lt;50, "ภาคตะวันออกเฉียงเหนือ", A2220&lt;60, "ภาคเหนือ", A2220&lt;80, "ภาคกลาง/ตะวันตก", A2220&gt;=80, "ภาคใต้")</f>
        <v>ภาคใต้</v>
      </c>
      <c r="D2220" s="64">
        <v>8197</v>
      </c>
      <c r="E2220" s="10" t="s">
        <v>2511</v>
      </c>
      <c r="F2220" s="11">
        <v>1491</v>
      </c>
      <c r="G2220" s="11">
        <v>1683</v>
      </c>
      <c r="H2220" s="11">
        <v>3174</v>
      </c>
      <c r="I2220" s="11">
        <v>1836</v>
      </c>
      <c r="J2220" s="66">
        <f t="shared" si="134"/>
        <v>46.975425330812854</v>
      </c>
      <c r="K2220" s="66">
        <f t="shared" si="135"/>
        <v>53.024574669187139</v>
      </c>
    </row>
    <row r="2221" spans="1:11" x14ac:dyDescent="0.3">
      <c r="A2221" s="10">
        <v>81</v>
      </c>
      <c r="B2221" s="10" t="s">
        <v>2494</v>
      </c>
      <c r="C2221" s="10" t="str" cm="1">
        <f t="array" ref="C2221">_xlfn.IFS(A2221&lt;20, "ภาคกลาง", A2221&lt;30, "ภาคตะวันออก", A2221&lt;50, "ภาคตะวันออกเฉียงเหนือ", A2221&lt;60, "ภาคเหนือ", A2221&lt;80, "ภาคกลาง/ตะวันตก", A2221&gt;=80, "ภาคใต้")</f>
        <v>ภาคใต้</v>
      </c>
      <c r="D2221" s="64">
        <v>8198</v>
      </c>
      <c r="E2221" s="10" t="s">
        <v>2512</v>
      </c>
      <c r="F2221" s="10">
        <v>563</v>
      </c>
      <c r="G2221" s="10">
        <v>589</v>
      </c>
      <c r="H2221" s="11">
        <v>1152</v>
      </c>
      <c r="I2221" s="10">
        <v>513</v>
      </c>
      <c r="J2221" s="66">
        <f t="shared" si="134"/>
        <v>48.871527777777779</v>
      </c>
      <c r="K2221" s="66">
        <f t="shared" si="135"/>
        <v>51.128472222222221</v>
      </c>
    </row>
    <row r="2222" spans="1:11" x14ac:dyDescent="0.3">
      <c r="A2222" s="10">
        <v>81</v>
      </c>
      <c r="B2222" s="10" t="s">
        <v>2494</v>
      </c>
      <c r="C2222" s="10" t="str" cm="1">
        <f t="array" ref="C2222">_xlfn.IFS(A2222&lt;20, "ภาคกลาง", A2222&lt;30, "ภาคตะวันออก", A2222&lt;50, "ภาคตะวันออกเฉียงเหนือ", A2222&lt;60, "ภาคเหนือ", A2222&lt;80, "ภาคกลาง/ตะวันตก", A2222&gt;=80, "ภาคใต้")</f>
        <v>ภาคใต้</v>
      </c>
      <c r="D2222" s="64">
        <v>8199</v>
      </c>
      <c r="E2222" s="10" t="s">
        <v>2513</v>
      </c>
      <c r="F2222" s="11">
        <v>2613</v>
      </c>
      <c r="G2222" s="11">
        <v>2773</v>
      </c>
      <c r="H2222" s="11">
        <v>5386</v>
      </c>
      <c r="I2222" s="11">
        <v>2577</v>
      </c>
      <c r="J2222" s="66">
        <f t="shared" si="134"/>
        <v>48.514667656888228</v>
      </c>
      <c r="K2222" s="66">
        <f t="shared" si="135"/>
        <v>51.485332343111764</v>
      </c>
    </row>
    <row r="2223" spans="1:11" hidden="1" x14ac:dyDescent="0.3">
      <c r="A2223" s="10">
        <v>81</v>
      </c>
      <c r="B2223" s="10" t="s">
        <v>2494</v>
      </c>
      <c r="C2223" s="10" t="str" cm="1">
        <f t="array" ref="C2223">_xlfn.IFS(A2223&lt;20, "ภาคกลาง", A2223&lt;30, "ภาคตะวันออก", A2223&lt;50, "ภาคตะวันออกเฉียงเหนือ", A2223&lt;60, "ภาคเหนือ", A2223&lt;80, "ภาคกลาง/ตะวันตก", A2223&gt;=80, "ภาคใต้")</f>
        <v>ภาคใต้</v>
      </c>
      <c r="D2223" s="10">
        <v>0</v>
      </c>
      <c r="E2223" s="10" t="s">
        <v>343</v>
      </c>
      <c r="F2223" s="11">
        <v>14221</v>
      </c>
      <c r="G2223" s="11">
        <v>16601</v>
      </c>
      <c r="H2223" s="11">
        <v>30822</v>
      </c>
      <c r="I2223" s="11">
        <v>18450</v>
      </c>
      <c r="J2223"/>
      <c r="K2223"/>
    </row>
    <row r="2224" spans="1:11" x14ac:dyDescent="0.3">
      <c r="A2224" s="10">
        <v>82</v>
      </c>
      <c r="B2224" s="10" t="s">
        <v>2514</v>
      </c>
      <c r="C2224" s="10" t="str" cm="1">
        <f t="array" ref="C2224">_xlfn.IFS(A2224&lt;20, "ภาคกลาง", A2224&lt;30, "ภาคตะวันออก", A2224&lt;50, "ภาคตะวันออกเฉียงเหนือ", A2224&lt;60, "ภาคเหนือ", A2224&lt;80, "ภาคกลาง/ตะวันตก", A2224&gt;=80, "ภาคใต้")</f>
        <v>ภาคใต้</v>
      </c>
      <c r="D2224" s="64">
        <v>8201</v>
      </c>
      <c r="E2224" s="10" t="s">
        <v>2515</v>
      </c>
      <c r="F2224" s="11">
        <v>132910</v>
      </c>
      <c r="G2224" s="11">
        <v>133386</v>
      </c>
      <c r="H2224" s="11">
        <v>266296</v>
      </c>
      <c r="I2224" s="11">
        <v>125443</v>
      </c>
      <c r="J2224" s="66">
        <f t="shared" ref="J2224:J2239" si="136">F2224/H2224*100</f>
        <v>49.910625769820051</v>
      </c>
      <c r="K2224" s="66">
        <f t="shared" ref="K2224:K2239" si="137">G2224/H2224*100</f>
        <v>50.089374230179949</v>
      </c>
    </row>
    <row r="2225" spans="1:11" x14ac:dyDescent="0.3">
      <c r="A2225" s="10">
        <v>82</v>
      </c>
      <c r="B2225" s="10" t="s">
        <v>2514</v>
      </c>
      <c r="C2225" s="10" t="str" cm="1">
        <f t="array" ref="C2225">_xlfn.IFS(A2225&lt;20, "ภาคกลาง", A2225&lt;30, "ภาคตะวันออก", A2225&lt;50, "ภาคตะวันออกเฉียงเหนือ", A2225&lt;60, "ภาคเหนือ", A2225&lt;80, "ภาคกลาง/ตะวันตก", A2225&gt;=80, "ภาคใต้")</f>
        <v>ภาคใต้</v>
      </c>
      <c r="D2225" s="64">
        <v>8202</v>
      </c>
      <c r="E2225" s="10" t="s">
        <v>2516</v>
      </c>
      <c r="F2225" s="11">
        <v>15197</v>
      </c>
      <c r="G2225" s="11">
        <v>15685</v>
      </c>
      <c r="H2225" s="11">
        <v>30882</v>
      </c>
      <c r="I2225" s="11">
        <v>12960</v>
      </c>
      <c r="J2225" s="66">
        <f t="shared" si="136"/>
        <v>49.209895732141703</v>
      </c>
      <c r="K2225" s="66">
        <f t="shared" si="137"/>
        <v>50.790104267858304</v>
      </c>
    </row>
    <row r="2226" spans="1:11" x14ac:dyDescent="0.3">
      <c r="A2226" s="10">
        <v>82</v>
      </c>
      <c r="B2226" s="10" t="s">
        <v>2514</v>
      </c>
      <c r="C2226" s="10" t="str" cm="1">
        <f t="array" ref="C2226">_xlfn.IFS(A2226&lt;20, "ภาคกลาง", A2226&lt;30, "ภาคตะวันออก", A2226&lt;50, "ภาคตะวันออกเฉียงเหนือ", A2226&lt;60, "ภาคเหนือ", A2226&lt;80, "ภาคกลาง/ตะวันตก", A2226&gt;=80, "ภาคใต้")</f>
        <v>ภาคใต้</v>
      </c>
      <c r="D2226" s="64">
        <v>8203</v>
      </c>
      <c r="E2226" s="10" t="s">
        <v>2517</v>
      </c>
      <c r="F2226" s="11">
        <v>7423</v>
      </c>
      <c r="G2226" s="11">
        <v>7281</v>
      </c>
      <c r="H2226" s="11">
        <v>14704</v>
      </c>
      <c r="I2226" s="11">
        <v>6231</v>
      </c>
      <c r="J2226" s="66">
        <f t="shared" si="136"/>
        <v>50.482861806311206</v>
      </c>
      <c r="K2226" s="66">
        <f t="shared" si="137"/>
        <v>49.517138193688794</v>
      </c>
    </row>
    <row r="2227" spans="1:11" x14ac:dyDescent="0.3">
      <c r="A2227" s="10">
        <v>82</v>
      </c>
      <c r="B2227" s="10" t="s">
        <v>2514</v>
      </c>
      <c r="C2227" s="10" t="str" cm="1">
        <f t="array" ref="C2227">_xlfn.IFS(A2227&lt;20, "ภาคกลาง", A2227&lt;30, "ภาคตะวันออก", A2227&lt;50, "ภาคตะวันออกเฉียงเหนือ", A2227&lt;60, "ภาคเหนือ", A2227&lt;80, "ภาคกลาง/ตะวันตก", A2227&gt;=80, "ภาคใต้")</f>
        <v>ภาคใต้</v>
      </c>
      <c r="D2227" s="64">
        <v>8204</v>
      </c>
      <c r="E2227" s="10" t="s">
        <v>2518</v>
      </c>
      <c r="F2227" s="11">
        <v>6682</v>
      </c>
      <c r="G2227" s="11">
        <v>6642</v>
      </c>
      <c r="H2227" s="11">
        <v>13324</v>
      </c>
      <c r="I2227" s="11">
        <v>6241</v>
      </c>
      <c r="J2227" s="66">
        <f t="shared" si="136"/>
        <v>50.150105073551487</v>
      </c>
      <c r="K2227" s="66">
        <f t="shared" si="137"/>
        <v>49.849894926448513</v>
      </c>
    </row>
    <row r="2228" spans="1:11" x14ac:dyDescent="0.3">
      <c r="A2228" s="10">
        <v>82</v>
      </c>
      <c r="B2228" s="10" t="s">
        <v>2514</v>
      </c>
      <c r="C2228" s="10" t="str" cm="1">
        <f t="array" ref="C2228">_xlfn.IFS(A2228&lt;20, "ภาคกลาง", A2228&lt;30, "ภาคตะวันออก", A2228&lt;50, "ภาคตะวันออกเฉียงเหนือ", A2228&lt;60, "ภาคเหนือ", A2228&lt;80, "ภาคกลาง/ตะวันตก", A2228&gt;=80, "ภาคใต้")</f>
        <v>ภาคใต้</v>
      </c>
      <c r="D2228" s="64">
        <v>8205</v>
      </c>
      <c r="E2228" s="10" t="s">
        <v>2519</v>
      </c>
      <c r="F2228" s="11">
        <v>19706</v>
      </c>
      <c r="G2228" s="11">
        <v>19511</v>
      </c>
      <c r="H2228" s="11">
        <v>39217</v>
      </c>
      <c r="I2228" s="11">
        <v>16946</v>
      </c>
      <c r="J2228" s="66">
        <f t="shared" si="136"/>
        <v>50.248616671341509</v>
      </c>
      <c r="K2228" s="66">
        <f t="shared" si="137"/>
        <v>49.751383328658491</v>
      </c>
    </row>
    <row r="2229" spans="1:11" x14ac:dyDescent="0.3">
      <c r="A2229" s="10">
        <v>82</v>
      </c>
      <c r="B2229" s="10" t="s">
        <v>2514</v>
      </c>
      <c r="C2229" s="10" t="str" cm="1">
        <f t="array" ref="C2229">_xlfn.IFS(A2229&lt;20, "ภาคกลาง", A2229&lt;30, "ภาคตะวันออก", A2229&lt;50, "ภาคตะวันออกเฉียงเหนือ", A2229&lt;60, "ภาคเหนือ", A2229&lt;80, "ภาคกลาง/ตะวันตก", A2229&gt;=80, "ภาคใต้")</f>
        <v>ภาคใต้</v>
      </c>
      <c r="D2229" s="64">
        <v>8206</v>
      </c>
      <c r="E2229" s="10" t="s">
        <v>2520</v>
      </c>
      <c r="F2229" s="11">
        <v>20836</v>
      </c>
      <c r="G2229" s="11">
        <v>21091</v>
      </c>
      <c r="H2229" s="11">
        <v>41927</v>
      </c>
      <c r="I2229" s="11">
        <v>25190</v>
      </c>
      <c r="J2229" s="66">
        <f t="shared" si="136"/>
        <v>49.695900016695688</v>
      </c>
      <c r="K2229" s="66">
        <f t="shared" si="137"/>
        <v>50.304099983304319</v>
      </c>
    </row>
    <row r="2230" spans="1:11" x14ac:dyDescent="0.3">
      <c r="A2230" s="10">
        <v>82</v>
      </c>
      <c r="B2230" s="10" t="s">
        <v>2514</v>
      </c>
      <c r="C2230" s="10" t="str" cm="1">
        <f t="array" ref="C2230">_xlfn.IFS(A2230&lt;20, "ภาคกลาง", A2230&lt;30, "ภาคตะวันออก", A2230&lt;50, "ภาคตะวันออกเฉียงเหนือ", A2230&lt;60, "ภาคเหนือ", A2230&lt;80, "ภาคกลาง/ตะวันตก", A2230&gt;=80, "ภาคใต้")</f>
        <v>ภาคใต้</v>
      </c>
      <c r="D2230" s="64">
        <v>8207</v>
      </c>
      <c r="E2230" s="10" t="s">
        <v>2521</v>
      </c>
      <c r="F2230" s="11">
        <v>12642</v>
      </c>
      <c r="G2230" s="11">
        <v>12270</v>
      </c>
      <c r="H2230" s="11">
        <v>24912</v>
      </c>
      <c r="I2230" s="11">
        <v>10816</v>
      </c>
      <c r="J2230" s="66">
        <f t="shared" si="136"/>
        <v>50.746628131021197</v>
      </c>
      <c r="K2230" s="66">
        <f t="shared" si="137"/>
        <v>49.25337186897881</v>
      </c>
    </row>
    <row r="2231" spans="1:11" x14ac:dyDescent="0.3">
      <c r="A2231" s="10">
        <v>82</v>
      </c>
      <c r="B2231" s="10" t="s">
        <v>2514</v>
      </c>
      <c r="C2231" s="10" t="str" cm="1">
        <f t="array" ref="C2231">_xlfn.IFS(A2231&lt;20, "ภาคกลาง", A2231&lt;30, "ภาคตะวันออก", A2231&lt;50, "ภาคตะวันออกเฉียงเหนือ", A2231&lt;60, "ภาคเหนือ", A2231&lt;80, "ภาคกลาง/ตะวันตก", A2231&gt;=80, "ภาคใต้")</f>
        <v>ภาคใต้</v>
      </c>
      <c r="D2231" s="64">
        <v>8208</v>
      </c>
      <c r="E2231" s="10" t="s">
        <v>2522</v>
      </c>
      <c r="F2231" s="11">
        <v>12459</v>
      </c>
      <c r="G2231" s="11">
        <v>12375</v>
      </c>
      <c r="H2231" s="11">
        <v>24834</v>
      </c>
      <c r="I2231" s="11">
        <v>8557</v>
      </c>
      <c r="J2231" s="66">
        <f t="shared" si="136"/>
        <v>50.169122976564381</v>
      </c>
      <c r="K2231" s="66">
        <f t="shared" si="137"/>
        <v>49.830877023435612</v>
      </c>
    </row>
    <row r="2232" spans="1:11" ht="27.6" x14ac:dyDescent="0.3">
      <c r="A2232" s="10">
        <v>82</v>
      </c>
      <c r="B2232" s="10" t="s">
        <v>2514</v>
      </c>
      <c r="C2232" s="10" t="str" cm="1">
        <f t="array" ref="C2232">_xlfn.IFS(A2232&lt;20, "ภาคกลาง", A2232&lt;30, "ภาคตะวันออก", A2232&lt;50, "ภาคตะวันออกเฉียงเหนือ", A2232&lt;60, "ภาคเหนือ", A2232&lt;80, "ภาคกลาง/ตะวันตก", A2232&gt;=80, "ภาคใต้")</f>
        <v>ภาคใต้</v>
      </c>
      <c r="D2232" s="64">
        <v>8291</v>
      </c>
      <c r="E2232" s="10" t="s">
        <v>2523</v>
      </c>
      <c r="F2232" s="11">
        <v>22787</v>
      </c>
      <c r="G2232" s="11">
        <v>22069</v>
      </c>
      <c r="H2232" s="11">
        <v>44856</v>
      </c>
      <c r="I2232" s="11">
        <v>21765</v>
      </c>
      <c r="J2232" s="66">
        <f t="shared" si="136"/>
        <v>50.80033886213662</v>
      </c>
      <c r="K2232" s="66">
        <f t="shared" si="137"/>
        <v>49.199661137863387</v>
      </c>
    </row>
    <row r="2233" spans="1:11" x14ac:dyDescent="0.3">
      <c r="A2233" s="10">
        <v>82</v>
      </c>
      <c r="B2233" s="10" t="s">
        <v>2514</v>
      </c>
      <c r="C2233" s="10" t="str" cm="1">
        <f t="array" ref="C2233">_xlfn.IFS(A2233&lt;20, "ภาคกลาง", A2233&lt;30, "ภาคตะวันออก", A2233&lt;50, "ภาคตะวันออกเฉียงเหนือ", A2233&lt;60, "ภาคเหนือ", A2233&lt;80, "ภาคกลาง/ตะวันตก", A2233&gt;=80, "ภาคใต้")</f>
        <v>ภาคใต้</v>
      </c>
      <c r="D2233" s="64">
        <v>8292</v>
      </c>
      <c r="E2233" s="10" t="s">
        <v>2524</v>
      </c>
      <c r="F2233" s="11">
        <v>1474</v>
      </c>
      <c r="G2233" s="11">
        <v>1586</v>
      </c>
      <c r="H2233" s="11">
        <v>3060</v>
      </c>
      <c r="I2233" s="11">
        <v>1786</v>
      </c>
      <c r="J2233" s="66">
        <f t="shared" si="136"/>
        <v>48.169934640522875</v>
      </c>
      <c r="K2233" s="66">
        <f t="shared" si="137"/>
        <v>51.830065359477132</v>
      </c>
    </row>
    <row r="2234" spans="1:11" x14ac:dyDescent="0.3">
      <c r="A2234" s="10">
        <v>82</v>
      </c>
      <c r="B2234" s="10" t="s">
        <v>2514</v>
      </c>
      <c r="C2234" s="10" t="str" cm="1">
        <f t="array" ref="C2234">_xlfn.IFS(A2234&lt;20, "ภาคกลาง", A2234&lt;30, "ภาคตะวันออก", A2234&lt;50, "ภาคตะวันออกเฉียงเหนือ", A2234&lt;60, "ภาคเหนือ", A2234&lt;80, "ภาคกลาง/ตะวันตก", A2234&gt;=80, "ภาคใต้")</f>
        <v>ภาคใต้</v>
      </c>
      <c r="D2234" s="64">
        <v>8293</v>
      </c>
      <c r="E2234" s="10" t="s">
        <v>2525</v>
      </c>
      <c r="F2234" s="10">
        <v>480</v>
      </c>
      <c r="G2234" s="10">
        <v>493</v>
      </c>
      <c r="H2234" s="10">
        <v>973</v>
      </c>
      <c r="I2234" s="10">
        <v>623</v>
      </c>
      <c r="J2234" s="66">
        <f t="shared" si="136"/>
        <v>49.331963001027752</v>
      </c>
      <c r="K2234" s="66">
        <f t="shared" si="137"/>
        <v>50.668036998972255</v>
      </c>
    </row>
    <row r="2235" spans="1:11" ht="27.6" x14ac:dyDescent="0.3">
      <c r="A2235" s="10">
        <v>82</v>
      </c>
      <c r="B2235" s="10" t="s">
        <v>2514</v>
      </c>
      <c r="C2235" s="10" t="str" cm="1">
        <f t="array" ref="C2235">_xlfn.IFS(A2235&lt;20, "ภาคกลาง", A2235&lt;30, "ภาคตะวันออก", A2235&lt;50, "ภาคตะวันออกเฉียงเหนือ", A2235&lt;60, "ภาคเหนือ", A2235&lt;80, "ภาคกลาง/ตะวันตก", A2235&gt;=80, "ภาคใต้")</f>
        <v>ภาคใต้</v>
      </c>
      <c r="D2235" s="64">
        <v>8294</v>
      </c>
      <c r="E2235" s="10" t="s">
        <v>2526</v>
      </c>
      <c r="F2235" s="11">
        <v>1689</v>
      </c>
      <c r="G2235" s="11">
        <v>1710</v>
      </c>
      <c r="H2235" s="11">
        <v>3399</v>
      </c>
      <c r="I2235" s="11">
        <v>2230</v>
      </c>
      <c r="J2235" s="66">
        <f t="shared" si="136"/>
        <v>49.691085613415709</v>
      </c>
      <c r="K2235" s="66">
        <f t="shared" si="137"/>
        <v>50.308914386584291</v>
      </c>
    </row>
    <row r="2236" spans="1:11" x14ac:dyDescent="0.3">
      <c r="A2236" s="10">
        <v>82</v>
      </c>
      <c r="B2236" s="10" t="s">
        <v>2514</v>
      </c>
      <c r="C2236" s="10" t="str" cm="1">
        <f t="array" ref="C2236">_xlfn.IFS(A2236&lt;20, "ภาคกลาง", A2236&lt;30, "ภาคตะวันออก", A2236&lt;50, "ภาคตะวันออกเฉียงเหนือ", A2236&lt;60, "ภาคเหนือ", A2236&lt;80, "ภาคกลาง/ตะวันตก", A2236&gt;=80, "ภาคใต้")</f>
        <v>ภาคใต้</v>
      </c>
      <c r="D2236" s="64">
        <v>8295</v>
      </c>
      <c r="E2236" s="10" t="s">
        <v>2527</v>
      </c>
      <c r="F2236" s="11">
        <v>1826</v>
      </c>
      <c r="G2236" s="11">
        <v>2067</v>
      </c>
      <c r="H2236" s="11">
        <v>3893</v>
      </c>
      <c r="I2236" s="11">
        <v>1772</v>
      </c>
      <c r="J2236" s="66">
        <f t="shared" si="136"/>
        <v>46.904700744926792</v>
      </c>
      <c r="K2236" s="66">
        <f t="shared" si="137"/>
        <v>53.095299255073201</v>
      </c>
    </row>
    <row r="2237" spans="1:11" x14ac:dyDescent="0.3">
      <c r="A2237" s="10">
        <v>82</v>
      </c>
      <c r="B2237" s="10" t="s">
        <v>2514</v>
      </c>
      <c r="C2237" s="10" t="str" cm="1">
        <f t="array" ref="C2237">_xlfn.IFS(A2237&lt;20, "ภาคกลาง", A2237&lt;30, "ภาคตะวันออก", A2237&lt;50, "ภาคตะวันออกเฉียงเหนือ", A2237&lt;60, "ภาคเหนือ", A2237&lt;80, "ภาคกลาง/ตะวันตก", A2237&gt;=80, "ภาคใต้")</f>
        <v>ภาคใต้</v>
      </c>
      <c r="D2237" s="64">
        <v>8296</v>
      </c>
      <c r="E2237" s="10" t="s">
        <v>2528</v>
      </c>
      <c r="F2237" s="10">
        <v>852</v>
      </c>
      <c r="G2237" s="10">
        <v>958</v>
      </c>
      <c r="H2237" s="11">
        <v>1810</v>
      </c>
      <c r="I2237" s="10">
        <v>791</v>
      </c>
      <c r="J2237" s="66">
        <f t="shared" si="136"/>
        <v>47.071823204419886</v>
      </c>
      <c r="K2237" s="66">
        <f t="shared" si="137"/>
        <v>52.928176795580107</v>
      </c>
    </row>
    <row r="2238" spans="1:11" x14ac:dyDescent="0.3">
      <c r="A2238" s="10">
        <v>82</v>
      </c>
      <c r="B2238" s="10" t="s">
        <v>2514</v>
      </c>
      <c r="C2238" s="10" t="str" cm="1">
        <f t="array" ref="C2238">_xlfn.IFS(A2238&lt;20, "ภาคกลาง", A2238&lt;30, "ภาคตะวันออก", A2238&lt;50, "ภาคตะวันออกเฉียงเหนือ", A2238&lt;60, "ภาคเหนือ", A2238&lt;80, "ภาคกลาง/ตะวันตก", A2238&gt;=80, "ภาคใต้")</f>
        <v>ภาคใต้</v>
      </c>
      <c r="D2238" s="64">
        <v>8298</v>
      </c>
      <c r="E2238" s="10" t="s">
        <v>2529</v>
      </c>
      <c r="F2238" s="10">
        <v>488</v>
      </c>
      <c r="G2238" s="10">
        <v>549</v>
      </c>
      <c r="H2238" s="11">
        <v>1037</v>
      </c>
      <c r="I2238" s="10">
        <v>600</v>
      </c>
      <c r="J2238" s="66">
        <f t="shared" si="136"/>
        <v>47.058823529411761</v>
      </c>
      <c r="K2238" s="66">
        <f t="shared" si="137"/>
        <v>52.941176470588239</v>
      </c>
    </row>
    <row r="2239" spans="1:11" x14ac:dyDescent="0.3">
      <c r="A2239" s="10">
        <v>82</v>
      </c>
      <c r="B2239" s="10" t="s">
        <v>2514</v>
      </c>
      <c r="C2239" s="10" t="str" cm="1">
        <f t="array" ref="C2239">_xlfn.IFS(A2239&lt;20, "ภาคกลาง", A2239&lt;30, "ภาคตะวันออก", A2239&lt;50, "ภาคตะวันออกเฉียงเหนือ", A2239&lt;60, "ภาคเหนือ", A2239&lt;80, "ภาคกลาง/ตะวันตก", A2239&gt;=80, "ภาคใต้")</f>
        <v>ภาคใต้</v>
      </c>
      <c r="D2239" s="64">
        <v>8299</v>
      </c>
      <c r="E2239" s="10" t="s">
        <v>2530</v>
      </c>
      <c r="F2239" s="11">
        <v>3616</v>
      </c>
      <c r="G2239" s="11">
        <v>4010</v>
      </c>
      <c r="H2239" s="11">
        <v>7626</v>
      </c>
      <c r="I2239" s="11">
        <v>2841</v>
      </c>
      <c r="J2239" s="66">
        <f t="shared" si="136"/>
        <v>47.416732231838452</v>
      </c>
      <c r="K2239" s="66">
        <f t="shared" si="137"/>
        <v>52.583267768161555</v>
      </c>
    </row>
    <row r="2240" spans="1:11" hidden="1" x14ac:dyDescent="0.3">
      <c r="A2240" s="10">
        <v>82</v>
      </c>
      <c r="B2240" s="10" t="s">
        <v>2514</v>
      </c>
      <c r="C2240" s="10" t="str" cm="1">
        <f t="array" ref="C2240">_xlfn.IFS(A2240&lt;20, "ภาคกลาง", A2240&lt;30, "ภาคตะวันออก", A2240&lt;50, "ภาคตะวันออกเฉียงเหนือ", A2240&lt;60, "ภาคเหนือ", A2240&lt;80, "ภาคกลาง/ตะวันตก", A2240&gt;=80, "ภาคใต้")</f>
        <v>ภาคใต้</v>
      </c>
      <c r="D2240" s="10">
        <v>0</v>
      </c>
      <c r="E2240" s="10" t="s">
        <v>343</v>
      </c>
      <c r="F2240" s="11">
        <v>4753</v>
      </c>
      <c r="G2240" s="11">
        <v>5089</v>
      </c>
      <c r="H2240" s="11">
        <v>9842</v>
      </c>
      <c r="I2240" s="11">
        <v>6094</v>
      </c>
      <c r="J2240"/>
      <c r="K2240"/>
    </row>
    <row r="2241" spans="1:11" x14ac:dyDescent="0.3">
      <c r="A2241" s="10">
        <v>83</v>
      </c>
      <c r="B2241" s="10" t="s">
        <v>2531</v>
      </c>
      <c r="C2241" s="10" t="str" cm="1">
        <f t="array" ref="C2241">_xlfn.IFS(A2241&lt;20, "ภาคกลาง", A2241&lt;30, "ภาคตะวันออก", A2241&lt;50, "ภาคตะวันออกเฉียงเหนือ", A2241&lt;60, "ภาคเหนือ", A2241&lt;80, "ภาคกลาง/ตะวันตก", A2241&gt;=80, "ภาคใต้")</f>
        <v>ภาคใต้</v>
      </c>
      <c r="D2241" s="64">
        <v>8301</v>
      </c>
      <c r="E2241" s="10" t="s">
        <v>2532</v>
      </c>
      <c r="F2241" s="11">
        <v>201988</v>
      </c>
      <c r="G2241" s="11">
        <v>227595</v>
      </c>
      <c r="H2241" s="11">
        <v>429583</v>
      </c>
      <c r="I2241" s="11">
        <v>294383</v>
      </c>
      <c r="J2241" s="66">
        <f t="shared" ref="J2241:J2252" si="138">F2241/H2241*100</f>
        <v>47.019551518565677</v>
      </c>
      <c r="K2241" s="66">
        <f t="shared" ref="K2241:K2252" si="139">G2241/H2241*100</f>
        <v>52.980448481434316</v>
      </c>
    </row>
    <row r="2242" spans="1:11" x14ac:dyDescent="0.3">
      <c r="A2242" s="10">
        <v>83</v>
      </c>
      <c r="B2242" s="10" t="s">
        <v>2531</v>
      </c>
      <c r="C2242" s="10" t="str" cm="1">
        <f t="array" ref="C2242">_xlfn.IFS(A2242&lt;20, "ภาคกลาง", A2242&lt;30, "ภาคตะวันออก", A2242&lt;50, "ภาคตะวันออกเฉียงเหนือ", A2242&lt;60, "ภาคเหนือ", A2242&lt;80, "ภาคกลาง/ตะวันตก", A2242&gt;=80, "ภาคใต้")</f>
        <v>ภาคใต้</v>
      </c>
      <c r="D2242" s="64">
        <v>8302</v>
      </c>
      <c r="E2242" s="10" t="s">
        <v>2533</v>
      </c>
      <c r="F2242" s="11">
        <v>22166</v>
      </c>
      <c r="G2242" s="11">
        <v>25064</v>
      </c>
      <c r="H2242" s="11">
        <v>47230</v>
      </c>
      <c r="I2242" s="11">
        <v>32419</v>
      </c>
      <c r="J2242" s="66">
        <f t="shared" si="138"/>
        <v>46.932034723692567</v>
      </c>
      <c r="K2242" s="66">
        <f t="shared" si="139"/>
        <v>53.067965276307426</v>
      </c>
    </row>
    <row r="2243" spans="1:11" x14ac:dyDescent="0.3">
      <c r="A2243" s="10">
        <v>83</v>
      </c>
      <c r="B2243" s="10" t="s">
        <v>2531</v>
      </c>
      <c r="C2243" s="10" t="str" cm="1">
        <f t="array" ref="C2243">_xlfn.IFS(A2243&lt;20, "ภาคกลาง", A2243&lt;30, "ภาคตะวันออก", A2243&lt;50, "ภาคตะวันออกเฉียงเหนือ", A2243&lt;60, "ภาคเหนือ", A2243&lt;80, "ภาคกลาง/ตะวันตก", A2243&gt;=80, "ภาคใต้")</f>
        <v>ภาคใต้</v>
      </c>
      <c r="D2243" s="64">
        <v>8303</v>
      </c>
      <c r="E2243" s="10" t="s">
        <v>2534</v>
      </c>
      <c r="F2243" s="11">
        <v>3404</v>
      </c>
      <c r="G2243" s="11">
        <v>3760</v>
      </c>
      <c r="H2243" s="11">
        <v>7164</v>
      </c>
      <c r="I2243" s="11">
        <v>7745</v>
      </c>
      <c r="J2243" s="66">
        <f t="shared" si="138"/>
        <v>47.515354550530432</v>
      </c>
      <c r="K2243" s="66">
        <f t="shared" si="139"/>
        <v>52.484645449469568</v>
      </c>
    </row>
    <row r="2244" spans="1:11" x14ac:dyDescent="0.3">
      <c r="A2244" s="10">
        <v>83</v>
      </c>
      <c r="B2244" s="10" t="s">
        <v>2531</v>
      </c>
      <c r="C2244" s="10" t="str" cm="1">
        <f t="array" ref="C2244">_xlfn.IFS(A2244&lt;20, "ภาคกลาง", A2244&lt;30, "ภาคตะวันออก", A2244&lt;50, "ภาคตะวันออกเฉียงเหนือ", A2244&lt;60, "ภาคเหนือ", A2244&lt;80, "ภาคกลาง/ตะวันตก", A2244&gt;=80, "ภาคใต้")</f>
        <v>ภาคใต้</v>
      </c>
      <c r="D2244" s="64">
        <v>8391</v>
      </c>
      <c r="E2244" s="10" t="s">
        <v>2535</v>
      </c>
      <c r="F2244" s="11">
        <v>48607</v>
      </c>
      <c r="G2244" s="11">
        <v>51911</v>
      </c>
      <c r="H2244" s="11">
        <v>100518</v>
      </c>
      <c r="I2244" s="11">
        <v>79963</v>
      </c>
      <c r="J2244" s="66">
        <f t="shared" si="138"/>
        <v>48.356513261306432</v>
      </c>
      <c r="K2244" s="66">
        <f t="shared" si="139"/>
        <v>51.643486738693568</v>
      </c>
    </row>
    <row r="2245" spans="1:11" x14ac:dyDescent="0.3">
      <c r="A2245" s="10">
        <v>83</v>
      </c>
      <c r="B2245" s="10" t="s">
        <v>2531</v>
      </c>
      <c r="C2245" s="10" t="str" cm="1">
        <f t="array" ref="C2245">_xlfn.IFS(A2245&lt;20, "ภาคกลาง", A2245&lt;30, "ภาคตะวันออก", A2245&lt;50, "ภาคตะวันออกเฉียงเหนือ", A2245&lt;60, "ภาคเหนือ", A2245&lt;80, "ภาคกลาง/ตะวันตก", A2245&gt;=80, "ภาคใต้")</f>
        <v>ภาคใต้</v>
      </c>
      <c r="D2245" s="64">
        <v>8392</v>
      </c>
      <c r="E2245" s="10" t="s">
        <v>2536</v>
      </c>
      <c r="F2245" s="11">
        <v>25810</v>
      </c>
      <c r="G2245" s="11">
        <v>29824</v>
      </c>
      <c r="H2245" s="11">
        <v>55634</v>
      </c>
      <c r="I2245" s="11">
        <v>36111</v>
      </c>
      <c r="J2245" s="66">
        <f t="shared" si="138"/>
        <v>46.392493798756156</v>
      </c>
      <c r="K2245" s="66">
        <f t="shared" si="139"/>
        <v>53.607506201243851</v>
      </c>
    </row>
    <row r="2246" spans="1:11" x14ac:dyDescent="0.3">
      <c r="A2246" s="10">
        <v>83</v>
      </c>
      <c r="B2246" s="10" t="s">
        <v>2531</v>
      </c>
      <c r="C2246" s="10" t="str" cm="1">
        <f t="array" ref="C2246">_xlfn.IFS(A2246&lt;20, "ภาคกลาง", A2246&lt;30, "ภาคตะวันออก", A2246&lt;50, "ภาคตะวันออกเฉียงเหนือ", A2246&lt;60, "ภาคเหนือ", A2246&lt;80, "ภาคกลาง/ตะวันตก", A2246&gt;=80, "ภาคใต้")</f>
        <v>ภาคใต้</v>
      </c>
      <c r="D2246" s="64">
        <v>8393</v>
      </c>
      <c r="E2246" s="10" t="s">
        <v>2537</v>
      </c>
      <c r="F2246" s="11">
        <v>9104</v>
      </c>
      <c r="G2246" s="11">
        <v>10414</v>
      </c>
      <c r="H2246" s="11">
        <v>19518</v>
      </c>
      <c r="I2246" s="11">
        <v>21246</v>
      </c>
      <c r="J2246" s="66">
        <f t="shared" si="138"/>
        <v>46.644123373296445</v>
      </c>
      <c r="K2246" s="66">
        <f t="shared" si="139"/>
        <v>53.355876626703555</v>
      </c>
    </row>
    <row r="2247" spans="1:11" ht="27.6" x14ac:dyDescent="0.3">
      <c r="A2247" s="10">
        <v>83</v>
      </c>
      <c r="B2247" s="10" t="s">
        <v>2531</v>
      </c>
      <c r="C2247" s="10" t="str" cm="1">
        <f t="array" ref="C2247">_xlfn.IFS(A2247&lt;20, "ภาคกลาง", A2247&lt;30, "ภาคตะวันออก", A2247&lt;50, "ภาคตะวันออกเฉียงเหนือ", A2247&lt;60, "ภาคเหนือ", A2247&lt;80, "ภาคกลาง/ตะวันตก", A2247&gt;=80, "ภาคใต้")</f>
        <v>ภาคใต้</v>
      </c>
      <c r="D2247" s="64">
        <v>8394</v>
      </c>
      <c r="E2247" s="10" t="s">
        <v>2538</v>
      </c>
      <c r="F2247" s="11">
        <v>24093</v>
      </c>
      <c r="G2247" s="11">
        <v>27129</v>
      </c>
      <c r="H2247" s="11">
        <v>51222</v>
      </c>
      <c r="I2247" s="11">
        <v>32097</v>
      </c>
      <c r="J2247" s="66">
        <f t="shared" si="138"/>
        <v>47.036429659130839</v>
      </c>
      <c r="K2247" s="66">
        <f t="shared" si="139"/>
        <v>52.963570340869161</v>
      </c>
    </row>
    <row r="2248" spans="1:11" ht="27.6" x14ac:dyDescent="0.3">
      <c r="A2248" s="10">
        <v>83</v>
      </c>
      <c r="B2248" s="10" t="s">
        <v>2531</v>
      </c>
      <c r="C2248" s="10" t="str" cm="1">
        <f t="array" ref="C2248">_xlfn.IFS(A2248&lt;20, "ภาคกลาง", A2248&lt;30, "ภาคตะวันออก", A2248&lt;50, "ภาคตะวันออกเฉียงเหนือ", A2248&lt;60, "ภาคเหนือ", A2248&lt;80, "ภาคกลาง/ตะวันตก", A2248&gt;=80, "ภาคใต้")</f>
        <v>ภาคใต้</v>
      </c>
      <c r="D2248" s="64">
        <v>8395</v>
      </c>
      <c r="E2248" s="10" t="s">
        <v>2539</v>
      </c>
      <c r="F2248" s="11">
        <v>4808</v>
      </c>
      <c r="G2248" s="11">
        <v>5106</v>
      </c>
      <c r="H2248" s="11">
        <v>9914</v>
      </c>
      <c r="I2248" s="11">
        <v>5270</v>
      </c>
      <c r="J2248" s="66">
        <f t="shared" si="138"/>
        <v>48.497074843655433</v>
      </c>
      <c r="K2248" s="66">
        <f t="shared" si="139"/>
        <v>51.50292515634456</v>
      </c>
    </row>
    <row r="2249" spans="1:11" x14ac:dyDescent="0.3">
      <c r="A2249" s="10">
        <v>83</v>
      </c>
      <c r="B2249" s="10" t="s">
        <v>2531</v>
      </c>
      <c r="C2249" s="10" t="str" cm="1">
        <f t="array" ref="C2249">_xlfn.IFS(A2249&lt;20, "ภาคกลาง", A2249&lt;30, "ภาคตะวันออก", A2249&lt;50, "ภาคตะวันออกเฉียงเหนือ", A2249&lt;60, "ภาคเหนือ", A2249&lt;80, "ภาคกลาง/ตะวันตก", A2249&gt;=80, "ภาคใต้")</f>
        <v>ภาคใต้</v>
      </c>
      <c r="D2249" s="64">
        <v>8396</v>
      </c>
      <c r="E2249" s="10" t="s">
        <v>2540</v>
      </c>
      <c r="F2249" s="11">
        <v>3092</v>
      </c>
      <c r="G2249" s="11">
        <v>3864</v>
      </c>
      <c r="H2249" s="11">
        <v>6956</v>
      </c>
      <c r="I2249" s="11">
        <v>3815</v>
      </c>
      <c r="J2249" s="66">
        <f t="shared" si="138"/>
        <v>44.45083381253594</v>
      </c>
      <c r="K2249" s="66">
        <f t="shared" si="139"/>
        <v>55.54916618746406</v>
      </c>
    </row>
    <row r="2250" spans="1:11" x14ac:dyDescent="0.3">
      <c r="A2250" s="10">
        <v>83</v>
      </c>
      <c r="B2250" s="10" t="s">
        <v>2531</v>
      </c>
      <c r="C2250" s="10" t="str" cm="1">
        <f t="array" ref="C2250">_xlfn.IFS(A2250&lt;20, "ภาคกลาง", A2250&lt;30, "ภาคตะวันออก", A2250&lt;50, "ภาคตะวันออกเฉียงเหนือ", A2250&lt;60, "ภาคเหนือ", A2250&lt;80, "ภาคกลาง/ตะวันตก", A2250&gt;=80, "ภาคใต้")</f>
        <v>ภาคใต้</v>
      </c>
      <c r="D2250" s="64">
        <v>8397</v>
      </c>
      <c r="E2250" s="10" t="s">
        <v>2541</v>
      </c>
      <c r="F2250" s="11">
        <v>15048</v>
      </c>
      <c r="G2250" s="11">
        <v>17711</v>
      </c>
      <c r="H2250" s="11">
        <v>32759</v>
      </c>
      <c r="I2250" s="11">
        <v>22837</v>
      </c>
      <c r="J2250" s="66">
        <f t="shared" si="138"/>
        <v>45.935468115632347</v>
      </c>
      <c r="K2250" s="66">
        <f t="shared" si="139"/>
        <v>54.064531884367653</v>
      </c>
    </row>
    <row r="2251" spans="1:11" x14ac:dyDescent="0.3">
      <c r="A2251" s="10">
        <v>83</v>
      </c>
      <c r="B2251" s="10" t="s">
        <v>2531</v>
      </c>
      <c r="C2251" s="10" t="str" cm="1">
        <f t="array" ref="C2251">_xlfn.IFS(A2251&lt;20, "ภาคกลาง", A2251&lt;30, "ภาคตะวันออก", A2251&lt;50, "ภาคตะวันออกเฉียงเหนือ", A2251&lt;60, "ภาคเหนือ", A2251&lt;80, "ภาคกลาง/ตะวันตก", A2251&gt;=80, "ภาคใต้")</f>
        <v>ภาคใต้</v>
      </c>
      <c r="D2251" s="64">
        <v>8398</v>
      </c>
      <c r="E2251" s="10" t="s">
        <v>2542</v>
      </c>
      <c r="F2251" s="11">
        <v>3603</v>
      </c>
      <c r="G2251" s="11">
        <v>4024</v>
      </c>
      <c r="H2251" s="11">
        <v>7627</v>
      </c>
      <c r="I2251" s="11">
        <v>9210</v>
      </c>
      <c r="J2251" s="66">
        <f t="shared" si="138"/>
        <v>47.240068178838335</v>
      </c>
      <c r="K2251" s="66">
        <f t="shared" si="139"/>
        <v>52.759931821161665</v>
      </c>
    </row>
    <row r="2252" spans="1:11" x14ac:dyDescent="0.3">
      <c r="A2252" s="10">
        <v>83</v>
      </c>
      <c r="B2252" s="10" t="s">
        <v>2531</v>
      </c>
      <c r="C2252" s="10" t="str" cm="1">
        <f t="array" ref="C2252">_xlfn.IFS(A2252&lt;20, "ภาคกลาง", A2252&lt;30, "ภาคตะวันออก", A2252&lt;50, "ภาคตะวันออกเฉียงเหนือ", A2252&lt;60, "ภาคเหนือ", A2252&lt;80, "ภาคกลาง/ตะวันตก", A2252&gt;=80, "ภาคใต้")</f>
        <v>ภาคใต้</v>
      </c>
      <c r="D2252" s="64">
        <v>8399</v>
      </c>
      <c r="E2252" s="10" t="s">
        <v>2543</v>
      </c>
      <c r="F2252" s="11">
        <v>9469</v>
      </c>
      <c r="G2252" s="11">
        <v>10288</v>
      </c>
      <c r="H2252" s="11">
        <v>19757</v>
      </c>
      <c r="I2252" s="11">
        <v>16662</v>
      </c>
      <c r="J2252" s="66">
        <f t="shared" si="138"/>
        <v>47.927316900339122</v>
      </c>
      <c r="K2252" s="66">
        <f t="shared" si="139"/>
        <v>52.072683099660878</v>
      </c>
    </row>
    <row r="2253" spans="1:11" hidden="1" x14ac:dyDescent="0.3">
      <c r="A2253" s="10">
        <v>83</v>
      </c>
      <c r="B2253" s="10" t="s">
        <v>2531</v>
      </c>
      <c r="C2253" s="10" t="str" cm="1">
        <f t="array" ref="C2253">_xlfn.IFS(A2253&lt;20, "ภาคกลาง", A2253&lt;30, "ภาคตะวันออก", A2253&lt;50, "ภาคตะวันออกเฉียงเหนือ", A2253&lt;60, "ภาคเหนือ", A2253&lt;80, "ภาคกลาง/ตะวันตก", A2253&gt;=80, "ภาคใต้")</f>
        <v>ภาคใต้</v>
      </c>
      <c r="D2253" s="10">
        <v>0</v>
      </c>
      <c r="E2253" s="10" t="s">
        <v>343</v>
      </c>
      <c r="F2253" s="11">
        <v>32784</v>
      </c>
      <c r="G2253" s="11">
        <v>38500</v>
      </c>
      <c r="H2253" s="11">
        <v>71284</v>
      </c>
      <c r="I2253" s="11">
        <v>27008</v>
      </c>
      <c r="J2253"/>
      <c r="K2253"/>
    </row>
    <row r="2254" spans="1:11" x14ac:dyDescent="0.3">
      <c r="A2254" s="10">
        <v>84</v>
      </c>
      <c r="B2254" s="10" t="s">
        <v>2544</v>
      </c>
      <c r="C2254" s="10" t="str" cm="1">
        <f t="array" ref="C2254">_xlfn.IFS(A2254&lt;20, "ภาคกลาง", A2254&lt;30, "ภาคตะวันออก", A2254&lt;50, "ภาคตะวันออกเฉียงเหนือ", A2254&lt;60, "ภาคเหนือ", A2254&lt;80, "ภาคกลาง/ตะวันตก", A2254&gt;=80, "ภาคใต้")</f>
        <v>ภาคใต้</v>
      </c>
      <c r="D2254" s="64">
        <v>8401</v>
      </c>
      <c r="E2254" s="10" t="s">
        <v>2545</v>
      </c>
      <c r="F2254" s="11">
        <v>529077</v>
      </c>
      <c r="G2254" s="11">
        <v>547589</v>
      </c>
      <c r="H2254" s="11">
        <v>1076666</v>
      </c>
      <c r="I2254" s="11">
        <v>550373</v>
      </c>
      <c r="J2254" s="66">
        <f t="shared" ref="J2254:J2300" si="140">F2254/H2254*100</f>
        <v>49.14030906520685</v>
      </c>
      <c r="K2254" s="66">
        <f t="shared" ref="K2254:K2300" si="141">G2254/H2254*100</f>
        <v>50.859690934793143</v>
      </c>
    </row>
    <row r="2255" spans="1:11" x14ac:dyDescent="0.3">
      <c r="A2255" s="10">
        <v>84</v>
      </c>
      <c r="B2255" s="10" t="s">
        <v>2544</v>
      </c>
      <c r="C2255" s="10" t="str" cm="1">
        <f t="array" ref="C2255">_xlfn.IFS(A2255&lt;20, "ภาคกลาง", A2255&lt;30, "ภาคตะวันออก", A2255&lt;50, "ภาคตะวันออกเฉียงเหนือ", A2255&lt;60, "ภาคเหนือ", A2255&lt;80, "ภาคกลาง/ตะวันตก", A2255&gt;=80, "ภาคใต้")</f>
        <v>ภาคใต้</v>
      </c>
      <c r="D2255" s="64">
        <v>8402</v>
      </c>
      <c r="E2255" s="10" t="s">
        <v>2546</v>
      </c>
      <c r="F2255" s="11">
        <v>9133</v>
      </c>
      <c r="G2255" s="11">
        <v>10044</v>
      </c>
      <c r="H2255" s="11">
        <v>19177</v>
      </c>
      <c r="I2255" s="11">
        <v>8794</v>
      </c>
      <c r="J2255" s="66">
        <f t="shared" si="140"/>
        <v>47.624758825676594</v>
      </c>
      <c r="K2255" s="66">
        <f t="shared" si="141"/>
        <v>52.375241174323406</v>
      </c>
    </row>
    <row r="2256" spans="1:11" x14ac:dyDescent="0.3">
      <c r="A2256" s="10">
        <v>84</v>
      </c>
      <c r="B2256" s="10" t="s">
        <v>2544</v>
      </c>
      <c r="C2256" s="10" t="str" cm="1">
        <f t="array" ref="C2256">_xlfn.IFS(A2256&lt;20, "ภาคกลาง", A2256&lt;30, "ภาคตะวันออก", A2256&lt;50, "ภาคตะวันออกเฉียงเหนือ", A2256&lt;60, "ภาคเหนือ", A2256&lt;80, "ภาคกลาง/ตะวันตก", A2256&gt;=80, "ภาคใต้")</f>
        <v>ภาคใต้</v>
      </c>
      <c r="D2256" s="64">
        <v>8403</v>
      </c>
      <c r="E2256" s="10" t="s">
        <v>2547</v>
      </c>
      <c r="F2256" s="11">
        <v>41142</v>
      </c>
      <c r="G2256" s="11">
        <v>41970</v>
      </c>
      <c r="H2256" s="11">
        <v>83112</v>
      </c>
      <c r="I2256" s="11">
        <v>36100</v>
      </c>
      <c r="J2256" s="66">
        <f t="shared" si="140"/>
        <v>49.501876985272887</v>
      </c>
      <c r="K2256" s="66">
        <f t="shared" si="141"/>
        <v>50.498123014727113</v>
      </c>
    </row>
    <row r="2257" spans="1:11" x14ac:dyDescent="0.3">
      <c r="A2257" s="10">
        <v>84</v>
      </c>
      <c r="B2257" s="10" t="s">
        <v>2544</v>
      </c>
      <c r="C2257" s="10" t="str" cm="1">
        <f t="array" ref="C2257">_xlfn.IFS(A2257&lt;20, "ภาคกลาง", A2257&lt;30, "ภาคตะวันออก", A2257&lt;50, "ภาคตะวันออกเฉียงเหนือ", A2257&lt;60, "ภาคเหนือ", A2257&lt;80, "ภาคกลาง/ตะวันตก", A2257&gt;=80, "ภาคใต้")</f>
        <v>ภาคใต้</v>
      </c>
      <c r="D2257" s="64">
        <v>8405</v>
      </c>
      <c r="E2257" s="10" t="s">
        <v>2548</v>
      </c>
      <c r="F2257" s="11">
        <v>12458</v>
      </c>
      <c r="G2257" s="11">
        <v>12419</v>
      </c>
      <c r="H2257" s="11">
        <v>24877</v>
      </c>
      <c r="I2257" s="11">
        <v>11061</v>
      </c>
      <c r="J2257" s="66">
        <f t="shared" si="140"/>
        <v>50.078385657434573</v>
      </c>
      <c r="K2257" s="66">
        <f t="shared" si="141"/>
        <v>49.921614342565427</v>
      </c>
    </row>
    <row r="2258" spans="1:11" x14ac:dyDescent="0.3">
      <c r="A2258" s="10">
        <v>84</v>
      </c>
      <c r="B2258" s="10" t="s">
        <v>2544</v>
      </c>
      <c r="C2258" s="10" t="str" cm="1">
        <f t="array" ref="C2258">_xlfn.IFS(A2258&lt;20, "ภาคกลาง", A2258&lt;30, "ภาคตะวันออก", A2258&lt;50, "ภาคตะวันออกเฉียงเหนือ", A2258&lt;60, "ภาคเหนือ", A2258&lt;80, "ภาคกลาง/ตะวันตก", A2258&gt;=80, "ภาคใต้")</f>
        <v>ภาคใต้</v>
      </c>
      <c r="D2258" s="64">
        <v>8406</v>
      </c>
      <c r="E2258" s="10" t="s">
        <v>2549</v>
      </c>
      <c r="F2258" s="11">
        <v>5937</v>
      </c>
      <c r="G2258" s="11">
        <v>5682</v>
      </c>
      <c r="H2258" s="11">
        <v>11619</v>
      </c>
      <c r="I2258" s="11">
        <v>14031</v>
      </c>
      <c r="J2258" s="66">
        <f t="shared" si="140"/>
        <v>51.09734056287116</v>
      </c>
      <c r="K2258" s="66">
        <f t="shared" si="141"/>
        <v>48.90265943712884</v>
      </c>
    </row>
    <row r="2259" spans="1:11" x14ac:dyDescent="0.3">
      <c r="A2259" s="10">
        <v>84</v>
      </c>
      <c r="B2259" s="10" t="s">
        <v>2544</v>
      </c>
      <c r="C2259" s="10" t="str" cm="1">
        <f t="array" ref="C2259">_xlfn.IFS(A2259&lt;20, "ภาคกลาง", A2259&lt;30, "ภาคตะวันออก", A2259&lt;50, "ภาคตะวันออกเฉียงเหนือ", A2259&lt;60, "ภาคเหนือ", A2259&lt;80, "ภาคกลาง/ตะวันตก", A2259&gt;=80, "ภาคใต้")</f>
        <v>ภาคใต้</v>
      </c>
      <c r="D2259" s="64">
        <v>8407</v>
      </c>
      <c r="E2259" s="10" t="s">
        <v>2550</v>
      </c>
      <c r="F2259" s="11">
        <v>18939</v>
      </c>
      <c r="G2259" s="11">
        <v>19770</v>
      </c>
      <c r="H2259" s="11">
        <v>38709</v>
      </c>
      <c r="I2259" s="11">
        <v>17756</v>
      </c>
      <c r="J2259" s="66">
        <f t="shared" si="140"/>
        <v>48.926606215608778</v>
      </c>
      <c r="K2259" s="66">
        <f t="shared" si="141"/>
        <v>51.073393784391229</v>
      </c>
    </row>
    <row r="2260" spans="1:11" x14ac:dyDescent="0.3">
      <c r="A2260" s="10">
        <v>84</v>
      </c>
      <c r="B2260" s="10" t="s">
        <v>2544</v>
      </c>
      <c r="C2260" s="10" t="str" cm="1">
        <f t="array" ref="C2260">_xlfn.IFS(A2260&lt;20, "ภาคกลาง", A2260&lt;30, "ภาคตะวันออก", A2260&lt;50, "ภาคตะวันออกเฉียงเหนือ", A2260&lt;60, "ภาคเหนือ", A2260&lt;80, "ภาคกลาง/ตะวันตก", A2260&gt;=80, "ภาคใต้")</f>
        <v>ภาคใต้</v>
      </c>
      <c r="D2260" s="64">
        <v>8408</v>
      </c>
      <c r="E2260" s="10" t="s">
        <v>2551</v>
      </c>
      <c r="F2260" s="11">
        <v>26010</v>
      </c>
      <c r="G2260" s="11">
        <v>25584</v>
      </c>
      <c r="H2260" s="11">
        <v>51594</v>
      </c>
      <c r="I2260" s="11">
        <v>23599</v>
      </c>
      <c r="J2260" s="66">
        <f t="shared" si="140"/>
        <v>50.412838702174668</v>
      </c>
      <c r="K2260" s="66">
        <f t="shared" si="141"/>
        <v>49.587161297825325</v>
      </c>
    </row>
    <row r="2261" spans="1:11" x14ac:dyDescent="0.3">
      <c r="A2261" s="10">
        <v>84</v>
      </c>
      <c r="B2261" s="10" t="s">
        <v>2544</v>
      </c>
      <c r="C2261" s="10" t="str" cm="1">
        <f t="array" ref="C2261">_xlfn.IFS(A2261&lt;20, "ภาคกลาง", A2261&lt;30, "ภาคตะวันออก", A2261&lt;50, "ภาคตะวันออกเฉียงเหนือ", A2261&lt;60, "ภาคเหนือ", A2261&lt;80, "ภาคกลาง/ตะวันตก", A2261&gt;=80, "ภาคใต้")</f>
        <v>ภาคใต้</v>
      </c>
      <c r="D2261" s="64">
        <v>8409</v>
      </c>
      <c r="E2261" s="10" t="s">
        <v>2552</v>
      </c>
      <c r="F2261" s="11">
        <v>21053</v>
      </c>
      <c r="G2261" s="11">
        <v>21195</v>
      </c>
      <c r="H2261" s="11">
        <v>42248</v>
      </c>
      <c r="I2261" s="11">
        <v>17704</v>
      </c>
      <c r="J2261" s="66">
        <f t="shared" si="140"/>
        <v>49.831944707441771</v>
      </c>
      <c r="K2261" s="66">
        <f t="shared" si="141"/>
        <v>50.168055292558222</v>
      </c>
    </row>
    <row r="2262" spans="1:11" x14ac:dyDescent="0.3">
      <c r="A2262" s="10">
        <v>84</v>
      </c>
      <c r="B2262" s="10" t="s">
        <v>2544</v>
      </c>
      <c r="C2262" s="10" t="str" cm="1">
        <f t="array" ref="C2262">_xlfn.IFS(A2262&lt;20, "ภาคกลาง", A2262&lt;30, "ภาคตะวันออก", A2262&lt;50, "ภาคตะวันออกเฉียงเหนือ", A2262&lt;60, "ภาคเหนือ", A2262&lt;80, "ภาคกลาง/ตะวันตก", A2262&gt;=80, "ภาคใต้")</f>
        <v>ภาคใต้</v>
      </c>
      <c r="D2262" s="64">
        <v>8410</v>
      </c>
      <c r="E2262" s="10" t="s">
        <v>2553</v>
      </c>
      <c r="F2262" s="11">
        <v>4613</v>
      </c>
      <c r="G2262" s="11">
        <v>4674</v>
      </c>
      <c r="H2262" s="11">
        <v>9287</v>
      </c>
      <c r="I2262" s="11">
        <v>4136</v>
      </c>
      <c r="J2262" s="66">
        <f t="shared" si="140"/>
        <v>49.671583934532144</v>
      </c>
      <c r="K2262" s="66">
        <f t="shared" si="141"/>
        <v>50.328416065467863</v>
      </c>
    </row>
    <row r="2263" spans="1:11" x14ac:dyDescent="0.3">
      <c r="A2263" s="10">
        <v>84</v>
      </c>
      <c r="B2263" s="10" t="s">
        <v>2544</v>
      </c>
      <c r="C2263" s="10" t="str" cm="1">
        <f t="array" ref="C2263">_xlfn.IFS(A2263&lt;20, "ภาคกลาง", A2263&lt;30, "ภาคตะวันออก", A2263&lt;50, "ภาคตะวันออกเฉียงเหนือ", A2263&lt;60, "ภาคเหนือ", A2263&lt;80, "ภาคกลาง/ตะวันตก", A2263&gt;=80, "ภาคใต้")</f>
        <v>ภาคใต้</v>
      </c>
      <c r="D2263" s="64">
        <v>8411</v>
      </c>
      <c r="E2263" s="10" t="s">
        <v>2554</v>
      </c>
      <c r="F2263" s="11">
        <v>12499</v>
      </c>
      <c r="G2263" s="11">
        <v>12016</v>
      </c>
      <c r="H2263" s="11">
        <v>24515</v>
      </c>
      <c r="I2263" s="11">
        <v>9865</v>
      </c>
      <c r="J2263" s="66">
        <f t="shared" si="140"/>
        <v>50.98511115643484</v>
      </c>
      <c r="K2263" s="66">
        <f t="shared" si="141"/>
        <v>49.01488884356516</v>
      </c>
    </row>
    <row r="2264" spans="1:11" x14ac:dyDescent="0.3">
      <c r="A2264" s="10">
        <v>84</v>
      </c>
      <c r="B2264" s="10" t="s">
        <v>2544</v>
      </c>
      <c r="C2264" s="10" t="str" cm="1">
        <f t="array" ref="C2264">_xlfn.IFS(A2264&lt;20, "ภาคกลาง", A2264&lt;30, "ภาคตะวันออก", A2264&lt;50, "ภาคตะวันออกเฉียงเหนือ", A2264&lt;60, "ภาคเหนือ", A2264&lt;80, "ภาคกลาง/ตะวันตก", A2264&gt;=80, "ภาคใต้")</f>
        <v>ภาคใต้</v>
      </c>
      <c r="D2264" s="64">
        <v>8412</v>
      </c>
      <c r="E2264" s="10" t="s">
        <v>2555</v>
      </c>
      <c r="F2264" s="11">
        <v>14912</v>
      </c>
      <c r="G2264" s="11">
        <v>14745</v>
      </c>
      <c r="H2264" s="11">
        <v>29657</v>
      </c>
      <c r="I2264" s="11">
        <v>13632</v>
      </c>
      <c r="J2264" s="66">
        <f t="shared" si="140"/>
        <v>50.281552415955765</v>
      </c>
      <c r="K2264" s="66">
        <f t="shared" si="141"/>
        <v>49.718447584044242</v>
      </c>
    </row>
    <row r="2265" spans="1:11" x14ac:dyDescent="0.3">
      <c r="A2265" s="10">
        <v>84</v>
      </c>
      <c r="B2265" s="10" t="s">
        <v>2544</v>
      </c>
      <c r="C2265" s="10" t="str" cm="1">
        <f t="array" ref="C2265">_xlfn.IFS(A2265&lt;20, "ภาคกลาง", A2265&lt;30, "ภาคตะวันออก", A2265&lt;50, "ภาคตะวันออกเฉียงเหนือ", A2265&lt;60, "ภาคเหนือ", A2265&lt;80, "ภาคกลาง/ตะวันตก", A2265&gt;=80, "ภาคใต้")</f>
        <v>ภาคใต้</v>
      </c>
      <c r="D2265" s="64">
        <v>8413</v>
      </c>
      <c r="E2265" s="10" t="s">
        <v>2556</v>
      </c>
      <c r="F2265" s="11">
        <v>25135</v>
      </c>
      <c r="G2265" s="11">
        <v>25621</v>
      </c>
      <c r="H2265" s="11">
        <v>50756</v>
      </c>
      <c r="I2265" s="11">
        <v>19007</v>
      </c>
      <c r="J2265" s="66">
        <f t="shared" si="140"/>
        <v>49.521238868311137</v>
      </c>
      <c r="K2265" s="66">
        <f t="shared" si="141"/>
        <v>50.478761131688863</v>
      </c>
    </row>
    <row r="2266" spans="1:11" x14ac:dyDescent="0.3">
      <c r="A2266" s="10">
        <v>84</v>
      </c>
      <c r="B2266" s="10" t="s">
        <v>2544</v>
      </c>
      <c r="C2266" s="10" t="str" cm="1">
        <f t="array" ref="C2266">_xlfn.IFS(A2266&lt;20, "ภาคกลาง", A2266&lt;30, "ภาคตะวันออก", A2266&lt;50, "ภาคตะวันออกเฉียงเหนือ", A2266&lt;60, "ภาคเหนือ", A2266&lt;80, "ภาคกลาง/ตะวันตก", A2266&gt;=80, "ภาคใต้")</f>
        <v>ภาคใต้</v>
      </c>
      <c r="D2266" s="64">
        <v>8414</v>
      </c>
      <c r="E2266" s="10" t="s">
        <v>2557</v>
      </c>
      <c r="F2266" s="11">
        <v>10286</v>
      </c>
      <c r="G2266" s="11">
        <v>10484</v>
      </c>
      <c r="H2266" s="11">
        <v>20770</v>
      </c>
      <c r="I2266" s="11">
        <v>8086</v>
      </c>
      <c r="J2266" s="66">
        <f t="shared" si="140"/>
        <v>49.523350987000484</v>
      </c>
      <c r="K2266" s="66">
        <f t="shared" si="141"/>
        <v>50.476649012999516</v>
      </c>
    </row>
    <row r="2267" spans="1:11" x14ac:dyDescent="0.3">
      <c r="A2267" s="10">
        <v>84</v>
      </c>
      <c r="B2267" s="10" t="s">
        <v>2544</v>
      </c>
      <c r="C2267" s="10" t="str" cm="1">
        <f t="array" ref="C2267">_xlfn.IFS(A2267&lt;20, "ภาคกลาง", A2267&lt;30, "ภาคตะวันออก", A2267&lt;50, "ภาคตะวันออกเฉียงเหนือ", A2267&lt;60, "ภาคเหนือ", A2267&lt;80, "ภาคกลาง/ตะวันตก", A2267&gt;=80, "ภาคใต้")</f>
        <v>ภาคใต้</v>
      </c>
      <c r="D2267" s="64">
        <v>8415</v>
      </c>
      <c r="E2267" s="10" t="s">
        <v>2558</v>
      </c>
      <c r="F2267" s="11">
        <v>13791</v>
      </c>
      <c r="G2267" s="11">
        <v>13784</v>
      </c>
      <c r="H2267" s="11">
        <v>27575</v>
      </c>
      <c r="I2267" s="11">
        <v>11781</v>
      </c>
      <c r="J2267" s="66">
        <f t="shared" si="140"/>
        <v>50.012692656391657</v>
      </c>
      <c r="K2267" s="66">
        <f t="shared" si="141"/>
        <v>49.987307343608336</v>
      </c>
    </row>
    <row r="2268" spans="1:11" x14ac:dyDescent="0.3">
      <c r="A2268" s="10">
        <v>84</v>
      </c>
      <c r="B2268" s="10" t="s">
        <v>2544</v>
      </c>
      <c r="C2268" s="10" t="str" cm="1">
        <f t="array" ref="C2268">_xlfn.IFS(A2268&lt;20, "ภาคกลาง", A2268&lt;30, "ภาคตะวันออก", A2268&lt;50, "ภาคตะวันออกเฉียงเหนือ", A2268&lt;60, "ภาคเหนือ", A2268&lt;80, "ภาคกลาง/ตะวันตก", A2268&gt;=80, "ภาคใต้")</f>
        <v>ภาคใต้</v>
      </c>
      <c r="D2268" s="64">
        <v>8416</v>
      </c>
      <c r="E2268" s="10" t="s">
        <v>2559</v>
      </c>
      <c r="F2268" s="11">
        <v>8560</v>
      </c>
      <c r="G2268" s="11">
        <v>8833</v>
      </c>
      <c r="H2268" s="11">
        <v>17393</v>
      </c>
      <c r="I2268" s="11">
        <v>7281</v>
      </c>
      <c r="J2268" s="66">
        <f t="shared" si="140"/>
        <v>49.215201517852009</v>
      </c>
      <c r="K2268" s="66">
        <f t="shared" si="141"/>
        <v>50.784798482147984</v>
      </c>
    </row>
    <row r="2269" spans="1:11" x14ac:dyDescent="0.3">
      <c r="A2269" s="10">
        <v>84</v>
      </c>
      <c r="B2269" s="10" t="s">
        <v>2544</v>
      </c>
      <c r="C2269" s="10" t="str" cm="1">
        <f t="array" ref="C2269">_xlfn.IFS(A2269&lt;20, "ภาคกลาง", A2269&lt;30, "ภาคตะวันออก", A2269&lt;50, "ภาคตะวันออกเฉียงเหนือ", A2269&lt;60, "ภาคเหนือ", A2269&lt;80, "ภาคกลาง/ตะวันตก", A2269&gt;=80, "ภาคใต้")</f>
        <v>ภาคใต้</v>
      </c>
      <c r="D2269" s="64">
        <v>8417</v>
      </c>
      <c r="E2269" s="10" t="s">
        <v>2560</v>
      </c>
      <c r="F2269" s="11">
        <v>31583</v>
      </c>
      <c r="G2269" s="11">
        <v>31205</v>
      </c>
      <c r="H2269" s="11">
        <v>62788</v>
      </c>
      <c r="I2269" s="11">
        <v>25331</v>
      </c>
      <c r="J2269" s="66">
        <f t="shared" si="140"/>
        <v>50.30101293240746</v>
      </c>
      <c r="K2269" s="66">
        <f t="shared" si="141"/>
        <v>49.698987067592533</v>
      </c>
    </row>
    <row r="2270" spans="1:11" x14ac:dyDescent="0.3">
      <c r="A2270" s="10">
        <v>84</v>
      </c>
      <c r="B2270" s="10" t="s">
        <v>2544</v>
      </c>
      <c r="C2270" s="10" t="str" cm="1">
        <f t="array" ref="C2270">_xlfn.IFS(A2270&lt;20, "ภาคกลาง", A2270&lt;30, "ภาคตะวันออก", A2270&lt;50, "ภาคตะวันออกเฉียงเหนือ", A2270&lt;60, "ภาคเหนือ", A2270&lt;80, "ภาคกลาง/ตะวันตก", A2270&gt;=80, "ภาคใต้")</f>
        <v>ภาคใต้</v>
      </c>
      <c r="D2270" s="64">
        <v>8418</v>
      </c>
      <c r="E2270" s="10" t="s">
        <v>2561</v>
      </c>
      <c r="F2270" s="11">
        <v>37668</v>
      </c>
      <c r="G2270" s="11">
        <v>37830</v>
      </c>
      <c r="H2270" s="11">
        <v>75498</v>
      </c>
      <c r="I2270" s="11">
        <v>38068</v>
      </c>
      <c r="J2270" s="66">
        <f t="shared" si="140"/>
        <v>49.892712389732182</v>
      </c>
      <c r="K2270" s="66">
        <f t="shared" si="141"/>
        <v>50.107287610267825</v>
      </c>
    </row>
    <row r="2271" spans="1:11" x14ac:dyDescent="0.3">
      <c r="A2271" s="10">
        <v>84</v>
      </c>
      <c r="B2271" s="10" t="s">
        <v>2544</v>
      </c>
      <c r="C2271" s="10" t="str" cm="1">
        <f t="array" ref="C2271">_xlfn.IFS(A2271&lt;20, "ภาคกลาง", A2271&lt;30, "ภาคตะวันออก", A2271&lt;50, "ภาคตะวันออกเฉียงเหนือ", A2271&lt;60, "ภาคเหนือ", A2271&lt;80, "ภาคกลาง/ตะวันตก", A2271&gt;=80, "ภาคใต้")</f>
        <v>ภาคใต้</v>
      </c>
      <c r="D2271" s="64">
        <v>8419</v>
      </c>
      <c r="E2271" s="10" t="s">
        <v>2562</v>
      </c>
      <c r="F2271" s="11">
        <v>14313</v>
      </c>
      <c r="G2271" s="11">
        <v>14090</v>
      </c>
      <c r="H2271" s="11">
        <v>28403</v>
      </c>
      <c r="I2271" s="11">
        <v>12017</v>
      </c>
      <c r="J2271" s="66">
        <f t="shared" si="140"/>
        <v>50.392564165757136</v>
      </c>
      <c r="K2271" s="66">
        <f t="shared" si="141"/>
        <v>49.607435834242864</v>
      </c>
    </row>
    <row r="2272" spans="1:11" ht="27.6" x14ac:dyDescent="0.3">
      <c r="A2272" s="10">
        <v>84</v>
      </c>
      <c r="B2272" s="10" t="s">
        <v>2544</v>
      </c>
      <c r="C2272" s="10" t="str" cm="1">
        <f t="array" ref="C2272">_xlfn.IFS(A2272&lt;20, "ภาคกลาง", A2272&lt;30, "ภาคตะวันออก", A2272&lt;50, "ภาคตะวันออกเฉียงเหนือ", A2272&lt;60, "ภาคเหนือ", A2272&lt;80, "ภาคกลาง/ตะวันตก", A2272&gt;=80, "ภาคใต้")</f>
        <v>ภาคใต้</v>
      </c>
      <c r="D2272" s="64">
        <v>8471</v>
      </c>
      <c r="E2272" s="10" t="s">
        <v>2563</v>
      </c>
      <c r="F2272" s="11">
        <v>8232</v>
      </c>
      <c r="G2272" s="11">
        <v>7689</v>
      </c>
      <c r="H2272" s="11">
        <v>15921</v>
      </c>
      <c r="I2272" s="11">
        <v>7667</v>
      </c>
      <c r="J2272" s="66">
        <f t="shared" si="140"/>
        <v>51.705294893536838</v>
      </c>
      <c r="K2272" s="66">
        <f t="shared" si="141"/>
        <v>48.294705106463162</v>
      </c>
    </row>
    <row r="2273" spans="1:11" ht="27.6" x14ac:dyDescent="0.3">
      <c r="A2273" s="10">
        <v>84</v>
      </c>
      <c r="B2273" s="10" t="s">
        <v>2544</v>
      </c>
      <c r="C2273" s="10" t="str" cm="1">
        <f t="array" ref="C2273">_xlfn.IFS(A2273&lt;20, "ภาคกลาง", A2273&lt;30, "ภาคตะวันออก", A2273&lt;50, "ภาคตะวันออกเฉียงเหนือ", A2273&lt;60, "ภาคเหนือ", A2273&lt;80, "ภาคกลาง/ตะวันตก", A2273&gt;=80, "ภาคใต้")</f>
        <v>ภาคใต้</v>
      </c>
      <c r="D2273" s="64">
        <v>8472</v>
      </c>
      <c r="E2273" s="10" t="s">
        <v>2564</v>
      </c>
      <c r="F2273" s="11">
        <v>9771</v>
      </c>
      <c r="G2273" s="11">
        <v>9537</v>
      </c>
      <c r="H2273" s="11">
        <v>19308</v>
      </c>
      <c r="I2273" s="11">
        <v>8130</v>
      </c>
      <c r="J2273" s="66">
        <f t="shared" si="140"/>
        <v>50.605966438781856</v>
      </c>
      <c r="K2273" s="66">
        <f t="shared" si="141"/>
        <v>49.394033561218151</v>
      </c>
    </row>
    <row r="2274" spans="1:11" x14ac:dyDescent="0.3">
      <c r="A2274" s="10">
        <v>84</v>
      </c>
      <c r="B2274" s="10" t="s">
        <v>2544</v>
      </c>
      <c r="C2274" s="10" t="str" cm="1">
        <f t="array" ref="C2274">_xlfn.IFS(A2274&lt;20, "ภาคกลาง", A2274&lt;30, "ภาคตะวันออก", A2274&lt;50, "ภาคตะวันออกเฉียงเหนือ", A2274&lt;60, "ภาคเหนือ", A2274&lt;80, "ภาคกลาง/ตะวันตก", A2274&gt;=80, "ภาคใต้")</f>
        <v>ภาคใต้</v>
      </c>
      <c r="D2274" s="64">
        <v>8473</v>
      </c>
      <c r="E2274" s="10" t="s">
        <v>2122</v>
      </c>
      <c r="F2274" s="11">
        <v>4941</v>
      </c>
      <c r="G2274" s="11">
        <v>4899</v>
      </c>
      <c r="H2274" s="11">
        <v>9840</v>
      </c>
      <c r="I2274" s="11">
        <v>3573</v>
      </c>
      <c r="J2274" s="66">
        <f t="shared" si="140"/>
        <v>50.213414634146339</v>
      </c>
      <c r="K2274" s="66">
        <f t="shared" si="141"/>
        <v>49.786585365853661</v>
      </c>
    </row>
    <row r="2275" spans="1:11" x14ac:dyDescent="0.3">
      <c r="A2275" s="10">
        <v>84</v>
      </c>
      <c r="B2275" s="10" t="s">
        <v>2544</v>
      </c>
      <c r="C2275" s="10" t="str" cm="1">
        <f t="array" ref="C2275">_xlfn.IFS(A2275&lt;20, "ภาคกลาง", A2275&lt;30, "ภาคตะวันออก", A2275&lt;50, "ภาคตะวันออกเฉียงเหนือ", A2275&lt;60, "ภาคเหนือ", A2275&lt;80, "ภาคกลาง/ตะวันตก", A2275&gt;=80, "ภาคใต้")</f>
        <v>ภาคใต้</v>
      </c>
      <c r="D2275" s="64">
        <v>8474</v>
      </c>
      <c r="E2275" s="10" t="s">
        <v>2565</v>
      </c>
      <c r="F2275" s="11">
        <v>5406</v>
      </c>
      <c r="G2275" s="11">
        <v>5719</v>
      </c>
      <c r="H2275" s="11">
        <v>11125</v>
      </c>
      <c r="I2275" s="11">
        <v>4378</v>
      </c>
      <c r="J2275" s="66">
        <f t="shared" si="140"/>
        <v>48.593258426966287</v>
      </c>
      <c r="K2275" s="66">
        <f t="shared" si="141"/>
        <v>51.406741573033713</v>
      </c>
    </row>
    <row r="2276" spans="1:11" x14ac:dyDescent="0.3">
      <c r="A2276" s="10">
        <v>84</v>
      </c>
      <c r="B2276" s="10" t="s">
        <v>2544</v>
      </c>
      <c r="C2276" s="10" t="str" cm="1">
        <f t="array" ref="C2276">_xlfn.IFS(A2276&lt;20, "ภาคกลาง", A2276&lt;30, "ภาคตะวันออก", A2276&lt;50, "ภาคตะวันออกเฉียงเหนือ", A2276&lt;60, "ภาคเหนือ", A2276&lt;80, "ภาคกลาง/ตะวันตก", A2276&gt;=80, "ภาคใต้")</f>
        <v>ภาคใต้</v>
      </c>
      <c r="D2276" s="64">
        <v>8475</v>
      </c>
      <c r="E2276" s="10" t="s">
        <v>2566</v>
      </c>
      <c r="F2276" s="11">
        <v>7429</v>
      </c>
      <c r="G2276" s="11">
        <v>9238</v>
      </c>
      <c r="H2276" s="11">
        <v>16667</v>
      </c>
      <c r="I2276" s="11">
        <v>12007</v>
      </c>
      <c r="J2276" s="66">
        <f t="shared" si="140"/>
        <v>44.573108537829242</v>
      </c>
      <c r="K2276" s="66">
        <f t="shared" si="141"/>
        <v>55.426891462170758</v>
      </c>
    </row>
    <row r="2277" spans="1:11" ht="27.6" x14ac:dyDescent="0.3">
      <c r="A2277" s="10">
        <v>84</v>
      </c>
      <c r="B2277" s="10" t="s">
        <v>2544</v>
      </c>
      <c r="C2277" s="10" t="str" cm="1">
        <f t="array" ref="C2277">_xlfn.IFS(A2277&lt;20, "ภาคกลาง", A2277&lt;30, "ภาคตะวันออก", A2277&lt;50, "ภาคตะวันออกเฉียงเหนือ", A2277&lt;60, "ภาคเหนือ", A2277&lt;80, "ภาคกลาง/ตะวันตก", A2277&gt;=80, "ภาคใต้")</f>
        <v>ภาคใต้</v>
      </c>
      <c r="D2277" s="64">
        <v>8476</v>
      </c>
      <c r="E2277" s="10" t="s">
        <v>2567</v>
      </c>
      <c r="F2277" s="11">
        <v>5593</v>
      </c>
      <c r="G2277" s="11">
        <v>5648</v>
      </c>
      <c r="H2277" s="11">
        <v>11241</v>
      </c>
      <c r="I2277" s="11">
        <v>4141</v>
      </c>
      <c r="J2277" s="66">
        <f t="shared" si="140"/>
        <v>49.755359843430305</v>
      </c>
      <c r="K2277" s="66">
        <f t="shared" si="141"/>
        <v>50.244640156569695</v>
      </c>
    </row>
    <row r="2278" spans="1:11" x14ac:dyDescent="0.3">
      <c r="A2278" s="10">
        <v>84</v>
      </c>
      <c r="B2278" s="10" t="s">
        <v>2544</v>
      </c>
      <c r="C2278" s="10" t="str" cm="1">
        <f t="array" ref="C2278">_xlfn.IFS(A2278&lt;20, "ภาคกลาง", A2278&lt;30, "ภาคตะวันออก", A2278&lt;50, "ภาคตะวันออกเฉียงเหนือ", A2278&lt;60, "ภาคเหนือ", A2278&lt;80, "ภาคกลาง/ตะวันตก", A2278&gt;=80, "ภาคใต้")</f>
        <v>ภาคใต้</v>
      </c>
      <c r="D2278" s="64">
        <v>8477</v>
      </c>
      <c r="E2278" s="10" t="s">
        <v>2568</v>
      </c>
      <c r="F2278" s="11">
        <v>3392</v>
      </c>
      <c r="G2278" s="11">
        <v>3430</v>
      </c>
      <c r="H2278" s="11">
        <v>6822</v>
      </c>
      <c r="I2278" s="11">
        <v>3104</v>
      </c>
      <c r="J2278" s="66">
        <f t="shared" si="140"/>
        <v>49.721489299325711</v>
      </c>
      <c r="K2278" s="66">
        <f t="shared" si="141"/>
        <v>50.278510700674282</v>
      </c>
    </row>
    <row r="2279" spans="1:11" x14ac:dyDescent="0.3">
      <c r="A2279" s="10">
        <v>84</v>
      </c>
      <c r="B2279" s="10" t="s">
        <v>2544</v>
      </c>
      <c r="C2279" s="10" t="str" cm="1">
        <f t="array" ref="C2279">_xlfn.IFS(A2279&lt;20, "ภาคกลาง", A2279&lt;30, "ภาคตะวันออก", A2279&lt;50, "ภาคตะวันออกเฉียงเหนือ", A2279&lt;60, "ภาคเหนือ", A2279&lt;80, "ภาคกลาง/ตะวันตก", A2279&gt;=80, "ภาคใต้")</f>
        <v>ภาคใต้</v>
      </c>
      <c r="D2279" s="64">
        <v>8478</v>
      </c>
      <c r="E2279" s="10" t="s">
        <v>2569</v>
      </c>
      <c r="F2279" s="11">
        <v>9950</v>
      </c>
      <c r="G2279" s="11">
        <v>11146</v>
      </c>
      <c r="H2279" s="11">
        <v>21096</v>
      </c>
      <c r="I2279" s="11">
        <v>13336</v>
      </c>
      <c r="J2279" s="66">
        <f t="shared" si="140"/>
        <v>47.165339400834284</v>
      </c>
      <c r="K2279" s="66">
        <f t="shared" si="141"/>
        <v>52.834660599165716</v>
      </c>
    </row>
    <row r="2280" spans="1:11" ht="27.6" x14ac:dyDescent="0.3">
      <c r="A2280" s="10">
        <v>84</v>
      </c>
      <c r="B2280" s="10" t="s">
        <v>2544</v>
      </c>
      <c r="C2280" s="10" t="str" cm="1">
        <f t="array" ref="C2280">_xlfn.IFS(A2280&lt;20, "ภาคกลาง", A2280&lt;30, "ภาคตะวันออก", A2280&lt;50, "ภาคตะวันออกเฉียงเหนือ", A2280&lt;60, "ภาคเหนือ", A2280&lt;80, "ภาคกลาง/ตะวันตก", A2280&gt;=80, "ภาคใต้")</f>
        <v>ภาคใต้</v>
      </c>
      <c r="D2280" s="64">
        <v>8479</v>
      </c>
      <c r="E2280" s="10" t="s">
        <v>2570</v>
      </c>
      <c r="F2280" s="11">
        <v>8727</v>
      </c>
      <c r="G2280" s="11">
        <v>9015</v>
      </c>
      <c r="H2280" s="11">
        <v>17742</v>
      </c>
      <c r="I2280" s="11">
        <v>7417</v>
      </c>
      <c r="J2280" s="66">
        <f t="shared" si="140"/>
        <v>49.188366587757862</v>
      </c>
      <c r="K2280" s="66">
        <f t="shared" si="141"/>
        <v>50.811633412242138</v>
      </c>
    </row>
    <row r="2281" spans="1:11" ht="27.6" x14ac:dyDescent="0.3">
      <c r="A2281" s="10">
        <v>84</v>
      </c>
      <c r="B2281" s="10" t="s">
        <v>2544</v>
      </c>
      <c r="C2281" s="10" t="str" cm="1">
        <f t="array" ref="C2281">_xlfn.IFS(A2281&lt;20, "ภาคกลาง", A2281&lt;30, "ภาคตะวันออก", A2281&lt;50, "ภาคตะวันออกเฉียงเหนือ", A2281&lt;60, "ภาคเหนือ", A2281&lt;80, "ภาคกลาง/ตะวันตก", A2281&gt;=80, "ภาคใต้")</f>
        <v>ภาคใต้</v>
      </c>
      <c r="D2281" s="64">
        <v>8480</v>
      </c>
      <c r="E2281" s="10" t="s">
        <v>2571</v>
      </c>
      <c r="F2281" s="11">
        <v>1111</v>
      </c>
      <c r="G2281" s="11">
        <v>1146</v>
      </c>
      <c r="H2281" s="11">
        <v>2257</v>
      </c>
      <c r="I2281" s="11">
        <v>1103</v>
      </c>
      <c r="J2281" s="66">
        <f t="shared" si="140"/>
        <v>49.22463447053611</v>
      </c>
      <c r="K2281" s="66">
        <f t="shared" si="141"/>
        <v>50.77536552946389</v>
      </c>
    </row>
    <row r="2282" spans="1:11" x14ac:dyDescent="0.3">
      <c r="A2282" s="10">
        <v>84</v>
      </c>
      <c r="B2282" s="10" t="s">
        <v>2544</v>
      </c>
      <c r="C2282" s="10" t="str" cm="1">
        <f t="array" ref="C2282">_xlfn.IFS(A2282&lt;20, "ภาคกลาง", A2282&lt;30, "ภาคตะวันออก", A2282&lt;50, "ภาคตะวันออกเฉียงเหนือ", A2282&lt;60, "ภาคเหนือ", A2282&lt;80, "ภาคกลาง/ตะวันตก", A2282&gt;=80, "ภาคใต้")</f>
        <v>ภาคใต้</v>
      </c>
      <c r="D2282" s="64">
        <v>8481</v>
      </c>
      <c r="E2282" s="10" t="s">
        <v>2572</v>
      </c>
      <c r="F2282" s="11">
        <v>2077</v>
      </c>
      <c r="G2282" s="11">
        <v>2147</v>
      </c>
      <c r="H2282" s="11">
        <v>4224</v>
      </c>
      <c r="I2282" s="11">
        <v>2093</v>
      </c>
      <c r="J2282" s="66">
        <f t="shared" si="140"/>
        <v>49.171401515151516</v>
      </c>
      <c r="K2282" s="66">
        <f t="shared" si="141"/>
        <v>50.828598484848484</v>
      </c>
    </row>
    <row r="2283" spans="1:11" x14ac:dyDescent="0.3">
      <c r="A2283" s="10">
        <v>84</v>
      </c>
      <c r="B2283" s="10" t="s">
        <v>2544</v>
      </c>
      <c r="C2283" s="10" t="str" cm="1">
        <f t="array" ref="C2283">_xlfn.IFS(A2283&lt;20, "ภาคกลาง", A2283&lt;30, "ภาคตะวันออก", A2283&lt;50, "ภาคตะวันออกเฉียงเหนือ", A2283&lt;60, "ภาคเหนือ", A2283&lt;80, "ภาคกลาง/ตะวันตก", A2283&gt;=80, "ภาคใต้")</f>
        <v>ภาคใต้</v>
      </c>
      <c r="D2283" s="64">
        <v>8482</v>
      </c>
      <c r="E2283" s="10" t="s">
        <v>2573</v>
      </c>
      <c r="F2283" s="11">
        <v>4430</v>
      </c>
      <c r="G2283" s="11">
        <v>4993</v>
      </c>
      <c r="H2283" s="11">
        <v>9423</v>
      </c>
      <c r="I2283" s="11">
        <v>5983</v>
      </c>
      <c r="J2283" s="66">
        <f t="shared" si="140"/>
        <v>47.012628674519789</v>
      </c>
      <c r="K2283" s="66">
        <f t="shared" si="141"/>
        <v>52.987371325480204</v>
      </c>
    </row>
    <row r="2284" spans="1:11" x14ac:dyDescent="0.3">
      <c r="A2284" s="10">
        <v>84</v>
      </c>
      <c r="B2284" s="10" t="s">
        <v>2544</v>
      </c>
      <c r="C2284" s="10" t="str" cm="1">
        <f t="array" ref="C2284">_xlfn.IFS(A2284&lt;20, "ภาคกลาง", A2284&lt;30, "ภาคตะวันออก", A2284&lt;50, "ภาคตะวันออกเฉียงเหนือ", A2284&lt;60, "ภาคเหนือ", A2284&lt;80, "ภาคกลาง/ตะวันตก", A2284&gt;=80, "ภาคใต้")</f>
        <v>ภาคใต้</v>
      </c>
      <c r="D2284" s="64">
        <v>8483</v>
      </c>
      <c r="E2284" s="10" t="s">
        <v>709</v>
      </c>
      <c r="F2284" s="10">
        <v>849</v>
      </c>
      <c r="G2284" s="10">
        <v>802</v>
      </c>
      <c r="H2284" s="11">
        <v>1651</v>
      </c>
      <c r="I2284" s="10">
        <v>762</v>
      </c>
      <c r="J2284" s="66">
        <f t="shared" si="140"/>
        <v>51.423379769836465</v>
      </c>
      <c r="K2284" s="66">
        <f t="shared" si="141"/>
        <v>48.576620230163535</v>
      </c>
    </row>
    <row r="2285" spans="1:11" x14ac:dyDescent="0.3">
      <c r="A2285" s="10">
        <v>84</v>
      </c>
      <c r="B2285" s="10" t="s">
        <v>2544</v>
      </c>
      <c r="C2285" s="10" t="str" cm="1">
        <f t="array" ref="C2285">_xlfn.IFS(A2285&lt;20, "ภาคกลาง", A2285&lt;30, "ภาคตะวันออก", A2285&lt;50, "ภาคตะวันออกเฉียงเหนือ", A2285&lt;60, "ภาคเหนือ", A2285&lt;80, "ภาคกลาง/ตะวันตก", A2285&gt;=80, "ภาคใต้")</f>
        <v>ภาคใต้</v>
      </c>
      <c r="D2285" s="64">
        <v>8484</v>
      </c>
      <c r="E2285" s="10" t="s">
        <v>2574</v>
      </c>
      <c r="F2285" s="11">
        <v>1550</v>
      </c>
      <c r="G2285" s="11">
        <v>1684</v>
      </c>
      <c r="H2285" s="11">
        <v>3234</v>
      </c>
      <c r="I2285" s="11">
        <v>1755</v>
      </c>
      <c r="J2285" s="66">
        <f t="shared" si="140"/>
        <v>47.928262213976502</v>
      </c>
      <c r="K2285" s="66">
        <f t="shared" si="141"/>
        <v>52.071737786023498</v>
      </c>
    </row>
    <row r="2286" spans="1:11" x14ac:dyDescent="0.3">
      <c r="A2286" s="10">
        <v>84</v>
      </c>
      <c r="B2286" s="10" t="s">
        <v>2544</v>
      </c>
      <c r="C2286" s="10" t="str" cm="1">
        <f t="array" ref="C2286">_xlfn.IFS(A2286&lt;20, "ภาคกลาง", A2286&lt;30, "ภาคตะวันออก", A2286&lt;50, "ภาคตะวันออกเฉียงเหนือ", A2286&lt;60, "ภาคเหนือ", A2286&lt;80, "ภาคกลาง/ตะวันตก", A2286&gt;=80, "ภาคใต้")</f>
        <v>ภาคใต้</v>
      </c>
      <c r="D2286" s="64">
        <v>8485</v>
      </c>
      <c r="E2286" s="10" t="s">
        <v>2575</v>
      </c>
      <c r="F2286" s="11">
        <v>2235</v>
      </c>
      <c r="G2286" s="11">
        <v>2425</v>
      </c>
      <c r="H2286" s="11">
        <v>4660</v>
      </c>
      <c r="I2286" s="11">
        <v>2018</v>
      </c>
      <c r="J2286" s="66">
        <f t="shared" si="140"/>
        <v>47.961373390557938</v>
      </c>
      <c r="K2286" s="66">
        <f t="shared" si="141"/>
        <v>52.038626609442062</v>
      </c>
    </row>
    <row r="2287" spans="1:11" ht="27.6" x14ac:dyDescent="0.3">
      <c r="A2287" s="10">
        <v>84</v>
      </c>
      <c r="B2287" s="10" t="s">
        <v>2544</v>
      </c>
      <c r="C2287" s="10" t="str" cm="1">
        <f t="array" ref="C2287">_xlfn.IFS(A2287&lt;20, "ภาคกลาง", A2287&lt;30, "ภาคตะวันออก", A2287&lt;50, "ภาคตะวันออกเฉียงเหนือ", A2287&lt;60, "ภาคเหนือ", A2287&lt;80, "ภาคกลาง/ตะวันตก", A2287&gt;=80, "ภาคใต้")</f>
        <v>ภาคใต้</v>
      </c>
      <c r="D2287" s="64">
        <v>8486</v>
      </c>
      <c r="E2287" s="10" t="s">
        <v>2576</v>
      </c>
      <c r="F2287" s="11">
        <v>2451</v>
      </c>
      <c r="G2287" s="11">
        <v>2469</v>
      </c>
      <c r="H2287" s="11">
        <v>4920</v>
      </c>
      <c r="I2287" s="11">
        <v>2083</v>
      </c>
      <c r="J2287" s="66">
        <f t="shared" si="140"/>
        <v>49.81707317073171</v>
      </c>
      <c r="K2287" s="66">
        <f t="shared" si="141"/>
        <v>50.18292682926829</v>
      </c>
    </row>
    <row r="2288" spans="1:11" ht="27.6" x14ac:dyDescent="0.3">
      <c r="A2288" s="10">
        <v>84</v>
      </c>
      <c r="B2288" s="10" t="s">
        <v>2544</v>
      </c>
      <c r="C2288" s="10" t="str" cm="1">
        <f t="array" ref="C2288">_xlfn.IFS(A2288&lt;20, "ภาคกลาง", A2288&lt;30, "ภาคตะวันออก", A2288&lt;50, "ภาคตะวันออกเฉียงเหนือ", A2288&lt;60, "ภาคเหนือ", A2288&lt;80, "ภาคกลาง/ตะวันตก", A2288&gt;=80, "ภาคใต้")</f>
        <v>ภาคใต้</v>
      </c>
      <c r="D2288" s="64">
        <v>8487</v>
      </c>
      <c r="E2288" s="10" t="s">
        <v>2577</v>
      </c>
      <c r="F2288" s="11">
        <v>1164</v>
      </c>
      <c r="G2288" s="11">
        <v>1249</v>
      </c>
      <c r="H2288" s="11">
        <v>2413</v>
      </c>
      <c r="I2288" s="11">
        <v>1921</v>
      </c>
      <c r="J2288" s="66">
        <f t="shared" si="140"/>
        <v>48.2387070037298</v>
      </c>
      <c r="K2288" s="66">
        <f t="shared" si="141"/>
        <v>51.7612929962702</v>
      </c>
    </row>
    <row r="2289" spans="1:11" ht="27.6" x14ac:dyDescent="0.3">
      <c r="A2289" s="10">
        <v>84</v>
      </c>
      <c r="B2289" s="10" t="s">
        <v>2544</v>
      </c>
      <c r="C2289" s="10" t="str" cm="1">
        <f t="array" ref="C2289">_xlfn.IFS(A2289&lt;20, "ภาคกลาง", A2289&lt;30, "ภาคตะวันออก", A2289&lt;50, "ภาคตะวันออกเฉียงเหนือ", A2289&lt;60, "ภาคเหนือ", A2289&lt;80, "ภาคกลาง/ตะวันตก", A2289&gt;=80, "ภาคใต้")</f>
        <v>ภาคใต้</v>
      </c>
      <c r="D2289" s="64">
        <v>8488</v>
      </c>
      <c r="E2289" s="10" t="s">
        <v>2578</v>
      </c>
      <c r="F2289" s="11">
        <v>2282</v>
      </c>
      <c r="G2289" s="11">
        <v>2295</v>
      </c>
      <c r="H2289" s="11">
        <v>4577</v>
      </c>
      <c r="I2289" s="11">
        <v>2091</v>
      </c>
      <c r="J2289" s="66">
        <f t="shared" si="140"/>
        <v>49.857985580074285</v>
      </c>
      <c r="K2289" s="66">
        <f t="shared" si="141"/>
        <v>50.142014419925715</v>
      </c>
    </row>
    <row r="2290" spans="1:11" x14ac:dyDescent="0.3">
      <c r="A2290" s="10">
        <v>84</v>
      </c>
      <c r="B2290" s="10" t="s">
        <v>2544</v>
      </c>
      <c r="C2290" s="10" t="str" cm="1">
        <f t="array" ref="C2290">_xlfn.IFS(A2290&lt;20, "ภาคกลาง", A2290&lt;30, "ภาคตะวันออก", A2290&lt;50, "ภาคตะวันออกเฉียงเหนือ", A2290&lt;60, "ภาคเหนือ", A2290&lt;80, "ภาคกลาง/ตะวันตก", A2290&gt;=80, "ภาคใต้")</f>
        <v>ภาคใต้</v>
      </c>
      <c r="D2290" s="64">
        <v>8489</v>
      </c>
      <c r="E2290" s="10" t="s">
        <v>2579</v>
      </c>
      <c r="F2290" s="10">
        <v>924</v>
      </c>
      <c r="G2290" s="10">
        <v>892</v>
      </c>
      <c r="H2290" s="11">
        <v>1816</v>
      </c>
      <c r="I2290" s="11">
        <v>1120</v>
      </c>
      <c r="J2290" s="66">
        <f t="shared" si="140"/>
        <v>50.881057268722465</v>
      </c>
      <c r="K2290" s="66">
        <f t="shared" si="141"/>
        <v>49.118942731277535</v>
      </c>
    </row>
    <row r="2291" spans="1:11" x14ac:dyDescent="0.3">
      <c r="A2291" s="10">
        <v>84</v>
      </c>
      <c r="B2291" s="10" t="s">
        <v>2544</v>
      </c>
      <c r="C2291" s="10" t="str" cm="1">
        <f t="array" ref="C2291">_xlfn.IFS(A2291&lt;20, "ภาคกลาง", A2291&lt;30, "ภาคตะวันออก", A2291&lt;50, "ภาคตะวันออกเฉียงเหนือ", A2291&lt;60, "ภาคเหนือ", A2291&lt;80, "ภาคกลาง/ตะวันตก", A2291&gt;=80, "ภาคใต้")</f>
        <v>ภาคใต้</v>
      </c>
      <c r="D2291" s="64">
        <v>8490</v>
      </c>
      <c r="E2291" s="10" t="s">
        <v>2580</v>
      </c>
      <c r="F2291" s="11">
        <v>1357</v>
      </c>
      <c r="G2291" s="11">
        <v>1509</v>
      </c>
      <c r="H2291" s="11">
        <v>2866</v>
      </c>
      <c r="I2291" s="11">
        <v>1837</v>
      </c>
      <c r="J2291" s="66">
        <f t="shared" si="140"/>
        <v>47.348220516399167</v>
      </c>
      <c r="K2291" s="66">
        <f t="shared" si="141"/>
        <v>52.651779483600833</v>
      </c>
    </row>
    <row r="2292" spans="1:11" ht="27.6" x14ac:dyDescent="0.3">
      <c r="A2292" s="10">
        <v>84</v>
      </c>
      <c r="B2292" s="10" t="s">
        <v>2544</v>
      </c>
      <c r="C2292" s="10" t="str" cm="1">
        <f t="array" ref="C2292">_xlfn.IFS(A2292&lt;20, "ภาคกลาง", A2292&lt;30, "ภาคตะวันออก", A2292&lt;50, "ภาคตะวันออกเฉียงเหนือ", A2292&lt;60, "ภาคเหนือ", A2292&lt;80, "ภาคกลาง/ตะวันตก", A2292&gt;=80, "ภาคใต้")</f>
        <v>ภาคใต้</v>
      </c>
      <c r="D2292" s="64">
        <v>8491</v>
      </c>
      <c r="E2292" s="10" t="s">
        <v>2581</v>
      </c>
      <c r="F2292" s="11">
        <v>3827</v>
      </c>
      <c r="G2292" s="11">
        <v>3999</v>
      </c>
      <c r="H2292" s="11">
        <v>7826</v>
      </c>
      <c r="I2292" s="11">
        <v>2972</v>
      </c>
      <c r="J2292" s="66">
        <f t="shared" si="140"/>
        <v>48.901098901098898</v>
      </c>
      <c r="K2292" s="66">
        <f t="shared" si="141"/>
        <v>51.098901098901095</v>
      </c>
    </row>
    <row r="2293" spans="1:11" ht="27.6" x14ac:dyDescent="0.3">
      <c r="A2293" s="10">
        <v>84</v>
      </c>
      <c r="B2293" s="10" t="s">
        <v>2544</v>
      </c>
      <c r="C2293" s="10" t="str" cm="1">
        <f t="array" ref="C2293">_xlfn.IFS(A2293&lt;20, "ภาคกลาง", A2293&lt;30, "ภาคตะวันออก", A2293&lt;50, "ภาคตะวันออกเฉียงเหนือ", A2293&lt;60, "ภาคเหนือ", A2293&lt;80, "ภาคกลาง/ตะวันตก", A2293&gt;=80, "ภาคใต้")</f>
        <v>ภาคใต้</v>
      </c>
      <c r="D2293" s="64">
        <v>8492</v>
      </c>
      <c r="E2293" s="10" t="s">
        <v>2582</v>
      </c>
      <c r="F2293" s="11">
        <v>2347</v>
      </c>
      <c r="G2293" s="11">
        <v>2669</v>
      </c>
      <c r="H2293" s="11">
        <v>5016</v>
      </c>
      <c r="I2293" s="11">
        <v>3045</v>
      </c>
      <c r="J2293" s="66">
        <f t="shared" si="140"/>
        <v>46.79027113237639</v>
      </c>
      <c r="K2293" s="66">
        <f t="shared" si="141"/>
        <v>53.20972886762361</v>
      </c>
    </row>
    <row r="2294" spans="1:11" x14ac:dyDescent="0.3">
      <c r="A2294" s="10">
        <v>84</v>
      </c>
      <c r="B2294" s="10" t="s">
        <v>2544</v>
      </c>
      <c r="C2294" s="10" t="str" cm="1">
        <f t="array" ref="C2294">_xlfn.IFS(A2294&lt;20, "ภาคกลาง", A2294&lt;30, "ภาคตะวันออก", A2294&lt;50, "ภาคตะวันออกเฉียงเหนือ", A2294&lt;60, "ภาคเหนือ", A2294&lt;80, "ภาคกลาง/ตะวันตก", A2294&gt;=80, "ภาคใต้")</f>
        <v>ภาคใต้</v>
      </c>
      <c r="D2294" s="64">
        <v>8493</v>
      </c>
      <c r="E2294" s="10" t="s">
        <v>2583</v>
      </c>
      <c r="F2294" s="11">
        <v>4059</v>
      </c>
      <c r="G2294" s="11">
        <v>4121</v>
      </c>
      <c r="H2294" s="11">
        <v>8180</v>
      </c>
      <c r="I2294" s="11">
        <v>6452</v>
      </c>
      <c r="J2294" s="66">
        <f t="shared" si="140"/>
        <v>49.62102689486553</v>
      </c>
      <c r="K2294" s="66">
        <f t="shared" si="141"/>
        <v>50.37897310513447</v>
      </c>
    </row>
    <row r="2295" spans="1:11" x14ac:dyDescent="0.3">
      <c r="A2295" s="10">
        <v>84</v>
      </c>
      <c r="B2295" s="10" t="s">
        <v>2544</v>
      </c>
      <c r="C2295" s="10" t="str" cm="1">
        <f t="array" ref="C2295">_xlfn.IFS(A2295&lt;20, "ภาคกลาง", A2295&lt;30, "ภาคตะวันออก", A2295&lt;50, "ภาคตะวันออกเฉียงเหนือ", A2295&lt;60, "ภาคเหนือ", A2295&lt;80, "ภาคกลาง/ตะวันตก", A2295&gt;=80, "ภาคใต้")</f>
        <v>ภาคใต้</v>
      </c>
      <c r="D2295" s="64">
        <v>8494</v>
      </c>
      <c r="E2295" s="10" t="s">
        <v>2584</v>
      </c>
      <c r="F2295" s="11">
        <v>33390</v>
      </c>
      <c r="G2295" s="11">
        <v>36299</v>
      </c>
      <c r="H2295" s="11">
        <v>69689</v>
      </c>
      <c r="I2295" s="11">
        <v>61602</v>
      </c>
      <c r="J2295" s="66">
        <f t="shared" si="140"/>
        <v>47.912870036878132</v>
      </c>
      <c r="K2295" s="66">
        <f t="shared" si="141"/>
        <v>52.087129963121868</v>
      </c>
    </row>
    <row r="2296" spans="1:11" ht="27.6" x14ac:dyDescent="0.3">
      <c r="A2296" s="10">
        <v>84</v>
      </c>
      <c r="B2296" s="10" t="s">
        <v>2544</v>
      </c>
      <c r="C2296" s="10" t="str" cm="1">
        <f t="array" ref="C2296">_xlfn.IFS(A2296&lt;20, "ภาคกลาง", A2296&lt;30, "ภาคตะวันออก", A2296&lt;50, "ภาคตะวันออกเฉียงเหนือ", A2296&lt;60, "ภาคเหนือ", A2296&lt;80, "ภาคกลาง/ตะวันตก", A2296&gt;=80, "ภาคใต้")</f>
        <v>ภาคใต้</v>
      </c>
      <c r="D2296" s="64">
        <v>8495</v>
      </c>
      <c r="E2296" s="10" t="s">
        <v>2585</v>
      </c>
      <c r="F2296" s="11">
        <v>5919</v>
      </c>
      <c r="G2296" s="11">
        <v>6199</v>
      </c>
      <c r="H2296" s="11">
        <v>12118</v>
      </c>
      <c r="I2296" s="11">
        <v>6109</v>
      </c>
      <c r="J2296" s="66">
        <f t="shared" si="140"/>
        <v>48.844693843868626</v>
      </c>
      <c r="K2296" s="66">
        <f t="shared" si="141"/>
        <v>51.155306156131374</v>
      </c>
    </row>
    <row r="2297" spans="1:11" ht="27.6" x14ac:dyDescent="0.3">
      <c r="A2297" s="10">
        <v>84</v>
      </c>
      <c r="B2297" s="10" t="s">
        <v>2544</v>
      </c>
      <c r="C2297" s="10" t="str" cm="1">
        <f t="array" ref="C2297">_xlfn.IFS(A2297&lt;20, "ภาคกลาง", A2297&lt;30, "ภาคตะวันออก", A2297&lt;50, "ภาคตะวันออกเฉียงเหนือ", A2297&lt;60, "ภาคเหนือ", A2297&lt;80, "ภาคกลาง/ตะวันตก", A2297&gt;=80, "ภาคใต้")</f>
        <v>ภาคใต้</v>
      </c>
      <c r="D2297" s="64">
        <v>8496</v>
      </c>
      <c r="E2297" s="10" t="s">
        <v>2586</v>
      </c>
      <c r="F2297" s="11">
        <v>3575</v>
      </c>
      <c r="G2297" s="11">
        <v>3633</v>
      </c>
      <c r="H2297" s="11">
        <v>7208</v>
      </c>
      <c r="I2297" s="11">
        <v>3336</v>
      </c>
      <c r="J2297" s="66">
        <f t="shared" si="140"/>
        <v>49.597669256381799</v>
      </c>
      <c r="K2297" s="66">
        <f t="shared" si="141"/>
        <v>50.402330743618208</v>
      </c>
    </row>
    <row r="2298" spans="1:11" x14ac:dyDescent="0.3">
      <c r="A2298" s="10">
        <v>84</v>
      </c>
      <c r="B2298" s="10" t="s">
        <v>2544</v>
      </c>
      <c r="C2298" s="10" t="str" cm="1">
        <f t="array" ref="C2298">_xlfn.IFS(A2298&lt;20, "ภาคกลาง", A2298&lt;30, "ภาคตะวันออก", A2298&lt;50, "ภาคตะวันออกเฉียงเหนือ", A2298&lt;60, "ภาคเหนือ", A2298&lt;80, "ภาคกลาง/ตะวันตก", A2298&gt;=80, "ภาคใต้")</f>
        <v>ภาคใต้</v>
      </c>
      <c r="D2298" s="64">
        <v>8497</v>
      </c>
      <c r="E2298" s="10" t="s">
        <v>2587</v>
      </c>
      <c r="F2298" s="11">
        <v>4452</v>
      </c>
      <c r="G2298" s="11">
        <v>4836</v>
      </c>
      <c r="H2298" s="11">
        <v>9288</v>
      </c>
      <c r="I2298" s="11">
        <v>4989</v>
      </c>
      <c r="J2298" s="66">
        <f t="shared" si="140"/>
        <v>47.932816537467701</v>
      </c>
      <c r="K2298" s="66">
        <f t="shared" si="141"/>
        <v>52.067183462532299</v>
      </c>
    </row>
    <row r="2299" spans="1:11" x14ac:dyDescent="0.3">
      <c r="A2299" s="10">
        <v>84</v>
      </c>
      <c r="B2299" s="10" t="s">
        <v>2544</v>
      </c>
      <c r="C2299" s="10" t="str" cm="1">
        <f t="array" ref="C2299">_xlfn.IFS(A2299&lt;20, "ภาคกลาง", A2299&lt;30, "ภาคตะวันออก", A2299&lt;50, "ภาคตะวันออกเฉียงเหนือ", A2299&lt;60, "ภาคเหนือ", A2299&lt;80, "ภาคกลาง/ตะวันตก", A2299&gt;=80, "ภาคใต้")</f>
        <v>ภาคใต้</v>
      </c>
      <c r="D2299" s="64">
        <v>8498</v>
      </c>
      <c r="E2299" s="10" t="s">
        <v>2588</v>
      </c>
      <c r="F2299" s="11">
        <v>8526</v>
      </c>
      <c r="G2299" s="11">
        <v>9166</v>
      </c>
      <c r="H2299" s="11">
        <v>17692</v>
      </c>
      <c r="I2299" s="11">
        <v>9232</v>
      </c>
      <c r="J2299" s="66">
        <f t="shared" si="140"/>
        <v>48.191272891702461</v>
      </c>
      <c r="K2299" s="66">
        <f t="shared" si="141"/>
        <v>51.808727108297539</v>
      </c>
    </row>
    <row r="2300" spans="1:11" ht="27.6" x14ac:dyDescent="0.3">
      <c r="A2300" s="10">
        <v>84</v>
      </c>
      <c r="B2300" s="10" t="s">
        <v>2544</v>
      </c>
      <c r="C2300" s="10" t="str" cm="1">
        <f t="array" ref="C2300">_xlfn.IFS(A2300&lt;20, "ภาคกลาง", A2300&lt;30, "ภาคตะวันออก", A2300&lt;50, "ภาคตะวันออกเฉียงเหนือ", A2300&lt;60, "ภาคเหนือ", A2300&lt;80, "ภาคกลาง/ตะวันตก", A2300&gt;=80, "ภาคใต้")</f>
        <v>ภาคใต้</v>
      </c>
      <c r="D2300" s="64">
        <v>8499</v>
      </c>
      <c r="E2300" s="10" t="s">
        <v>2589</v>
      </c>
      <c r="F2300" s="11">
        <v>9254</v>
      </c>
      <c r="G2300" s="11">
        <v>9729</v>
      </c>
      <c r="H2300" s="11">
        <v>18983</v>
      </c>
      <c r="I2300" s="11">
        <v>8609</v>
      </c>
      <c r="J2300" s="66">
        <f t="shared" si="140"/>
        <v>48.74888057735869</v>
      </c>
      <c r="K2300" s="66">
        <f t="shared" si="141"/>
        <v>51.25111942264131</v>
      </c>
    </row>
    <row r="2301" spans="1:11" hidden="1" x14ac:dyDescent="0.3">
      <c r="A2301" s="10">
        <v>84</v>
      </c>
      <c r="B2301" s="10" t="s">
        <v>2544</v>
      </c>
      <c r="C2301" s="10" t="str" cm="1">
        <f t="array" ref="C2301">_xlfn.IFS(A2301&lt;20, "ภาคกลาง", A2301&lt;30, "ภาคตะวันออก", A2301&lt;50, "ภาคตะวันออกเฉียงเหนือ", A2301&lt;60, "ภาคเหนือ", A2301&lt;80, "ภาคกลาง/ตะวันตก", A2301&gt;=80, "ภาคใต้")</f>
        <v>ภาคใต้</v>
      </c>
      <c r="D2301" s="10">
        <v>0</v>
      </c>
      <c r="E2301" s="10" t="s">
        <v>343</v>
      </c>
      <c r="F2301" s="11">
        <v>61825</v>
      </c>
      <c r="G2301" s="11">
        <v>69060</v>
      </c>
      <c r="H2301" s="11">
        <v>130885</v>
      </c>
      <c r="I2301" s="11">
        <v>79259</v>
      </c>
      <c r="J2301"/>
      <c r="K2301"/>
    </row>
    <row r="2302" spans="1:11" x14ac:dyDescent="0.3">
      <c r="A2302" s="10">
        <v>85</v>
      </c>
      <c r="B2302" s="10" t="s">
        <v>2590</v>
      </c>
      <c r="C2302" s="10" t="str" cm="1">
        <f t="array" ref="C2302">_xlfn.IFS(A2302&lt;20, "ภาคกลาง", A2302&lt;30, "ภาคตะวันออก", A2302&lt;50, "ภาคตะวันออกเฉียงเหนือ", A2302&lt;60, "ภาคเหนือ", A2302&lt;80, "ภาคกลาง/ตะวันตก", A2302&gt;=80, "ภาคใต้")</f>
        <v>ภาคใต้</v>
      </c>
      <c r="D2302" s="64">
        <v>8501</v>
      </c>
      <c r="E2302" s="10" t="s">
        <v>2591</v>
      </c>
      <c r="F2302" s="11">
        <v>96944</v>
      </c>
      <c r="G2302" s="11">
        <v>95983</v>
      </c>
      <c r="H2302" s="11">
        <v>192927</v>
      </c>
      <c r="I2302" s="11">
        <v>98370</v>
      </c>
      <c r="J2302" s="66">
        <f t="shared" ref="J2302:J2312" si="142">F2302/H2302*100</f>
        <v>50.249057933829903</v>
      </c>
      <c r="K2302" s="66">
        <f t="shared" ref="K2302:K2312" si="143">G2302/H2302*100</f>
        <v>49.750942066170104</v>
      </c>
    </row>
    <row r="2303" spans="1:11" x14ac:dyDescent="0.3">
      <c r="A2303" s="10">
        <v>85</v>
      </c>
      <c r="B2303" s="10" t="s">
        <v>2590</v>
      </c>
      <c r="C2303" s="10" t="str" cm="1">
        <f t="array" ref="C2303">_xlfn.IFS(A2303&lt;20, "ภาคกลาง", A2303&lt;30, "ภาคตะวันออก", A2303&lt;50, "ภาคตะวันออกเฉียงเหนือ", A2303&lt;60, "ภาคเหนือ", A2303&lt;80, "ภาคกลาง/ตะวันตก", A2303&gt;=80, "ภาคใต้")</f>
        <v>ภาคใต้</v>
      </c>
      <c r="D2303" s="64">
        <v>8502</v>
      </c>
      <c r="E2303" s="10" t="s">
        <v>2592</v>
      </c>
      <c r="F2303" s="11">
        <v>35589</v>
      </c>
      <c r="G2303" s="11">
        <v>35295</v>
      </c>
      <c r="H2303" s="11">
        <v>70884</v>
      </c>
      <c r="I2303" s="11">
        <v>40595</v>
      </c>
      <c r="J2303" s="66">
        <f t="shared" si="142"/>
        <v>50.207381073302862</v>
      </c>
      <c r="K2303" s="66">
        <f t="shared" si="143"/>
        <v>49.792618926697138</v>
      </c>
    </row>
    <row r="2304" spans="1:11" x14ac:dyDescent="0.3">
      <c r="A2304" s="10">
        <v>85</v>
      </c>
      <c r="B2304" s="10" t="s">
        <v>2590</v>
      </c>
      <c r="C2304" s="10" t="str" cm="1">
        <f t="array" ref="C2304">_xlfn.IFS(A2304&lt;20, "ภาคกลาง", A2304&lt;30, "ภาคตะวันออก", A2304&lt;50, "ภาคตะวันออกเฉียงเหนือ", A2304&lt;60, "ภาคเหนือ", A2304&lt;80, "ภาคกลาง/ตะวันตก", A2304&gt;=80, "ภาคใต้")</f>
        <v>ภาคใต้</v>
      </c>
      <c r="D2304" s="64">
        <v>8503</v>
      </c>
      <c r="E2304" s="10" t="s">
        <v>2593</v>
      </c>
      <c r="F2304" s="11">
        <v>6413</v>
      </c>
      <c r="G2304" s="11">
        <v>6238</v>
      </c>
      <c r="H2304" s="11">
        <v>12651</v>
      </c>
      <c r="I2304" s="11">
        <v>5838</v>
      </c>
      <c r="J2304" s="66">
        <f t="shared" si="142"/>
        <v>50.691644929254608</v>
      </c>
      <c r="K2304" s="66">
        <f t="shared" si="143"/>
        <v>49.308355070745399</v>
      </c>
    </row>
    <row r="2305" spans="1:11" x14ac:dyDescent="0.3">
      <c r="A2305" s="10">
        <v>85</v>
      </c>
      <c r="B2305" s="10" t="s">
        <v>2590</v>
      </c>
      <c r="C2305" s="10" t="str" cm="1">
        <f t="array" ref="C2305">_xlfn.IFS(A2305&lt;20, "ภาคกลาง", A2305&lt;30, "ภาคตะวันออก", A2305&lt;50, "ภาคตะวันออกเฉียงเหนือ", A2305&lt;60, "ภาคเหนือ", A2305&lt;80, "ภาคกลาง/ตะวันตก", A2305&gt;=80, "ภาคใต้")</f>
        <v>ภาคใต้</v>
      </c>
      <c r="D2305" s="64">
        <v>8504</v>
      </c>
      <c r="E2305" s="10" t="s">
        <v>2594</v>
      </c>
      <c r="F2305" s="11">
        <v>10441</v>
      </c>
      <c r="G2305" s="11">
        <v>10188</v>
      </c>
      <c r="H2305" s="11">
        <v>20629</v>
      </c>
      <c r="I2305" s="11">
        <v>8463</v>
      </c>
      <c r="J2305" s="66">
        <f t="shared" si="142"/>
        <v>50.613214406902905</v>
      </c>
      <c r="K2305" s="66">
        <f t="shared" si="143"/>
        <v>49.386785593097102</v>
      </c>
    </row>
    <row r="2306" spans="1:11" x14ac:dyDescent="0.3">
      <c r="A2306" s="10">
        <v>85</v>
      </c>
      <c r="B2306" s="10" t="s">
        <v>2590</v>
      </c>
      <c r="C2306" s="10" t="str" cm="1">
        <f t="array" ref="C2306">_xlfn.IFS(A2306&lt;20, "ภาคกลาง", A2306&lt;30, "ภาคตะวันออก", A2306&lt;50, "ภาคตะวันออกเฉียงเหนือ", A2306&lt;60, "ภาคเหนือ", A2306&lt;80, "ภาคกลาง/ตะวันตก", A2306&gt;=80, "ภาคใต้")</f>
        <v>ภาคใต้</v>
      </c>
      <c r="D2306" s="64">
        <v>8505</v>
      </c>
      <c r="E2306" s="10" t="s">
        <v>2595</v>
      </c>
      <c r="F2306" s="11">
        <v>22683</v>
      </c>
      <c r="G2306" s="11">
        <v>21923</v>
      </c>
      <c r="H2306" s="11">
        <v>44606</v>
      </c>
      <c r="I2306" s="11">
        <v>23388</v>
      </c>
      <c r="J2306" s="66">
        <f t="shared" si="142"/>
        <v>50.851903331390389</v>
      </c>
      <c r="K2306" s="66">
        <f t="shared" si="143"/>
        <v>49.148096668609604</v>
      </c>
    </row>
    <row r="2307" spans="1:11" x14ac:dyDescent="0.3">
      <c r="A2307" s="10">
        <v>85</v>
      </c>
      <c r="B2307" s="10" t="s">
        <v>2590</v>
      </c>
      <c r="C2307" s="10" t="str" cm="1">
        <f t="array" ref="C2307">_xlfn.IFS(A2307&lt;20, "ภาคกลาง", A2307&lt;30, "ภาคตะวันออก", A2307&lt;50, "ภาคตะวันออกเฉียงเหนือ", A2307&lt;60, "ภาคเหนือ", A2307&lt;80, "ภาคกลาง/ตะวันตก", A2307&gt;=80, "ภาคใต้")</f>
        <v>ภาคใต้</v>
      </c>
      <c r="D2307" s="64">
        <v>8594</v>
      </c>
      <c r="E2307" s="10" t="s">
        <v>2596</v>
      </c>
      <c r="F2307" s="11">
        <v>7389</v>
      </c>
      <c r="G2307" s="11">
        <v>7461</v>
      </c>
      <c r="H2307" s="11">
        <v>14850</v>
      </c>
      <c r="I2307" s="11">
        <v>4845</v>
      </c>
      <c r="J2307" s="66">
        <f t="shared" si="142"/>
        <v>49.757575757575758</v>
      </c>
      <c r="K2307" s="66">
        <f t="shared" si="143"/>
        <v>50.242424242424242</v>
      </c>
    </row>
    <row r="2308" spans="1:11" x14ac:dyDescent="0.3">
      <c r="A2308" s="10">
        <v>85</v>
      </c>
      <c r="B2308" s="10" t="s">
        <v>2590</v>
      </c>
      <c r="C2308" s="10" t="str" cm="1">
        <f t="array" ref="C2308">_xlfn.IFS(A2308&lt;20, "ภาคกลาง", A2308&lt;30, "ภาคตะวันออก", A2308&lt;50, "ภาคตะวันออกเฉียงเหนือ", A2308&lt;60, "ภาคเหนือ", A2308&lt;80, "ภาคกลาง/ตะวันตก", A2308&gt;=80, "ภาคใต้")</f>
        <v>ภาคใต้</v>
      </c>
      <c r="D2308" s="64">
        <v>8595</v>
      </c>
      <c r="E2308" s="10" t="s">
        <v>2597</v>
      </c>
      <c r="F2308" s="11">
        <v>1697</v>
      </c>
      <c r="G2308" s="11">
        <v>1744</v>
      </c>
      <c r="H2308" s="11">
        <v>3441</v>
      </c>
      <c r="I2308" s="11">
        <v>2010</v>
      </c>
      <c r="J2308" s="66">
        <f t="shared" si="142"/>
        <v>49.317058994478344</v>
      </c>
      <c r="K2308" s="66">
        <f t="shared" si="143"/>
        <v>50.682941005521656</v>
      </c>
    </row>
    <row r="2309" spans="1:11" x14ac:dyDescent="0.3">
      <c r="A2309" s="10">
        <v>85</v>
      </c>
      <c r="B2309" s="10" t="s">
        <v>2590</v>
      </c>
      <c r="C2309" s="10" t="str" cm="1">
        <f t="array" ref="C2309">_xlfn.IFS(A2309&lt;20, "ภาคกลาง", A2309&lt;30, "ภาคตะวันออก", A2309&lt;50, "ภาคตะวันออกเฉียงเหนือ", A2309&lt;60, "ภาคเหนือ", A2309&lt;80, "ภาคกลาง/ตะวันตก", A2309&gt;=80, "ภาคใต้")</f>
        <v>ภาคใต้</v>
      </c>
      <c r="D2309" s="64">
        <v>8596</v>
      </c>
      <c r="E2309" s="10" t="s">
        <v>2598</v>
      </c>
      <c r="F2309" s="10">
        <v>765</v>
      </c>
      <c r="G2309" s="10">
        <v>798</v>
      </c>
      <c r="H2309" s="11">
        <v>1563</v>
      </c>
      <c r="I2309" s="10">
        <v>687</v>
      </c>
      <c r="J2309" s="66">
        <f t="shared" si="142"/>
        <v>48.944337811900191</v>
      </c>
      <c r="K2309" s="66">
        <f t="shared" si="143"/>
        <v>51.055662188099802</v>
      </c>
    </row>
    <row r="2310" spans="1:11" x14ac:dyDescent="0.3">
      <c r="A2310" s="10">
        <v>85</v>
      </c>
      <c r="B2310" s="10" t="s">
        <v>2590</v>
      </c>
      <c r="C2310" s="10" t="str" cm="1">
        <f t="array" ref="C2310">_xlfn.IFS(A2310&lt;20, "ภาคกลาง", A2310&lt;30, "ภาคตะวันออก", A2310&lt;50, "ภาคตะวันออกเฉียงเหนือ", A2310&lt;60, "ภาคเหนือ", A2310&lt;80, "ภาคกลาง/ตะวันตก", A2310&gt;=80, "ภาคใต้")</f>
        <v>ภาคใต้</v>
      </c>
      <c r="D2310" s="64">
        <v>8597</v>
      </c>
      <c r="E2310" s="10" t="s">
        <v>2599</v>
      </c>
      <c r="F2310" s="11">
        <v>1344</v>
      </c>
      <c r="G2310" s="11">
        <v>1287</v>
      </c>
      <c r="H2310" s="11">
        <v>2631</v>
      </c>
      <c r="I2310" s="11">
        <v>1244</v>
      </c>
      <c r="J2310" s="66">
        <f t="shared" si="142"/>
        <v>51.083238312428733</v>
      </c>
      <c r="K2310" s="66">
        <f t="shared" si="143"/>
        <v>48.916761687571267</v>
      </c>
    </row>
    <row r="2311" spans="1:11" x14ac:dyDescent="0.3">
      <c r="A2311" s="10">
        <v>85</v>
      </c>
      <c r="B2311" s="10" t="s">
        <v>2590</v>
      </c>
      <c r="C2311" s="10" t="str" cm="1">
        <f t="array" ref="C2311">_xlfn.IFS(A2311&lt;20, "ภาคกลาง", A2311&lt;30, "ภาคตะวันออก", A2311&lt;50, "ภาคตะวันออกเฉียงเหนือ", A2311&lt;60, "ภาคเหนือ", A2311&lt;80, "ภาคกลาง/ตะวันตก", A2311&gt;=80, "ภาคใต้")</f>
        <v>ภาคใต้</v>
      </c>
      <c r="D2311" s="64">
        <v>8598</v>
      </c>
      <c r="E2311" s="10" t="s">
        <v>820</v>
      </c>
      <c r="F2311" s="11">
        <v>1159</v>
      </c>
      <c r="G2311" s="11">
        <v>1259</v>
      </c>
      <c r="H2311" s="11">
        <v>2418</v>
      </c>
      <c r="I2311" s="11">
        <v>1131</v>
      </c>
      <c r="J2311" s="66">
        <f t="shared" si="142"/>
        <v>47.932175351530191</v>
      </c>
      <c r="K2311" s="66">
        <f t="shared" si="143"/>
        <v>52.067824648469809</v>
      </c>
    </row>
    <row r="2312" spans="1:11" x14ac:dyDescent="0.3">
      <c r="A2312" s="10">
        <v>85</v>
      </c>
      <c r="B2312" s="10" t="s">
        <v>2590</v>
      </c>
      <c r="C2312" s="10" t="str" cm="1">
        <f t="array" ref="C2312">_xlfn.IFS(A2312&lt;20, "ภาคกลาง", A2312&lt;30, "ภาคตะวันออก", A2312&lt;50, "ภาคตะวันออกเฉียงเหนือ", A2312&lt;60, "ภาคเหนือ", A2312&lt;80, "ภาคกลาง/ตะวันตก", A2312&gt;=80, "ภาคใต้")</f>
        <v>ภาคใต้</v>
      </c>
      <c r="D2312" s="64">
        <v>8599</v>
      </c>
      <c r="E2312" s="10" t="s">
        <v>2600</v>
      </c>
      <c r="F2312" s="11">
        <v>1220</v>
      </c>
      <c r="G2312" s="11">
        <v>1125</v>
      </c>
      <c r="H2312" s="11">
        <v>2345</v>
      </c>
      <c r="I2312" s="11">
        <v>1836</v>
      </c>
      <c r="J2312" s="66">
        <f t="shared" si="142"/>
        <v>52.025586353944561</v>
      </c>
      <c r="K2312" s="66">
        <f t="shared" si="143"/>
        <v>47.974413646055439</v>
      </c>
    </row>
    <row r="2313" spans="1:11" hidden="1" x14ac:dyDescent="0.3">
      <c r="A2313" s="10">
        <v>85</v>
      </c>
      <c r="B2313" s="10" t="s">
        <v>2590</v>
      </c>
      <c r="C2313" s="10" t="str" cm="1">
        <f t="array" ref="C2313">_xlfn.IFS(A2313&lt;20, "ภาคกลาง", A2313&lt;30, "ภาคตะวันออก", A2313&lt;50, "ภาคตะวันออกเฉียงเหนือ", A2313&lt;60, "ภาคเหนือ", A2313&lt;80, "ภาคกลาง/ตะวันตก", A2313&gt;=80, "ภาคใต้")</f>
        <v>ภาคใต้</v>
      </c>
      <c r="D2313" s="10">
        <v>0</v>
      </c>
      <c r="E2313" s="10" t="s">
        <v>343</v>
      </c>
      <c r="F2313" s="11">
        <v>8244</v>
      </c>
      <c r="G2313" s="11">
        <v>8665</v>
      </c>
      <c r="H2313" s="11">
        <v>16909</v>
      </c>
      <c r="I2313" s="11">
        <v>8333</v>
      </c>
      <c r="J2313"/>
      <c r="K2313"/>
    </row>
    <row r="2314" spans="1:11" x14ac:dyDescent="0.3">
      <c r="A2314" s="10">
        <v>86</v>
      </c>
      <c r="B2314" s="10" t="s">
        <v>2601</v>
      </c>
      <c r="C2314" s="10" t="str" cm="1">
        <f t="array" ref="C2314">_xlfn.IFS(A2314&lt;20, "ภาคกลาง", A2314&lt;30, "ภาคตะวันออก", A2314&lt;50, "ภาคตะวันออกเฉียงเหนือ", A2314&lt;60, "ภาคเหนือ", A2314&lt;80, "ภาคกลาง/ตะวันตก", A2314&gt;=80, "ภาคใต้")</f>
        <v>ภาคใต้</v>
      </c>
      <c r="D2314" s="64">
        <v>8601</v>
      </c>
      <c r="E2314" s="10" t="s">
        <v>2602</v>
      </c>
      <c r="F2314" s="11">
        <v>250267</v>
      </c>
      <c r="G2314" s="11">
        <v>257786</v>
      </c>
      <c r="H2314" s="11">
        <v>508053</v>
      </c>
      <c r="I2314" s="11">
        <v>256148</v>
      </c>
      <c r="J2314" s="66">
        <f t="shared" ref="J2314:J2336" si="144">F2314/H2314*100</f>
        <v>49.260018147712934</v>
      </c>
      <c r="K2314" s="66">
        <f t="shared" ref="K2314:K2336" si="145">G2314/H2314*100</f>
        <v>50.739981852287066</v>
      </c>
    </row>
    <row r="2315" spans="1:11" x14ac:dyDescent="0.3">
      <c r="A2315" s="10">
        <v>86</v>
      </c>
      <c r="B2315" s="10" t="s">
        <v>2601</v>
      </c>
      <c r="C2315" s="10" t="str" cm="1">
        <f t="array" ref="C2315">_xlfn.IFS(A2315&lt;20, "ภาคกลาง", A2315&lt;30, "ภาคตะวันออก", A2315&lt;50, "ภาคตะวันออกเฉียงเหนือ", A2315&lt;60, "ภาคเหนือ", A2315&lt;80, "ภาคกลาง/ตะวันตก", A2315&gt;=80, "ภาคใต้")</f>
        <v>ภาคใต้</v>
      </c>
      <c r="D2315" s="64">
        <v>8602</v>
      </c>
      <c r="E2315" s="10" t="s">
        <v>2603</v>
      </c>
      <c r="F2315" s="11">
        <v>46282</v>
      </c>
      <c r="G2315" s="11">
        <v>47336</v>
      </c>
      <c r="H2315" s="11">
        <v>93618</v>
      </c>
      <c r="I2315" s="11">
        <v>47513</v>
      </c>
      <c r="J2315" s="66">
        <f t="shared" si="144"/>
        <v>49.437074066952938</v>
      </c>
      <c r="K2315" s="66">
        <f t="shared" si="145"/>
        <v>50.562925933047062</v>
      </c>
    </row>
    <row r="2316" spans="1:11" x14ac:dyDescent="0.3">
      <c r="A2316" s="10">
        <v>86</v>
      </c>
      <c r="B2316" s="10" t="s">
        <v>2601</v>
      </c>
      <c r="C2316" s="10" t="str" cm="1">
        <f t="array" ref="C2316">_xlfn.IFS(A2316&lt;20, "ภาคกลาง", A2316&lt;30, "ภาคตะวันออก", A2316&lt;50, "ภาคตะวันออกเฉียงเหนือ", A2316&lt;60, "ภาคเหนือ", A2316&lt;80, "ภาคกลาง/ตะวันตก", A2316&gt;=80, "ภาคใต้")</f>
        <v>ภาคใต้</v>
      </c>
      <c r="D2316" s="64">
        <v>8603</v>
      </c>
      <c r="E2316" s="10" t="s">
        <v>2604</v>
      </c>
      <c r="F2316" s="11">
        <v>41279</v>
      </c>
      <c r="G2316" s="11">
        <v>41506</v>
      </c>
      <c r="H2316" s="11">
        <v>82785</v>
      </c>
      <c r="I2316" s="11">
        <v>37440</v>
      </c>
      <c r="J2316" s="66">
        <f t="shared" si="144"/>
        <v>49.862897867971249</v>
      </c>
      <c r="K2316" s="66">
        <f t="shared" si="145"/>
        <v>50.137102132028758</v>
      </c>
    </row>
    <row r="2317" spans="1:11" x14ac:dyDescent="0.3">
      <c r="A2317" s="10">
        <v>86</v>
      </c>
      <c r="B2317" s="10" t="s">
        <v>2601</v>
      </c>
      <c r="C2317" s="10" t="str" cm="1">
        <f t="array" ref="C2317">_xlfn.IFS(A2317&lt;20, "ภาคกลาง", A2317&lt;30, "ภาคตะวันออก", A2317&lt;50, "ภาคตะวันออกเฉียงเหนือ", A2317&lt;60, "ภาคเหนือ", A2317&lt;80, "ภาคกลาง/ตะวันตก", A2317&gt;=80, "ภาคใต้")</f>
        <v>ภาคใต้</v>
      </c>
      <c r="D2317" s="64">
        <v>8604</v>
      </c>
      <c r="E2317" s="10" t="s">
        <v>2605</v>
      </c>
      <c r="F2317" s="11">
        <v>19659</v>
      </c>
      <c r="G2317" s="11">
        <v>20161</v>
      </c>
      <c r="H2317" s="11">
        <v>39820</v>
      </c>
      <c r="I2317" s="11">
        <v>19062</v>
      </c>
      <c r="J2317" s="66">
        <f t="shared" si="144"/>
        <v>49.369663485685585</v>
      </c>
      <c r="K2317" s="66">
        <f t="shared" si="145"/>
        <v>50.630336514314408</v>
      </c>
    </row>
    <row r="2318" spans="1:11" x14ac:dyDescent="0.3">
      <c r="A2318" s="10">
        <v>86</v>
      </c>
      <c r="B2318" s="10" t="s">
        <v>2601</v>
      </c>
      <c r="C2318" s="10" t="str" cm="1">
        <f t="array" ref="C2318">_xlfn.IFS(A2318&lt;20, "ภาคกลาง", A2318&lt;30, "ภาคตะวันออก", A2318&lt;50, "ภาคตะวันออกเฉียงเหนือ", A2318&lt;60, "ภาคเหนือ", A2318&lt;80, "ภาคกลาง/ตะวันตก", A2318&gt;=80, "ภาคใต้")</f>
        <v>ภาคใต้</v>
      </c>
      <c r="D2318" s="64">
        <v>8605</v>
      </c>
      <c r="E2318" s="10" t="s">
        <v>2606</v>
      </c>
      <c r="F2318" s="11">
        <v>27594</v>
      </c>
      <c r="G2318" s="11">
        <v>28722</v>
      </c>
      <c r="H2318" s="11">
        <v>56316</v>
      </c>
      <c r="I2318" s="11">
        <v>26186</v>
      </c>
      <c r="J2318" s="66">
        <f t="shared" si="144"/>
        <v>48.998508416790962</v>
      </c>
      <c r="K2318" s="66">
        <f t="shared" si="145"/>
        <v>51.001491583209038</v>
      </c>
    </row>
    <row r="2319" spans="1:11" x14ac:dyDescent="0.3">
      <c r="A2319" s="10">
        <v>86</v>
      </c>
      <c r="B2319" s="10" t="s">
        <v>2601</v>
      </c>
      <c r="C2319" s="10" t="str" cm="1">
        <f t="array" ref="C2319">_xlfn.IFS(A2319&lt;20, "ภาคกลาง", A2319&lt;30, "ภาคตะวันออก", A2319&lt;50, "ภาคตะวันออกเฉียงเหนือ", A2319&lt;60, "ภาคเหนือ", A2319&lt;80, "ภาคกลาง/ตะวันตก", A2319&gt;=80, "ภาคใต้")</f>
        <v>ภาคใต้</v>
      </c>
      <c r="D2319" s="64">
        <v>8606</v>
      </c>
      <c r="E2319" s="10" t="s">
        <v>2607</v>
      </c>
      <c r="F2319" s="11">
        <v>12994</v>
      </c>
      <c r="G2319" s="11">
        <v>12964</v>
      </c>
      <c r="H2319" s="11">
        <v>25958</v>
      </c>
      <c r="I2319" s="11">
        <v>12433</v>
      </c>
      <c r="J2319" s="66">
        <f t="shared" si="144"/>
        <v>50.057785653748368</v>
      </c>
      <c r="K2319" s="66">
        <f t="shared" si="145"/>
        <v>49.942214346251639</v>
      </c>
    </row>
    <row r="2320" spans="1:11" x14ac:dyDescent="0.3">
      <c r="A2320" s="10">
        <v>86</v>
      </c>
      <c r="B2320" s="10" t="s">
        <v>2601</v>
      </c>
      <c r="C2320" s="10" t="str" cm="1">
        <f t="array" ref="C2320">_xlfn.IFS(A2320&lt;20, "ภาคกลาง", A2320&lt;30, "ภาคตะวันออก", A2320&lt;50, "ภาคตะวันออกเฉียงเหนือ", A2320&lt;60, "ภาคเหนือ", A2320&lt;80, "ภาคกลาง/ตะวันตก", A2320&gt;=80, "ภาคใต้")</f>
        <v>ภาคใต้</v>
      </c>
      <c r="D2320" s="64">
        <v>8607</v>
      </c>
      <c r="E2320" s="10" t="s">
        <v>2608</v>
      </c>
      <c r="F2320" s="11">
        <v>11829</v>
      </c>
      <c r="G2320" s="11">
        <v>11426</v>
      </c>
      <c r="H2320" s="11">
        <v>23255</v>
      </c>
      <c r="I2320" s="11">
        <v>11354</v>
      </c>
      <c r="J2320" s="66">
        <f t="shared" si="144"/>
        <v>50.866480326811434</v>
      </c>
      <c r="K2320" s="66">
        <f t="shared" si="145"/>
        <v>49.133519673188566</v>
      </c>
    </row>
    <row r="2321" spans="1:11" x14ac:dyDescent="0.3">
      <c r="A2321" s="10">
        <v>86</v>
      </c>
      <c r="B2321" s="10" t="s">
        <v>2601</v>
      </c>
      <c r="C2321" s="10" t="str" cm="1">
        <f t="array" ref="C2321">_xlfn.IFS(A2321&lt;20, "ภาคกลาง", A2321&lt;30, "ภาคตะวันออก", A2321&lt;50, "ภาคตะวันออกเฉียงเหนือ", A2321&lt;60, "ภาคเหนือ", A2321&lt;80, "ภาคกลาง/ตะวันตก", A2321&gt;=80, "ภาคใต้")</f>
        <v>ภาคใต้</v>
      </c>
      <c r="D2321" s="64">
        <v>8608</v>
      </c>
      <c r="E2321" s="10" t="s">
        <v>2609</v>
      </c>
      <c r="F2321" s="11">
        <v>34696</v>
      </c>
      <c r="G2321" s="11">
        <v>35098</v>
      </c>
      <c r="H2321" s="11">
        <v>69794</v>
      </c>
      <c r="I2321" s="11">
        <v>33712</v>
      </c>
      <c r="J2321" s="66">
        <f t="shared" si="144"/>
        <v>49.712009628334812</v>
      </c>
      <c r="K2321" s="66">
        <f t="shared" si="145"/>
        <v>50.287990371665181</v>
      </c>
    </row>
    <row r="2322" spans="1:11" x14ac:dyDescent="0.3">
      <c r="A2322" s="10">
        <v>86</v>
      </c>
      <c r="B2322" s="10" t="s">
        <v>2601</v>
      </c>
      <c r="C2322" s="10" t="str" cm="1">
        <f t="array" ref="C2322">_xlfn.IFS(A2322&lt;20, "ภาคกลาง", A2322&lt;30, "ภาคตะวันออก", A2322&lt;50, "ภาคตะวันออกเฉียงเหนือ", A2322&lt;60, "ภาคเหนือ", A2322&lt;80, "ภาคกลาง/ตะวันตก", A2322&gt;=80, "ภาคใต้")</f>
        <v>ภาคใต้</v>
      </c>
      <c r="D2322" s="64">
        <v>8685</v>
      </c>
      <c r="E2322" s="10" t="s">
        <v>2610</v>
      </c>
      <c r="F2322" s="11">
        <v>10881</v>
      </c>
      <c r="G2322" s="11">
        <v>10855</v>
      </c>
      <c r="H2322" s="11">
        <v>21736</v>
      </c>
      <c r="I2322" s="11">
        <v>10400</v>
      </c>
      <c r="J2322" s="66">
        <f t="shared" si="144"/>
        <v>50.059808612440193</v>
      </c>
      <c r="K2322" s="66">
        <f t="shared" si="145"/>
        <v>49.940191387559807</v>
      </c>
    </row>
    <row r="2323" spans="1:11" ht="27.6" x14ac:dyDescent="0.3">
      <c r="A2323" s="10">
        <v>86</v>
      </c>
      <c r="B2323" s="10" t="s">
        <v>2601</v>
      </c>
      <c r="C2323" s="10" t="str" cm="1">
        <f t="array" ref="C2323">_xlfn.IFS(A2323&lt;20, "ภาคกลาง", A2323&lt;30, "ภาคตะวันออก", A2323&lt;50, "ภาคตะวันออกเฉียงเหนือ", A2323&lt;60, "ภาคเหนือ", A2323&lt;80, "ภาคกลาง/ตะวันตก", A2323&gt;=80, "ภาคใต้")</f>
        <v>ภาคใต้</v>
      </c>
      <c r="D2323" s="64">
        <v>8686</v>
      </c>
      <c r="E2323" s="10" t="s">
        <v>2611</v>
      </c>
      <c r="F2323" s="11">
        <v>5037</v>
      </c>
      <c r="G2323" s="11">
        <v>5312</v>
      </c>
      <c r="H2323" s="11">
        <v>10349</v>
      </c>
      <c r="I2323" s="11">
        <v>4985</v>
      </c>
      <c r="J2323" s="66">
        <f t="shared" si="144"/>
        <v>48.671369214416856</v>
      </c>
      <c r="K2323" s="66">
        <f t="shared" si="145"/>
        <v>51.328630785583151</v>
      </c>
    </row>
    <row r="2324" spans="1:11" x14ac:dyDescent="0.3">
      <c r="A2324" s="10">
        <v>86</v>
      </c>
      <c r="B2324" s="10" t="s">
        <v>2601</v>
      </c>
      <c r="C2324" s="10" t="str" cm="1">
        <f t="array" ref="C2324">_xlfn.IFS(A2324&lt;20, "ภาคกลาง", A2324&lt;30, "ภาคตะวันออก", A2324&lt;50, "ภาคตะวันออกเฉียงเหนือ", A2324&lt;60, "ภาคเหนือ", A2324&lt;80, "ภาคกลาง/ตะวันตก", A2324&gt;=80, "ภาคใต้")</f>
        <v>ภาคใต้</v>
      </c>
      <c r="D2324" s="64">
        <v>8687</v>
      </c>
      <c r="E2324" s="10" t="s">
        <v>1009</v>
      </c>
      <c r="F2324" s="11">
        <v>2027</v>
      </c>
      <c r="G2324" s="11">
        <v>1986</v>
      </c>
      <c r="H2324" s="11">
        <v>4013</v>
      </c>
      <c r="I2324" s="11">
        <v>1719</v>
      </c>
      <c r="J2324" s="66">
        <f t="shared" si="144"/>
        <v>50.510839770745072</v>
      </c>
      <c r="K2324" s="66">
        <f t="shared" si="145"/>
        <v>49.489160229254921</v>
      </c>
    </row>
    <row r="2325" spans="1:11" x14ac:dyDescent="0.3">
      <c r="A2325" s="10">
        <v>86</v>
      </c>
      <c r="B2325" s="10" t="s">
        <v>2601</v>
      </c>
      <c r="C2325" s="10" t="str" cm="1">
        <f t="array" ref="C2325">_xlfn.IFS(A2325&lt;20, "ภาคกลาง", A2325&lt;30, "ภาคตะวันออก", A2325&lt;50, "ภาคตะวันออกเฉียงเหนือ", A2325&lt;60, "ภาคเหนือ", A2325&lt;80, "ภาคกลาง/ตะวันตก", A2325&gt;=80, "ภาคใต้")</f>
        <v>ภาคใต้</v>
      </c>
      <c r="D2325" s="64">
        <v>8688</v>
      </c>
      <c r="E2325" s="10" t="s">
        <v>2612</v>
      </c>
      <c r="F2325" s="11">
        <v>1348</v>
      </c>
      <c r="G2325" s="11">
        <v>1535</v>
      </c>
      <c r="H2325" s="11">
        <v>2883</v>
      </c>
      <c r="I2325" s="11">
        <v>1726</v>
      </c>
      <c r="J2325" s="66">
        <f t="shared" si="144"/>
        <v>46.756850502948318</v>
      </c>
      <c r="K2325" s="66">
        <f t="shared" si="145"/>
        <v>53.243149497051675</v>
      </c>
    </row>
    <row r="2326" spans="1:11" x14ac:dyDescent="0.3">
      <c r="A2326" s="10">
        <v>86</v>
      </c>
      <c r="B2326" s="10" t="s">
        <v>2601</v>
      </c>
      <c r="C2326" s="10" t="str" cm="1">
        <f t="array" ref="C2326">_xlfn.IFS(A2326&lt;20, "ภาคกลาง", A2326&lt;30, "ภาคตะวันออก", A2326&lt;50, "ภาคตะวันออกเฉียงเหนือ", A2326&lt;60, "ภาคเหนือ", A2326&lt;80, "ภาคกลาง/ตะวันตก", A2326&gt;=80, "ภาคใต้")</f>
        <v>ภาคใต้</v>
      </c>
      <c r="D2326" s="64">
        <v>8689</v>
      </c>
      <c r="E2326" s="10" t="s">
        <v>2613</v>
      </c>
      <c r="F2326" s="10">
        <v>760</v>
      </c>
      <c r="G2326" s="10">
        <v>753</v>
      </c>
      <c r="H2326" s="11">
        <v>1513</v>
      </c>
      <c r="I2326" s="10">
        <v>717</v>
      </c>
      <c r="J2326" s="66">
        <f t="shared" si="144"/>
        <v>50.231328486450757</v>
      </c>
      <c r="K2326" s="66">
        <f t="shared" si="145"/>
        <v>49.768671513549236</v>
      </c>
    </row>
    <row r="2327" spans="1:11" ht="27.6" x14ac:dyDescent="0.3">
      <c r="A2327" s="10">
        <v>86</v>
      </c>
      <c r="B2327" s="10" t="s">
        <v>2601</v>
      </c>
      <c r="C2327" s="10" t="str" cm="1">
        <f t="array" ref="C2327">_xlfn.IFS(A2327&lt;20, "ภาคกลาง", A2327&lt;30, "ภาคตะวันออก", A2327&lt;50, "ภาคตะวันออกเฉียงเหนือ", A2327&lt;60, "ภาคเหนือ", A2327&lt;80, "ภาคกลาง/ตะวันตก", A2327&gt;=80, "ภาคใต้")</f>
        <v>ภาคใต้</v>
      </c>
      <c r="D2327" s="64">
        <v>8690</v>
      </c>
      <c r="E2327" s="10" t="s">
        <v>2614</v>
      </c>
      <c r="F2327" s="11">
        <v>1582</v>
      </c>
      <c r="G2327" s="11">
        <v>1701</v>
      </c>
      <c r="H2327" s="11">
        <v>3283</v>
      </c>
      <c r="I2327" s="11">
        <v>2038</v>
      </c>
      <c r="J2327" s="66">
        <f t="shared" si="144"/>
        <v>48.187633262260128</v>
      </c>
      <c r="K2327" s="66">
        <f t="shared" si="145"/>
        <v>51.812366737739865</v>
      </c>
    </row>
    <row r="2328" spans="1:11" x14ac:dyDescent="0.3">
      <c r="A2328" s="10">
        <v>86</v>
      </c>
      <c r="B2328" s="10" t="s">
        <v>2601</v>
      </c>
      <c r="C2328" s="10" t="str" cm="1">
        <f t="array" ref="C2328">_xlfn.IFS(A2328&lt;20, "ภาคกลาง", A2328&lt;30, "ภาคตะวันออก", A2328&lt;50, "ภาคตะวันออกเฉียงเหนือ", A2328&lt;60, "ภาคเหนือ", A2328&lt;80, "ภาคกลาง/ตะวันตก", A2328&gt;=80, "ภาคใต้")</f>
        <v>ภาคใต้</v>
      </c>
      <c r="D2328" s="64">
        <v>8691</v>
      </c>
      <c r="E2328" s="10" t="s">
        <v>2615</v>
      </c>
      <c r="F2328" s="11">
        <v>3105</v>
      </c>
      <c r="G2328" s="11">
        <v>3201</v>
      </c>
      <c r="H2328" s="11">
        <v>6306</v>
      </c>
      <c r="I2328" s="11">
        <v>3210</v>
      </c>
      <c r="J2328" s="66">
        <f t="shared" si="144"/>
        <v>49.238820171265459</v>
      </c>
      <c r="K2328" s="66">
        <f t="shared" si="145"/>
        <v>50.761179828734541</v>
      </c>
    </row>
    <row r="2329" spans="1:11" ht="27.6" x14ac:dyDescent="0.3">
      <c r="A2329" s="10">
        <v>86</v>
      </c>
      <c r="B2329" s="10" t="s">
        <v>2601</v>
      </c>
      <c r="C2329" s="10" t="str" cm="1">
        <f t="array" ref="C2329">_xlfn.IFS(A2329&lt;20, "ภาคกลาง", A2329&lt;30, "ภาคตะวันออก", A2329&lt;50, "ภาคตะวันออกเฉียงเหนือ", A2329&lt;60, "ภาคเหนือ", A2329&lt;80, "ภาคกลาง/ตะวันตก", A2329&gt;=80, "ภาคใต้")</f>
        <v>ภาคใต้</v>
      </c>
      <c r="D2329" s="64">
        <v>8692</v>
      </c>
      <c r="E2329" s="10" t="s">
        <v>2616</v>
      </c>
      <c r="F2329" s="11">
        <v>1030</v>
      </c>
      <c r="G2329" s="11">
        <v>1101</v>
      </c>
      <c r="H2329" s="11">
        <v>2131</v>
      </c>
      <c r="I2329" s="11">
        <v>1212</v>
      </c>
      <c r="J2329" s="66">
        <f t="shared" si="144"/>
        <v>48.334115438761145</v>
      </c>
      <c r="K2329" s="66">
        <f t="shared" si="145"/>
        <v>51.665884561238848</v>
      </c>
    </row>
    <row r="2330" spans="1:11" x14ac:dyDescent="0.3">
      <c r="A2330" s="10">
        <v>86</v>
      </c>
      <c r="B2330" s="10" t="s">
        <v>2601</v>
      </c>
      <c r="C2330" s="10" t="str" cm="1">
        <f t="array" ref="C2330">_xlfn.IFS(A2330&lt;20, "ภาคกลาง", A2330&lt;30, "ภาคตะวันออก", A2330&lt;50, "ภาคตะวันออกเฉียงเหนือ", A2330&lt;60, "ภาคเหนือ", A2330&lt;80, "ภาคกลาง/ตะวันตก", A2330&gt;=80, "ภาคใต้")</f>
        <v>ภาคใต้</v>
      </c>
      <c r="D2330" s="64">
        <v>8693</v>
      </c>
      <c r="E2330" s="10" t="s">
        <v>2617</v>
      </c>
      <c r="F2330" s="11">
        <v>1740</v>
      </c>
      <c r="G2330" s="11">
        <v>1810</v>
      </c>
      <c r="H2330" s="11">
        <v>3550</v>
      </c>
      <c r="I2330" s="11">
        <v>2307</v>
      </c>
      <c r="J2330" s="66">
        <f t="shared" si="144"/>
        <v>49.014084507042256</v>
      </c>
      <c r="K2330" s="66">
        <f t="shared" si="145"/>
        <v>50.985915492957744</v>
      </c>
    </row>
    <row r="2331" spans="1:11" x14ac:dyDescent="0.3">
      <c r="A2331" s="10">
        <v>86</v>
      </c>
      <c r="B2331" s="10" t="s">
        <v>2601</v>
      </c>
      <c r="C2331" s="10" t="str" cm="1">
        <f t="array" ref="C2331">_xlfn.IFS(A2331&lt;20, "ภาคกลาง", A2331&lt;30, "ภาคตะวันออก", A2331&lt;50, "ภาคตะวันออกเฉียงเหนือ", A2331&lt;60, "ภาคเหนือ", A2331&lt;80, "ภาคกลาง/ตะวันตก", A2331&gt;=80, "ภาคใต้")</f>
        <v>ภาคใต้</v>
      </c>
      <c r="D2331" s="64">
        <v>8694</v>
      </c>
      <c r="E2331" s="10" t="s">
        <v>2618</v>
      </c>
      <c r="F2331" s="10">
        <v>582</v>
      </c>
      <c r="G2331" s="10">
        <v>657</v>
      </c>
      <c r="H2331" s="11">
        <v>1239</v>
      </c>
      <c r="I2331" s="10">
        <v>908</v>
      </c>
      <c r="J2331" s="66">
        <f t="shared" si="144"/>
        <v>46.973365617433416</v>
      </c>
      <c r="K2331" s="66">
        <f t="shared" si="145"/>
        <v>53.026634382566584</v>
      </c>
    </row>
    <row r="2332" spans="1:11" x14ac:dyDescent="0.3">
      <c r="A2332" s="10">
        <v>86</v>
      </c>
      <c r="B2332" s="10" t="s">
        <v>2601</v>
      </c>
      <c r="C2332" s="10" t="str" cm="1">
        <f t="array" ref="C2332">_xlfn.IFS(A2332&lt;20, "ภาคกลาง", A2332&lt;30, "ภาคตะวันออก", A2332&lt;50, "ภาคตะวันออกเฉียงเหนือ", A2332&lt;60, "ภาคเหนือ", A2332&lt;80, "ภาคกลาง/ตะวันตก", A2332&gt;=80, "ภาคใต้")</f>
        <v>ภาคใต้</v>
      </c>
      <c r="D2332" s="64">
        <v>8695</v>
      </c>
      <c r="E2332" s="10" t="s">
        <v>2619</v>
      </c>
      <c r="F2332" s="10">
        <v>920</v>
      </c>
      <c r="G2332" s="10">
        <v>959</v>
      </c>
      <c r="H2332" s="11">
        <v>1879</v>
      </c>
      <c r="I2332" s="11">
        <v>1346</v>
      </c>
      <c r="J2332" s="66">
        <f t="shared" si="144"/>
        <v>48.96221394358701</v>
      </c>
      <c r="K2332" s="66">
        <f t="shared" si="145"/>
        <v>51.037786056412983</v>
      </c>
    </row>
    <row r="2333" spans="1:11" x14ac:dyDescent="0.3">
      <c r="A2333" s="10">
        <v>86</v>
      </c>
      <c r="B2333" s="10" t="s">
        <v>2601</v>
      </c>
      <c r="C2333" s="10" t="str" cm="1">
        <f t="array" ref="C2333">_xlfn.IFS(A2333&lt;20, "ภาคกลาง", A2333&lt;30, "ภาคตะวันออก", A2333&lt;50, "ภาคตะวันออกเฉียงเหนือ", A2333&lt;60, "ภาคเหนือ", A2333&lt;80, "ภาคกลาง/ตะวันตก", A2333&gt;=80, "ภาคใต้")</f>
        <v>ภาคใต้</v>
      </c>
      <c r="D2333" s="64">
        <v>8696</v>
      </c>
      <c r="E2333" s="10" t="s">
        <v>2620</v>
      </c>
      <c r="F2333" s="10">
        <v>938</v>
      </c>
      <c r="G2333" s="11">
        <v>1046</v>
      </c>
      <c r="H2333" s="11">
        <v>1984</v>
      </c>
      <c r="I2333" s="11">
        <v>1439</v>
      </c>
      <c r="J2333" s="66">
        <f t="shared" si="144"/>
        <v>47.278225806451616</v>
      </c>
      <c r="K2333" s="66">
        <f t="shared" si="145"/>
        <v>52.721774193548384</v>
      </c>
    </row>
    <row r="2334" spans="1:11" ht="27.6" x14ac:dyDescent="0.3">
      <c r="A2334" s="10">
        <v>86</v>
      </c>
      <c r="B2334" s="10" t="s">
        <v>2601</v>
      </c>
      <c r="C2334" s="10" t="str" cm="1">
        <f t="array" ref="C2334">_xlfn.IFS(A2334&lt;20, "ภาคกลาง", A2334&lt;30, "ภาคตะวันออก", A2334&lt;50, "ภาคตะวันออกเฉียงเหนือ", A2334&lt;60, "ภาคเหนือ", A2334&lt;80, "ภาคกลาง/ตะวันตก", A2334&gt;=80, "ภาคใต้")</f>
        <v>ภาคใต้</v>
      </c>
      <c r="D2334" s="64">
        <v>8697</v>
      </c>
      <c r="E2334" s="10" t="s">
        <v>2621</v>
      </c>
      <c r="F2334" s="11">
        <v>3184</v>
      </c>
      <c r="G2334" s="11">
        <v>3513</v>
      </c>
      <c r="H2334" s="11">
        <v>6697</v>
      </c>
      <c r="I2334" s="11">
        <v>4920</v>
      </c>
      <c r="J2334" s="66">
        <f t="shared" si="144"/>
        <v>47.543676272958038</v>
      </c>
      <c r="K2334" s="66">
        <f t="shared" si="145"/>
        <v>52.456323727041955</v>
      </c>
    </row>
    <row r="2335" spans="1:11" x14ac:dyDescent="0.3">
      <c r="A2335" s="10">
        <v>86</v>
      </c>
      <c r="B2335" s="10" t="s">
        <v>2601</v>
      </c>
      <c r="C2335" s="10" t="str" cm="1">
        <f t="array" ref="C2335">_xlfn.IFS(A2335&lt;20, "ภาคกลาง", A2335&lt;30, "ภาคตะวันออก", A2335&lt;50, "ภาคตะวันออกเฉียงเหนือ", A2335&lt;60, "ภาคเหนือ", A2335&lt;80, "ภาคกลาง/ตะวันตก", A2335&gt;=80, "ภาคใต้")</f>
        <v>ภาคใต้</v>
      </c>
      <c r="D2335" s="64">
        <v>8698</v>
      </c>
      <c r="E2335" s="10" t="s">
        <v>2622</v>
      </c>
      <c r="F2335" s="11">
        <v>2894</v>
      </c>
      <c r="G2335" s="11">
        <v>3044</v>
      </c>
      <c r="H2335" s="11">
        <v>5938</v>
      </c>
      <c r="I2335" s="11">
        <v>3466</v>
      </c>
      <c r="J2335" s="66">
        <f t="shared" si="144"/>
        <v>48.736948467497477</v>
      </c>
      <c r="K2335" s="66">
        <f t="shared" si="145"/>
        <v>51.263051532502523</v>
      </c>
    </row>
    <row r="2336" spans="1:11" x14ac:dyDescent="0.3">
      <c r="A2336" s="10">
        <v>86</v>
      </c>
      <c r="B2336" s="10" t="s">
        <v>2601</v>
      </c>
      <c r="C2336" s="10" t="str" cm="1">
        <f t="array" ref="C2336">_xlfn.IFS(A2336&lt;20, "ภาคกลาง", A2336&lt;30, "ภาคตะวันออก", A2336&lt;50, "ภาคตะวันออกเฉียงเหนือ", A2336&lt;60, "ภาคเหนือ", A2336&lt;80, "ภาคกลาง/ตะวันตก", A2336&gt;=80, "ภาคใต้")</f>
        <v>ภาคใต้</v>
      </c>
      <c r="D2336" s="64">
        <v>8699</v>
      </c>
      <c r="E2336" s="10" t="s">
        <v>2623</v>
      </c>
      <c r="F2336" s="11">
        <v>5050</v>
      </c>
      <c r="G2336" s="11">
        <v>5808</v>
      </c>
      <c r="H2336" s="11">
        <v>10858</v>
      </c>
      <c r="I2336" s="11">
        <v>7243</v>
      </c>
      <c r="J2336" s="66">
        <f t="shared" si="144"/>
        <v>46.509486093203165</v>
      </c>
      <c r="K2336" s="66">
        <f t="shared" si="145"/>
        <v>53.490513906796835</v>
      </c>
    </row>
    <row r="2337" spans="1:11" hidden="1" x14ac:dyDescent="0.3">
      <c r="A2337" s="10">
        <v>86</v>
      </c>
      <c r="B2337" s="10" t="s">
        <v>2601</v>
      </c>
      <c r="C2337" s="10" t="str" cm="1">
        <f t="array" ref="C2337">_xlfn.IFS(A2337&lt;20, "ภาคกลาง", A2337&lt;30, "ภาคตะวันออก", A2337&lt;50, "ภาคตะวันออกเฉียงเหนือ", A2337&lt;60, "ภาคเหนือ", A2337&lt;80, "ภาคกลาง/ตะวันตก", A2337&gt;=80, "ภาคใต้")</f>
        <v>ภาคใต้</v>
      </c>
      <c r="D2337" s="10">
        <v>0</v>
      </c>
      <c r="E2337" s="10" t="s">
        <v>343</v>
      </c>
      <c r="F2337" s="11">
        <v>14856</v>
      </c>
      <c r="G2337" s="11">
        <v>17292</v>
      </c>
      <c r="H2337" s="11">
        <v>32148</v>
      </c>
      <c r="I2337" s="11">
        <v>20812</v>
      </c>
      <c r="J2337"/>
      <c r="K2337"/>
    </row>
    <row r="2338" spans="1:11" x14ac:dyDescent="0.3">
      <c r="A2338" s="10">
        <v>90</v>
      </c>
      <c r="B2338" s="10" t="s">
        <v>2624</v>
      </c>
      <c r="C2338" s="10" t="str" cm="1">
        <f t="array" ref="C2338">_xlfn.IFS(A2338&lt;20, "ภาคกลาง", A2338&lt;30, "ภาคตะวันออก", A2338&lt;50, "ภาคตะวันออกเฉียงเหนือ", A2338&lt;60, "ภาคเหนือ", A2338&lt;80, "ภาคกลาง/ตะวันตก", A2338&gt;=80, "ภาคใต้")</f>
        <v>ภาคใต้</v>
      </c>
      <c r="D2338" s="64">
        <v>9001</v>
      </c>
      <c r="E2338" s="10" t="s">
        <v>2625</v>
      </c>
      <c r="F2338" s="11">
        <v>695802</v>
      </c>
      <c r="G2338" s="11">
        <v>735305</v>
      </c>
      <c r="H2338" s="11">
        <v>1431107</v>
      </c>
      <c r="I2338" s="11">
        <v>593923</v>
      </c>
      <c r="J2338" s="66">
        <f t="shared" ref="J2338:J2387" si="146">F2338/H2338*100</f>
        <v>48.61984463775245</v>
      </c>
      <c r="K2338" s="66">
        <f t="shared" ref="K2338:K2387" si="147">G2338/H2338*100</f>
        <v>51.38015536224755</v>
      </c>
    </row>
    <row r="2339" spans="1:11" x14ac:dyDescent="0.3">
      <c r="A2339" s="10">
        <v>90</v>
      </c>
      <c r="B2339" s="10" t="s">
        <v>2624</v>
      </c>
      <c r="C2339" s="10" t="str" cm="1">
        <f t="array" ref="C2339">_xlfn.IFS(A2339&lt;20, "ภาคกลาง", A2339&lt;30, "ภาคตะวันออก", A2339&lt;50, "ภาคตะวันออกเฉียงเหนือ", A2339&lt;60, "ภาคเหนือ", A2339&lt;80, "ภาคกลาง/ตะวันตก", A2339&gt;=80, "ภาคใต้")</f>
        <v>ภาคใต้</v>
      </c>
      <c r="D2339" s="64">
        <v>9002</v>
      </c>
      <c r="E2339" s="10" t="s">
        <v>2626</v>
      </c>
      <c r="F2339" s="11">
        <v>7272</v>
      </c>
      <c r="G2339" s="11">
        <v>7930</v>
      </c>
      <c r="H2339" s="11">
        <v>15202</v>
      </c>
      <c r="I2339" s="11">
        <v>5918</v>
      </c>
      <c r="J2339" s="66">
        <f t="shared" si="146"/>
        <v>47.835811077489801</v>
      </c>
      <c r="K2339" s="66">
        <f t="shared" si="147"/>
        <v>52.164188922510192</v>
      </c>
    </row>
    <row r="2340" spans="1:11" x14ac:dyDescent="0.3">
      <c r="A2340" s="10">
        <v>90</v>
      </c>
      <c r="B2340" s="10" t="s">
        <v>2624</v>
      </c>
      <c r="C2340" s="10" t="str" cm="1">
        <f t="array" ref="C2340">_xlfn.IFS(A2340&lt;20, "ภาคกลาง", A2340&lt;30, "ภาคตะวันออก", A2340&lt;50, "ภาคตะวันออกเฉียงเหนือ", A2340&lt;60, "ภาคเหนือ", A2340&lt;80, "ภาคกลาง/ตะวันตก", A2340&gt;=80, "ภาคใต้")</f>
        <v>ภาคใต้</v>
      </c>
      <c r="D2340" s="64">
        <v>9003</v>
      </c>
      <c r="E2340" s="10" t="s">
        <v>2627</v>
      </c>
      <c r="F2340" s="11">
        <v>21446</v>
      </c>
      <c r="G2340" s="11">
        <v>22447</v>
      </c>
      <c r="H2340" s="11">
        <v>43893</v>
      </c>
      <c r="I2340" s="11">
        <v>14551</v>
      </c>
      <c r="J2340" s="66">
        <f t="shared" si="146"/>
        <v>48.85972706354088</v>
      </c>
      <c r="K2340" s="66">
        <f t="shared" si="147"/>
        <v>51.14027293645912</v>
      </c>
    </row>
    <row r="2341" spans="1:11" x14ac:dyDescent="0.3">
      <c r="A2341" s="10">
        <v>90</v>
      </c>
      <c r="B2341" s="10" t="s">
        <v>2624</v>
      </c>
      <c r="C2341" s="10" t="str" cm="1">
        <f t="array" ref="C2341">_xlfn.IFS(A2341&lt;20, "ภาคกลาง", A2341&lt;30, "ภาคตะวันออก", A2341&lt;50, "ภาคตะวันออกเฉียงเหนือ", A2341&lt;60, "ภาคเหนือ", A2341&lt;80, "ภาคกลาง/ตะวันตก", A2341&gt;=80, "ภาคใต้")</f>
        <v>ภาคใต้</v>
      </c>
      <c r="D2341" s="64">
        <v>9004</v>
      </c>
      <c r="E2341" s="10" t="s">
        <v>2628</v>
      </c>
      <c r="F2341" s="11">
        <v>50876</v>
      </c>
      <c r="G2341" s="11">
        <v>51458</v>
      </c>
      <c r="H2341" s="11">
        <v>102334</v>
      </c>
      <c r="I2341" s="11">
        <v>29763</v>
      </c>
      <c r="J2341" s="66">
        <f t="shared" si="146"/>
        <v>49.715637031680579</v>
      </c>
      <c r="K2341" s="66">
        <f t="shared" si="147"/>
        <v>50.284362968319428</v>
      </c>
    </row>
    <row r="2342" spans="1:11" x14ac:dyDescent="0.3">
      <c r="A2342" s="10">
        <v>90</v>
      </c>
      <c r="B2342" s="10" t="s">
        <v>2624</v>
      </c>
      <c r="C2342" s="10" t="str" cm="1">
        <f t="array" ref="C2342">_xlfn.IFS(A2342&lt;20, "ภาคกลาง", A2342&lt;30, "ภาคตะวันออก", A2342&lt;50, "ภาคตะวันออกเฉียงเหนือ", A2342&lt;60, "ภาคเหนือ", A2342&lt;80, "ภาคกลาง/ตะวันตก", A2342&gt;=80, "ภาคใต้")</f>
        <v>ภาคใต้</v>
      </c>
      <c r="D2342" s="64">
        <v>9005</v>
      </c>
      <c r="E2342" s="10" t="s">
        <v>2629</v>
      </c>
      <c r="F2342" s="11">
        <v>31791</v>
      </c>
      <c r="G2342" s="11">
        <v>31167</v>
      </c>
      <c r="H2342" s="11">
        <v>62958</v>
      </c>
      <c r="I2342" s="11">
        <v>20460</v>
      </c>
      <c r="J2342" s="66">
        <f t="shared" si="146"/>
        <v>50.49556847422091</v>
      </c>
      <c r="K2342" s="66">
        <f t="shared" si="147"/>
        <v>49.50443152577909</v>
      </c>
    </row>
    <row r="2343" spans="1:11" x14ac:dyDescent="0.3">
      <c r="A2343" s="10">
        <v>90</v>
      </c>
      <c r="B2343" s="10" t="s">
        <v>2624</v>
      </c>
      <c r="C2343" s="10" t="str" cm="1">
        <f t="array" ref="C2343">_xlfn.IFS(A2343&lt;20, "ภาคกลาง", A2343&lt;30, "ภาคตะวันออก", A2343&lt;50, "ภาคตะวันออกเฉียงเหนือ", A2343&lt;60, "ภาคเหนือ", A2343&lt;80, "ภาคกลาง/ตะวันตก", A2343&gt;=80, "ภาคใต้")</f>
        <v>ภาคใต้</v>
      </c>
      <c r="D2343" s="64">
        <v>9006</v>
      </c>
      <c r="E2343" s="10" t="s">
        <v>2630</v>
      </c>
      <c r="F2343" s="11">
        <v>30974</v>
      </c>
      <c r="G2343" s="11">
        <v>29515</v>
      </c>
      <c r="H2343" s="11">
        <v>60489</v>
      </c>
      <c r="I2343" s="11">
        <v>17541</v>
      </c>
      <c r="J2343" s="66">
        <f t="shared" si="146"/>
        <v>51.206004397493757</v>
      </c>
      <c r="K2343" s="66">
        <f t="shared" si="147"/>
        <v>48.793995602506243</v>
      </c>
    </row>
    <row r="2344" spans="1:11" x14ac:dyDescent="0.3">
      <c r="A2344" s="10">
        <v>90</v>
      </c>
      <c r="B2344" s="10" t="s">
        <v>2624</v>
      </c>
      <c r="C2344" s="10" t="str" cm="1">
        <f t="array" ref="C2344">_xlfn.IFS(A2344&lt;20, "ภาคกลาง", A2344&lt;30, "ภาคตะวันออก", A2344&lt;50, "ภาคตะวันออกเฉียงเหนือ", A2344&lt;60, "ภาคเหนือ", A2344&lt;80, "ภาคกลาง/ตะวันตก", A2344&gt;=80, "ภาคใต้")</f>
        <v>ภาคใต้</v>
      </c>
      <c r="D2344" s="64">
        <v>9007</v>
      </c>
      <c r="E2344" s="10" t="s">
        <v>2631</v>
      </c>
      <c r="F2344" s="11">
        <v>40468</v>
      </c>
      <c r="G2344" s="11">
        <v>39840</v>
      </c>
      <c r="H2344" s="11">
        <v>80308</v>
      </c>
      <c r="I2344" s="11">
        <v>20407</v>
      </c>
      <c r="J2344" s="66">
        <f t="shared" si="146"/>
        <v>50.390994670518509</v>
      </c>
      <c r="K2344" s="66">
        <f t="shared" si="147"/>
        <v>49.609005329481498</v>
      </c>
    </row>
    <row r="2345" spans="1:11" x14ac:dyDescent="0.3">
      <c r="A2345" s="10">
        <v>90</v>
      </c>
      <c r="B2345" s="10" t="s">
        <v>2624</v>
      </c>
      <c r="C2345" s="10" t="str" cm="1">
        <f t="array" ref="C2345">_xlfn.IFS(A2345&lt;20, "ภาคกลาง", A2345&lt;30, "ภาคตะวันออก", A2345&lt;50, "ภาคตะวันออกเฉียงเหนือ", A2345&lt;60, "ภาคเหนือ", A2345&lt;80, "ภาคกลาง/ตะวันตก", A2345&gt;=80, "ภาคใต้")</f>
        <v>ภาคใต้</v>
      </c>
      <c r="D2345" s="64">
        <v>9008</v>
      </c>
      <c r="E2345" s="10" t="s">
        <v>2632</v>
      </c>
      <c r="F2345" s="11">
        <v>23485</v>
      </c>
      <c r="G2345" s="11">
        <v>23966</v>
      </c>
      <c r="H2345" s="11">
        <v>47451</v>
      </c>
      <c r="I2345" s="11">
        <v>20201</v>
      </c>
      <c r="J2345" s="66">
        <f t="shared" si="146"/>
        <v>49.493161366462246</v>
      </c>
      <c r="K2345" s="66">
        <f t="shared" si="147"/>
        <v>50.506838633537754</v>
      </c>
    </row>
    <row r="2346" spans="1:11" x14ac:dyDescent="0.3">
      <c r="A2346" s="10">
        <v>90</v>
      </c>
      <c r="B2346" s="10" t="s">
        <v>2624</v>
      </c>
      <c r="C2346" s="10" t="str" cm="1">
        <f t="array" ref="C2346">_xlfn.IFS(A2346&lt;20, "ภาคกลาง", A2346&lt;30, "ภาคตะวันออก", A2346&lt;50, "ภาคตะวันออกเฉียงเหนือ", A2346&lt;60, "ภาคเหนือ", A2346&lt;80, "ภาคกลาง/ตะวันตก", A2346&gt;=80, "ภาคใต้")</f>
        <v>ภาคใต้</v>
      </c>
      <c r="D2346" s="64">
        <v>9009</v>
      </c>
      <c r="E2346" s="10" t="s">
        <v>2633</v>
      </c>
      <c r="F2346" s="11">
        <v>7156</v>
      </c>
      <c r="G2346" s="11">
        <v>7453</v>
      </c>
      <c r="H2346" s="11">
        <v>14609</v>
      </c>
      <c r="I2346" s="11">
        <v>5499</v>
      </c>
      <c r="J2346" s="66">
        <f t="shared" si="146"/>
        <v>48.983503319871311</v>
      </c>
      <c r="K2346" s="66">
        <f t="shared" si="147"/>
        <v>51.016496680128689</v>
      </c>
    </row>
    <row r="2347" spans="1:11" x14ac:dyDescent="0.3">
      <c r="A2347" s="10">
        <v>90</v>
      </c>
      <c r="B2347" s="10" t="s">
        <v>2624</v>
      </c>
      <c r="C2347" s="10" t="str" cm="1">
        <f t="array" ref="C2347">_xlfn.IFS(A2347&lt;20, "ภาคกลาง", A2347&lt;30, "ภาคตะวันออก", A2347&lt;50, "ภาคตะวันออกเฉียงเหนือ", A2347&lt;60, "ภาคเหนือ", A2347&lt;80, "ภาคกลาง/ตะวันตก", A2347&gt;=80, "ภาคใต้")</f>
        <v>ภาคใต้</v>
      </c>
      <c r="D2347" s="64">
        <v>9010</v>
      </c>
      <c r="E2347" s="10" t="s">
        <v>2634</v>
      </c>
      <c r="F2347" s="11">
        <v>33783</v>
      </c>
      <c r="G2347" s="11">
        <v>34135</v>
      </c>
      <c r="H2347" s="11">
        <v>67918</v>
      </c>
      <c r="I2347" s="11">
        <v>23493</v>
      </c>
      <c r="J2347" s="66">
        <f t="shared" si="146"/>
        <v>49.740863983038366</v>
      </c>
      <c r="K2347" s="66">
        <f t="shared" si="147"/>
        <v>50.259136016961627</v>
      </c>
    </row>
    <row r="2348" spans="1:11" x14ac:dyDescent="0.3">
      <c r="A2348" s="10">
        <v>90</v>
      </c>
      <c r="B2348" s="10" t="s">
        <v>2624</v>
      </c>
      <c r="C2348" s="10" t="str" cm="1">
        <f t="array" ref="C2348">_xlfn.IFS(A2348&lt;20, "ภาคกลาง", A2348&lt;30, "ภาคตะวันออก", A2348&lt;50, "ภาคตะวันออกเฉียงเหนือ", A2348&lt;60, "ภาคเหนือ", A2348&lt;80, "ภาคกลาง/ตะวันตก", A2348&gt;=80, "ภาคใต้")</f>
        <v>ภาคใต้</v>
      </c>
      <c r="D2348" s="64">
        <v>9011</v>
      </c>
      <c r="E2348" s="10" t="s">
        <v>2635</v>
      </c>
      <c r="F2348" s="11">
        <v>29594</v>
      </c>
      <c r="G2348" s="11">
        <v>29333</v>
      </c>
      <c r="H2348" s="11">
        <v>58927</v>
      </c>
      <c r="I2348" s="11">
        <v>22395</v>
      </c>
      <c r="J2348" s="66">
        <f t="shared" si="146"/>
        <v>50.221460451066569</v>
      </c>
      <c r="K2348" s="66">
        <f t="shared" si="147"/>
        <v>49.778539548933423</v>
      </c>
    </row>
    <row r="2349" spans="1:11" x14ac:dyDescent="0.3">
      <c r="A2349" s="10">
        <v>90</v>
      </c>
      <c r="B2349" s="10" t="s">
        <v>2624</v>
      </c>
      <c r="C2349" s="10" t="str" cm="1">
        <f t="array" ref="C2349">_xlfn.IFS(A2349&lt;20, "ภาคกลาง", A2349&lt;30, "ภาคตะวันออก", A2349&lt;50, "ภาคตะวันออกเฉียงเหนือ", A2349&lt;60, "ภาคเหนือ", A2349&lt;80, "ภาคกลาง/ตะวันตก", A2349&gt;=80, "ภาคใต้")</f>
        <v>ภาคใต้</v>
      </c>
      <c r="D2349" s="64">
        <v>9012</v>
      </c>
      <c r="E2349" s="10" t="s">
        <v>2636</v>
      </c>
      <c r="F2349" s="11">
        <v>15637</v>
      </c>
      <c r="G2349" s="11">
        <v>17032</v>
      </c>
      <c r="H2349" s="11">
        <v>32669</v>
      </c>
      <c r="I2349" s="11">
        <v>15251</v>
      </c>
      <c r="J2349" s="66">
        <f t="shared" si="146"/>
        <v>47.864948422051484</v>
      </c>
      <c r="K2349" s="66">
        <f t="shared" si="147"/>
        <v>52.135051577948509</v>
      </c>
    </row>
    <row r="2350" spans="1:11" x14ac:dyDescent="0.3">
      <c r="A2350" s="10">
        <v>90</v>
      </c>
      <c r="B2350" s="10" t="s">
        <v>2624</v>
      </c>
      <c r="C2350" s="10" t="str" cm="1">
        <f t="array" ref="C2350">_xlfn.IFS(A2350&lt;20, "ภาคกลาง", A2350&lt;30, "ภาคตะวันออก", A2350&lt;50, "ภาคตะวันออกเฉียงเหนือ", A2350&lt;60, "ภาคเหนือ", A2350&lt;80, "ภาคกลาง/ตะวันตก", A2350&gt;=80, "ภาคใต้")</f>
        <v>ภาคใต้</v>
      </c>
      <c r="D2350" s="64">
        <v>9013</v>
      </c>
      <c r="E2350" s="10" t="s">
        <v>2637</v>
      </c>
      <c r="F2350" s="11">
        <v>11101</v>
      </c>
      <c r="G2350" s="11">
        <v>11964</v>
      </c>
      <c r="H2350" s="11">
        <v>23065</v>
      </c>
      <c r="I2350" s="11">
        <v>9810</v>
      </c>
      <c r="J2350" s="66">
        <f t="shared" si="146"/>
        <v>48.129200086711464</v>
      </c>
      <c r="K2350" s="66">
        <f t="shared" si="147"/>
        <v>51.870799913288536</v>
      </c>
    </row>
    <row r="2351" spans="1:11" x14ac:dyDescent="0.3">
      <c r="A2351" s="10">
        <v>90</v>
      </c>
      <c r="B2351" s="10" t="s">
        <v>2624</v>
      </c>
      <c r="C2351" s="10" t="str" cm="1">
        <f t="array" ref="C2351">_xlfn.IFS(A2351&lt;20, "ภาคกลาง", A2351&lt;30, "ภาคตะวันออก", A2351&lt;50, "ภาคตะวันออกเฉียงเหนือ", A2351&lt;60, "ภาคเหนือ", A2351&lt;80, "ภาคกลาง/ตะวันตก", A2351&gt;=80, "ภาคใต้")</f>
        <v>ภาคใต้</v>
      </c>
      <c r="D2351" s="64">
        <v>9014</v>
      </c>
      <c r="E2351" s="10" t="s">
        <v>2638</v>
      </c>
      <c r="F2351" s="11">
        <v>14787</v>
      </c>
      <c r="G2351" s="11">
        <v>15300</v>
      </c>
      <c r="H2351" s="11">
        <v>30087</v>
      </c>
      <c r="I2351" s="11">
        <v>10564</v>
      </c>
      <c r="J2351" s="66">
        <f t="shared" si="146"/>
        <v>49.147472330242294</v>
      </c>
      <c r="K2351" s="66">
        <f t="shared" si="147"/>
        <v>50.852527669757706</v>
      </c>
    </row>
    <row r="2352" spans="1:11" x14ac:dyDescent="0.3">
      <c r="A2352" s="10">
        <v>90</v>
      </c>
      <c r="B2352" s="10" t="s">
        <v>2624</v>
      </c>
      <c r="C2352" s="10" t="str" cm="1">
        <f t="array" ref="C2352">_xlfn.IFS(A2352&lt;20, "ภาคกลาง", A2352&lt;30, "ภาคตะวันออก", A2352&lt;50, "ภาคตะวันออกเฉียงเหนือ", A2352&lt;60, "ภาคเหนือ", A2352&lt;80, "ภาคกลาง/ตะวันตก", A2352&gt;=80, "ภาคใต้")</f>
        <v>ภาคใต้</v>
      </c>
      <c r="D2352" s="64">
        <v>9015</v>
      </c>
      <c r="E2352" s="10" t="s">
        <v>2639</v>
      </c>
      <c r="F2352" s="11">
        <v>5161</v>
      </c>
      <c r="G2352" s="11">
        <v>5299</v>
      </c>
      <c r="H2352" s="11">
        <v>10460</v>
      </c>
      <c r="I2352" s="11">
        <v>3991</v>
      </c>
      <c r="J2352" s="66">
        <f t="shared" si="146"/>
        <v>49.340344168260039</v>
      </c>
      <c r="K2352" s="66">
        <f t="shared" si="147"/>
        <v>50.659655831739961</v>
      </c>
    </row>
    <row r="2353" spans="1:11" x14ac:dyDescent="0.3">
      <c r="A2353" s="10">
        <v>90</v>
      </c>
      <c r="B2353" s="10" t="s">
        <v>2624</v>
      </c>
      <c r="C2353" s="10" t="str" cm="1">
        <f t="array" ref="C2353">_xlfn.IFS(A2353&lt;20, "ภาคกลาง", A2353&lt;30, "ภาคตะวันออก", A2353&lt;50, "ภาคตะวันออกเฉียงเหนือ", A2353&lt;60, "ภาคเหนือ", A2353&lt;80, "ภาคกลาง/ตะวันตก", A2353&gt;=80, "ภาคใต้")</f>
        <v>ภาคใต้</v>
      </c>
      <c r="D2353" s="64">
        <v>9016</v>
      </c>
      <c r="E2353" s="10" t="s">
        <v>2640</v>
      </c>
      <c r="F2353" s="11">
        <v>21415</v>
      </c>
      <c r="G2353" s="11">
        <v>22386</v>
      </c>
      <c r="H2353" s="11">
        <v>43801</v>
      </c>
      <c r="I2353" s="11">
        <v>15721</v>
      </c>
      <c r="J2353" s="66">
        <f t="shared" si="146"/>
        <v>48.891577817858042</v>
      </c>
      <c r="K2353" s="66">
        <f t="shared" si="147"/>
        <v>51.108422182141958</v>
      </c>
    </row>
    <row r="2354" spans="1:11" x14ac:dyDescent="0.3">
      <c r="A2354" s="10">
        <v>90</v>
      </c>
      <c r="B2354" s="10" t="s">
        <v>2624</v>
      </c>
      <c r="C2354" s="10" t="str" cm="1">
        <f t="array" ref="C2354">_xlfn.IFS(A2354&lt;20, "ภาคกลาง", A2354&lt;30, "ภาคตะวันออก", A2354&lt;50, "ภาคตะวันออกเฉียงเหนือ", A2354&lt;60, "ภาคเหนือ", A2354&lt;80, "ภาคกลาง/ตะวันตก", A2354&gt;=80, "ภาคใต้")</f>
        <v>ภาคใต้</v>
      </c>
      <c r="D2354" s="64">
        <v>9066</v>
      </c>
      <c r="E2354" s="10" t="s">
        <v>2641</v>
      </c>
      <c r="F2354" s="11">
        <v>5898</v>
      </c>
      <c r="G2354" s="11">
        <v>5888</v>
      </c>
      <c r="H2354" s="11">
        <v>11786</v>
      </c>
      <c r="I2354" s="11">
        <v>5470</v>
      </c>
      <c r="J2354" s="66">
        <f t="shared" si="146"/>
        <v>50.042423213982687</v>
      </c>
      <c r="K2354" s="66">
        <f t="shared" si="147"/>
        <v>49.957576786017313</v>
      </c>
    </row>
    <row r="2355" spans="1:11" x14ac:dyDescent="0.3">
      <c r="A2355" s="10">
        <v>90</v>
      </c>
      <c r="B2355" s="10" t="s">
        <v>2624</v>
      </c>
      <c r="C2355" s="10" t="str" cm="1">
        <f t="array" ref="C2355">_xlfn.IFS(A2355&lt;20, "ภาคกลาง", A2355&lt;30, "ภาคตะวันออก", A2355&lt;50, "ภาคตะวันออกเฉียงเหนือ", A2355&lt;60, "ภาคเหนือ", A2355&lt;80, "ภาคกลาง/ตะวันตก", A2355&gt;=80, "ภาคใต้")</f>
        <v>ภาคใต้</v>
      </c>
      <c r="D2355" s="64">
        <v>9067</v>
      </c>
      <c r="E2355" s="10" t="s">
        <v>2642</v>
      </c>
      <c r="F2355" s="11">
        <v>8439</v>
      </c>
      <c r="G2355" s="11">
        <v>8946</v>
      </c>
      <c r="H2355" s="11">
        <v>17385</v>
      </c>
      <c r="I2355" s="11">
        <v>6860</v>
      </c>
      <c r="J2355" s="66">
        <f t="shared" si="146"/>
        <v>48.541846419327008</v>
      </c>
      <c r="K2355" s="66">
        <f t="shared" si="147"/>
        <v>51.458153580672992</v>
      </c>
    </row>
    <row r="2356" spans="1:11" x14ac:dyDescent="0.3">
      <c r="A2356" s="10">
        <v>90</v>
      </c>
      <c r="B2356" s="10" t="s">
        <v>2624</v>
      </c>
      <c r="C2356" s="10" t="str" cm="1">
        <f t="array" ref="C2356">_xlfn.IFS(A2356&lt;20, "ภาคกลาง", A2356&lt;30, "ภาคตะวันออก", A2356&lt;50, "ภาคตะวันออกเฉียงเหนือ", A2356&lt;60, "ภาคเหนือ", A2356&lt;80, "ภาคกลาง/ตะวันตก", A2356&gt;=80, "ภาคใต้")</f>
        <v>ภาคใต้</v>
      </c>
      <c r="D2356" s="64">
        <v>9068</v>
      </c>
      <c r="E2356" s="10" t="s">
        <v>2643</v>
      </c>
      <c r="F2356" s="11">
        <v>4107</v>
      </c>
      <c r="G2356" s="11">
        <v>3502</v>
      </c>
      <c r="H2356" s="11">
        <v>7609</v>
      </c>
      <c r="I2356" s="11">
        <v>2938</v>
      </c>
      <c r="J2356" s="66">
        <f t="shared" si="146"/>
        <v>53.97555526350375</v>
      </c>
      <c r="K2356" s="66">
        <f t="shared" si="147"/>
        <v>46.024444736496257</v>
      </c>
    </row>
    <row r="2357" spans="1:11" ht="27.6" x14ac:dyDescent="0.3">
      <c r="A2357" s="10">
        <v>90</v>
      </c>
      <c r="B2357" s="10" t="s">
        <v>2624</v>
      </c>
      <c r="C2357" s="10" t="str" cm="1">
        <f t="array" ref="C2357">_xlfn.IFS(A2357&lt;20, "ภาคกลาง", A2357&lt;30, "ภาคตะวันออก", A2357&lt;50, "ภาคตะวันออกเฉียงเหนือ", A2357&lt;60, "ภาคเหนือ", A2357&lt;80, "ภาคกลาง/ตะวันตก", A2357&gt;=80, "ภาคใต้")</f>
        <v>ภาคใต้</v>
      </c>
      <c r="D2357" s="64">
        <v>9069</v>
      </c>
      <c r="E2357" s="10" t="s">
        <v>2644</v>
      </c>
      <c r="F2357" s="11">
        <v>3737</v>
      </c>
      <c r="G2357" s="11">
        <v>4013</v>
      </c>
      <c r="H2357" s="11">
        <v>7750</v>
      </c>
      <c r="I2357" s="11">
        <v>2822</v>
      </c>
      <c r="J2357" s="66">
        <f t="shared" si="146"/>
        <v>48.219354838709677</v>
      </c>
      <c r="K2357" s="66">
        <f t="shared" si="147"/>
        <v>51.780645161290316</v>
      </c>
    </row>
    <row r="2358" spans="1:11" x14ac:dyDescent="0.3">
      <c r="A2358" s="10">
        <v>90</v>
      </c>
      <c r="B2358" s="10" t="s">
        <v>2624</v>
      </c>
      <c r="C2358" s="10" t="str" cm="1">
        <f t="array" ref="C2358">_xlfn.IFS(A2358&lt;20, "ภาคกลาง", A2358&lt;30, "ภาคตะวันออก", A2358&lt;50, "ภาคตะวันออกเฉียงเหนือ", A2358&lt;60, "ภาคเหนือ", A2358&lt;80, "ภาคกลาง/ตะวันตก", A2358&gt;=80, "ภาคใต้")</f>
        <v>ภาคใต้</v>
      </c>
      <c r="D2358" s="64">
        <v>9070</v>
      </c>
      <c r="E2358" s="10" t="s">
        <v>2645</v>
      </c>
      <c r="F2358" s="11">
        <v>5644</v>
      </c>
      <c r="G2358" s="11">
        <v>5982</v>
      </c>
      <c r="H2358" s="11">
        <v>11626</v>
      </c>
      <c r="I2358" s="11">
        <v>4057</v>
      </c>
      <c r="J2358" s="66">
        <f t="shared" si="146"/>
        <v>48.546361603302941</v>
      </c>
      <c r="K2358" s="66">
        <f t="shared" si="147"/>
        <v>51.453638396697052</v>
      </c>
    </row>
    <row r="2359" spans="1:11" x14ac:dyDescent="0.3">
      <c r="A2359" s="10">
        <v>90</v>
      </c>
      <c r="B2359" s="10" t="s">
        <v>2624</v>
      </c>
      <c r="C2359" s="10" t="str" cm="1">
        <f t="array" ref="C2359">_xlfn.IFS(A2359&lt;20, "ภาคกลาง", A2359&lt;30, "ภาคตะวันออก", A2359&lt;50, "ภาคตะวันออกเฉียงเหนือ", A2359&lt;60, "ภาคเหนือ", A2359&lt;80, "ภาคกลาง/ตะวันตก", A2359&gt;=80, "ภาคใต้")</f>
        <v>ภาคใต้</v>
      </c>
      <c r="D2359" s="64">
        <v>9071</v>
      </c>
      <c r="E2359" s="10" t="s">
        <v>850</v>
      </c>
      <c r="F2359" s="11">
        <v>5904</v>
      </c>
      <c r="G2359" s="11">
        <v>6017</v>
      </c>
      <c r="H2359" s="11">
        <v>11921</v>
      </c>
      <c r="I2359" s="11">
        <v>3473</v>
      </c>
      <c r="J2359" s="66">
        <f t="shared" si="146"/>
        <v>49.526046472611355</v>
      </c>
      <c r="K2359" s="66">
        <f t="shared" si="147"/>
        <v>50.473953527388637</v>
      </c>
    </row>
    <row r="2360" spans="1:11" x14ac:dyDescent="0.3">
      <c r="A2360" s="10">
        <v>90</v>
      </c>
      <c r="B2360" s="10" t="s">
        <v>2624</v>
      </c>
      <c r="C2360" s="10" t="str" cm="1">
        <f t="array" ref="C2360">_xlfn.IFS(A2360&lt;20, "ภาคกลาง", A2360&lt;30, "ภาคตะวันออก", A2360&lt;50, "ภาคตะวันออกเฉียงเหนือ", A2360&lt;60, "ภาคเหนือ", A2360&lt;80, "ภาคกลาง/ตะวันตก", A2360&gt;=80, "ภาคใต้")</f>
        <v>ภาคใต้</v>
      </c>
      <c r="D2360" s="64">
        <v>9072</v>
      </c>
      <c r="E2360" s="10" t="s">
        <v>2646</v>
      </c>
      <c r="F2360" s="11">
        <v>11781</v>
      </c>
      <c r="G2360" s="11">
        <v>11869</v>
      </c>
      <c r="H2360" s="11">
        <v>23650</v>
      </c>
      <c r="I2360" s="11">
        <v>11027</v>
      </c>
      <c r="J2360" s="66">
        <f t="shared" si="146"/>
        <v>49.813953488372093</v>
      </c>
      <c r="K2360" s="66">
        <f t="shared" si="147"/>
        <v>50.1860465116279</v>
      </c>
    </row>
    <row r="2361" spans="1:11" x14ac:dyDescent="0.3">
      <c r="A2361" s="10">
        <v>90</v>
      </c>
      <c r="B2361" s="10" t="s">
        <v>2624</v>
      </c>
      <c r="C2361" s="10" t="str" cm="1">
        <f t="array" ref="C2361">_xlfn.IFS(A2361&lt;20, "ภาคกลาง", A2361&lt;30, "ภาคตะวันออก", A2361&lt;50, "ภาคตะวันออกเฉียงเหนือ", A2361&lt;60, "ภาคเหนือ", A2361&lt;80, "ภาคกลาง/ตะวันตก", A2361&gt;=80, "ภาคใต้")</f>
        <v>ภาคใต้</v>
      </c>
      <c r="D2361" s="64">
        <v>9073</v>
      </c>
      <c r="E2361" s="10" t="s">
        <v>2647</v>
      </c>
      <c r="F2361" s="11">
        <v>7300</v>
      </c>
      <c r="G2361" s="11">
        <v>8200</v>
      </c>
      <c r="H2361" s="11">
        <v>15500</v>
      </c>
      <c r="I2361" s="11">
        <v>6875</v>
      </c>
      <c r="J2361" s="66">
        <f t="shared" si="146"/>
        <v>47.096774193548384</v>
      </c>
      <c r="K2361" s="66">
        <f t="shared" si="147"/>
        <v>52.903225806451616</v>
      </c>
    </row>
    <row r="2362" spans="1:11" x14ac:dyDescent="0.3">
      <c r="A2362" s="10">
        <v>90</v>
      </c>
      <c r="B2362" s="10" t="s">
        <v>2624</v>
      </c>
      <c r="C2362" s="10" t="str" cm="1">
        <f t="array" ref="C2362">_xlfn.IFS(A2362&lt;20, "ภาคกลาง", A2362&lt;30, "ภาคตะวันออก", A2362&lt;50, "ภาคตะวันออกเฉียงเหนือ", A2362&lt;60, "ภาคเหนือ", A2362&lt;80, "ภาคกลาง/ตะวันตก", A2362&gt;=80, "ภาคใต้")</f>
        <v>ภาคใต้</v>
      </c>
      <c r="D2362" s="64">
        <v>9074</v>
      </c>
      <c r="E2362" s="10" t="s">
        <v>2038</v>
      </c>
      <c r="F2362" s="11">
        <v>7835</v>
      </c>
      <c r="G2362" s="11">
        <v>8057</v>
      </c>
      <c r="H2362" s="11">
        <v>15892</v>
      </c>
      <c r="I2362" s="11">
        <v>4841</v>
      </c>
      <c r="J2362" s="66">
        <f t="shared" si="146"/>
        <v>49.301535363705007</v>
      </c>
      <c r="K2362" s="66">
        <f t="shared" si="147"/>
        <v>50.698464636294993</v>
      </c>
    </row>
    <row r="2363" spans="1:11" x14ac:dyDescent="0.3">
      <c r="A2363" s="10">
        <v>90</v>
      </c>
      <c r="B2363" s="10" t="s">
        <v>2624</v>
      </c>
      <c r="C2363" s="10" t="str" cm="1">
        <f t="array" ref="C2363">_xlfn.IFS(A2363&lt;20, "ภาคกลาง", A2363&lt;30, "ภาคตะวันออก", A2363&lt;50, "ภาคตะวันออกเฉียงเหนือ", A2363&lt;60, "ภาคเหนือ", A2363&lt;80, "ภาคกลาง/ตะวันตก", A2363&gt;=80, "ภาคใต้")</f>
        <v>ภาคใต้</v>
      </c>
      <c r="D2363" s="64">
        <v>9075</v>
      </c>
      <c r="E2363" s="10" t="s">
        <v>2648</v>
      </c>
      <c r="F2363" s="11">
        <v>4047</v>
      </c>
      <c r="G2363" s="11">
        <v>4312</v>
      </c>
      <c r="H2363" s="11">
        <v>8359</v>
      </c>
      <c r="I2363" s="11">
        <v>3689</v>
      </c>
      <c r="J2363" s="66">
        <f t="shared" si="146"/>
        <v>48.414882162938149</v>
      </c>
      <c r="K2363" s="66">
        <f t="shared" si="147"/>
        <v>51.585117837061844</v>
      </c>
    </row>
    <row r="2364" spans="1:11" ht="27.6" x14ac:dyDescent="0.3">
      <c r="A2364" s="10">
        <v>90</v>
      </c>
      <c r="B2364" s="10" t="s">
        <v>2624</v>
      </c>
      <c r="C2364" s="10" t="str" cm="1">
        <f t="array" ref="C2364">_xlfn.IFS(A2364&lt;20, "ภาคกลาง", A2364&lt;30, "ภาคตะวันออก", A2364&lt;50, "ภาคตะวันออกเฉียงเหนือ", A2364&lt;60, "ภาคเหนือ", A2364&lt;80, "ภาคกลาง/ตะวันตก", A2364&gt;=80, "ภาคใต้")</f>
        <v>ภาคใต้</v>
      </c>
      <c r="D2364" s="64">
        <v>9076</v>
      </c>
      <c r="E2364" s="10" t="s">
        <v>2649</v>
      </c>
      <c r="F2364" s="11">
        <v>17014</v>
      </c>
      <c r="G2364" s="11">
        <v>18749</v>
      </c>
      <c r="H2364" s="11">
        <v>35763</v>
      </c>
      <c r="I2364" s="11">
        <v>16945</v>
      </c>
      <c r="J2364" s="66">
        <f t="shared" si="146"/>
        <v>47.57430864301093</v>
      </c>
      <c r="K2364" s="66">
        <f t="shared" si="147"/>
        <v>52.42569135698907</v>
      </c>
    </row>
    <row r="2365" spans="1:11" ht="27.6" x14ac:dyDescent="0.3">
      <c r="A2365" s="10">
        <v>90</v>
      </c>
      <c r="B2365" s="10" t="s">
        <v>2624</v>
      </c>
      <c r="C2365" s="10" t="str" cm="1">
        <f t="array" ref="C2365">_xlfn.IFS(A2365&lt;20, "ภาคกลาง", A2365&lt;30, "ภาคตะวันออก", A2365&lt;50, "ภาคตะวันออกเฉียงเหนือ", A2365&lt;60, "ภาคเหนือ", A2365&lt;80, "ภาคกลาง/ตะวันตก", A2365&gt;=80, "ภาคใต้")</f>
        <v>ภาคใต้</v>
      </c>
      <c r="D2365" s="64">
        <v>9077</v>
      </c>
      <c r="E2365" s="10" t="s">
        <v>2650</v>
      </c>
      <c r="F2365" s="11">
        <v>20410</v>
      </c>
      <c r="G2365" s="11">
        <v>22757</v>
      </c>
      <c r="H2365" s="11">
        <v>43167</v>
      </c>
      <c r="I2365" s="11">
        <v>22492</v>
      </c>
      <c r="J2365" s="66">
        <f t="shared" si="146"/>
        <v>47.281488173836493</v>
      </c>
      <c r="K2365" s="66">
        <f t="shared" si="147"/>
        <v>52.718511826163507</v>
      </c>
    </row>
    <row r="2366" spans="1:11" x14ac:dyDescent="0.3">
      <c r="A2366" s="10">
        <v>90</v>
      </c>
      <c r="B2366" s="10" t="s">
        <v>2624</v>
      </c>
      <c r="C2366" s="10" t="str" cm="1">
        <f t="array" ref="C2366">_xlfn.IFS(A2366&lt;20, "ภาคกลาง", A2366&lt;30, "ภาคตะวันออก", A2366&lt;50, "ภาคตะวันออกเฉียงเหนือ", A2366&lt;60, "ภาคเหนือ", A2366&lt;80, "ภาคกลาง/ตะวันตก", A2366&gt;=80, "ภาคใต้")</f>
        <v>ภาคใต้</v>
      </c>
      <c r="D2366" s="64">
        <v>9078</v>
      </c>
      <c r="E2366" s="10" t="s">
        <v>2651</v>
      </c>
      <c r="F2366" s="11">
        <v>6394</v>
      </c>
      <c r="G2366" s="11">
        <v>7429</v>
      </c>
      <c r="H2366" s="11">
        <v>13823</v>
      </c>
      <c r="I2366" s="11">
        <v>9493</v>
      </c>
      <c r="J2366" s="66">
        <f t="shared" si="146"/>
        <v>46.256239600665552</v>
      </c>
      <c r="K2366" s="66">
        <f t="shared" si="147"/>
        <v>53.743760399334441</v>
      </c>
    </row>
    <row r="2367" spans="1:11" x14ac:dyDescent="0.3">
      <c r="A2367" s="10">
        <v>90</v>
      </c>
      <c r="B2367" s="10" t="s">
        <v>2624</v>
      </c>
      <c r="C2367" s="10" t="str" cm="1">
        <f t="array" ref="C2367">_xlfn.IFS(A2367&lt;20, "ภาคกลาง", A2367&lt;30, "ภาคตะวันออก", A2367&lt;50, "ภาคตะวันออกเฉียงเหนือ", A2367&lt;60, "ภาคเหนือ", A2367&lt;80, "ภาคกลาง/ตะวันตก", A2367&gt;=80, "ภาคใต้")</f>
        <v>ภาคใต้</v>
      </c>
      <c r="D2367" s="64">
        <v>9079</v>
      </c>
      <c r="E2367" s="10" t="s">
        <v>2652</v>
      </c>
      <c r="F2367" s="11">
        <v>20931</v>
      </c>
      <c r="G2367" s="11">
        <v>23852</v>
      </c>
      <c r="H2367" s="11">
        <v>44783</v>
      </c>
      <c r="I2367" s="11">
        <v>23597</v>
      </c>
      <c r="J2367" s="66">
        <f t="shared" si="146"/>
        <v>46.738717817028785</v>
      </c>
      <c r="K2367" s="66">
        <f t="shared" si="147"/>
        <v>53.261282182971215</v>
      </c>
    </row>
    <row r="2368" spans="1:11" x14ac:dyDescent="0.3">
      <c r="A2368" s="10">
        <v>90</v>
      </c>
      <c r="B2368" s="10" t="s">
        <v>2624</v>
      </c>
      <c r="C2368" s="10" t="str" cm="1">
        <f t="array" ref="C2368">_xlfn.IFS(A2368&lt;20, "ภาคกลาง", A2368&lt;30, "ภาคตะวันออก", A2368&lt;50, "ภาคตะวันออกเฉียงเหนือ", A2368&lt;60, "ภาคเหนือ", A2368&lt;80, "ภาคกลาง/ตะวันตก", A2368&gt;=80, "ภาคใต้")</f>
        <v>ภาคใต้</v>
      </c>
      <c r="D2368" s="64">
        <v>9080</v>
      </c>
      <c r="E2368" s="10" t="s">
        <v>2653</v>
      </c>
      <c r="F2368" s="11">
        <v>24657</v>
      </c>
      <c r="G2368" s="11">
        <v>28190</v>
      </c>
      <c r="H2368" s="11">
        <v>52847</v>
      </c>
      <c r="I2368" s="11">
        <v>28678</v>
      </c>
      <c r="J2368" s="66">
        <f t="shared" si="146"/>
        <v>46.657331541998595</v>
      </c>
      <c r="K2368" s="66">
        <f t="shared" si="147"/>
        <v>53.342668458001398</v>
      </c>
    </row>
    <row r="2369" spans="1:11" x14ac:dyDescent="0.3">
      <c r="A2369" s="10">
        <v>90</v>
      </c>
      <c r="B2369" s="10" t="s">
        <v>2624</v>
      </c>
      <c r="C2369" s="10" t="str" cm="1">
        <f t="array" ref="C2369">_xlfn.IFS(A2369&lt;20, "ภาคกลาง", A2369&lt;30, "ภาคตะวันออก", A2369&lt;50, "ภาคตะวันออกเฉียงเหนือ", A2369&lt;60, "ภาคเหนือ", A2369&lt;80, "ภาคกลาง/ตะวันตก", A2369&gt;=80, "ภาคใต้")</f>
        <v>ภาคใต้</v>
      </c>
      <c r="D2369" s="64">
        <v>9081</v>
      </c>
      <c r="E2369" s="10" t="s">
        <v>2654</v>
      </c>
      <c r="F2369" s="11">
        <v>21610</v>
      </c>
      <c r="G2369" s="11">
        <v>24487</v>
      </c>
      <c r="H2369" s="11">
        <v>46097</v>
      </c>
      <c r="I2369" s="11">
        <v>30251</v>
      </c>
      <c r="J2369" s="66">
        <f t="shared" si="146"/>
        <v>46.879406468967609</v>
      </c>
      <c r="K2369" s="66">
        <f t="shared" si="147"/>
        <v>53.120593531032391</v>
      </c>
    </row>
    <row r="2370" spans="1:11" ht="27.6" x14ac:dyDescent="0.3">
      <c r="A2370" s="10">
        <v>90</v>
      </c>
      <c r="B2370" s="10" t="s">
        <v>2624</v>
      </c>
      <c r="C2370" s="10" t="str" cm="1">
        <f t="array" ref="C2370">_xlfn.IFS(A2370&lt;20, "ภาคกลาง", A2370&lt;30, "ภาคตะวันออก", A2370&lt;50, "ภาคตะวันออกเฉียงเหนือ", A2370&lt;60, "ภาคเหนือ", A2370&lt;80, "ภาคกลาง/ตะวันตก", A2370&gt;=80, "ภาคใต้")</f>
        <v>ภาคใต้</v>
      </c>
      <c r="D2370" s="64">
        <v>9082</v>
      </c>
      <c r="E2370" s="10" t="s">
        <v>2655</v>
      </c>
      <c r="F2370" s="11">
        <v>19852</v>
      </c>
      <c r="G2370" s="11">
        <v>20281</v>
      </c>
      <c r="H2370" s="11">
        <v>40133</v>
      </c>
      <c r="I2370" s="11">
        <v>14173</v>
      </c>
      <c r="J2370" s="66">
        <f t="shared" si="146"/>
        <v>49.465527122318292</v>
      </c>
      <c r="K2370" s="66">
        <f t="shared" si="147"/>
        <v>50.534472877681715</v>
      </c>
    </row>
    <row r="2371" spans="1:11" x14ac:dyDescent="0.3">
      <c r="A2371" s="10">
        <v>90</v>
      </c>
      <c r="B2371" s="10" t="s">
        <v>2624</v>
      </c>
      <c r="C2371" s="10" t="str" cm="1">
        <f t="array" ref="C2371">_xlfn.IFS(A2371&lt;20, "ภาคกลาง", A2371&lt;30, "ภาคตะวันออก", A2371&lt;50, "ภาคตะวันออกเฉียงเหนือ", A2371&lt;60, "ภาคเหนือ", A2371&lt;80, "ภาคกลาง/ตะวันตก", A2371&gt;=80, "ภาคใต้")</f>
        <v>ภาคใต้</v>
      </c>
      <c r="D2371" s="64">
        <v>9083</v>
      </c>
      <c r="E2371" s="10" t="s">
        <v>2656</v>
      </c>
      <c r="F2371" s="11">
        <v>1872</v>
      </c>
      <c r="G2371" s="11">
        <v>2132</v>
      </c>
      <c r="H2371" s="11">
        <v>4004</v>
      </c>
      <c r="I2371" s="11">
        <v>1831</v>
      </c>
      <c r="J2371" s="66">
        <f t="shared" si="146"/>
        <v>46.753246753246749</v>
      </c>
      <c r="K2371" s="66">
        <f t="shared" si="147"/>
        <v>53.246753246753244</v>
      </c>
    </row>
    <row r="2372" spans="1:11" ht="27.6" x14ac:dyDescent="0.3">
      <c r="A2372" s="10">
        <v>90</v>
      </c>
      <c r="B2372" s="10" t="s">
        <v>2624</v>
      </c>
      <c r="C2372" s="10" t="str" cm="1">
        <f t="array" ref="C2372">_xlfn.IFS(A2372&lt;20, "ภาคกลาง", A2372&lt;30, "ภาคตะวันออก", A2372&lt;50, "ภาคตะวันออกเฉียงเหนือ", A2372&lt;60, "ภาคเหนือ", A2372&lt;80, "ภาคกลาง/ตะวันตก", A2372&gt;=80, "ภาคใต้")</f>
        <v>ภาคใต้</v>
      </c>
      <c r="D2372" s="64">
        <v>9084</v>
      </c>
      <c r="E2372" s="10" t="s">
        <v>2657</v>
      </c>
      <c r="F2372" s="11">
        <v>3660</v>
      </c>
      <c r="G2372" s="11">
        <v>4094</v>
      </c>
      <c r="H2372" s="11">
        <v>7754</v>
      </c>
      <c r="I2372" s="11">
        <v>4992</v>
      </c>
      <c r="J2372" s="66">
        <f t="shared" si="146"/>
        <v>47.201444415785396</v>
      </c>
      <c r="K2372" s="66">
        <f t="shared" si="147"/>
        <v>52.798555584214604</v>
      </c>
    </row>
    <row r="2373" spans="1:11" ht="27.6" x14ac:dyDescent="0.3">
      <c r="A2373" s="10">
        <v>90</v>
      </c>
      <c r="B2373" s="10" t="s">
        <v>2624</v>
      </c>
      <c r="C2373" s="10" t="str" cm="1">
        <f t="array" ref="C2373">_xlfn.IFS(A2373&lt;20, "ภาคกลาง", A2373&lt;30, "ภาคตะวันออก", A2373&lt;50, "ภาคตะวันออกเฉียงเหนือ", A2373&lt;60, "ภาคเหนือ", A2373&lt;80, "ภาคกลาง/ตะวันตก", A2373&gt;=80, "ภาคใต้")</f>
        <v>ภาคใต้</v>
      </c>
      <c r="D2373" s="64">
        <v>9085</v>
      </c>
      <c r="E2373" s="10" t="s">
        <v>2658</v>
      </c>
      <c r="F2373" s="11">
        <v>3916</v>
      </c>
      <c r="G2373" s="11">
        <v>4154</v>
      </c>
      <c r="H2373" s="11">
        <v>8070</v>
      </c>
      <c r="I2373" s="11">
        <v>3252</v>
      </c>
      <c r="J2373" s="66">
        <f t="shared" si="146"/>
        <v>48.525402726146218</v>
      </c>
      <c r="K2373" s="66">
        <f t="shared" si="147"/>
        <v>51.474597273853782</v>
      </c>
    </row>
    <row r="2374" spans="1:11" x14ac:dyDescent="0.3">
      <c r="A2374" s="10">
        <v>90</v>
      </c>
      <c r="B2374" s="10" t="s">
        <v>2624</v>
      </c>
      <c r="C2374" s="10" t="str" cm="1">
        <f t="array" ref="C2374">_xlfn.IFS(A2374&lt;20, "ภาคกลาง", A2374&lt;30, "ภาคตะวันออก", A2374&lt;50, "ภาคตะวันออกเฉียงเหนือ", A2374&lt;60, "ภาคเหนือ", A2374&lt;80, "ภาคกลาง/ตะวันตก", A2374&gt;=80, "ภาคใต้")</f>
        <v>ภาคใต้</v>
      </c>
      <c r="D2374" s="64">
        <v>9086</v>
      </c>
      <c r="E2374" s="10" t="s">
        <v>2659</v>
      </c>
      <c r="F2374" s="11">
        <v>7703</v>
      </c>
      <c r="G2374" s="11">
        <v>8163</v>
      </c>
      <c r="H2374" s="11">
        <v>15866</v>
      </c>
      <c r="I2374" s="11">
        <v>6450</v>
      </c>
      <c r="J2374" s="66">
        <f t="shared" si="146"/>
        <v>48.550359258792383</v>
      </c>
      <c r="K2374" s="66">
        <f t="shared" si="147"/>
        <v>51.449640741207617</v>
      </c>
    </row>
    <row r="2375" spans="1:11" x14ac:dyDescent="0.3">
      <c r="A2375" s="10">
        <v>90</v>
      </c>
      <c r="B2375" s="10" t="s">
        <v>2624</v>
      </c>
      <c r="C2375" s="10" t="str" cm="1">
        <f t="array" ref="C2375">_xlfn.IFS(A2375&lt;20, "ภาคกลาง", A2375&lt;30, "ภาคตะวันออก", A2375&lt;50, "ภาคตะวันออกเฉียงเหนือ", A2375&lt;60, "ภาคเหนือ", A2375&lt;80, "ภาคกลาง/ตะวันตก", A2375&gt;=80, "ภาคใต้")</f>
        <v>ภาคใต้</v>
      </c>
      <c r="D2375" s="64">
        <v>9087</v>
      </c>
      <c r="E2375" s="10" t="s">
        <v>2660</v>
      </c>
      <c r="F2375" s="11">
        <v>3138</v>
      </c>
      <c r="G2375" s="11">
        <v>3322</v>
      </c>
      <c r="H2375" s="11">
        <v>6460</v>
      </c>
      <c r="I2375" s="11">
        <v>2170</v>
      </c>
      <c r="J2375" s="66">
        <f t="shared" si="146"/>
        <v>48.575851393188856</v>
      </c>
      <c r="K2375" s="66">
        <f t="shared" si="147"/>
        <v>51.424148606811151</v>
      </c>
    </row>
    <row r="2376" spans="1:11" ht="27.6" x14ac:dyDescent="0.3">
      <c r="A2376" s="10">
        <v>90</v>
      </c>
      <c r="B2376" s="10" t="s">
        <v>2624</v>
      </c>
      <c r="C2376" s="10" t="str" cm="1">
        <f t="array" ref="C2376">_xlfn.IFS(A2376&lt;20, "ภาคกลาง", A2376&lt;30, "ภาคตะวันออก", A2376&lt;50, "ภาคตะวันออกเฉียงเหนือ", A2376&lt;60, "ภาคเหนือ", A2376&lt;80, "ภาคกลาง/ตะวันตก", A2376&gt;=80, "ภาคใต้")</f>
        <v>ภาคใต้</v>
      </c>
      <c r="D2376" s="64">
        <v>9088</v>
      </c>
      <c r="E2376" s="10" t="s">
        <v>2661</v>
      </c>
      <c r="F2376" s="11">
        <v>1388</v>
      </c>
      <c r="G2376" s="11">
        <v>1551</v>
      </c>
      <c r="H2376" s="11">
        <v>2939</v>
      </c>
      <c r="I2376" s="11">
        <v>1190</v>
      </c>
      <c r="J2376" s="66">
        <f t="shared" si="146"/>
        <v>47.226947941476695</v>
      </c>
      <c r="K2376" s="66">
        <f t="shared" si="147"/>
        <v>52.773052058523305</v>
      </c>
    </row>
    <row r="2377" spans="1:11" x14ac:dyDescent="0.3">
      <c r="A2377" s="10">
        <v>90</v>
      </c>
      <c r="B2377" s="10" t="s">
        <v>2624</v>
      </c>
      <c r="C2377" s="10" t="str" cm="1">
        <f t="array" ref="C2377">_xlfn.IFS(A2377&lt;20, "ภาคกลาง", A2377&lt;30, "ภาคตะวันออก", A2377&lt;50, "ภาคตะวันออกเฉียงเหนือ", A2377&lt;60, "ภาคเหนือ", A2377&lt;80, "ภาคกลาง/ตะวันตก", A2377&gt;=80, "ภาคใต้")</f>
        <v>ภาคใต้</v>
      </c>
      <c r="D2377" s="64">
        <v>9089</v>
      </c>
      <c r="E2377" s="10" t="s">
        <v>2662</v>
      </c>
      <c r="F2377" s="11">
        <v>2315</v>
      </c>
      <c r="G2377" s="11">
        <v>2554</v>
      </c>
      <c r="H2377" s="11">
        <v>4869</v>
      </c>
      <c r="I2377" s="11">
        <v>2704</v>
      </c>
      <c r="J2377" s="66">
        <f t="shared" si="146"/>
        <v>47.545697268432939</v>
      </c>
      <c r="K2377" s="66">
        <f t="shared" si="147"/>
        <v>52.454302731567061</v>
      </c>
    </row>
    <row r="2378" spans="1:11" x14ac:dyDescent="0.3">
      <c r="A2378" s="10">
        <v>90</v>
      </c>
      <c r="B2378" s="10" t="s">
        <v>2624</v>
      </c>
      <c r="C2378" s="10" t="str" cm="1">
        <f t="array" ref="C2378">_xlfn.IFS(A2378&lt;20, "ภาคกลาง", A2378&lt;30, "ภาคตะวันออก", A2378&lt;50, "ภาคตะวันออกเฉียงเหนือ", A2378&lt;60, "ภาคเหนือ", A2378&lt;80, "ภาคกลาง/ตะวันตก", A2378&gt;=80, "ภาคใต้")</f>
        <v>ภาคใต้</v>
      </c>
      <c r="D2378" s="64">
        <v>9090</v>
      </c>
      <c r="E2378" s="10" t="s">
        <v>2663</v>
      </c>
      <c r="F2378" s="11">
        <v>2006</v>
      </c>
      <c r="G2378" s="11">
        <v>2208</v>
      </c>
      <c r="H2378" s="11">
        <v>4214</v>
      </c>
      <c r="I2378" s="11">
        <v>2029</v>
      </c>
      <c r="J2378" s="66">
        <f t="shared" si="146"/>
        <v>47.603227337446604</v>
      </c>
      <c r="K2378" s="66">
        <f t="shared" si="147"/>
        <v>52.396772662553396</v>
      </c>
    </row>
    <row r="2379" spans="1:11" ht="27.6" x14ac:dyDescent="0.3">
      <c r="A2379" s="10">
        <v>90</v>
      </c>
      <c r="B2379" s="10" t="s">
        <v>2624</v>
      </c>
      <c r="C2379" s="10" t="str" cm="1">
        <f t="array" ref="C2379">_xlfn.IFS(A2379&lt;20, "ภาคกลาง", A2379&lt;30, "ภาคตะวันออก", A2379&lt;50, "ภาคตะวันออกเฉียงเหนือ", A2379&lt;60, "ภาคเหนือ", A2379&lt;80, "ภาคกลาง/ตะวันตก", A2379&gt;=80, "ภาคใต้")</f>
        <v>ภาคใต้</v>
      </c>
      <c r="D2379" s="64">
        <v>9091</v>
      </c>
      <c r="E2379" s="10" t="s">
        <v>2664</v>
      </c>
      <c r="F2379" s="11">
        <v>5240</v>
      </c>
      <c r="G2379" s="11">
        <v>5480</v>
      </c>
      <c r="H2379" s="11">
        <v>10720</v>
      </c>
      <c r="I2379" s="11">
        <v>3648</v>
      </c>
      <c r="J2379" s="66">
        <f t="shared" si="146"/>
        <v>48.880597014925378</v>
      </c>
      <c r="K2379" s="66">
        <f t="shared" si="147"/>
        <v>51.119402985074622</v>
      </c>
    </row>
    <row r="2380" spans="1:11" x14ac:dyDescent="0.3">
      <c r="A2380" s="10">
        <v>90</v>
      </c>
      <c r="B2380" s="10" t="s">
        <v>2624</v>
      </c>
      <c r="C2380" s="10" t="str" cm="1">
        <f t="array" ref="C2380">_xlfn.IFS(A2380&lt;20, "ภาคกลาง", A2380&lt;30, "ภาคตะวันออก", A2380&lt;50, "ภาคตะวันออกเฉียงเหนือ", A2380&lt;60, "ภาคเหนือ", A2380&lt;80, "ภาคกลาง/ตะวันตก", A2380&gt;=80, "ภาคใต้")</f>
        <v>ภาคใต้</v>
      </c>
      <c r="D2380" s="64">
        <v>9092</v>
      </c>
      <c r="E2380" s="10" t="s">
        <v>2665</v>
      </c>
      <c r="F2380" s="10">
        <v>640</v>
      </c>
      <c r="G2380" s="10">
        <v>688</v>
      </c>
      <c r="H2380" s="11">
        <v>1328</v>
      </c>
      <c r="I2380" s="10">
        <v>809</v>
      </c>
      <c r="J2380" s="66">
        <f t="shared" si="146"/>
        <v>48.192771084337352</v>
      </c>
      <c r="K2380" s="66">
        <f t="shared" si="147"/>
        <v>51.807228915662648</v>
      </c>
    </row>
    <row r="2381" spans="1:11" x14ac:dyDescent="0.3">
      <c r="A2381" s="10">
        <v>90</v>
      </c>
      <c r="B2381" s="10" t="s">
        <v>2624</v>
      </c>
      <c r="C2381" s="10" t="str" cm="1">
        <f t="array" ref="C2381">_xlfn.IFS(A2381&lt;20, "ภาคกลาง", A2381&lt;30, "ภาคตะวันออก", A2381&lt;50, "ภาคตะวันออกเฉียงเหนือ", A2381&lt;60, "ภาคเหนือ", A2381&lt;80, "ภาคกลาง/ตะวันตก", A2381&gt;=80, "ภาคใต้")</f>
        <v>ภาคใต้</v>
      </c>
      <c r="D2381" s="64">
        <v>9093</v>
      </c>
      <c r="E2381" s="10" t="s">
        <v>2666</v>
      </c>
      <c r="F2381" s="11">
        <v>1370</v>
      </c>
      <c r="G2381" s="11">
        <v>1329</v>
      </c>
      <c r="H2381" s="11">
        <v>2699</v>
      </c>
      <c r="I2381" s="11">
        <v>1125</v>
      </c>
      <c r="J2381" s="66">
        <f t="shared" si="146"/>
        <v>50.759540570581699</v>
      </c>
      <c r="K2381" s="66">
        <f t="shared" si="147"/>
        <v>49.240459429418301</v>
      </c>
    </row>
    <row r="2382" spans="1:11" x14ac:dyDescent="0.3">
      <c r="A2382" s="10">
        <v>90</v>
      </c>
      <c r="B2382" s="10" t="s">
        <v>2624</v>
      </c>
      <c r="C2382" s="10" t="str" cm="1">
        <f t="array" ref="C2382">_xlfn.IFS(A2382&lt;20, "ภาคกลาง", A2382&lt;30, "ภาคตะวันออก", A2382&lt;50, "ภาคตะวันออกเฉียงเหนือ", A2382&lt;60, "ภาคเหนือ", A2382&lt;80, "ภาคกลาง/ตะวันตก", A2382&gt;=80, "ภาคใต้")</f>
        <v>ภาคใต้</v>
      </c>
      <c r="D2382" s="64">
        <v>9094</v>
      </c>
      <c r="E2382" s="10" t="s">
        <v>2667</v>
      </c>
      <c r="F2382" s="11">
        <v>2939</v>
      </c>
      <c r="G2382" s="11">
        <v>2991</v>
      </c>
      <c r="H2382" s="11">
        <v>5930</v>
      </c>
      <c r="I2382" s="11">
        <v>3858</v>
      </c>
      <c r="J2382" s="66">
        <f t="shared" si="146"/>
        <v>49.561551433389546</v>
      </c>
      <c r="K2382" s="66">
        <f t="shared" si="147"/>
        <v>50.438448566610447</v>
      </c>
    </row>
    <row r="2383" spans="1:11" x14ac:dyDescent="0.3">
      <c r="A2383" s="10">
        <v>90</v>
      </c>
      <c r="B2383" s="10" t="s">
        <v>2624</v>
      </c>
      <c r="C2383" s="10" t="str" cm="1">
        <f t="array" ref="C2383">_xlfn.IFS(A2383&lt;20, "ภาคกลาง", A2383&lt;30, "ภาคตะวันออก", A2383&lt;50, "ภาคตะวันออกเฉียงเหนือ", A2383&lt;60, "ภาคเหนือ", A2383&lt;80, "ภาคกลาง/ตะวันตก", A2383&gt;=80, "ภาคใต้")</f>
        <v>ภาคใต้</v>
      </c>
      <c r="D2383" s="64">
        <v>9095</v>
      </c>
      <c r="E2383" s="10" t="s">
        <v>2668</v>
      </c>
      <c r="F2383" s="11">
        <v>3291</v>
      </c>
      <c r="G2383" s="11">
        <v>3418</v>
      </c>
      <c r="H2383" s="11">
        <v>6709</v>
      </c>
      <c r="I2383" s="11">
        <v>3478</v>
      </c>
      <c r="J2383" s="66">
        <f t="shared" si="146"/>
        <v>49.053510210165449</v>
      </c>
      <c r="K2383" s="66">
        <f t="shared" si="147"/>
        <v>50.946489789834551</v>
      </c>
    </row>
    <row r="2384" spans="1:11" x14ac:dyDescent="0.3">
      <c r="A2384" s="10">
        <v>90</v>
      </c>
      <c r="B2384" s="10" t="s">
        <v>2624</v>
      </c>
      <c r="C2384" s="10" t="str" cm="1">
        <f t="array" ref="C2384">_xlfn.IFS(A2384&lt;20, "ภาคกลาง", A2384&lt;30, "ภาคตะวันออก", A2384&lt;50, "ภาคตะวันออกเฉียงเหนือ", A2384&lt;60, "ภาคเหนือ", A2384&lt;80, "ภาคกลาง/ตะวันตก", A2384&gt;=80, "ภาคใต้")</f>
        <v>ภาคใต้</v>
      </c>
      <c r="D2384" s="64">
        <v>9096</v>
      </c>
      <c r="E2384" s="10" t="s">
        <v>2669</v>
      </c>
      <c r="F2384" s="11">
        <v>1353</v>
      </c>
      <c r="G2384" s="11">
        <v>1477</v>
      </c>
      <c r="H2384" s="11">
        <v>2830</v>
      </c>
      <c r="I2384" s="11">
        <v>1336</v>
      </c>
      <c r="J2384" s="66">
        <f t="shared" si="146"/>
        <v>47.809187279151942</v>
      </c>
      <c r="K2384" s="66">
        <f t="shared" si="147"/>
        <v>52.190812720848058</v>
      </c>
    </row>
    <row r="2385" spans="1:11" x14ac:dyDescent="0.3">
      <c r="A2385" s="10">
        <v>90</v>
      </c>
      <c r="B2385" s="10" t="s">
        <v>2624</v>
      </c>
      <c r="C2385" s="10" t="str" cm="1">
        <f t="array" ref="C2385">_xlfn.IFS(A2385&lt;20, "ภาคกลาง", A2385&lt;30, "ภาคตะวันออก", A2385&lt;50, "ภาคตะวันออกเฉียงเหนือ", A2385&lt;60, "ภาคเหนือ", A2385&lt;80, "ภาคกลาง/ตะวันตก", A2385&gt;=80, "ภาคใต้")</f>
        <v>ภาคใต้</v>
      </c>
      <c r="D2385" s="64">
        <v>9097</v>
      </c>
      <c r="E2385" s="10" t="s">
        <v>2670</v>
      </c>
      <c r="F2385" s="11">
        <v>13456</v>
      </c>
      <c r="G2385" s="11">
        <v>14894</v>
      </c>
      <c r="H2385" s="11">
        <v>28350</v>
      </c>
      <c r="I2385" s="11">
        <v>13986</v>
      </c>
      <c r="J2385" s="66">
        <f t="shared" si="146"/>
        <v>47.463844797178126</v>
      </c>
      <c r="K2385" s="66">
        <f t="shared" si="147"/>
        <v>52.536155202821867</v>
      </c>
    </row>
    <row r="2386" spans="1:11" x14ac:dyDescent="0.3">
      <c r="A2386" s="10">
        <v>90</v>
      </c>
      <c r="B2386" s="10" t="s">
        <v>2624</v>
      </c>
      <c r="C2386" s="10" t="str" cm="1">
        <f t="array" ref="C2386">_xlfn.IFS(A2386&lt;20, "ภาคกลาง", A2386&lt;30, "ภาคตะวันออก", A2386&lt;50, "ภาคตะวันออกเฉียงเหนือ", A2386&lt;60, "ภาคเหนือ", A2386&lt;80, "ภาคกลาง/ตะวันตก", A2386&gt;=80, "ภาคใต้")</f>
        <v>ภาคใต้</v>
      </c>
      <c r="D2386" s="64">
        <v>9098</v>
      </c>
      <c r="E2386" s="10" t="s">
        <v>2671</v>
      </c>
      <c r="F2386" s="11">
        <v>10347</v>
      </c>
      <c r="G2386" s="11">
        <v>10949</v>
      </c>
      <c r="H2386" s="11">
        <v>21296</v>
      </c>
      <c r="I2386" s="11">
        <v>9238</v>
      </c>
      <c r="J2386" s="66">
        <f t="shared" si="146"/>
        <v>48.586589030803907</v>
      </c>
      <c r="K2386" s="66">
        <f t="shared" si="147"/>
        <v>51.413410969196093</v>
      </c>
    </row>
    <row r="2387" spans="1:11" x14ac:dyDescent="0.3">
      <c r="A2387" s="10">
        <v>90</v>
      </c>
      <c r="B2387" s="10" t="s">
        <v>2624</v>
      </c>
      <c r="C2387" s="10" t="str" cm="1">
        <f t="array" ref="C2387">_xlfn.IFS(A2387&lt;20, "ภาคกลาง", A2387&lt;30, "ภาคตะวันออก", A2387&lt;50, "ภาคตะวันออกเฉียงเหนือ", A2387&lt;60, "ภาคเหนือ", A2387&lt;80, "ภาคกลาง/ตะวันตก", A2387&gt;=80, "ภาคใต้")</f>
        <v>ภาคใต้</v>
      </c>
      <c r="D2387" s="64">
        <v>9099</v>
      </c>
      <c r="E2387" s="10" t="s">
        <v>2672</v>
      </c>
      <c r="F2387" s="11">
        <v>64864</v>
      </c>
      <c r="G2387" s="11">
        <v>75987</v>
      </c>
      <c r="H2387" s="11">
        <v>140851</v>
      </c>
      <c r="I2387" s="11">
        <v>70703</v>
      </c>
      <c r="J2387" s="66">
        <f t="shared" si="146"/>
        <v>46.051501231798142</v>
      </c>
      <c r="K2387" s="66">
        <f t="shared" si="147"/>
        <v>53.948498768201858</v>
      </c>
    </row>
    <row r="2388" spans="1:11" hidden="1" x14ac:dyDescent="0.3">
      <c r="A2388" s="10">
        <v>90</v>
      </c>
      <c r="B2388" s="10" t="s">
        <v>2624</v>
      </c>
      <c r="C2388" s="10" t="str" cm="1">
        <f t="array" ref="C2388">_xlfn.IFS(A2388&lt;20, "ภาคกลาง", A2388&lt;30, "ภาคตะวันออก", A2388&lt;50, "ภาคตะวันออกเฉียงเหนือ", A2388&lt;60, "ภาคเหนือ", A2388&lt;80, "ภาคกลาง/ตะวันตก", A2388&gt;=80, "ภาคใต้")</f>
        <v>ภาคใต้</v>
      </c>
      <c r="D2388" s="10">
        <v>0</v>
      </c>
      <c r="E2388" s="10" t="s">
        <v>343</v>
      </c>
      <c r="F2388" s="11">
        <v>25798</v>
      </c>
      <c r="G2388" s="11">
        <v>28158</v>
      </c>
      <c r="H2388" s="11">
        <v>53956</v>
      </c>
      <c r="I2388" s="11">
        <v>27878</v>
      </c>
      <c r="J2388"/>
      <c r="K2388"/>
    </row>
    <row r="2389" spans="1:11" x14ac:dyDescent="0.3">
      <c r="A2389" s="10">
        <v>91</v>
      </c>
      <c r="B2389" s="10" t="s">
        <v>2673</v>
      </c>
      <c r="C2389" s="10" t="str" cm="1">
        <f t="array" ref="C2389">_xlfn.IFS(A2389&lt;20, "ภาคกลาง", A2389&lt;30, "ภาคตะวันออก", A2389&lt;50, "ภาคตะวันออกเฉียงเหนือ", A2389&lt;60, "ภาคเหนือ", A2389&lt;80, "ภาคกลาง/ตะวันตก", A2389&gt;=80, "ภาคใต้")</f>
        <v>ภาคใต้</v>
      </c>
      <c r="D2389" s="64">
        <v>9101</v>
      </c>
      <c r="E2389" s="10" t="s">
        <v>2674</v>
      </c>
      <c r="F2389" s="11">
        <v>161667</v>
      </c>
      <c r="G2389" s="11">
        <v>163212</v>
      </c>
      <c r="H2389" s="11">
        <v>324879</v>
      </c>
      <c r="I2389" s="11">
        <v>111775</v>
      </c>
      <c r="J2389" s="66">
        <f t="shared" ref="J2389:J2402" si="148">F2389/H2389*100</f>
        <v>49.762219164673617</v>
      </c>
      <c r="K2389" s="66">
        <f t="shared" ref="K2389:K2402" si="149">G2389/H2389*100</f>
        <v>50.237780835326383</v>
      </c>
    </row>
    <row r="2390" spans="1:11" x14ac:dyDescent="0.3">
      <c r="A2390" s="10">
        <v>91</v>
      </c>
      <c r="B2390" s="10" t="s">
        <v>2673</v>
      </c>
      <c r="C2390" s="10" t="str" cm="1">
        <f t="array" ref="C2390">_xlfn.IFS(A2390&lt;20, "ภาคกลาง", A2390&lt;30, "ภาคตะวันออก", A2390&lt;50, "ภาคตะวันออกเฉียงเหนือ", A2390&lt;60, "ภาคเหนือ", A2390&lt;80, "ภาคกลาง/ตะวันตก", A2390&gt;=80, "ภาคใต้")</f>
        <v>ภาคใต้</v>
      </c>
      <c r="D2390" s="64">
        <v>9102</v>
      </c>
      <c r="E2390" s="10" t="s">
        <v>2675</v>
      </c>
      <c r="F2390" s="11">
        <v>32816</v>
      </c>
      <c r="G2390" s="11">
        <v>33625</v>
      </c>
      <c r="H2390" s="11">
        <v>66441</v>
      </c>
      <c r="I2390" s="11">
        <v>19610</v>
      </c>
      <c r="J2390" s="66">
        <f t="shared" si="148"/>
        <v>49.391189175358591</v>
      </c>
      <c r="K2390" s="66">
        <f t="shared" si="149"/>
        <v>50.608810824641417</v>
      </c>
    </row>
    <row r="2391" spans="1:11" x14ac:dyDescent="0.3">
      <c r="A2391" s="10">
        <v>91</v>
      </c>
      <c r="B2391" s="10" t="s">
        <v>2673</v>
      </c>
      <c r="C2391" s="10" t="str" cm="1">
        <f t="array" ref="C2391">_xlfn.IFS(A2391&lt;20, "ภาคกลาง", A2391&lt;30, "ภาคตะวันออก", A2391&lt;50, "ภาคตะวันออกเฉียงเหนือ", A2391&lt;60, "ภาคเหนือ", A2391&lt;80, "ภาคกลาง/ตะวันตก", A2391&gt;=80, "ภาคใต้")</f>
        <v>ภาคใต้</v>
      </c>
      <c r="D2391" s="64">
        <v>9103</v>
      </c>
      <c r="E2391" s="10" t="s">
        <v>2676</v>
      </c>
      <c r="F2391" s="11">
        <v>11067</v>
      </c>
      <c r="G2391" s="11">
        <v>11161</v>
      </c>
      <c r="H2391" s="11">
        <v>22228</v>
      </c>
      <c r="I2391" s="11">
        <v>6347</v>
      </c>
      <c r="J2391" s="66">
        <f t="shared" si="148"/>
        <v>49.788554975706319</v>
      </c>
      <c r="K2391" s="66">
        <f t="shared" si="149"/>
        <v>50.211445024293688</v>
      </c>
    </row>
    <row r="2392" spans="1:11" x14ac:dyDescent="0.3">
      <c r="A2392" s="10">
        <v>91</v>
      </c>
      <c r="B2392" s="10" t="s">
        <v>2673</v>
      </c>
      <c r="C2392" s="10" t="str" cm="1">
        <f t="array" ref="C2392">_xlfn.IFS(A2392&lt;20, "ภาคกลาง", A2392&lt;30, "ภาคตะวันออก", A2392&lt;50, "ภาคตะวันออกเฉียงเหนือ", A2392&lt;60, "ภาคเหนือ", A2392&lt;80, "ภาคกลาง/ตะวันตก", A2392&gt;=80, "ภาคใต้")</f>
        <v>ภาคใต้</v>
      </c>
      <c r="D2392" s="64">
        <v>9104</v>
      </c>
      <c r="E2392" s="10" t="s">
        <v>2677</v>
      </c>
      <c r="F2392" s="11">
        <v>17766</v>
      </c>
      <c r="G2392" s="11">
        <v>17717</v>
      </c>
      <c r="H2392" s="11">
        <v>35483</v>
      </c>
      <c r="I2392" s="11">
        <v>12380</v>
      </c>
      <c r="J2392" s="66">
        <f t="shared" si="148"/>
        <v>50.06904714933912</v>
      </c>
      <c r="K2392" s="66">
        <f t="shared" si="149"/>
        <v>49.93095285066088</v>
      </c>
    </row>
    <row r="2393" spans="1:11" x14ac:dyDescent="0.3">
      <c r="A2393" s="10">
        <v>91</v>
      </c>
      <c r="B2393" s="10" t="s">
        <v>2673</v>
      </c>
      <c r="C2393" s="10" t="str" cm="1">
        <f t="array" ref="C2393">_xlfn.IFS(A2393&lt;20, "ภาคกลาง", A2393&lt;30, "ภาคตะวันออก", A2393&lt;50, "ภาคตะวันออกเฉียงเหนือ", A2393&lt;60, "ภาคเหนือ", A2393&lt;80, "ภาคกลาง/ตะวันตก", A2393&gt;=80, "ภาคใต้")</f>
        <v>ภาคใต้</v>
      </c>
      <c r="D2393" s="64">
        <v>9105</v>
      </c>
      <c r="E2393" s="10" t="s">
        <v>2678</v>
      </c>
      <c r="F2393" s="11">
        <v>14873</v>
      </c>
      <c r="G2393" s="11">
        <v>15070</v>
      </c>
      <c r="H2393" s="11">
        <v>29943</v>
      </c>
      <c r="I2393" s="11">
        <v>9197</v>
      </c>
      <c r="J2393" s="66">
        <f t="shared" si="148"/>
        <v>49.671041645793672</v>
      </c>
      <c r="K2393" s="66">
        <f t="shared" si="149"/>
        <v>50.328958354206321</v>
      </c>
    </row>
    <row r="2394" spans="1:11" x14ac:dyDescent="0.3">
      <c r="A2394" s="10">
        <v>91</v>
      </c>
      <c r="B2394" s="10" t="s">
        <v>2673</v>
      </c>
      <c r="C2394" s="10" t="str" cm="1">
        <f t="array" ref="C2394">_xlfn.IFS(A2394&lt;20, "ภาคกลาง", A2394&lt;30, "ภาคตะวันออก", A2394&lt;50, "ภาคตะวันออกเฉียงเหนือ", A2394&lt;60, "ภาคเหนือ", A2394&lt;80, "ภาคกลาง/ตะวันตก", A2394&gt;=80, "ภาคใต้")</f>
        <v>ภาคใต้</v>
      </c>
      <c r="D2394" s="64">
        <v>9106</v>
      </c>
      <c r="E2394" s="10" t="s">
        <v>2679</v>
      </c>
      <c r="F2394" s="11">
        <v>34386</v>
      </c>
      <c r="G2394" s="11">
        <v>34751</v>
      </c>
      <c r="H2394" s="11">
        <v>69137</v>
      </c>
      <c r="I2394" s="11">
        <v>22266</v>
      </c>
      <c r="J2394" s="66">
        <f t="shared" si="148"/>
        <v>49.736031358028264</v>
      </c>
      <c r="K2394" s="66">
        <f t="shared" si="149"/>
        <v>50.263968641971736</v>
      </c>
    </row>
    <row r="2395" spans="1:11" x14ac:dyDescent="0.3">
      <c r="A2395" s="10">
        <v>91</v>
      </c>
      <c r="B2395" s="10" t="s">
        <v>2673</v>
      </c>
      <c r="C2395" s="10" t="str" cm="1">
        <f t="array" ref="C2395">_xlfn.IFS(A2395&lt;20, "ภาคกลาง", A2395&lt;30, "ภาคตะวันออก", A2395&lt;50, "ภาคตะวันออกเฉียงเหนือ", A2395&lt;60, "ภาคเหนือ", A2395&lt;80, "ภาคกลาง/ตะวันตก", A2395&gt;=80, "ภาคใต้")</f>
        <v>ภาคใต้</v>
      </c>
      <c r="D2395" s="64">
        <v>9107</v>
      </c>
      <c r="E2395" s="10" t="s">
        <v>2680</v>
      </c>
      <c r="F2395" s="11">
        <v>10770</v>
      </c>
      <c r="G2395" s="11">
        <v>10601</v>
      </c>
      <c r="H2395" s="11">
        <v>21371</v>
      </c>
      <c r="I2395" s="11">
        <v>7074</v>
      </c>
      <c r="J2395" s="66">
        <f t="shared" si="148"/>
        <v>50.395395629591498</v>
      </c>
      <c r="K2395" s="66">
        <f t="shared" si="149"/>
        <v>49.604604370408495</v>
      </c>
    </row>
    <row r="2396" spans="1:11" x14ac:dyDescent="0.3">
      <c r="A2396" s="10">
        <v>91</v>
      </c>
      <c r="B2396" s="10" t="s">
        <v>2673</v>
      </c>
      <c r="C2396" s="10" t="str" cm="1">
        <f t="array" ref="C2396">_xlfn.IFS(A2396&lt;20, "ภาคกลาง", A2396&lt;30, "ภาคตะวันออก", A2396&lt;50, "ภาคตะวันออกเฉียงเหนือ", A2396&lt;60, "ภาคเหนือ", A2396&lt;80, "ภาคกลาง/ตะวันตก", A2396&gt;=80, "ภาคใต้")</f>
        <v>ภาคใต้</v>
      </c>
      <c r="D2396" s="64">
        <v>9193</v>
      </c>
      <c r="E2396" s="10" t="s">
        <v>2681</v>
      </c>
      <c r="F2396" s="11">
        <v>9531</v>
      </c>
      <c r="G2396" s="11">
        <v>9171</v>
      </c>
      <c r="H2396" s="11">
        <v>18702</v>
      </c>
      <c r="I2396" s="11">
        <v>6715</v>
      </c>
      <c r="J2396" s="66">
        <f t="shared" si="148"/>
        <v>50.962463907603464</v>
      </c>
      <c r="K2396" s="66">
        <f t="shared" si="149"/>
        <v>49.037536092396536</v>
      </c>
    </row>
    <row r="2397" spans="1:11" x14ac:dyDescent="0.3">
      <c r="A2397" s="10">
        <v>91</v>
      </c>
      <c r="B2397" s="10" t="s">
        <v>2673</v>
      </c>
      <c r="C2397" s="10" t="str" cm="1">
        <f t="array" ref="C2397">_xlfn.IFS(A2397&lt;20, "ภาคกลาง", A2397&lt;30, "ภาคตะวันออก", A2397&lt;50, "ภาคตะวันออกเฉียงเหนือ", A2397&lt;60, "ภาคเหนือ", A2397&lt;80, "ภาคกลาง/ตะวันตก", A2397&gt;=80, "ภาคใต้")</f>
        <v>ภาคใต้</v>
      </c>
      <c r="D2397" s="64">
        <v>9194</v>
      </c>
      <c r="E2397" s="10" t="s">
        <v>2682</v>
      </c>
      <c r="F2397" s="11">
        <v>10529</v>
      </c>
      <c r="G2397" s="11">
        <v>9964</v>
      </c>
      <c r="H2397" s="11">
        <v>20493</v>
      </c>
      <c r="I2397" s="11">
        <v>9640</v>
      </c>
      <c r="J2397" s="66">
        <f t="shared" si="148"/>
        <v>51.378519494461528</v>
      </c>
      <c r="K2397" s="66">
        <f t="shared" si="149"/>
        <v>48.621480505538479</v>
      </c>
    </row>
    <row r="2398" spans="1:11" x14ac:dyDescent="0.3">
      <c r="A2398" s="10">
        <v>91</v>
      </c>
      <c r="B2398" s="10" t="s">
        <v>2673</v>
      </c>
      <c r="C2398" s="10" t="str" cm="1">
        <f t="array" ref="C2398">_xlfn.IFS(A2398&lt;20, "ภาคกลาง", A2398&lt;30, "ภาคตะวันออก", A2398&lt;50, "ภาคตะวันออกเฉียงเหนือ", A2398&lt;60, "ภาคเหนือ", A2398&lt;80, "ภาคกลาง/ตะวันตก", A2398&gt;=80, "ภาคใต้")</f>
        <v>ภาคใต้</v>
      </c>
      <c r="D2398" s="64">
        <v>9195</v>
      </c>
      <c r="E2398" s="10" t="s">
        <v>1089</v>
      </c>
      <c r="F2398" s="11">
        <v>1603</v>
      </c>
      <c r="G2398" s="11">
        <v>1626</v>
      </c>
      <c r="H2398" s="11">
        <v>3229</v>
      </c>
      <c r="I2398" s="11">
        <v>1271</v>
      </c>
      <c r="J2398" s="66">
        <f t="shared" si="148"/>
        <v>49.643852585939918</v>
      </c>
      <c r="K2398" s="66">
        <f t="shared" si="149"/>
        <v>50.356147414060082</v>
      </c>
    </row>
    <row r="2399" spans="1:11" x14ac:dyDescent="0.3">
      <c r="A2399" s="10">
        <v>91</v>
      </c>
      <c r="B2399" s="10" t="s">
        <v>2673</v>
      </c>
      <c r="C2399" s="10" t="str" cm="1">
        <f t="array" ref="C2399">_xlfn.IFS(A2399&lt;20, "ภาคกลาง", A2399&lt;30, "ภาคตะวันออก", A2399&lt;50, "ภาคตะวันออกเฉียงเหนือ", A2399&lt;60, "ภาคเหนือ", A2399&lt;80, "ภาคกลาง/ตะวันตก", A2399&gt;=80, "ภาคใต้")</f>
        <v>ภาคใต้</v>
      </c>
      <c r="D2399" s="64">
        <v>9196</v>
      </c>
      <c r="E2399" s="10" t="s">
        <v>2683</v>
      </c>
      <c r="F2399" s="11">
        <v>2326</v>
      </c>
      <c r="G2399" s="11">
        <v>2570</v>
      </c>
      <c r="H2399" s="11">
        <v>4896</v>
      </c>
      <c r="I2399" s="11">
        <v>2953</v>
      </c>
      <c r="J2399" s="66">
        <f t="shared" si="148"/>
        <v>47.50816993464052</v>
      </c>
      <c r="K2399" s="66">
        <f t="shared" si="149"/>
        <v>52.49183006535948</v>
      </c>
    </row>
    <row r="2400" spans="1:11" x14ac:dyDescent="0.3">
      <c r="A2400" s="10">
        <v>91</v>
      </c>
      <c r="B2400" s="10" t="s">
        <v>2673</v>
      </c>
      <c r="C2400" s="10" t="str" cm="1">
        <f t="array" ref="C2400">_xlfn.IFS(A2400&lt;20, "ภาคกลาง", A2400&lt;30, "ภาคตะวันออก", A2400&lt;50, "ภาคตะวันออกเฉียงเหนือ", A2400&lt;60, "ภาคเหนือ", A2400&lt;80, "ภาคกลาง/ตะวันตก", A2400&gt;=80, "ภาคใต้")</f>
        <v>ภาคใต้</v>
      </c>
      <c r="D2400" s="64">
        <v>9197</v>
      </c>
      <c r="E2400" s="10" t="s">
        <v>2684</v>
      </c>
      <c r="F2400" s="11">
        <v>2684</v>
      </c>
      <c r="G2400" s="11">
        <v>2783</v>
      </c>
      <c r="H2400" s="11">
        <v>5467</v>
      </c>
      <c r="I2400" s="11">
        <v>2028</v>
      </c>
      <c r="J2400" s="66">
        <f t="shared" si="148"/>
        <v>49.094567404426556</v>
      </c>
      <c r="K2400" s="66">
        <f t="shared" si="149"/>
        <v>50.905432595573444</v>
      </c>
    </row>
    <row r="2401" spans="1:11" x14ac:dyDescent="0.3">
      <c r="A2401" s="10">
        <v>91</v>
      </c>
      <c r="B2401" s="10" t="s">
        <v>2673</v>
      </c>
      <c r="C2401" s="10" t="str" cm="1">
        <f t="array" ref="C2401">_xlfn.IFS(A2401&lt;20, "ภาคกลาง", A2401&lt;30, "ภาคตะวันออก", A2401&lt;50, "ภาคตะวันออกเฉียงเหนือ", A2401&lt;60, "ภาคเหนือ", A2401&lt;80, "ภาคกลาง/ตะวันตก", A2401&gt;=80, "ภาคใต้")</f>
        <v>ภาคใต้</v>
      </c>
      <c r="D2401" s="64">
        <v>9198</v>
      </c>
      <c r="E2401" s="10" t="s">
        <v>2685</v>
      </c>
      <c r="F2401" s="11">
        <v>1094</v>
      </c>
      <c r="G2401" s="11">
        <v>1221</v>
      </c>
      <c r="H2401" s="11">
        <v>2315</v>
      </c>
      <c r="I2401" s="11">
        <v>1046</v>
      </c>
      <c r="J2401" s="66">
        <f t="shared" si="148"/>
        <v>47.257019438444928</v>
      </c>
      <c r="K2401" s="66">
        <f t="shared" si="149"/>
        <v>52.742980561555072</v>
      </c>
    </row>
    <row r="2402" spans="1:11" x14ac:dyDescent="0.3">
      <c r="A2402" s="10">
        <v>91</v>
      </c>
      <c r="B2402" s="10" t="s">
        <v>2673</v>
      </c>
      <c r="C2402" s="10" t="str" cm="1">
        <f t="array" ref="C2402">_xlfn.IFS(A2402&lt;20, "ภาคกลาง", A2402&lt;30, "ภาคตะวันออก", A2402&lt;50, "ภาคตะวันออกเฉียงเหนือ", A2402&lt;60, "ภาคเหนือ", A2402&lt;80, "ภาคกลาง/ตะวันตก", A2402&gt;=80, "ภาคใต้")</f>
        <v>ภาคใต้</v>
      </c>
      <c r="D2402" s="64">
        <v>9199</v>
      </c>
      <c r="E2402" s="10" t="s">
        <v>2686</v>
      </c>
      <c r="F2402" s="11">
        <v>2007</v>
      </c>
      <c r="G2402" s="11">
        <v>2030</v>
      </c>
      <c r="H2402" s="11">
        <v>4037</v>
      </c>
      <c r="I2402" s="11">
        <v>1041</v>
      </c>
      <c r="J2402" s="66">
        <f t="shared" si="148"/>
        <v>49.715135001238544</v>
      </c>
      <c r="K2402" s="66">
        <f t="shared" si="149"/>
        <v>50.284864998761456</v>
      </c>
    </row>
    <row r="2403" spans="1:11" hidden="1" x14ac:dyDescent="0.3">
      <c r="A2403" s="10">
        <v>91</v>
      </c>
      <c r="B2403" s="10" t="s">
        <v>2673</v>
      </c>
      <c r="C2403" s="10" t="str" cm="1">
        <f t="array" ref="C2403">_xlfn.IFS(A2403&lt;20, "ภาคกลาง", A2403&lt;30, "ภาคตะวันออก", A2403&lt;50, "ภาคตะวันออกเฉียงเหนือ", A2403&lt;60, "ภาคเหนือ", A2403&lt;80, "ภาคกลาง/ตะวันตก", A2403&gt;=80, "ภาคใต้")</f>
        <v>ภาคใต้</v>
      </c>
      <c r="D2403" s="10">
        <v>0</v>
      </c>
      <c r="E2403" s="10" t="s">
        <v>343</v>
      </c>
      <c r="F2403" s="11">
        <v>10215</v>
      </c>
      <c r="G2403" s="11">
        <v>10922</v>
      </c>
      <c r="H2403" s="11">
        <v>21137</v>
      </c>
      <c r="I2403" s="11">
        <v>10207</v>
      </c>
      <c r="J2403"/>
      <c r="K2403"/>
    </row>
    <row r="2404" spans="1:11" x14ac:dyDescent="0.3">
      <c r="A2404" s="10">
        <v>92</v>
      </c>
      <c r="B2404" s="10" t="s">
        <v>2687</v>
      </c>
      <c r="C2404" s="10" t="str" cm="1">
        <f t="array" ref="C2404">_xlfn.IFS(A2404&lt;20, "ภาคกลาง", A2404&lt;30, "ภาคตะวันออก", A2404&lt;50, "ภาคตะวันออกเฉียงเหนือ", A2404&lt;60, "ภาคเหนือ", A2404&lt;80, "ภาคกลาง/ตะวันตก", A2404&gt;=80, "ภาคใต้")</f>
        <v>ภาคใต้</v>
      </c>
      <c r="D2404" s="64">
        <v>9201</v>
      </c>
      <c r="E2404" s="10" t="s">
        <v>2688</v>
      </c>
      <c r="F2404" s="11">
        <v>310045</v>
      </c>
      <c r="G2404" s="11">
        <v>324914</v>
      </c>
      <c r="H2404" s="11">
        <v>634959</v>
      </c>
      <c r="I2404" s="11">
        <v>246853</v>
      </c>
      <c r="J2404" s="66">
        <f t="shared" ref="J2404:J2427" si="150">F2404/H2404*100</f>
        <v>48.829136999396809</v>
      </c>
      <c r="K2404" s="66">
        <f t="shared" ref="K2404:K2427" si="151">G2404/H2404*100</f>
        <v>51.170863000603184</v>
      </c>
    </row>
    <row r="2405" spans="1:11" x14ac:dyDescent="0.3">
      <c r="A2405" s="10">
        <v>92</v>
      </c>
      <c r="B2405" s="10" t="s">
        <v>2687</v>
      </c>
      <c r="C2405" s="10" t="str" cm="1">
        <f t="array" ref="C2405">_xlfn.IFS(A2405&lt;20, "ภาคกลาง", A2405&lt;30, "ภาคตะวันออก", A2405&lt;50, "ภาคตะวันออกเฉียงเหนือ", A2405&lt;60, "ภาคเหนือ", A2405&lt;80, "ภาคกลาง/ตะวันตก", A2405&gt;=80, "ภาคใต้")</f>
        <v>ภาคใต้</v>
      </c>
      <c r="D2405" s="64">
        <v>9202</v>
      </c>
      <c r="E2405" s="10" t="s">
        <v>2689</v>
      </c>
      <c r="F2405" s="11">
        <v>46421</v>
      </c>
      <c r="G2405" s="11">
        <v>50340</v>
      </c>
      <c r="H2405" s="11">
        <v>96761</v>
      </c>
      <c r="I2405" s="11">
        <v>43309</v>
      </c>
      <c r="J2405" s="66">
        <f t="shared" si="150"/>
        <v>47.974907245687831</v>
      </c>
      <c r="K2405" s="66">
        <f t="shared" si="151"/>
        <v>52.025092754312176</v>
      </c>
    </row>
    <row r="2406" spans="1:11" x14ac:dyDescent="0.3">
      <c r="A2406" s="10">
        <v>92</v>
      </c>
      <c r="B2406" s="10" t="s">
        <v>2687</v>
      </c>
      <c r="C2406" s="10" t="str" cm="1">
        <f t="array" ref="C2406">_xlfn.IFS(A2406&lt;20, "ภาคกลาง", A2406&lt;30, "ภาคตะวันออก", A2406&lt;50, "ภาคตะวันออกเฉียงเหนือ", A2406&lt;60, "ภาคเหนือ", A2406&lt;80, "ภาคกลาง/ตะวันตก", A2406&gt;=80, "ภาคใต้")</f>
        <v>ภาคใต้</v>
      </c>
      <c r="D2406" s="64">
        <v>9203</v>
      </c>
      <c r="E2406" s="10" t="s">
        <v>2690</v>
      </c>
      <c r="F2406" s="11">
        <v>37295</v>
      </c>
      <c r="G2406" s="11">
        <v>38060</v>
      </c>
      <c r="H2406" s="11">
        <v>75355</v>
      </c>
      <c r="I2406" s="11">
        <v>25257</v>
      </c>
      <c r="J2406" s="66">
        <f t="shared" si="150"/>
        <v>49.492402627562868</v>
      </c>
      <c r="K2406" s="66">
        <f t="shared" si="151"/>
        <v>50.507597372437132</v>
      </c>
    </row>
    <row r="2407" spans="1:11" x14ac:dyDescent="0.3">
      <c r="A2407" s="10">
        <v>92</v>
      </c>
      <c r="B2407" s="10" t="s">
        <v>2687</v>
      </c>
      <c r="C2407" s="10" t="str" cm="1">
        <f t="array" ref="C2407">_xlfn.IFS(A2407&lt;20, "ภาคกลาง", A2407&lt;30, "ภาคตะวันออก", A2407&lt;50, "ภาคตะวันออกเฉียงเหนือ", A2407&lt;60, "ภาคเหนือ", A2407&lt;80, "ภาคกลาง/ตะวันตก", A2407&gt;=80, "ภาคใต้")</f>
        <v>ภาคใต้</v>
      </c>
      <c r="D2407" s="64">
        <v>9204</v>
      </c>
      <c r="E2407" s="10" t="s">
        <v>2691</v>
      </c>
      <c r="F2407" s="11">
        <v>27718</v>
      </c>
      <c r="G2407" s="11">
        <v>28645</v>
      </c>
      <c r="H2407" s="11">
        <v>56363</v>
      </c>
      <c r="I2407" s="11">
        <v>18750</v>
      </c>
      <c r="J2407" s="66">
        <f t="shared" si="150"/>
        <v>49.177652005748449</v>
      </c>
      <c r="K2407" s="66">
        <f t="shared" si="151"/>
        <v>50.822347994251551</v>
      </c>
    </row>
    <row r="2408" spans="1:11" x14ac:dyDescent="0.3">
      <c r="A2408" s="10">
        <v>92</v>
      </c>
      <c r="B2408" s="10" t="s">
        <v>2687</v>
      </c>
      <c r="C2408" s="10" t="str" cm="1">
        <f t="array" ref="C2408">_xlfn.IFS(A2408&lt;20, "ภาคกลาง", A2408&lt;30, "ภาคตะวันออก", A2408&lt;50, "ภาคตะวันออกเฉียงเหนือ", A2408&lt;60, "ภาคเหนือ", A2408&lt;80, "ภาคกลาง/ตะวันตก", A2408&gt;=80, "ภาคใต้")</f>
        <v>ภาคใต้</v>
      </c>
      <c r="D2408" s="64">
        <v>9205</v>
      </c>
      <c r="E2408" s="10" t="s">
        <v>2692</v>
      </c>
      <c r="F2408" s="11">
        <v>30666</v>
      </c>
      <c r="G2408" s="11">
        <v>31394</v>
      </c>
      <c r="H2408" s="11">
        <v>62060</v>
      </c>
      <c r="I2408" s="11">
        <v>22375</v>
      </c>
      <c r="J2408" s="66">
        <f t="shared" si="150"/>
        <v>49.413470834676119</v>
      </c>
      <c r="K2408" s="66">
        <f t="shared" si="151"/>
        <v>50.586529165323881</v>
      </c>
    </row>
    <row r="2409" spans="1:11" x14ac:dyDescent="0.3">
      <c r="A2409" s="10">
        <v>92</v>
      </c>
      <c r="B2409" s="10" t="s">
        <v>2687</v>
      </c>
      <c r="C2409" s="10" t="str" cm="1">
        <f t="array" ref="C2409">_xlfn.IFS(A2409&lt;20, "ภาคกลาง", A2409&lt;30, "ภาคตะวันออก", A2409&lt;50, "ภาคตะวันออกเฉียงเหนือ", A2409&lt;60, "ภาคเหนือ", A2409&lt;80, "ภาคกลาง/ตะวันตก", A2409&gt;=80, "ภาคใต้")</f>
        <v>ภาคใต้</v>
      </c>
      <c r="D2409" s="64">
        <v>9206</v>
      </c>
      <c r="E2409" s="10" t="s">
        <v>2693</v>
      </c>
      <c r="F2409" s="11">
        <v>17651</v>
      </c>
      <c r="G2409" s="11">
        <v>17239</v>
      </c>
      <c r="H2409" s="11">
        <v>34890</v>
      </c>
      <c r="I2409" s="11">
        <v>13112</v>
      </c>
      <c r="J2409" s="66">
        <f t="shared" si="150"/>
        <v>50.59042705646317</v>
      </c>
      <c r="K2409" s="66">
        <f t="shared" si="151"/>
        <v>49.40957294353683</v>
      </c>
    </row>
    <row r="2410" spans="1:11" x14ac:dyDescent="0.3">
      <c r="A2410" s="10">
        <v>92</v>
      </c>
      <c r="B2410" s="10" t="s">
        <v>2687</v>
      </c>
      <c r="C2410" s="10" t="str" cm="1">
        <f t="array" ref="C2410">_xlfn.IFS(A2410&lt;20, "ภาคกลาง", A2410&lt;30, "ภาคตะวันออก", A2410&lt;50, "ภาคตะวันออกเฉียงเหนือ", A2410&lt;60, "ภาคเหนือ", A2410&lt;80, "ภาคกลาง/ตะวันตก", A2410&gt;=80, "ภาคใต้")</f>
        <v>ภาคใต้</v>
      </c>
      <c r="D2410" s="64">
        <v>9207</v>
      </c>
      <c r="E2410" s="10" t="s">
        <v>2694</v>
      </c>
      <c r="F2410" s="11">
        <v>38286</v>
      </c>
      <c r="G2410" s="11">
        <v>39412</v>
      </c>
      <c r="H2410" s="11">
        <v>77698</v>
      </c>
      <c r="I2410" s="11">
        <v>27826</v>
      </c>
      <c r="J2410" s="66">
        <f t="shared" si="150"/>
        <v>49.275399624185951</v>
      </c>
      <c r="K2410" s="66">
        <f t="shared" si="151"/>
        <v>50.724600375814042</v>
      </c>
    </row>
    <row r="2411" spans="1:11" x14ac:dyDescent="0.3">
      <c r="A2411" s="10">
        <v>92</v>
      </c>
      <c r="B2411" s="10" t="s">
        <v>2687</v>
      </c>
      <c r="C2411" s="10" t="str" cm="1">
        <f t="array" ref="C2411">_xlfn.IFS(A2411&lt;20, "ภาคกลาง", A2411&lt;30, "ภาคตะวันออก", A2411&lt;50, "ภาคตะวันออกเฉียงเหนือ", A2411&lt;60, "ภาคเหนือ", A2411&lt;80, "ภาคกลาง/ตะวันตก", A2411&gt;=80, "ภาคใต้")</f>
        <v>ภาคใต้</v>
      </c>
      <c r="D2411" s="64">
        <v>9208</v>
      </c>
      <c r="E2411" s="10" t="s">
        <v>2695</v>
      </c>
      <c r="F2411" s="11">
        <v>20002</v>
      </c>
      <c r="G2411" s="11">
        <v>20267</v>
      </c>
      <c r="H2411" s="11">
        <v>40269</v>
      </c>
      <c r="I2411" s="11">
        <v>14381</v>
      </c>
      <c r="J2411" s="66">
        <f t="shared" si="150"/>
        <v>49.670962775335866</v>
      </c>
      <c r="K2411" s="66">
        <f t="shared" si="151"/>
        <v>50.329037224664134</v>
      </c>
    </row>
    <row r="2412" spans="1:11" x14ac:dyDescent="0.3">
      <c r="A2412" s="10">
        <v>92</v>
      </c>
      <c r="B2412" s="10" t="s">
        <v>2687</v>
      </c>
      <c r="C2412" s="10" t="str" cm="1">
        <f t="array" ref="C2412">_xlfn.IFS(A2412&lt;20, "ภาคกลาง", A2412&lt;30, "ภาคตะวันออก", A2412&lt;50, "ภาคตะวันออกเฉียงเหนือ", A2412&lt;60, "ภาคเหนือ", A2412&lt;80, "ภาคกลาง/ตะวันตก", A2412&gt;=80, "ภาคใต้")</f>
        <v>ภาคใต้</v>
      </c>
      <c r="D2412" s="64">
        <v>9209</v>
      </c>
      <c r="E2412" s="10" t="s">
        <v>2696</v>
      </c>
      <c r="F2412" s="11">
        <v>19839</v>
      </c>
      <c r="G2412" s="11">
        <v>21050</v>
      </c>
      <c r="H2412" s="11">
        <v>40889</v>
      </c>
      <c r="I2412" s="11">
        <v>14157</v>
      </c>
      <c r="J2412" s="66">
        <f t="shared" si="150"/>
        <v>48.519161632712951</v>
      </c>
      <c r="K2412" s="66">
        <f t="shared" si="151"/>
        <v>51.480838367287042</v>
      </c>
    </row>
    <row r="2413" spans="1:11" x14ac:dyDescent="0.3">
      <c r="A2413" s="10">
        <v>92</v>
      </c>
      <c r="B2413" s="10" t="s">
        <v>2687</v>
      </c>
      <c r="C2413" s="10" t="str" cm="1">
        <f t="array" ref="C2413">_xlfn.IFS(A2413&lt;20, "ภาคกลาง", A2413&lt;30, "ภาคตะวันออก", A2413&lt;50, "ภาคตะวันออกเฉียงเหนือ", A2413&lt;60, "ภาคเหนือ", A2413&lt;80, "ภาคกลาง/ตะวันตก", A2413&gt;=80, "ภาคใต้")</f>
        <v>ภาคใต้</v>
      </c>
      <c r="D2413" s="64">
        <v>9210</v>
      </c>
      <c r="E2413" s="10" t="s">
        <v>2697</v>
      </c>
      <c r="F2413" s="11">
        <v>13174</v>
      </c>
      <c r="G2413" s="11">
        <v>13518</v>
      </c>
      <c r="H2413" s="11">
        <v>26692</v>
      </c>
      <c r="I2413" s="11">
        <v>10197</v>
      </c>
      <c r="J2413" s="66">
        <f t="shared" si="150"/>
        <v>49.355612168439983</v>
      </c>
      <c r="K2413" s="66">
        <f t="shared" si="151"/>
        <v>50.644387831560024</v>
      </c>
    </row>
    <row r="2414" spans="1:11" ht="27.6" x14ac:dyDescent="0.3">
      <c r="A2414" s="10">
        <v>92</v>
      </c>
      <c r="B2414" s="10" t="s">
        <v>2687</v>
      </c>
      <c r="C2414" s="10" t="str" cm="1">
        <f t="array" ref="C2414">_xlfn.IFS(A2414&lt;20, "ภาคกลาง", A2414&lt;30, "ภาคตะวันออก", A2414&lt;50, "ภาคตะวันออกเฉียงเหนือ", A2414&lt;60, "ภาคเหนือ", A2414&lt;80, "ภาคกลาง/ตะวันตก", A2414&gt;=80, "ภาคใต้")</f>
        <v>ภาคใต้</v>
      </c>
      <c r="D2414" s="64">
        <v>9286</v>
      </c>
      <c r="E2414" s="10" t="s">
        <v>2698</v>
      </c>
      <c r="F2414" s="11">
        <v>8420</v>
      </c>
      <c r="G2414" s="11">
        <v>8331</v>
      </c>
      <c r="H2414" s="11">
        <v>16751</v>
      </c>
      <c r="I2414" s="11">
        <v>5144</v>
      </c>
      <c r="J2414" s="66">
        <f t="shared" si="150"/>
        <v>50.265655781744378</v>
      </c>
      <c r="K2414" s="66">
        <f t="shared" si="151"/>
        <v>49.734344218255629</v>
      </c>
    </row>
    <row r="2415" spans="1:11" ht="27.6" x14ac:dyDescent="0.3">
      <c r="A2415" s="10">
        <v>92</v>
      </c>
      <c r="B2415" s="10" t="s">
        <v>2687</v>
      </c>
      <c r="C2415" s="10" t="str" cm="1">
        <f t="array" ref="C2415">_xlfn.IFS(A2415&lt;20, "ภาคกลาง", A2415&lt;30, "ภาคตะวันออก", A2415&lt;50, "ภาคตะวันออกเฉียงเหนือ", A2415&lt;60, "ภาคเหนือ", A2415&lt;80, "ภาคกลาง/ตะวันตก", A2415&gt;=80, "ภาคใต้")</f>
        <v>ภาคใต้</v>
      </c>
      <c r="D2415" s="64">
        <v>9287</v>
      </c>
      <c r="E2415" s="10" t="s">
        <v>2699</v>
      </c>
      <c r="F2415" s="11">
        <v>1155</v>
      </c>
      <c r="G2415" s="11">
        <v>1272</v>
      </c>
      <c r="H2415" s="11">
        <v>2427</v>
      </c>
      <c r="I2415" s="11">
        <v>1379</v>
      </c>
      <c r="J2415" s="66">
        <f t="shared" si="150"/>
        <v>47.589616810877629</v>
      </c>
      <c r="K2415" s="66">
        <f t="shared" si="151"/>
        <v>52.410383189122378</v>
      </c>
    </row>
    <row r="2416" spans="1:11" x14ac:dyDescent="0.3">
      <c r="A2416" s="10">
        <v>92</v>
      </c>
      <c r="B2416" s="10" t="s">
        <v>2687</v>
      </c>
      <c r="C2416" s="10" t="str" cm="1">
        <f t="array" ref="C2416">_xlfn.IFS(A2416&lt;20, "ภาคกลาง", A2416&lt;30, "ภาคตะวันออก", A2416&lt;50, "ภาคตะวันออกเฉียงเหนือ", A2416&lt;60, "ภาคเหนือ", A2416&lt;80, "ภาคกลาง/ตะวันตก", A2416&gt;=80, "ภาคใต้")</f>
        <v>ภาคใต้</v>
      </c>
      <c r="D2416" s="64">
        <v>9288</v>
      </c>
      <c r="E2416" s="10" t="s">
        <v>2700</v>
      </c>
      <c r="F2416" s="11">
        <v>1611</v>
      </c>
      <c r="G2416" s="11">
        <v>1806</v>
      </c>
      <c r="H2416" s="11">
        <v>3417</v>
      </c>
      <c r="I2416" s="11">
        <v>1618</v>
      </c>
      <c r="J2416" s="66">
        <f t="shared" si="150"/>
        <v>47.146619841966633</v>
      </c>
      <c r="K2416" s="66">
        <f t="shared" si="151"/>
        <v>52.85338015803336</v>
      </c>
    </row>
    <row r="2417" spans="1:11" x14ac:dyDescent="0.3">
      <c r="A2417" s="10">
        <v>92</v>
      </c>
      <c r="B2417" s="10" t="s">
        <v>2687</v>
      </c>
      <c r="C2417" s="10" t="str" cm="1">
        <f t="array" ref="C2417">_xlfn.IFS(A2417&lt;20, "ภาคกลาง", A2417&lt;30, "ภาคตะวันออก", A2417&lt;50, "ภาคตะวันออกเฉียงเหนือ", A2417&lt;60, "ภาคเหนือ", A2417&lt;80, "ภาคกลาง/ตะวันตก", A2417&gt;=80, "ภาคใต้")</f>
        <v>ภาคใต้</v>
      </c>
      <c r="D2417" s="64">
        <v>9289</v>
      </c>
      <c r="E2417" s="10" t="s">
        <v>2701</v>
      </c>
      <c r="F2417" s="11">
        <v>1466</v>
      </c>
      <c r="G2417" s="11">
        <v>1488</v>
      </c>
      <c r="H2417" s="11">
        <v>2954</v>
      </c>
      <c r="I2417" s="11">
        <v>1411</v>
      </c>
      <c r="J2417" s="66">
        <f t="shared" si="150"/>
        <v>49.627623561272848</v>
      </c>
      <c r="K2417" s="66">
        <f t="shared" si="151"/>
        <v>50.372376438727152</v>
      </c>
    </row>
    <row r="2418" spans="1:11" x14ac:dyDescent="0.3">
      <c r="A2418" s="10">
        <v>92</v>
      </c>
      <c r="B2418" s="10" t="s">
        <v>2687</v>
      </c>
      <c r="C2418" s="10" t="str" cm="1">
        <f t="array" ref="C2418">_xlfn.IFS(A2418&lt;20, "ภาคกลาง", A2418&lt;30, "ภาคตะวันออก", A2418&lt;50, "ภาคตะวันออกเฉียงเหนือ", A2418&lt;60, "ภาคเหนือ", A2418&lt;80, "ภาคกลาง/ตะวันตก", A2418&gt;=80, "ภาคใต้")</f>
        <v>ภาคใต้</v>
      </c>
      <c r="D2418" s="64">
        <v>9290</v>
      </c>
      <c r="E2418" s="10" t="s">
        <v>2702</v>
      </c>
      <c r="F2418" s="11">
        <v>1780</v>
      </c>
      <c r="G2418" s="11">
        <v>1457</v>
      </c>
      <c r="H2418" s="11">
        <v>3237</v>
      </c>
      <c r="I2418" s="11">
        <v>1476</v>
      </c>
      <c r="J2418" s="66">
        <f t="shared" si="150"/>
        <v>54.989187519308004</v>
      </c>
      <c r="K2418" s="66">
        <f t="shared" si="151"/>
        <v>45.010812480691996</v>
      </c>
    </row>
    <row r="2419" spans="1:11" x14ac:dyDescent="0.3">
      <c r="A2419" s="10">
        <v>92</v>
      </c>
      <c r="B2419" s="10" t="s">
        <v>2687</v>
      </c>
      <c r="C2419" s="10" t="str" cm="1">
        <f t="array" ref="C2419">_xlfn.IFS(A2419&lt;20, "ภาคกลาง", A2419&lt;30, "ภาคตะวันออก", A2419&lt;50, "ภาคตะวันออกเฉียงเหนือ", A2419&lt;60, "ภาคเหนือ", A2419&lt;80, "ภาคกลาง/ตะวันตก", A2419&gt;=80, "ภาคใต้")</f>
        <v>ภาคใต้</v>
      </c>
      <c r="D2419" s="64">
        <v>9291</v>
      </c>
      <c r="E2419" s="10" t="s">
        <v>2703</v>
      </c>
      <c r="F2419" s="11">
        <v>1927</v>
      </c>
      <c r="G2419" s="11">
        <v>2049</v>
      </c>
      <c r="H2419" s="11">
        <v>3976</v>
      </c>
      <c r="I2419" s="11">
        <v>1888</v>
      </c>
      <c r="J2419" s="66">
        <f t="shared" si="150"/>
        <v>48.465794768611673</v>
      </c>
      <c r="K2419" s="66">
        <f t="shared" si="151"/>
        <v>51.534205231388327</v>
      </c>
    </row>
    <row r="2420" spans="1:11" x14ac:dyDescent="0.3">
      <c r="A2420" s="10">
        <v>92</v>
      </c>
      <c r="B2420" s="10" t="s">
        <v>2687</v>
      </c>
      <c r="C2420" s="10" t="str" cm="1">
        <f t="array" ref="C2420">_xlfn.IFS(A2420&lt;20, "ภาคกลาง", A2420&lt;30, "ภาคตะวันออก", A2420&lt;50, "ภาคตะวันออกเฉียงเหนือ", A2420&lt;60, "ภาคเหนือ", A2420&lt;80, "ภาคกลาง/ตะวันตก", A2420&gt;=80, "ภาคใต้")</f>
        <v>ภาคใต้</v>
      </c>
      <c r="D2420" s="64">
        <v>9292</v>
      </c>
      <c r="E2420" s="10" t="s">
        <v>2704</v>
      </c>
      <c r="F2420" s="10">
        <v>619</v>
      </c>
      <c r="G2420" s="10">
        <v>683</v>
      </c>
      <c r="H2420" s="11">
        <v>1302</v>
      </c>
      <c r="I2420" s="10">
        <v>664</v>
      </c>
      <c r="J2420" s="66">
        <f t="shared" si="150"/>
        <v>47.542242703533027</v>
      </c>
      <c r="K2420" s="66">
        <f t="shared" si="151"/>
        <v>52.45775729646698</v>
      </c>
    </row>
    <row r="2421" spans="1:11" x14ac:dyDescent="0.3">
      <c r="A2421" s="10">
        <v>92</v>
      </c>
      <c r="B2421" s="10" t="s">
        <v>2687</v>
      </c>
      <c r="C2421" s="10" t="str" cm="1">
        <f t="array" ref="C2421">_xlfn.IFS(A2421&lt;20, "ภาคกลาง", A2421&lt;30, "ภาคตะวันออก", A2421&lt;50, "ภาคตะวันออกเฉียงเหนือ", A2421&lt;60, "ภาคเหนือ", A2421&lt;80, "ภาคกลาง/ตะวันตก", A2421&gt;=80, "ภาคใต้")</f>
        <v>ภาคใต้</v>
      </c>
      <c r="D2421" s="64">
        <v>9293</v>
      </c>
      <c r="E2421" s="10" t="s">
        <v>2705</v>
      </c>
      <c r="F2421" s="11">
        <v>1013</v>
      </c>
      <c r="G2421" s="11">
        <v>1068</v>
      </c>
      <c r="H2421" s="11">
        <v>2081</v>
      </c>
      <c r="I2421" s="10">
        <v>790</v>
      </c>
      <c r="J2421" s="66">
        <f t="shared" si="150"/>
        <v>48.678519942335413</v>
      </c>
      <c r="K2421" s="66">
        <f t="shared" si="151"/>
        <v>51.32148005766458</v>
      </c>
    </row>
    <row r="2422" spans="1:11" x14ac:dyDescent="0.3">
      <c r="A2422" s="10">
        <v>92</v>
      </c>
      <c r="B2422" s="10" t="s">
        <v>2687</v>
      </c>
      <c r="C2422" s="10" t="str" cm="1">
        <f t="array" ref="C2422">_xlfn.IFS(A2422&lt;20, "ภาคกลาง", A2422&lt;30, "ภาคตะวันออก", A2422&lt;50, "ภาคตะวันออกเฉียงเหนือ", A2422&lt;60, "ภาคเหนือ", A2422&lt;80, "ภาคกลาง/ตะวันตก", A2422&gt;=80, "ภาคใต้")</f>
        <v>ภาคใต้</v>
      </c>
      <c r="D2422" s="64">
        <v>9294</v>
      </c>
      <c r="E2422" s="10" t="s">
        <v>815</v>
      </c>
      <c r="F2422" s="11">
        <v>1096</v>
      </c>
      <c r="G2422" s="11">
        <v>1238</v>
      </c>
      <c r="H2422" s="11">
        <v>2334</v>
      </c>
      <c r="I2422" s="11">
        <v>1117</v>
      </c>
      <c r="J2422" s="66">
        <f t="shared" si="150"/>
        <v>46.958011996572409</v>
      </c>
      <c r="K2422" s="66">
        <f t="shared" si="151"/>
        <v>53.041988003427591</v>
      </c>
    </row>
    <row r="2423" spans="1:11" ht="27.6" x14ac:dyDescent="0.3">
      <c r="A2423" s="10">
        <v>92</v>
      </c>
      <c r="B2423" s="10" t="s">
        <v>2687</v>
      </c>
      <c r="C2423" s="10" t="str" cm="1">
        <f t="array" ref="C2423">_xlfn.IFS(A2423&lt;20, "ภาคกลาง", A2423&lt;30, "ภาคตะวันออก", A2423&lt;50, "ภาคตะวันออกเฉียงเหนือ", A2423&lt;60, "ภาคเหนือ", A2423&lt;80, "ภาคกลาง/ตะวันตก", A2423&gt;=80, "ภาคใต้")</f>
        <v>ภาคใต้</v>
      </c>
      <c r="D2423" s="64">
        <v>9295</v>
      </c>
      <c r="E2423" s="10" t="s">
        <v>2706</v>
      </c>
      <c r="F2423" s="10">
        <v>645</v>
      </c>
      <c r="G2423" s="10">
        <v>655</v>
      </c>
      <c r="H2423" s="11">
        <v>1300</v>
      </c>
      <c r="I2423" s="10">
        <v>670</v>
      </c>
      <c r="J2423" s="66">
        <f t="shared" si="150"/>
        <v>49.615384615384613</v>
      </c>
      <c r="K2423" s="66">
        <f t="shared" si="151"/>
        <v>50.384615384615387</v>
      </c>
    </row>
    <row r="2424" spans="1:11" ht="27.6" x14ac:dyDescent="0.3">
      <c r="A2424" s="10">
        <v>92</v>
      </c>
      <c r="B2424" s="10" t="s">
        <v>2687</v>
      </c>
      <c r="C2424" s="10" t="str" cm="1">
        <f t="array" ref="C2424">_xlfn.IFS(A2424&lt;20, "ภาคกลาง", A2424&lt;30, "ภาคตะวันออก", A2424&lt;50, "ภาคตะวันออกเฉียงเหนือ", A2424&lt;60, "ภาคเหนือ", A2424&lt;80, "ภาคกลาง/ตะวันตก", A2424&gt;=80, "ภาคใต้")</f>
        <v>ภาคใต้</v>
      </c>
      <c r="D2424" s="64">
        <v>9296</v>
      </c>
      <c r="E2424" s="10" t="s">
        <v>2707</v>
      </c>
      <c r="F2424" s="11">
        <v>3432</v>
      </c>
      <c r="G2424" s="11">
        <v>3987</v>
      </c>
      <c r="H2424" s="11">
        <v>7419</v>
      </c>
      <c r="I2424" s="11">
        <v>3874</v>
      </c>
      <c r="J2424" s="66">
        <f t="shared" si="150"/>
        <v>46.259603720177921</v>
      </c>
      <c r="K2424" s="66">
        <f t="shared" si="151"/>
        <v>53.740396279822079</v>
      </c>
    </row>
    <row r="2425" spans="1:11" x14ac:dyDescent="0.3">
      <c r="A2425" s="10">
        <v>92</v>
      </c>
      <c r="B2425" s="10" t="s">
        <v>2687</v>
      </c>
      <c r="C2425" s="10" t="str" cm="1">
        <f t="array" ref="C2425">_xlfn.IFS(A2425&lt;20, "ภาคกลาง", A2425&lt;30, "ภาคตะวันออก", A2425&lt;50, "ภาคตะวันออกเฉียงเหนือ", A2425&lt;60, "ภาคเหนือ", A2425&lt;80, "ภาคกลาง/ตะวันตก", A2425&gt;=80, "ภาคใต้")</f>
        <v>ภาคใต้</v>
      </c>
      <c r="D2425" s="64">
        <v>9297</v>
      </c>
      <c r="E2425" s="10" t="s">
        <v>2708</v>
      </c>
      <c r="F2425" s="11">
        <v>1848</v>
      </c>
      <c r="G2425" s="11">
        <v>2009</v>
      </c>
      <c r="H2425" s="11">
        <v>3857</v>
      </c>
      <c r="I2425" s="11">
        <v>1819</v>
      </c>
      <c r="J2425" s="66">
        <f t="shared" si="150"/>
        <v>47.91288566243194</v>
      </c>
      <c r="K2425" s="66">
        <f t="shared" si="151"/>
        <v>52.08711433756806</v>
      </c>
    </row>
    <row r="2426" spans="1:11" x14ac:dyDescent="0.3">
      <c r="A2426" s="10">
        <v>92</v>
      </c>
      <c r="B2426" s="10" t="s">
        <v>2687</v>
      </c>
      <c r="C2426" s="10" t="str" cm="1">
        <f t="array" ref="C2426">_xlfn.IFS(A2426&lt;20, "ภาคกลาง", A2426&lt;30, "ภาคตะวันออก", A2426&lt;50, "ภาคตะวันออกเฉียงเหนือ", A2426&lt;60, "ภาคเหนือ", A2426&lt;80, "ภาคกลาง/ตะวันตก", A2426&gt;=80, "ภาคใต้")</f>
        <v>ภาคใต้</v>
      </c>
      <c r="D2426" s="64">
        <v>9298</v>
      </c>
      <c r="E2426" s="10" t="s">
        <v>2709</v>
      </c>
      <c r="F2426" s="11">
        <v>3691</v>
      </c>
      <c r="G2426" s="11">
        <v>4103</v>
      </c>
      <c r="H2426" s="11">
        <v>7794</v>
      </c>
      <c r="I2426" s="11">
        <v>4232</v>
      </c>
      <c r="J2426" s="66">
        <f t="shared" si="150"/>
        <v>47.356941236848861</v>
      </c>
      <c r="K2426" s="66">
        <f t="shared" si="151"/>
        <v>52.643058763151139</v>
      </c>
    </row>
    <row r="2427" spans="1:11" x14ac:dyDescent="0.3">
      <c r="A2427" s="10">
        <v>92</v>
      </c>
      <c r="B2427" s="10" t="s">
        <v>2687</v>
      </c>
      <c r="C2427" s="10" t="str" cm="1">
        <f t="array" ref="C2427">_xlfn.IFS(A2427&lt;20, "ภาคกลาง", A2427&lt;30, "ภาคตะวันออก", A2427&lt;50, "ภาคตะวันออกเฉียงเหนือ", A2427&lt;60, "ภาคเหนือ", A2427&lt;80, "ภาคกลาง/ตะวันตก", A2427&gt;=80, "ภาคใต้")</f>
        <v>ภาคใต้</v>
      </c>
      <c r="D2427" s="64">
        <v>9299</v>
      </c>
      <c r="E2427" s="10" t="s">
        <v>2710</v>
      </c>
      <c r="F2427" s="11">
        <v>5483</v>
      </c>
      <c r="G2427" s="11">
        <v>5705</v>
      </c>
      <c r="H2427" s="11">
        <v>11188</v>
      </c>
      <c r="I2427" s="11">
        <v>5143</v>
      </c>
      <c r="J2427" s="66">
        <f t="shared" si="150"/>
        <v>49.007865570253841</v>
      </c>
      <c r="K2427" s="66">
        <f t="shared" si="151"/>
        <v>50.992134429746159</v>
      </c>
    </row>
    <row r="2428" spans="1:11" hidden="1" x14ac:dyDescent="0.3">
      <c r="A2428" s="10">
        <v>92</v>
      </c>
      <c r="B2428" s="10" t="s">
        <v>2687</v>
      </c>
      <c r="C2428" s="10" t="str" cm="1">
        <f t="array" ref="C2428">_xlfn.IFS(A2428&lt;20, "ภาคกลาง", A2428&lt;30, "ภาคตะวันออก", A2428&lt;50, "ภาคตะวันออกเฉียงเหนือ", A2428&lt;60, "ภาคเหนือ", A2428&lt;80, "ภาคกลาง/ตะวันตก", A2428&gt;=80, "ภาคใต้")</f>
        <v>ภาคใต้</v>
      </c>
      <c r="D2428" s="10">
        <v>0</v>
      </c>
      <c r="E2428" s="10" t="s">
        <v>343</v>
      </c>
      <c r="F2428" s="11">
        <v>24807</v>
      </c>
      <c r="G2428" s="11">
        <v>29138</v>
      </c>
      <c r="H2428" s="11">
        <v>53945</v>
      </c>
      <c r="I2428" s="11">
        <v>26264</v>
      </c>
      <c r="J2428"/>
      <c r="K2428"/>
    </row>
    <row r="2429" spans="1:11" x14ac:dyDescent="0.3">
      <c r="A2429" s="10">
        <v>93</v>
      </c>
      <c r="B2429" s="10" t="s">
        <v>2711</v>
      </c>
      <c r="C2429" s="10" t="str" cm="1">
        <f t="array" ref="C2429">_xlfn.IFS(A2429&lt;20, "ภาคกลาง", A2429&lt;30, "ภาคตะวันออก", A2429&lt;50, "ภาคตะวันออกเฉียงเหนือ", A2429&lt;60, "ภาคเหนือ", A2429&lt;80, "ภาคกลาง/ตะวันตก", A2429&gt;=80, "ภาคใต้")</f>
        <v>ภาคใต้</v>
      </c>
      <c r="D2429" s="64">
        <v>9301</v>
      </c>
      <c r="E2429" s="10" t="s">
        <v>2712</v>
      </c>
      <c r="F2429" s="11">
        <v>252460</v>
      </c>
      <c r="G2429" s="11">
        <v>266980</v>
      </c>
      <c r="H2429" s="11">
        <v>519440</v>
      </c>
      <c r="I2429" s="11">
        <v>207767</v>
      </c>
      <c r="J2429" s="66">
        <f t="shared" ref="J2429:J2457" si="152">F2429/H2429*100</f>
        <v>48.602340982596644</v>
      </c>
      <c r="K2429" s="66">
        <f t="shared" ref="K2429:K2457" si="153">G2429/H2429*100</f>
        <v>51.397659017403349</v>
      </c>
    </row>
    <row r="2430" spans="1:11" x14ac:dyDescent="0.3">
      <c r="A2430" s="10">
        <v>93</v>
      </c>
      <c r="B2430" s="10" t="s">
        <v>2711</v>
      </c>
      <c r="C2430" s="10" t="str" cm="1">
        <f t="array" ref="C2430">_xlfn.IFS(A2430&lt;20, "ภาคกลาง", A2430&lt;30, "ภาคตะวันออก", A2430&lt;50, "ภาคตะวันออกเฉียงเหนือ", A2430&lt;60, "ภาคเหนือ", A2430&lt;80, "ภาคกลาง/ตะวันตก", A2430&gt;=80, "ภาคใต้")</f>
        <v>ภาคใต้</v>
      </c>
      <c r="D2430" s="64">
        <v>9302</v>
      </c>
      <c r="E2430" s="10" t="s">
        <v>2713</v>
      </c>
      <c r="F2430" s="11">
        <v>42603</v>
      </c>
      <c r="G2430" s="11">
        <v>46931</v>
      </c>
      <c r="H2430" s="11">
        <v>89534</v>
      </c>
      <c r="I2430" s="11">
        <v>36125</v>
      </c>
      <c r="J2430" s="66">
        <f t="shared" si="152"/>
        <v>47.583041079366502</v>
      </c>
      <c r="K2430" s="66">
        <f t="shared" si="153"/>
        <v>52.416958920633505</v>
      </c>
    </row>
    <row r="2431" spans="1:11" x14ac:dyDescent="0.3">
      <c r="A2431" s="10">
        <v>93</v>
      </c>
      <c r="B2431" s="10" t="s">
        <v>2711</v>
      </c>
      <c r="C2431" s="10" t="str" cm="1">
        <f t="array" ref="C2431">_xlfn.IFS(A2431&lt;20, "ภาคกลาง", A2431&lt;30, "ภาคตะวันออก", A2431&lt;50, "ภาคตะวันออกเฉียงเหนือ", A2431&lt;60, "ภาคเหนือ", A2431&lt;80, "ภาคกลาง/ตะวันตก", A2431&gt;=80, "ภาคใต้")</f>
        <v>ภาคใต้</v>
      </c>
      <c r="D2431" s="64">
        <v>9303</v>
      </c>
      <c r="E2431" s="10" t="s">
        <v>2714</v>
      </c>
      <c r="F2431" s="11">
        <v>14689</v>
      </c>
      <c r="G2431" s="11">
        <v>14882</v>
      </c>
      <c r="H2431" s="11">
        <v>29571</v>
      </c>
      <c r="I2431" s="11">
        <v>9934</v>
      </c>
      <c r="J2431" s="66">
        <f t="shared" si="152"/>
        <v>49.673666768117414</v>
      </c>
      <c r="K2431" s="66">
        <f t="shared" si="153"/>
        <v>50.326333231882593</v>
      </c>
    </row>
    <row r="2432" spans="1:11" x14ac:dyDescent="0.3">
      <c r="A2432" s="10">
        <v>93</v>
      </c>
      <c r="B2432" s="10" t="s">
        <v>2711</v>
      </c>
      <c r="C2432" s="10" t="str" cm="1">
        <f t="array" ref="C2432">_xlfn.IFS(A2432&lt;20, "ภาคกลาง", A2432&lt;30, "ภาคตะวันออก", A2432&lt;50, "ภาคตะวันออกเฉียงเหนือ", A2432&lt;60, "ภาคเหนือ", A2432&lt;80, "ภาคกลาง/ตะวันตก", A2432&gt;=80, "ภาคใต้")</f>
        <v>ภาคใต้</v>
      </c>
      <c r="D2432" s="64">
        <v>9304</v>
      </c>
      <c r="E2432" s="10" t="s">
        <v>2715</v>
      </c>
      <c r="F2432" s="11">
        <v>15074</v>
      </c>
      <c r="G2432" s="11">
        <v>15762</v>
      </c>
      <c r="H2432" s="11">
        <v>30836</v>
      </c>
      <c r="I2432" s="11">
        <v>12083</v>
      </c>
      <c r="J2432" s="66">
        <f t="shared" si="152"/>
        <v>48.884420806849135</v>
      </c>
      <c r="K2432" s="66">
        <f t="shared" si="153"/>
        <v>51.115579193150865</v>
      </c>
    </row>
    <row r="2433" spans="1:11" x14ac:dyDescent="0.3">
      <c r="A2433" s="10">
        <v>93</v>
      </c>
      <c r="B2433" s="10" t="s">
        <v>2711</v>
      </c>
      <c r="C2433" s="10" t="str" cm="1">
        <f t="array" ref="C2433">_xlfn.IFS(A2433&lt;20, "ภาคกลาง", A2433&lt;30, "ภาคตะวันออก", A2433&lt;50, "ภาคตะวันออกเฉียงเหนือ", A2433&lt;60, "ภาคเหนือ", A2433&lt;80, "ภาคกลาง/ตะวันตก", A2433&gt;=80, "ภาคใต้")</f>
        <v>ภาคใต้</v>
      </c>
      <c r="D2433" s="64">
        <v>9305</v>
      </c>
      <c r="E2433" s="10" t="s">
        <v>2716</v>
      </c>
      <c r="F2433" s="11">
        <v>7123</v>
      </c>
      <c r="G2433" s="11">
        <v>7215</v>
      </c>
      <c r="H2433" s="11">
        <v>14338</v>
      </c>
      <c r="I2433" s="11">
        <v>4992</v>
      </c>
      <c r="J2433" s="66">
        <f t="shared" si="152"/>
        <v>49.679174222346212</v>
      </c>
      <c r="K2433" s="66">
        <f t="shared" si="153"/>
        <v>50.320825777653788</v>
      </c>
    </row>
    <row r="2434" spans="1:11" x14ac:dyDescent="0.3">
      <c r="A2434" s="10">
        <v>93</v>
      </c>
      <c r="B2434" s="10" t="s">
        <v>2711</v>
      </c>
      <c r="C2434" s="10" t="str" cm="1">
        <f t="array" ref="C2434">_xlfn.IFS(A2434&lt;20, "ภาคกลาง", A2434&lt;30, "ภาคตะวันออก", A2434&lt;50, "ภาคตะวันออกเฉียงเหนือ", A2434&lt;60, "ภาคเหนือ", A2434&lt;80, "ภาคกลาง/ตะวันตก", A2434&gt;=80, "ภาคใต้")</f>
        <v>ภาคใต้</v>
      </c>
      <c r="D2434" s="64">
        <v>9306</v>
      </c>
      <c r="E2434" s="10" t="s">
        <v>2717</v>
      </c>
      <c r="F2434" s="11">
        <v>37631</v>
      </c>
      <c r="G2434" s="11">
        <v>40840</v>
      </c>
      <c r="H2434" s="11">
        <v>78471</v>
      </c>
      <c r="I2434" s="11">
        <v>31374</v>
      </c>
      <c r="J2434" s="66">
        <f t="shared" si="152"/>
        <v>47.955295586904718</v>
      </c>
      <c r="K2434" s="66">
        <f t="shared" si="153"/>
        <v>52.044704413095289</v>
      </c>
    </row>
    <row r="2435" spans="1:11" x14ac:dyDescent="0.3">
      <c r="A2435" s="10">
        <v>93</v>
      </c>
      <c r="B2435" s="10" t="s">
        <v>2711</v>
      </c>
      <c r="C2435" s="10" t="str" cm="1">
        <f t="array" ref="C2435">_xlfn.IFS(A2435&lt;20, "ภาคกลาง", A2435&lt;30, "ภาคตะวันออก", A2435&lt;50, "ภาคตะวันออกเฉียงเหนือ", A2435&lt;60, "ภาคเหนือ", A2435&lt;80, "ภาคกลาง/ตะวันตก", A2435&gt;=80, "ภาคใต้")</f>
        <v>ภาคใต้</v>
      </c>
      <c r="D2435" s="64">
        <v>9307</v>
      </c>
      <c r="E2435" s="10" t="s">
        <v>2718</v>
      </c>
      <c r="F2435" s="11">
        <v>16042</v>
      </c>
      <c r="G2435" s="11">
        <v>16641</v>
      </c>
      <c r="H2435" s="11">
        <v>32683</v>
      </c>
      <c r="I2435" s="11">
        <v>11544</v>
      </c>
      <c r="J2435" s="66">
        <f t="shared" si="152"/>
        <v>49.083621454578832</v>
      </c>
      <c r="K2435" s="66">
        <f t="shared" si="153"/>
        <v>50.916378545421168</v>
      </c>
    </row>
    <row r="2436" spans="1:11" x14ac:dyDescent="0.3">
      <c r="A2436" s="10">
        <v>93</v>
      </c>
      <c r="B2436" s="10" t="s">
        <v>2711</v>
      </c>
      <c r="C2436" s="10" t="str" cm="1">
        <f t="array" ref="C2436">_xlfn.IFS(A2436&lt;20, "ภาคกลาง", A2436&lt;30, "ภาคตะวันออก", A2436&lt;50, "ภาคตะวันออกเฉียงเหนือ", A2436&lt;60, "ภาคเหนือ", A2436&lt;80, "ภาคกลาง/ตะวันตก", A2436&gt;=80, "ภาคใต้")</f>
        <v>ภาคใต้</v>
      </c>
      <c r="D2436" s="64">
        <v>9308</v>
      </c>
      <c r="E2436" s="10" t="s">
        <v>2719</v>
      </c>
      <c r="F2436" s="11">
        <v>8993</v>
      </c>
      <c r="G2436" s="11">
        <v>9026</v>
      </c>
      <c r="H2436" s="11">
        <v>18019</v>
      </c>
      <c r="I2436" s="11">
        <v>7138</v>
      </c>
      <c r="J2436" s="66">
        <f t="shared" si="152"/>
        <v>49.908429990565509</v>
      </c>
      <c r="K2436" s="66">
        <f t="shared" si="153"/>
        <v>50.091570009434484</v>
      </c>
    </row>
    <row r="2437" spans="1:11" x14ac:dyDescent="0.3">
      <c r="A2437" s="10">
        <v>93</v>
      </c>
      <c r="B2437" s="10" t="s">
        <v>2711</v>
      </c>
      <c r="C2437" s="10" t="str" cm="1">
        <f t="array" ref="C2437">_xlfn.IFS(A2437&lt;20, "ภาคกลาง", A2437&lt;30, "ภาคตะวันออก", A2437&lt;50, "ภาคตะวันออกเฉียงเหนือ", A2437&lt;60, "ภาคเหนือ", A2437&lt;80, "ภาคกลาง/ตะวันตก", A2437&gt;=80, "ภาคใต้")</f>
        <v>ภาคใต้</v>
      </c>
      <c r="D2437" s="64">
        <v>9309</v>
      </c>
      <c r="E2437" s="10" t="s">
        <v>2720</v>
      </c>
      <c r="F2437" s="11">
        <v>21390</v>
      </c>
      <c r="G2437" s="11">
        <v>21810</v>
      </c>
      <c r="H2437" s="11">
        <v>43200</v>
      </c>
      <c r="I2437" s="11">
        <v>16564</v>
      </c>
      <c r="J2437" s="66">
        <f t="shared" si="152"/>
        <v>49.513888888888893</v>
      </c>
      <c r="K2437" s="66">
        <f t="shared" si="153"/>
        <v>50.486111111111107</v>
      </c>
    </row>
    <row r="2438" spans="1:11" x14ac:dyDescent="0.3">
      <c r="A2438" s="10">
        <v>93</v>
      </c>
      <c r="B2438" s="10" t="s">
        <v>2711</v>
      </c>
      <c r="C2438" s="10" t="str" cm="1">
        <f t="array" ref="C2438">_xlfn.IFS(A2438&lt;20, "ภาคกลาง", A2438&lt;30, "ภาคตะวันออก", A2438&lt;50, "ภาคตะวันออกเฉียงเหนือ", A2438&lt;60, "ภาคเหนือ", A2438&lt;80, "ภาคกลาง/ตะวันตก", A2438&gt;=80, "ภาคใต้")</f>
        <v>ภาคใต้</v>
      </c>
      <c r="D2438" s="64">
        <v>9310</v>
      </c>
      <c r="E2438" s="10" t="s">
        <v>2721</v>
      </c>
      <c r="F2438" s="11">
        <v>8928</v>
      </c>
      <c r="G2438" s="11">
        <v>9106</v>
      </c>
      <c r="H2438" s="11">
        <v>18034</v>
      </c>
      <c r="I2438" s="11">
        <v>6797</v>
      </c>
      <c r="J2438" s="66">
        <f t="shared" si="152"/>
        <v>49.50648774536986</v>
      </c>
      <c r="K2438" s="66">
        <f t="shared" si="153"/>
        <v>50.493512254630147</v>
      </c>
    </row>
    <row r="2439" spans="1:11" x14ac:dyDescent="0.3">
      <c r="A2439" s="10">
        <v>93</v>
      </c>
      <c r="B2439" s="10" t="s">
        <v>2711</v>
      </c>
      <c r="C2439" s="10" t="str" cm="1">
        <f t="array" ref="C2439">_xlfn.IFS(A2439&lt;20, "ภาคกลาง", A2439&lt;30, "ภาคตะวันออก", A2439&lt;50, "ภาคตะวันออกเฉียงเหนือ", A2439&lt;60, "ภาคเหนือ", A2439&lt;80, "ภาคกลาง/ตะวันตก", A2439&gt;=80, "ภาคใต้")</f>
        <v>ภาคใต้</v>
      </c>
      <c r="D2439" s="64">
        <v>9311</v>
      </c>
      <c r="E2439" s="10" t="s">
        <v>2722</v>
      </c>
      <c r="F2439" s="11">
        <v>13126</v>
      </c>
      <c r="G2439" s="11">
        <v>13667</v>
      </c>
      <c r="H2439" s="11">
        <v>26793</v>
      </c>
      <c r="I2439" s="11">
        <v>11251</v>
      </c>
      <c r="J2439" s="66">
        <f t="shared" si="152"/>
        <v>48.990407942373011</v>
      </c>
      <c r="K2439" s="66">
        <f t="shared" si="153"/>
        <v>51.009592057626996</v>
      </c>
    </row>
    <row r="2440" spans="1:11" ht="27.6" x14ac:dyDescent="0.3">
      <c r="A2440" s="10">
        <v>93</v>
      </c>
      <c r="B2440" s="10" t="s">
        <v>2711</v>
      </c>
      <c r="C2440" s="10" t="str" cm="1">
        <f t="array" ref="C2440">_xlfn.IFS(A2440&lt;20, "ภาคกลาง", A2440&lt;30, "ภาคตะวันออก", A2440&lt;50, "ภาคตะวันออกเฉียงเหนือ", A2440&lt;60, "ภาคเหนือ", A2440&lt;80, "ภาคกลาง/ตะวันตก", A2440&gt;=80, "ภาคใต้")</f>
        <v>ภาคใต้</v>
      </c>
      <c r="D2440" s="64">
        <v>9382</v>
      </c>
      <c r="E2440" s="10" t="s">
        <v>2723</v>
      </c>
      <c r="F2440" s="11">
        <v>5122</v>
      </c>
      <c r="G2440" s="11">
        <v>5270</v>
      </c>
      <c r="H2440" s="11">
        <v>10392</v>
      </c>
      <c r="I2440" s="11">
        <v>3790</v>
      </c>
      <c r="J2440" s="66">
        <f t="shared" si="152"/>
        <v>49.287913779830639</v>
      </c>
      <c r="K2440" s="66">
        <f t="shared" si="153"/>
        <v>50.712086220169361</v>
      </c>
    </row>
    <row r="2441" spans="1:11" x14ac:dyDescent="0.3">
      <c r="A2441" s="10">
        <v>93</v>
      </c>
      <c r="B2441" s="10" t="s">
        <v>2711</v>
      </c>
      <c r="C2441" s="10" t="str" cm="1">
        <f t="array" ref="C2441">_xlfn.IFS(A2441&lt;20, "ภาคกลาง", A2441&lt;30, "ภาคตะวันออก", A2441&lt;50, "ภาคตะวันออกเฉียงเหนือ", A2441&lt;60, "ภาคเหนือ", A2441&lt;80, "ภาคกลาง/ตะวันตก", A2441&gt;=80, "ภาคใต้")</f>
        <v>ภาคใต้</v>
      </c>
      <c r="D2441" s="64">
        <v>9383</v>
      </c>
      <c r="E2441" s="10" t="s">
        <v>2724</v>
      </c>
      <c r="F2441" s="11">
        <v>3603</v>
      </c>
      <c r="G2441" s="11">
        <v>3583</v>
      </c>
      <c r="H2441" s="11">
        <v>7186</v>
      </c>
      <c r="I2441" s="11">
        <v>2281</v>
      </c>
      <c r="J2441" s="66">
        <f t="shared" si="152"/>
        <v>50.139159476760362</v>
      </c>
      <c r="K2441" s="66">
        <f t="shared" si="153"/>
        <v>49.860840523239631</v>
      </c>
    </row>
    <row r="2442" spans="1:11" x14ac:dyDescent="0.3">
      <c r="A2442" s="10">
        <v>93</v>
      </c>
      <c r="B2442" s="10" t="s">
        <v>2711</v>
      </c>
      <c r="C2442" s="10" t="str" cm="1">
        <f t="array" ref="C2442">_xlfn.IFS(A2442&lt;20, "ภาคกลาง", A2442&lt;30, "ภาคตะวันออก", A2442&lt;50, "ภาคตะวันออกเฉียงเหนือ", A2442&lt;60, "ภาคเหนือ", A2442&lt;80, "ภาคกลาง/ตะวันตก", A2442&gt;=80, "ภาคใต้")</f>
        <v>ภาคใต้</v>
      </c>
      <c r="D2442" s="64">
        <v>9384</v>
      </c>
      <c r="E2442" s="10" t="s">
        <v>2725</v>
      </c>
      <c r="F2442" s="11">
        <v>3632</v>
      </c>
      <c r="G2442" s="11">
        <v>3688</v>
      </c>
      <c r="H2442" s="11">
        <v>7320</v>
      </c>
      <c r="I2442" s="11">
        <v>2390</v>
      </c>
      <c r="J2442" s="66">
        <f t="shared" si="152"/>
        <v>49.617486338797811</v>
      </c>
      <c r="K2442" s="66">
        <f t="shared" si="153"/>
        <v>50.382513661202189</v>
      </c>
    </row>
    <row r="2443" spans="1:11" x14ac:dyDescent="0.3">
      <c r="A2443" s="10">
        <v>93</v>
      </c>
      <c r="B2443" s="10" t="s">
        <v>2711</v>
      </c>
      <c r="C2443" s="10" t="str" cm="1">
        <f t="array" ref="C2443">_xlfn.IFS(A2443&lt;20, "ภาคกลาง", A2443&lt;30, "ภาคตะวันออก", A2443&lt;50, "ภาคตะวันออกเฉียงเหนือ", A2443&lt;60, "ภาคเหนือ", A2443&lt;80, "ภาคกลาง/ตะวันตก", A2443&gt;=80, "ภาคใต้")</f>
        <v>ภาคใต้</v>
      </c>
      <c r="D2443" s="64">
        <v>9385</v>
      </c>
      <c r="E2443" s="10" t="s">
        <v>2726</v>
      </c>
      <c r="F2443" s="11">
        <v>4881</v>
      </c>
      <c r="G2443" s="11">
        <v>5085</v>
      </c>
      <c r="H2443" s="11">
        <v>9966</v>
      </c>
      <c r="I2443" s="11">
        <v>3624</v>
      </c>
      <c r="J2443" s="66">
        <f t="shared" si="152"/>
        <v>48.976520168573153</v>
      </c>
      <c r="K2443" s="66">
        <f t="shared" si="153"/>
        <v>51.023479831426855</v>
      </c>
    </row>
    <row r="2444" spans="1:11" ht="27.6" x14ac:dyDescent="0.3">
      <c r="A2444" s="10">
        <v>93</v>
      </c>
      <c r="B2444" s="10" t="s">
        <v>2711</v>
      </c>
      <c r="C2444" s="10" t="str" cm="1">
        <f t="array" ref="C2444">_xlfn.IFS(A2444&lt;20, "ภาคกลาง", A2444&lt;30, "ภาคตะวันออก", A2444&lt;50, "ภาคตะวันออกเฉียงเหนือ", A2444&lt;60, "ภาคเหนือ", A2444&lt;80, "ภาคกลาง/ตะวันตก", A2444&gt;=80, "ภาคใต้")</f>
        <v>ภาคใต้</v>
      </c>
      <c r="D2444" s="64">
        <v>9386</v>
      </c>
      <c r="E2444" s="10" t="s">
        <v>2727</v>
      </c>
      <c r="F2444" s="11">
        <v>1892</v>
      </c>
      <c r="G2444" s="11">
        <v>1945</v>
      </c>
      <c r="H2444" s="11">
        <v>3837</v>
      </c>
      <c r="I2444" s="11">
        <v>1498</v>
      </c>
      <c r="J2444" s="66">
        <f t="shared" si="152"/>
        <v>49.309356267917643</v>
      </c>
      <c r="K2444" s="66">
        <f t="shared" si="153"/>
        <v>50.69064373208235</v>
      </c>
    </row>
    <row r="2445" spans="1:11" x14ac:dyDescent="0.3">
      <c r="A2445" s="10">
        <v>93</v>
      </c>
      <c r="B2445" s="10" t="s">
        <v>2711</v>
      </c>
      <c r="C2445" s="10" t="str" cm="1">
        <f t="array" ref="C2445">_xlfn.IFS(A2445&lt;20, "ภาคกลาง", A2445&lt;30, "ภาคตะวันออก", A2445&lt;50, "ภาคตะวันออกเฉียงเหนือ", A2445&lt;60, "ภาคเหนือ", A2445&lt;80, "ภาคกลาง/ตะวันตก", A2445&gt;=80, "ภาคใต้")</f>
        <v>ภาคใต้</v>
      </c>
      <c r="D2445" s="64">
        <v>9387</v>
      </c>
      <c r="E2445" s="10" t="s">
        <v>2728</v>
      </c>
      <c r="F2445" s="11">
        <v>2249</v>
      </c>
      <c r="G2445" s="11">
        <v>2325</v>
      </c>
      <c r="H2445" s="11">
        <v>4574</v>
      </c>
      <c r="I2445" s="11">
        <v>1729</v>
      </c>
      <c r="J2445" s="66">
        <f t="shared" si="152"/>
        <v>49.16921731526017</v>
      </c>
      <c r="K2445" s="66">
        <f t="shared" si="153"/>
        <v>50.830782684739837</v>
      </c>
    </row>
    <row r="2446" spans="1:11" x14ac:dyDescent="0.3">
      <c r="A2446" s="10">
        <v>93</v>
      </c>
      <c r="B2446" s="10" t="s">
        <v>2711</v>
      </c>
      <c r="C2446" s="10" t="str" cm="1">
        <f t="array" ref="C2446">_xlfn.IFS(A2446&lt;20, "ภาคกลาง", A2446&lt;30, "ภาคตะวันออก", A2446&lt;50, "ภาคตะวันออกเฉียงเหนือ", A2446&lt;60, "ภาคเหนือ", A2446&lt;80, "ภาคกลาง/ตะวันตก", A2446&gt;=80, "ภาคใต้")</f>
        <v>ภาคใต้</v>
      </c>
      <c r="D2446" s="64">
        <v>9388</v>
      </c>
      <c r="E2446" s="10" t="s">
        <v>2642</v>
      </c>
      <c r="F2446" s="11">
        <v>4781</v>
      </c>
      <c r="G2446" s="11">
        <v>4138</v>
      </c>
      <c r="H2446" s="11">
        <v>8919</v>
      </c>
      <c r="I2446" s="11">
        <v>3688</v>
      </c>
      <c r="J2446" s="66">
        <f t="shared" si="152"/>
        <v>53.60466420002242</v>
      </c>
      <c r="K2446" s="66">
        <f t="shared" si="153"/>
        <v>46.39533579997758</v>
      </c>
    </row>
    <row r="2447" spans="1:11" x14ac:dyDescent="0.3">
      <c r="A2447" s="10">
        <v>93</v>
      </c>
      <c r="B2447" s="10" t="s">
        <v>2711</v>
      </c>
      <c r="C2447" s="10" t="str" cm="1">
        <f t="array" ref="C2447">_xlfn.IFS(A2447&lt;20, "ภาคกลาง", A2447&lt;30, "ภาคตะวันออก", A2447&lt;50, "ภาคตะวันออกเฉียงเหนือ", A2447&lt;60, "ภาคเหนือ", A2447&lt;80, "ภาคกลาง/ตะวันตก", A2447&gt;=80, "ภาคใต้")</f>
        <v>ภาคใต้</v>
      </c>
      <c r="D2447" s="64">
        <v>9389</v>
      </c>
      <c r="E2447" s="10" t="s">
        <v>709</v>
      </c>
      <c r="F2447" s="11">
        <v>5045</v>
      </c>
      <c r="G2447" s="11">
        <v>5294</v>
      </c>
      <c r="H2447" s="11">
        <v>10339</v>
      </c>
      <c r="I2447" s="11">
        <v>3784</v>
      </c>
      <c r="J2447" s="66">
        <f t="shared" si="152"/>
        <v>48.795821646194021</v>
      </c>
      <c r="K2447" s="66">
        <f t="shared" si="153"/>
        <v>51.204178353805972</v>
      </c>
    </row>
    <row r="2448" spans="1:11" x14ac:dyDescent="0.3">
      <c r="A2448" s="10">
        <v>93</v>
      </c>
      <c r="B2448" s="10" t="s">
        <v>2711</v>
      </c>
      <c r="C2448" s="10" t="str" cm="1">
        <f t="array" ref="C2448">_xlfn.IFS(A2448&lt;20, "ภาคกลาง", A2448&lt;30, "ภาคตะวันออก", A2448&lt;50, "ภาคตะวันออกเฉียงเหนือ", A2448&lt;60, "ภาคเหนือ", A2448&lt;80, "ภาคกลาง/ตะวันตก", A2448&gt;=80, "ภาคใต้")</f>
        <v>ภาคใต้</v>
      </c>
      <c r="D2448" s="64">
        <v>9390</v>
      </c>
      <c r="E2448" s="10" t="s">
        <v>2729</v>
      </c>
      <c r="F2448" s="11">
        <v>3687</v>
      </c>
      <c r="G2448" s="11">
        <v>3782</v>
      </c>
      <c r="H2448" s="11">
        <v>7469</v>
      </c>
      <c r="I2448" s="11">
        <v>3288</v>
      </c>
      <c r="J2448" s="66">
        <f t="shared" si="152"/>
        <v>49.364038023831839</v>
      </c>
      <c r="K2448" s="66">
        <f t="shared" si="153"/>
        <v>50.635961976168161</v>
      </c>
    </row>
    <row r="2449" spans="1:11" ht="27.6" x14ac:dyDescent="0.3">
      <c r="A2449" s="10">
        <v>93</v>
      </c>
      <c r="B2449" s="10" t="s">
        <v>2711</v>
      </c>
      <c r="C2449" s="10" t="str" cm="1">
        <f t="array" ref="C2449">_xlfn.IFS(A2449&lt;20, "ภาคกลาง", A2449&lt;30, "ภาคตะวันออก", A2449&lt;50, "ภาคตะวันออกเฉียงเหนือ", A2449&lt;60, "ภาคเหนือ", A2449&lt;80, "ภาคกลาง/ตะวันตก", A2449&gt;=80, "ภาคใต้")</f>
        <v>ภาคใต้</v>
      </c>
      <c r="D2449" s="64">
        <v>9391</v>
      </c>
      <c r="E2449" s="10" t="s">
        <v>2730</v>
      </c>
      <c r="F2449" s="11">
        <v>4233</v>
      </c>
      <c r="G2449" s="11">
        <v>4459</v>
      </c>
      <c r="H2449" s="11">
        <v>8692</v>
      </c>
      <c r="I2449" s="11">
        <v>3081</v>
      </c>
      <c r="J2449" s="66">
        <f t="shared" si="152"/>
        <v>48.699953980671886</v>
      </c>
      <c r="K2449" s="66">
        <f t="shared" si="153"/>
        <v>51.300046019328114</v>
      </c>
    </row>
    <row r="2450" spans="1:11" x14ac:dyDescent="0.3">
      <c r="A2450" s="10">
        <v>93</v>
      </c>
      <c r="B2450" s="10" t="s">
        <v>2711</v>
      </c>
      <c r="C2450" s="10" t="str" cm="1">
        <f t="array" ref="C2450">_xlfn.IFS(A2450&lt;20, "ภาคกลาง", A2450&lt;30, "ภาคตะวันออก", A2450&lt;50, "ภาคตะวันออกเฉียงเหนือ", A2450&lt;60, "ภาคเหนือ", A2450&lt;80, "ภาคกลาง/ตะวันตก", A2450&gt;=80, "ภาคใต้")</f>
        <v>ภาคใต้</v>
      </c>
      <c r="D2450" s="64">
        <v>9392</v>
      </c>
      <c r="E2450" s="10" t="s">
        <v>2731</v>
      </c>
      <c r="F2450" s="11">
        <v>1900</v>
      </c>
      <c r="G2450" s="11">
        <v>2090</v>
      </c>
      <c r="H2450" s="11">
        <v>3990</v>
      </c>
      <c r="I2450" s="11">
        <v>1934</v>
      </c>
      <c r="J2450" s="66">
        <f t="shared" si="152"/>
        <v>47.619047619047613</v>
      </c>
      <c r="K2450" s="66">
        <f t="shared" si="153"/>
        <v>52.380952380952387</v>
      </c>
    </row>
    <row r="2451" spans="1:11" ht="27.6" x14ac:dyDescent="0.3">
      <c r="A2451" s="10">
        <v>93</v>
      </c>
      <c r="B2451" s="10" t="s">
        <v>2711</v>
      </c>
      <c r="C2451" s="10" t="str" cm="1">
        <f t="array" ref="C2451">_xlfn.IFS(A2451&lt;20, "ภาคกลาง", A2451&lt;30, "ภาคตะวันออก", A2451&lt;50, "ภาคตะวันออกเฉียงเหนือ", A2451&lt;60, "ภาคเหนือ", A2451&lt;80, "ภาคกลาง/ตะวันตก", A2451&gt;=80, "ภาคใต้")</f>
        <v>ภาคใต้</v>
      </c>
      <c r="D2451" s="64">
        <v>9393</v>
      </c>
      <c r="E2451" s="10" t="s">
        <v>2732</v>
      </c>
      <c r="F2451" s="11">
        <v>2015</v>
      </c>
      <c r="G2451" s="11">
        <v>2087</v>
      </c>
      <c r="H2451" s="11">
        <v>4102</v>
      </c>
      <c r="I2451" s="11">
        <v>1828</v>
      </c>
      <c r="J2451" s="66">
        <f t="shared" si="152"/>
        <v>49.122379327157482</v>
      </c>
      <c r="K2451" s="66">
        <f t="shared" si="153"/>
        <v>50.877620672842518</v>
      </c>
    </row>
    <row r="2452" spans="1:11" ht="27.6" x14ac:dyDescent="0.3">
      <c r="A2452" s="10">
        <v>93</v>
      </c>
      <c r="B2452" s="10" t="s">
        <v>2711</v>
      </c>
      <c r="C2452" s="10" t="str" cm="1">
        <f t="array" ref="C2452">_xlfn.IFS(A2452&lt;20, "ภาคกลาง", A2452&lt;30, "ภาคตะวันออก", A2452&lt;50, "ภาคตะวันออกเฉียงเหนือ", A2452&lt;60, "ภาคเหนือ", A2452&lt;80, "ภาคกลาง/ตะวันตก", A2452&gt;=80, "ภาคใต้")</f>
        <v>ภาคใต้</v>
      </c>
      <c r="D2452" s="64">
        <v>9394</v>
      </c>
      <c r="E2452" s="10" t="s">
        <v>2733</v>
      </c>
      <c r="F2452" s="11">
        <v>1447</v>
      </c>
      <c r="G2452" s="11">
        <v>1610</v>
      </c>
      <c r="H2452" s="11">
        <v>3057</v>
      </c>
      <c r="I2452" s="11">
        <v>1546</v>
      </c>
      <c r="J2452" s="66">
        <f t="shared" si="152"/>
        <v>47.333987569512594</v>
      </c>
      <c r="K2452" s="66">
        <f t="shared" si="153"/>
        <v>52.666012430487406</v>
      </c>
    </row>
    <row r="2453" spans="1:11" x14ac:dyDescent="0.3">
      <c r="A2453" s="10">
        <v>93</v>
      </c>
      <c r="B2453" s="10" t="s">
        <v>2711</v>
      </c>
      <c r="C2453" s="10" t="str" cm="1">
        <f t="array" ref="C2453">_xlfn.IFS(A2453&lt;20, "ภาคกลาง", A2453&lt;30, "ภาคตะวันออก", A2453&lt;50, "ภาคตะวันออกเฉียงเหนือ", A2453&lt;60, "ภาคเหนือ", A2453&lt;80, "ภาคกลาง/ตะวันตก", A2453&gt;=80, "ภาคใต้")</f>
        <v>ภาคใต้</v>
      </c>
      <c r="D2453" s="64">
        <v>9395</v>
      </c>
      <c r="E2453" s="10" t="s">
        <v>2734</v>
      </c>
      <c r="F2453" s="11">
        <v>1009</v>
      </c>
      <c r="G2453" s="11">
        <v>1153</v>
      </c>
      <c r="H2453" s="11">
        <v>2162</v>
      </c>
      <c r="I2453" s="10">
        <v>811</v>
      </c>
      <c r="J2453" s="66">
        <f t="shared" si="152"/>
        <v>46.669750231267344</v>
      </c>
      <c r="K2453" s="66">
        <f t="shared" si="153"/>
        <v>53.330249768732649</v>
      </c>
    </row>
    <row r="2454" spans="1:11" x14ac:dyDescent="0.3">
      <c r="A2454" s="10">
        <v>93</v>
      </c>
      <c r="B2454" s="10" t="s">
        <v>2711</v>
      </c>
      <c r="C2454" s="10" t="str" cm="1">
        <f t="array" ref="C2454">_xlfn.IFS(A2454&lt;20, "ภาคกลาง", A2454&lt;30, "ภาคตะวันออก", A2454&lt;50, "ภาคตะวันออกเฉียงเหนือ", A2454&lt;60, "ภาคเหนือ", A2454&lt;80, "ภาคกลาง/ตะวันตก", A2454&gt;=80, "ภาคใต้")</f>
        <v>ภาคใต้</v>
      </c>
      <c r="D2454" s="64">
        <v>9396</v>
      </c>
      <c r="E2454" s="10" t="s">
        <v>2735</v>
      </c>
      <c r="F2454" s="10">
        <v>890</v>
      </c>
      <c r="G2454" s="11">
        <v>1072</v>
      </c>
      <c r="H2454" s="11">
        <v>1962</v>
      </c>
      <c r="I2454" s="11">
        <v>1212</v>
      </c>
      <c r="J2454" s="66">
        <f t="shared" si="152"/>
        <v>45.361875637104994</v>
      </c>
      <c r="K2454" s="66">
        <f t="shared" si="153"/>
        <v>54.638124362894999</v>
      </c>
    </row>
    <row r="2455" spans="1:11" x14ac:dyDescent="0.3">
      <c r="A2455" s="10">
        <v>93</v>
      </c>
      <c r="B2455" s="10" t="s">
        <v>2711</v>
      </c>
      <c r="C2455" s="10" t="str" cm="1">
        <f t="array" ref="C2455">_xlfn.IFS(A2455&lt;20, "ภาคกลาง", A2455&lt;30, "ภาคตะวันออก", A2455&lt;50, "ภาคตะวันออกเฉียงเหนือ", A2455&lt;60, "ภาคเหนือ", A2455&lt;80, "ภาคกลาง/ตะวันตก", A2455&gt;=80, "ภาคใต้")</f>
        <v>ภาคใต้</v>
      </c>
      <c r="D2455" s="64">
        <v>9397</v>
      </c>
      <c r="E2455" s="10" t="s">
        <v>2736</v>
      </c>
      <c r="F2455" s="11">
        <v>2949</v>
      </c>
      <c r="G2455" s="11">
        <v>3227</v>
      </c>
      <c r="H2455" s="11">
        <v>6176</v>
      </c>
      <c r="I2455" s="11">
        <v>3579</v>
      </c>
      <c r="J2455" s="66">
        <f t="shared" si="152"/>
        <v>47.749352331606218</v>
      </c>
      <c r="K2455" s="66">
        <f t="shared" si="153"/>
        <v>52.250647668393782</v>
      </c>
    </row>
    <row r="2456" spans="1:11" ht="27.6" x14ac:dyDescent="0.3">
      <c r="A2456" s="10">
        <v>93</v>
      </c>
      <c r="B2456" s="10" t="s">
        <v>2711</v>
      </c>
      <c r="C2456" s="10" t="str" cm="1">
        <f t="array" ref="C2456">_xlfn.IFS(A2456&lt;20, "ภาคกลาง", A2456&lt;30, "ภาคตะวันออก", A2456&lt;50, "ภาคตะวันออกเฉียงเหนือ", A2456&lt;60, "ภาคเหนือ", A2456&lt;80, "ภาคกลาง/ตะวันตก", A2456&gt;=80, "ภาคใต้")</f>
        <v>ภาคใต้</v>
      </c>
      <c r="D2456" s="64">
        <v>9398</v>
      </c>
      <c r="E2456" s="10" t="s">
        <v>2737</v>
      </c>
      <c r="F2456" s="11">
        <v>2051</v>
      </c>
      <c r="G2456" s="11">
        <v>2187</v>
      </c>
      <c r="H2456" s="11">
        <v>4238</v>
      </c>
      <c r="I2456" s="11">
        <v>1609</v>
      </c>
      <c r="J2456" s="66">
        <f t="shared" si="152"/>
        <v>48.395469561113735</v>
      </c>
      <c r="K2456" s="66">
        <f t="shared" si="153"/>
        <v>51.604530438886265</v>
      </c>
    </row>
    <row r="2457" spans="1:11" x14ac:dyDescent="0.3">
      <c r="A2457" s="10">
        <v>93</v>
      </c>
      <c r="B2457" s="10" t="s">
        <v>2711</v>
      </c>
      <c r="C2457" s="10" t="str" cm="1">
        <f t="array" ref="C2457">_xlfn.IFS(A2457&lt;20, "ภาคกลาง", A2457&lt;30, "ภาคตะวันออก", A2457&lt;50, "ภาคตะวันออกเฉียงเหนือ", A2457&lt;60, "ภาคเหนือ", A2457&lt;80, "ภาคกลาง/ตะวันตก", A2457&gt;=80, "ภาคใต้")</f>
        <v>ภาคใต้</v>
      </c>
      <c r="D2457" s="64">
        <v>9399</v>
      </c>
      <c r="E2457" s="10" t="s">
        <v>2738</v>
      </c>
      <c r="F2457" s="11">
        <v>1623</v>
      </c>
      <c r="G2457" s="11">
        <v>1788</v>
      </c>
      <c r="H2457" s="11">
        <v>3411</v>
      </c>
      <c r="I2457" s="11">
        <v>1678</v>
      </c>
      <c r="J2457" s="66">
        <f t="shared" si="152"/>
        <v>47.581354441512751</v>
      </c>
      <c r="K2457" s="66">
        <f t="shared" si="153"/>
        <v>52.418645558487242</v>
      </c>
    </row>
    <row r="2458" spans="1:11" hidden="1" x14ac:dyDescent="0.3">
      <c r="A2458" s="10">
        <v>93</v>
      </c>
      <c r="B2458" s="10" t="s">
        <v>2711</v>
      </c>
      <c r="C2458" s="10" t="str" cm="1">
        <f t="array" ref="C2458">_xlfn.IFS(A2458&lt;20, "ภาคกลาง", A2458&lt;30, "ภาคตะวันออก", A2458&lt;50, "ภาคตะวันออกเฉียงเหนือ", A2458&lt;60, "ภาคเหนือ", A2458&lt;80, "ภาคกลาง/ตะวันตก", A2458&gt;=80, "ภาคใต้")</f>
        <v>ภาคใต้</v>
      </c>
      <c r="D2458" s="10">
        <v>0</v>
      </c>
      <c r="E2458" s="10" t="s">
        <v>343</v>
      </c>
      <c r="F2458" s="11">
        <v>13852</v>
      </c>
      <c r="G2458" s="11">
        <v>16317</v>
      </c>
      <c r="H2458" s="11">
        <v>30169</v>
      </c>
      <c r="I2458" s="11">
        <v>16615</v>
      </c>
      <c r="J2458"/>
      <c r="K2458"/>
    </row>
    <row r="2459" spans="1:11" x14ac:dyDescent="0.3">
      <c r="A2459" s="10">
        <v>94</v>
      </c>
      <c r="B2459" s="10" t="s">
        <v>2739</v>
      </c>
      <c r="C2459" s="10" t="str" cm="1">
        <f t="array" ref="C2459">_xlfn.IFS(A2459&lt;20, "ภาคกลาง", A2459&lt;30, "ภาคตะวันออก", A2459&lt;50, "ภาคตะวันออกเฉียงเหนือ", A2459&lt;60, "ภาคเหนือ", A2459&lt;80, "ภาคกลาง/ตะวันตก", A2459&gt;=80, "ภาคใต้")</f>
        <v>ภาคใต้</v>
      </c>
      <c r="D2459" s="64">
        <v>9401</v>
      </c>
      <c r="E2459" s="10" t="s">
        <v>2740</v>
      </c>
      <c r="F2459" s="11">
        <v>366532</v>
      </c>
      <c r="G2459" s="11">
        <v>374372</v>
      </c>
      <c r="H2459" s="11">
        <v>740904</v>
      </c>
      <c r="I2459" s="11">
        <v>208009</v>
      </c>
      <c r="J2459" s="66">
        <f t="shared" ref="J2459:J2482" si="154">F2459/H2459*100</f>
        <v>49.470916609979163</v>
      </c>
      <c r="K2459" s="66">
        <f t="shared" ref="K2459:K2482" si="155">G2459/H2459*100</f>
        <v>50.529083390020837</v>
      </c>
    </row>
    <row r="2460" spans="1:11" x14ac:dyDescent="0.3">
      <c r="A2460" s="10">
        <v>94</v>
      </c>
      <c r="B2460" s="10" t="s">
        <v>2739</v>
      </c>
      <c r="C2460" s="10" t="str" cm="1">
        <f t="array" ref="C2460">_xlfn.IFS(A2460&lt;20, "ภาคกลาง", A2460&lt;30, "ภาคตะวันออก", A2460&lt;50, "ภาคตะวันออกเฉียงเหนือ", A2460&lt;60, "ภาคเหนือ", A2460&lt;80, "ภาคกลาง/ตะวันตก", A2460&gt;=80, "ภาคใต้")</f>
        <v>ภาคใต้</v>
      </c>
      <c r="D2460" s="64">
        <v>9402</v>
      </c>
      <c r="E2460" s="10" t="s">
        <v>2741</v>
      </c>
      <c r="F2460" s="11">
        <v>44632</v>
      </c>
      <c r="G2460" s="11">
        <v>46805</v>
      </c>
      <c r="H2460" s="11">
        <v>91437</v>
      </c>
      <c r="I2460" s="11">
        <v>33717</v>
      </c>
      <c r="J2460" s="66">
        <f t="shared" si="154"/>
        <v>48.811750166781501</v>
      </c>
      <c r="K2460" s="66">
        <f t="shared" si="155"/>
        <v>51.188249833218499</v>
      </c>
    </row>
    <row r="2461" spans="1:11" x14ac:dyDescent="0.3">
      <c r="A2461" s="10">
        <v>94</v>
      </c>
      <c r="B2461" s="10" t="s">
        <v>2739</v>
      </c>
      <c r="C2461" s="10" t="str" cm="1">
        <f t="array" ref="C2461">_xlfn.IFS(A2461&lt;20, "ภาคกลาง", A2461&lt;30, "ภาคตะวันออก", A2461&lt;50, "ภาคตะวันออกเฉียงเหนือ", A2461&lt;60, "ภาคเหนือ", A2461&lt;80, "ภาคกลาง/ตะวันตก", A2461&gt;=80, "ภาคใต้")</f>
        <v>ภาคใต้</v>
      </c>
      <c r="D2461" s="64">
        <v>9403</v>
      </c>
      <c r="E2461" s="10" t="s">
        <v>2742</v>
      </c>
      <c r="F2461" s="11">
        <v>30823</v>
      </c>
      <c r="G2461" s="11">
        <v>32294</v>
      </c>
      <c r="H2461" s="11">
        <v>63117</v>
      </c>
      <c r="I2461" s="11">
        <v>18698</v>
      </c>
      <c r="J2461" s="66">
        <f t="shared" si="154"/>
        <v>48.834703804046455</v>
      </c>
      <c r="K2461" s="66">
        <f t="shared" si="155"/>
        <v>51.165296195953545</v>
      </c>
    </row>
    <row r="2462" spans="1:11" x14ac:dyDescent="0.3">
      <c r="A2462" s="10">
        <v>94</v>
      </c>
      <c r="B2462" s="10" t="s">
        <v>2739</v>
      </c>
      <c r="C2462" s="10" t="str" cm="1">
        <f t="array" ref="C2462">_xlfn.IFS(A2462&lt;20, "ภาคกลาง", A2462&lt;30, "ภาคตะวันออก", A2462&lt;50, "ภาคตะวันออกเฉียงเหนือ", A2462&lt;60, "ภาคเหนือ", A2462&lt;80, "ภาคกลาง/ตะวันตก", A2462&gt;=80, "ภาคใต้")</f>
        <v>ภาคใต้</v>
      </c>
      <c r="D2462" s="64">
        <v>9404</v>
      </c>
      <c r="E2462" s="10" t="s">
        <v>2743</v>
      </c>
      <c r="F2462" s="11">
        <v>30475</v>
      </c>
      <c r="G2462" s="11">
        <v>30901</v>
      </c>
      <c r="H2462" s="11">
        <v>61376</v>
      </c>
      <c r="I2462" s="11">
        <v>14493</v>
      </c>
      <c r="J2462" s="66">
        <f t="shared" si="154"/>
        <v>49.652958811261733</v>
      </c>
      <c r="K2462" s="66">
        <f t="shared" si="155"/>
        <v>50.347041188738274</v>
      </c>
    </row>
    <row r="2463" spans="1:11" x14ac:dyDescent="0.3">
      <c r="A2463" s="10">
        <v>94</v>
      </c>
      <c r="B2463" s="10" t="s">
        <v>2739</v>
      </c>
      <c r="C2463" s="10" t="str" cm="1">
        <f t="array" ref="C2463">_xlfn.IFS(A2463&lt;20, "ภาคกลาง", A2463&lt;30, "ภาคตะวันออก", A2463&lt;50, "ภาคตะวันออกเฉียงเหนือ", A2463&lt;60, "ภาคเหนือ", A2463&lt;80, "ภาคกลาง/ตะวันตก", A2463&gt;=80, "ภาคใต้")</f>
        <v>ภาคใต้</v>
      </c>
      <c r="D2463" s="64">
        <v>9405</v>
      </c>
      <c r="E2463" s="10" t="s">
        <v>2744</v>
      </c>
      <c r="F2463" s="11">
        <v>18363</v>
      </c>
      <c r="G2463" s="11">
        <v>19031</v>
      </c>
      <c r="H2463" s="11">
        <v>37394</v>
      </c>
      <c r="I2463" s="11">
        <v>10039</v>
      </c>
      <c r="J2463" s="66">
        <f t="shared" si="154"/>
        <v>49.106808578916407</v>
      </c>
      <c r="K2463" s="66">
        <f t="shared" si="155"/>
        <v>50.893191421083593</v>
      </c>
    </row>
    <row r="2464" spans="1:11" x14ac:dyDescent="0.3">
      <c r="A2464" s="10">
        <v>94</v>
      </c>
      <c r="B2464" s="10" t="s">
        <v>2739</v>
      </c>
      <c r="C2464" s="10" t="str" cm="1">
        <f t="array" ref="C2464">_xlfn.IFS(A2464&lt;20, "ภาคกลาง", A2464&lt;30, "ภาคตะวันออก", A2464&lt;50, "ภาคตะวันออกเฉียงเหนือ", A2464&lt;60, "ภาคเหนือ", A2464&lt;80, "ภาคกลาง/ตะวันตก", A2464&gt;=80, "ภาคใต้")</f>
        <v>ภาคใต้</v>
      </c>
      <c r="D2464" s="64">
        <v>9406</v>
      </c>
      <c r="E2464" s="10" t="s">
        <v>2745</v>
      </c>
      <c r="F2464" s="11">
        <v>28830</v>
      </c>
      <c r="G2464" s="11">
        <v>29394</v>
      </c>
      <c r="H2464" s="11">
        <v>58224</v>
      </c>
      <c r="I2464" s="11">
        <v>13685</v>
      </c>
      <c r="J2464" s="66">
        <f t="shared" si="154"/>
        <v>49.515663643858204</v>
      </c>
      <c r="K2464" s="66">
        <f t="shared" si="155"/>
        <v>50.484336356141803</v>
      </c>
    </row>
    <row r="2465" spans="1:11" x14ac:dyDescent="0.3">
      <c r="A2465" s="10">
        <v>94</v>
      </c>
      <c r="B2465" s="10" t="s">
        <v>2739</v>
      </c>
      <c r="C2465" s="10" t="str" cm="1">
        <f t="array" ref="C2465">_xlfn.IFS(A2465&lt;20, "ภาคกลาง", A2465&lt;30, "ภาคตะวันออก", A2465&lt;50, "ภาคตะวันออกเฉียงเหนือ", A2465&lt;60, "ภาคเหนือ", A2465&lt;80, "ภาคกลาง/ตะวันตก", A2465&gt;=80, "ภาคใต้")</f>
        <v>ภาคใต้</v>
      </c>
      <c r="D2465" s="64">
        <v>9407</v>
      </c>
      <c r="E2465" s="10" t="s">
        <v>2746</v>
      </c>
      <c r="F2465" s="11">
        <v>12906</v>
      </c>
      <c r="G2465" s="11">
        <v>13306</v>
      </c>
      <c r="H2465" s="11">
        <v>26212</v>
      </c>
      <c r="I2465" s="11">
        <v>6218</v>
      </c>
      <c r="J2465" s="66">
        <f t="shared" si="154"/>
        <v>49.236990691286437</v>
      </c>
      <c r="K2465" s="66">
        <f t="shared" si="155"/>
        <v>50.763009308713571</v>
      </c>
    </row>
    <row r="2466" spans="1:11" x14ac:dyDescent="0.3">
      <c r="A2466" s="10">
        <v>94</v>
      </c>
      <c r="B2466" s="10" t="s">
        <v>2739</v>
      </c>
      <c r="C2466" s="10" t="str" cm="1">
        <f t="array" ref="C2466">_xlfn.IFS(A2466&lt;20, "ภาคกลาง", A2466&lt;30, "ภาคตะวันออก", A2466&lt;50, "ภาคตะวันออกเฉียงเหนือ", A2466&lt;60, "ภาคเหนือ", A2466&lt;80, "ภาคกลาง/ตะวันตก", A2466&gt;=80, "ภาคใต้")</f>
        <v>ภาคใต้</v>
      </c>
      <c r="D2466" s="64">
        <v>9408</v>
      </c>
      <c r="E2466" s="10" t="s">
        <v>2747</v>
      </c>
      <c r="F2466" s="11">
        <v>28555</v>
      </c>
      <c r="G2466" s="11">
        <v>29784</v>
      </c>
      <c r="H2466" s="11">
        <v>58339</v>
      </c>
      <c r="I2466" s="11">
        <v>14331</v>
      </c>
      <c r="J2466" s="66">
        <f t="shared" si="154"/>
        <v>48.946673751692693</v>
      </c>
      <c r="K2466" s="66">
        <f t="shared" si="155"/>
        <v>51.053326248307307</v>
      </c>
    </row>
    <row r="2467" spans="1:11" x14ac:dyDescent="0.3">
      <c r="A2467" s="10">
        <v>94</v>
      </c>
      <c r="B2467" s="10" t="s">
        <v>2739</v>
      </c>
      <c r="C2467" s="10" t="str" cm="1">
        <f t="array" ref="C2467">_xlfn.IFS(A2467&lt;20, "ภาคกลาง", A2467&lt;30, "ภาคตะวันออก", A2467&lt;50, "ภาคตะวันออกเฉียงเหนือ", A2467&lt;60, "ภาคเหนือ", A2467&lt;80, "ภาคกลาง/ตะวันตก", A2467&gt;=80, "ภาคใต้")</f>
        <v>ภาคใต้</v>
      </c>
      <c r="D2467" s="64">
        <v>9409</v>
      </c>
      <c r="E2467" s="10" t="s">
        <v>2748</v>
      </c>
      <c r="F2467" s="11">
        <v>6506</v>
      </c>
      <c r="G2467" s="11">
        <v>6746</v>
      </c>
      <c r="H2467" s="11">
        <v>13252</v>
      </c>
      <c r="I2467" s="11">
        <v>3645</v>
      </c>
      <c r="J2467" s="66">
        <f t="shared" si="154"/>
        <v>49.094476305463324</v>
      </c>
      <c r="K2467" s="66">
        <f t="shared" si="155"/>
        <v>50.905523694536669</v>
      </c>
    </row>
    <row r="2468" spans="1:11" x14ac:dyDescent="0.3">
      <c r="A2468" s="10">
        <v>94</v>
      </c>
      <c r="B2468" s="10" t="s">
        <v>2739</v>
      </c>
      <c r="C2468" s="10" t="str" cm="1">
        <f t="array" ref="C2468">_xlfn.IFS(A2468&lt;20, "ภาคกลาง", A2468&lt;30, "ภาคตะวันออก", A2468&lt;50, "ภาคตะวันออกเฉียงเหนือ", A2468&lt;60, "ภาคเหนือ", A2468&lt;80, "ภาคกลาง/ตะวันตก", A2468&gt;=80, "ภาคใต้")</f>
        <v>ภาคใต้</v>
      </c>
      <c r="D2468" s="64">
        <v>9410</v>
      </c>
      <c r="E2468" s="10" t="s">
        <v>2749</v>
      </c>
      <c r="F2468" s="11">
        <v>36391</v>
      </c>
      <c r="G2468" s="11">
        <v>36861</v>
      </c>
      <c r="H2468" s="11">
        <v>73252</v>
      </c>
      <c r="I2468" s="11">
        <v>17067</v>
      </c>
      <c r="J2468" s="66">
        <f t="shared" si="154"/>
        <v>49.679189646699065</v>
      </c>
      <c r="K2468" s="66">
        <f t="shared" si="155"/>
        <v>50.320810353300935</v>
      </c>
    </row>
    <row r="2469" spans="1:11" x14ac:dyDescent="0.3">
      <c r="A2469" s="10">
        <v>94</v>
      </c>
      <c r="B2469" s="10" t="s">
        <v>2739</v>
      </c>
      <c r="C2469" s="10" t="str" cm="1">
        <f t="array" ref="C2469">_xlfn.IFS(A2469&lt;20, "ภาคกลาง", A2469&lt;30, "ภาคตะวันออก", A2469&lt;50, "ภาคตะวันออกเฉียงเหนือ", A2469&lt;60, "ภาคเหนือ", A2469&lt;80, "ภาคกลาง/ตะวันตก", A2469&gt;=80, "ภาคใต้")</f>
        <v>ภาคใต้</v>
      </c>
      <c r="D2469" s="64">
        <v>9411</v>
      </c>
      <c r="E2469" s="10" t="s">
        <v>2750</v>
      </c>
      <c r="F2469" s="11">
        <v>46438</v>
      </c>
      <c r="G2469" s="11">
        <v>46759</v>
      </c>
      <c r="H2469" s="11">
        <v>93197</v>
      </c>
      <c r="I2469" s="11">
        <v>22771</v>
      </c>
      <c r="J2469" s="66">
        <f t="shared" si="154"/>
        <v>49.827784156142364</v>
      </c>
      <c r="K2469" s="66">
        <f t="shared" si="155"/>
        <v>50.172215843857636</v>
      </c>
    </row>
    <row r="2470" spans="1:11" x14ac:dyDescent="0.3">
      <c r="A2470" s="10">
        <v>94</v>
      </c>
      <c r="B2470" s="10" t="s">
        <v>2739</v>
      </c>
      <c r="C2470" s="10" t="str" cm="1">
        <f t="array" ref="C2470">_xlfn.IFS(A2470&lt;20, "ภาคกลาง", A2470&lt;30, "ภาคตะวันออก", A2470&lt;50, "ภาคตะวันออกเฉียงเหนือ", A2470&lt;60, "ภาคเหนือ", A2470&lt;80, "ภาคกลาง/ตะวันตก", A2470&gt;=80, "ภาคใต้")</f>
        <v>ภาคใต้</v>
      </c>
      <c r="D2470" s="64">
        <v>9412</v>
      </c>
      <c r="E2470" s="10" t="s">
        <v>2751</v>
      </c>
      <c r="F2470" s="11">
        <v>9658</v>
      </c>
      <c r="G2470" s="11">
        <v>9883</v>
      </c>
      <c r="H2470" s="11">
        <v>19541</v>
      </c>
      <c r="I2470" s="11">
        <v>4678</v>
      </c>
      <c r="J2470" s="66">
        <f t="shared" si="154"/>
        <v>49.424287395732051</v>
      </c>
      <c r="K2470" s="66">
        <f t="shared" si="155"/>
        <v>50.575712604267956</v>
      </c>
    </row>
    <row r="2471" spans="1:11" x14ac:dyDescent="0.3">
      <c r="A2471" s="10">
        <v>94</v>
      </c>
      <c r="B2471" s="10" t="s">
        <v>2739</v>
      </c>
      <c r="C2471" s="10" t="str" cm="1">
        <f t="array" ref="C2471">_xlfn.IFS(A2471&lt;20, "ภาคกลาง", A2471&lt;30, "ภาคตะวันออก", A2471&lt;50, "ภาคตะวันออกเฉียงเหนือ", A2471&lt;60, "ภาคเหนือ", A2471&lt;80, "ภาคกลาง/ตะวันตก", A2471&gt;=80, "ภาคใต้")</f>
        <v>ภาคใต้</v>
      </c>
      <c r="D2471" s="64">
        <v>9488</v>
      </c>
      <c r="E2471" s="10" t="s">
        <v>2752</v>
      </c>
      <c r="F2471" s="11">
        <v>8910</v>
      </c>
      <c r="G2471" s="11">
        <v>9088</v>
      </c>
      <c r="H2471" s="11">
        <v>17998</v>
      </c>
      <c r="I2471" s="11">
        <v>4803</v>
      </c>
      <c r="J2471" s="66">
        <f t="shared" si="154"/>
        <v>49.505500611179023</v>
      </c>
      <c r="K2471" s="66">
        <f t="shared" si="155"/>
        <v>50.494499388820977</v>
      </c>
    </row>
    <row r="2472" spans="1:11" x14ac:dyDescent="0.3">
      <c r="A2472" s="10">
        <v>94</v>
      </c>
      <c r="B2472" s="10" t="s">
        <v>2739</v>
      </c>
      <c r="C2472" s="10" t="str" cm="1">
        <f t="array" ref="C2472">_xlfn.IFS(A2472&lt;20, "ภาคกลาง", A2472&lt;30, "ภาคตะวันออก", A2472&lt;50, "ภาคตะวันออกเฉียงเหนือ", A2472&lt;60, "ภาคเหนือ", A2472&lt;80, "ภาคกลาง/ตะวันตก", A2472&gt;=80, "ภาคใต้")</f>
        <v>ภาคใต้</v>
      </c>
      <c r="D2472" s="64">
        <v>9489</v>
      </c>
      <c r="E2472" s="10" t="s">
        <v>2753</v>
      </c>
      <c r="F2472" s="11">
        <v>2519</v>
      </c>
      <c r="G2472" s="11">
        <v>2671</v>
      </c>
      <c r="H2472" s="11">
        <v>5190</v>
      </c>
      <c r="I2472" s="11">
        <v>1453</v>
      </c>
      <c r="J2472" s="66">
        <f t="shared" si="154"/>
        <v>48.535645472061653</v>
      </c>
      <c r="K2472" s="66">
        <f t="shared" si="155"/>
        <v>51.46435452793834</v>
      </c>
    </row>
    <row r="2473" spans="1:11" x14ac:dyDescent="0.3">
      <c r="A2473" s="10">
        <v>94</v>
      </c>
      <c r="B2473" s="10" t="s">
        <v>2739</v>
      </c>
      <c r="C2473" s="10" t="str" cm="1">
        <f t="array" ref="C2473">_xlfn.IFS(A2473&lt;20, "ภาคกลาง", A2473&lt;30, "ภาคตะวันออก", A2473&lt;50, "ภาคตะวันออกเฉียงเหนือ", A2473&lt;60, "ภาคเหนือ", A2473&lt;80, "ภาคกลาง/ตะวันตก", A2473&gt;=80, "ภาคใต้")</f>
        <v>ภาคใต้</v>
      </c>
      <c r="D2473" s="64">
        <v>9490</v>
      </c>
      <c r="E2473" s="10" t="s">
        <v>410</v>
      </c>
      <c r="F2473" s="11">
        <v>3182</v>
      </c>
      <c r="G2473" s="11">
        <v>3064</v>
      </c>
      <c r="H2473" s="11">
        <v>6246</v>
      </c>
      <c r="I2473" s="11">
        <v>2016</v>
      </c>
      <c r="J2473" s="66">
        <f t="shared" si="154"/>
        <v>50.944604546910021</v>
      </c>
      <c r="K2473" s="66">
        <f t="shared" si="155"/>
        <v>49.055395453089979</v>
      </c>
    </row>
    <row r="2474" spans="1:11" x14ac:dyDescent="0.3">
      <c r="A2474" s="10">
        <v>94</v>
      </c>
      <c r="B2474" s="10" t="s">
        <v>2739</v>
      </c>
      <c r="C2474" s="10" t="str" cm="1">
        <f t="array" ref="C2474">_xlfn.IFS(A2474&lt;20, "ภาคกลาง", A2474&lt;30, "ภาคตะวันออก", A2474&lt;50, "ภาคตะวันออกเฉียงเหนือ", A2474&lt;60, "ภาคเหนือ", A2474&lt;80, "ภาคกลาง/ตะวันตก", A2474&gt;=80, "ภาคใต้")</f>
        <v>ภาคใต้</v>
      </c>
      <c r="D2474" s="64">
        <v>9491</v>
      </c>
      <c r="E2474" s="10" t="s">
        <v>2754</v>
      </c>
      <c r="F2474" s="11">
        <v>5255</v>
      </c>
      <c r="G2474" s="11">
        <v>5356</v>
      </c>
      <c r="H2474" s="11">
        <v>10611</v>
      </c>
      <c r="I2474" s="11">
        <v>2468</v>
      </c>
      <c r="J2474" s="66">
        <f t="shared" si="154"/>
        <v>49.524078786165298</v>
      </c>
      <c r="K2474" s="66">
        <f t="shared" si="155"/>
        <v>50.475921213834695</v>
      </c>
    </row>
    <row r="2475" spans="1:11" x14ac:dyDescent="0.3">
      <c r="A2475" s="10">
        <v>94</v>
      </c>
      <c r="B2475" s="10" t="s">
        <v>2739</v>
      </c>
      <c r="C2475" s="10" t="str" cm="1">
        <f t="array" ref="C2475">_xlfn.IFS(A2475&lt;20, "ภาคกลาง", A2475&lt;30, "ภาคตะวันออก", A2475&lt;50, "ภาคตะวันออกเฉียงเหนือ", A2475&lt;60, "ภาคเหนือ", A2475&lt;80, "ภาคกลาง/ตะวันตก", A2475&gt;=80, "ภาคใต้")</f>
        <v>ภาคใต้</v>
      </c>
      <c r="D2475" s="64">
        <v>9492</v>
      </c>
      <c r="E2475" s="10" t="s">
        <v>2755</v>
      </c>
      <c r="F2475" s="11">
        <v>1362</v>
      </c>
      <c r="G2475" s="11">
        <v>1541</v>
      </c>
      <c r="H2475" s="11">
        <v>2903</v>
      </c>
      <c r="I2475" s="10">
        <v>759</v>
      </c>
      <c r="J2475" s="66">
        <f t="shared" si="154"/>
        <v>46.916982431966929</v>
      </c>
      <c r="K2475" s="66">
        <f t="shared" si="155"/>
        <v>53.083017568033064</v>
      </c>
    </row>
    <row r="2476" spans="1:11" x14ac:dyDescent="0.3">
      <c r="A2476" s="10">
        <v>94</v>
      </c>
      <c r="B2476" s="10" t="s">
        <v>2739</v>
      </c>
      <c r="C2476" s="10" t="str" cm="1">
        <f t="array" ref="C2476">_xlfn.IFS(A2476&lt;20, "ภาคกลาง", A2476&lt;30, "ภาคตะวันออก", A2476&lt;50, "ภาคตะวันออกเฉียงเหนือ", A2476&lt;60, "ภาคเหนือ", A2476&lt;80, "ภาคกลาง/ตะวันตก", A2476&gt;=80, "ภาคใต้")</f>
        <v>ภาคใต้</v>
      </c>
      <c r="D2476" s="64">
        <v>9493</v>
      </c>
      <c r="E2476" s="10" t="s">
        <v>2756</v>
      </c>
      <c r="F2476" s="11">
        <v>2500</v>
      </c>
      <c r="G2476" s="11">
        <v>2526</v>
      </c>
      <c r="H2476" s="11">
        <v>5026</v>
      </c>
      <c r="I2476" s="11">
        <v>1308</v>
      </c>
      <c r="J2476" s="66">
        <f t="shared" si="154"/>
        <v>49.741345005968959</v>
      </c>
      <c r="K2476" s="66">
        <f t="shared" si="155"/>
        <v>50.258654994031041</v>
      </c>
    </row>
    <row r="2477" spans="1:11" x14ac:dyDescent="0.3">
      <c r="A2477" s="10">
        <v>94</v>
      </c>
      <c r="B2477" s="10" t="s">
        <v>2739</v>
      </c>
      <c r="C2477" s="10" t="str" cm="1">
        <f t="array" ref="C2477">_xlfn.IFS(A2477&lt;20, "ภาคกลาง", A2477&lt;30, "ภาคตะวันออก", A2477&lt;50, "ภาคตะวันออกเฉียงเหนือ", A2477&lt;60, "ภาคเหนือ", A2477&lt;80, "ภาคกลาง/ตะวันตก", A2477&gt;=80, "ภาคใต้")</f>
        <v>ภาคใต้</v>
      </c>
      <c r="D2477" s="64">
        <v>9494</v>
      </c>
      <c r="E2477" s="10" t="s">
        <v>2757</v>
      </c>
      <c r="F2477" s="11">
        <v>5517</v>
      </c>
      <c r="G2477" s="11">
        <v>5533</v>
      </c>
      <c r="H2477" s="11">
        <v>11050</v>
      </c>
      <c r="I2477" s="11">
        <v>2915</v>
      </c>
      <c r="J2477" s="66">
        <f t="shared" si="154"/>
        <v>49.927601809954751</v>
      </c>
      <c r="K2477" s="66">
        <f t="shared" si="155"/>
        <v>50.072398190045256</v>
      </c>
    </row>
    <row r="2478" spans="1:11" x14ac:dyDescent="0.3">
      <c r="A2478" s="10">
        <v>94</v>
      </c>
      <c r="B2478" s="10" t="s">
        <v>2739</v>
      </c>
      <c r="C2478" s="10" t="str" cm="1">
        <f t="array" ref="C2478">_xlfn.IFS(A2478&lt;20, "ภาคกลาง", A2478&lt;30, "ภาคตะวันออก", A2478&lt;50, "ภาคตะวันออกเฉียงเหนือ", A2478&lt;60, "ภาคเหนือ", A2478&lt;80, "ภาคกลาง/ตะวันตก", A2478&gt;=80, "ภาคใต้")</f>
        <v>ภาคใต้</v>
      </c>
      <c r="D2478" s="64">
        <v>9495</v>
      </c>
      <c r="E2478" s="10" t="s">
        <v>672</v>
      </c>
      <c r="F2478" s="11">
        <v>3112</v>
      </c>
      <c r="G2478" s="11">
        <v>3132</v>
      </c>
      <c r="H2478" s="11">
        <v>6244</v>
      </c>
      <c r="I2478" s="11">
        <v>2101</v>
      </c>
      <c r="J2478" s="66">
        <f t="shared" si="154"/>
        <v>49.83984625240231</v>
      </c>
      <c r="K2478" s="66">
        <f t="shared" si="155"/>
        <v>50.16015374759769</v>
      </c>
    </row>
    <row r="2479" spans="1:11" x14ac:dyDescent="0.3">
      <c r="A2479" s="10">
        <v>94</v>
      </c>
      <c r="B2479" s="10" t="s">
        <v>2739</v>
      </c>
      <c r="C2479" s="10" t="str" cm="1">
        <f t="array" ref="C2479">_xlfn.IFS(A2479&lt;20, "ภาคกลาง", A2479&lt;30, "ภาคตะวันออก", A2479&lt;50, "ภาคตะวันออกเฉียงเหนือ", A2479&lt;60, "ภาคเหนือ", A2479&lt;80, "ภาคกลาง/ตะวันตก", A2479&gt;=80, "ภาคใต้")</f>
        <v>ภาคใต้</v>
      </c>
      <c r="D2479" s="64">
        <v>9496</v>
      </c>
      <c r="E2479" s="10" t="s">
        <v>2758</v>
      </c>
      <c r="F2479" s="11">
        <v>9400</v>
      </c>
      <c r="G2479" s="11">
        <v>6618</v>
      </c>
      <c r="H2479" s="11">
        <v>16018</v>
      </c>
      <c r="I2479" s="11">
        <v>6152</v>
      </c>
      <c r="J2479" s="66">
        <f t="shared" si="154"/>
        <v>58.683980521912851</v>
      </c>
      <c r="K2479" s="66">
        <f t="shared" si="155"/>
        <v>41.316019478087149</v>
      </c>
    </row>
    <row r="2480" spans="1:11" x14ac:dyDescent="0.3">
      <c r="A2480" s="10">
        <v>94</v>
      </c>
      <c r="B2480" s="10" t="s">
        <v>2739</v>
      </c>
      <c r="C2480" s="10" t="str" cm="1">
        <f t="array" ref="C2480">_xlfn.IFS(A2480&lt;20, "ภาคกลาง", A2480&lt;30, "ภาคตะวันออก", A2480&lt;50, "ภาคตะวันออกเฉียงเหนือ", A2480&lt;60, "ภาคเหนือ", A2480&lt;80, "ภาคกลาง/ตะวันตก", A2480&gt;=80, "ภาคใต้")</f>
        <v>ภาคใต้</v>
      </c>
      <c r="D2480" s="64">
        <v>9497</v>
      </c>
      <c r="E2480" s="10" t="s">
        <v>2759</v>
      </c>
      <c r="F2480" s="11">
        <v>1469</v>
      </c>
      <c r="G2480" s="11">
        <v>1603</v>
      </c>
      <c r="H2480" s="11">
        <v>3072</v>
      </c>
      <c r="I2480" s="11">
        <v>1469</v>
      </c>
      <c r="J2480" s="66">
        <f t="shared" si="154"/>
        <v>47.819010416666671</v>
      </c>
      <c r="K2480" s="66">
        <f t="shared" si="155"/>
        <v>52.180989583333336</v>
      </c>
    </row>
    <row r="2481" spans="1:11" x14ac:dyDescent="0.3">
      <c r="A2481" s="10">
        <v>94</v>
      </c>
      <c r="B2481" s="10" t="s">
        <v>2739</v>
      </c>
      <c r="C2481" s="10" t="str" cm="1">
        <f t="array" ref="C2481">_xlfn.IFS(A2481&lt;20, "ภาคกลาง", A2481&lt;30, "ภาคตะวันออก", A2481&lt;50, "ภาคตะวันออกเฉียงเหนือ", A2481&lt;60, "ภาคเหนือ", A2481&lt;80, "ภาคกลาง/ตะวันตก", A2481&gt;=80, "ภาคใต้")</f>
        <v>ภาคใต้</v>
      </c>
      <c r="D2481" s="64">
        <v>9498</v>
      </c>
      <c r="E2481" s="10" t="s">
        <v>2760</v>
      </c>
      <c r="F2481" s="11">
        <v>1593</v>
      </c>
      <c r="G2481" s="11">
        <v>1825</v>
      </c>
      <c r="H2481" s="11">
        <v>3418</v>
      </c>
      <c r="I2481" s="11">
        <v>1933</v>
      </c>
      <c r="J2481" s="66">
        <f t="shared" si="154"/>
        <v>46.606202457577531</v>
      </c>
      <c r="K2481" s="66">
        <f t="shared" si="155"/>
        <v>53.393797542422469</v>
      </c>
    </row>
    <row r="2482" spans="1:11" x14ac:dyDescent="0.3">
      <c r="A2482" s="10">
        <v>94</v>
      </c>
      <c r="B2482" s="10" t="s">
        <v>2739</v>
      </c>
      <c r="C2482" s="10" t="str" cm="1">
        <f t="array" ref="C2482">_xlfn.IFS(A2482&lt;20, "ภาคกลาง", A2482&lt;30, "ภาคตะวันออก", A2482&lt;50, "ภาคตะวันออกเฉียงเหนือ", A2482&lt;60, "ภาคเหนือ", A2482&lt;80, "ภาคกลาง/ตะวันตก", A2482&gt;=80, "ภาคใต้")</f>
        <v>ภาคใต้</v>
      </c>
      <c r="D2482" s="64">
        <v>9499</v>
      </c>
      <c r="E2482" s="10" t="s">
        <v>2761</v>
      </c>
      <c r="F2482" s="11">
        <v>7156</v>
      </c>
      <c r="G2482" s="11">
        <v>7378</v>
      </c>
      <c r="H2482" s="11">
        <v>14534</v>
      </c>
      <c r="I2482" s="11">
        <v>4727</v>
      </c>
      <c r="J2482" s="66">
        <f t="shared" si="154"/>
        <v>49.236273565432782</v>
      </c>
      <c r="K2482" s="66">
        <f t="shared" si="155"/>
        <v>50.763726434567225</v>
      </c>
    </row>
    <row r="2483" spans="1:11" hidden="1" x14ac:dyDescent="0.3">
      <c r="A2483" s="10">
        <v>94</v>
      </c>
      <c r="B2483" s="10" t="s">
        <v>2739</v>
      </c>
      <c r="C2483" s="10" t="str" cm="1">
        <f t="array" ref="C2483">_xlfn.IFS(A2483&lt;20, "ภาคกลาง", A2483&lt;30, "ภาคตะวันออก", A2483&lt;50, "ภาคตะวันออกเฉียงเหนือ", A2483&lt;60, "ภาคเหนือ", A2483&lt;80, "ภาคกลาง/ตะวันตก", A2483&gt;=80, "ภาคใต้")</f>
        <v>ภาคใต้</v>
      </c>
      <c r="D2483" s="10">
        <v>0</v>
      </c>
      <c r="E2483" s="10" t="s">
        <v>343</v>
      </c>
      <c r="F2483" s="11">
        <v>20980</v>
      </c>
      <c r="G2483" s="11">
        <v>22273</v>
      </c>
      <c r="H2483" s="11">
        <v>43253</v>
      </c>
      <c r="I2483" s="11">
        <v>16563</v>
      </c>
      <c r="J2483"/>
      <c r="K2483"/>
    </row>
    <row r="2484" spans="1:11" x14ac:dyDescent="0.3">
      <c r="A2484" s="10">
        <v>95</v>
      </c>
      <c r="B2484" s="10" t="s">
        <v>2762</v>
      </c>
      <c r="C2484" s="10" t="str" cm="1">
        <f t="array" ref="C2484">_xlfn.IFS(A2484&lt;20, "ภาคกลาง", A2484&lt;30, "ภาคตะวันออก", A2484&lt;50, "ภาคตะวันออกเฉียงเหนือ", A2484&lt;60, "ภาคเหนือ", A2484&lt;80, "ภาคกลาง/ตะวันตก", A2484&gt;=80, "ภาคใต้")</f>
        <v>ภาคใต้</v>
      </c>
      <c r="D2484" s="64">
        <v>9501</v>
      </c>
      <c r="E2484" s="10" t="s">
        <v>2763</v>
      </c>
      <c r="F2484" s="11">
        <v>274701</v>
      </c>
      <c r="G2484" s="11">
        <v>278273</v>
      </c>
      <c r="H2484" s="11">
        <v>552974</v>
      </c>
      <c r="I2484" s="11">
        <v>181284</v>
      </c>
      <c r="J2484" s="66">
        <f t="shared" ref="J2484:J2501" si="156">F2484/H2484*100</f>
        <v>49.677019172691658</v>
      </c>
      <c r="K2484" s="66">
        <f t="shared" ref="K2484:K2501" si="157">G2484/H2484*100</f>
        <v>50.322980827308342</v>
      </c>
    </row>
    <row r="2485" spans="1:11" x14ac:dyDescent="0.3">
      <c r="A2485" s="10">
        <v>95</v>
      </c>
      <c r="B2485" s="10" t="s">
        <v>2762</v>
      </c>
      <c r="C2485" s="10" t="str" cm="1">
        <f t="array" ref="C2485">_xlfn.IFS(A2485&lt;20, "ภาคกลาง", A2485&lt;30, "ภาคตะวันออก", A2485&lt;50, "ภาคตะวันออกเฉียงเหนือ", A2485&lt;60, "ภาคเหนือ", A2485&lt;80, "ภาคกลาง/ตะวันตก", A2485&gt;=80, "ภาคใต้")</f>
        <v>ภาคใต้</v>
      </c>
      <c r="D2485" s="64">
        <v>9502</v>
      </c>
      <c r="E2485" s="10" t="s">
        <v>2764</v>
      </c>
      <c r="F2485" s="11">
        <v>38800</v>
      </c>
      <c r="G2485" s="11">
        <v>39786</v>
      </c>
      <c r="H2485" s="11">
        <v>78586</v>
      </c>
      <c r="I2485" s="11">
        <v>20212</v>
      </c>
      <c r="J2485" s="66">
        <f t="shared" si="156"/>
        <v>49.372661797266687</v>
      </c>
      <c r="K2485" s="66">
        <f t="shared" si="157"/>
        <v>50.627338202733306</v>
      </c>
    </row>
    <row r="2486" spans="1:11" x14ac:dyDescent="0.3">
      <c r="A2486" s="10">
        <v>95</v>
      </c>
      <c r="B2486" s="10" t="s">
        <v>2762</v>
      </c>
      <c r="C2486" s="10" t="str" cm="1">
        <f t="array" ref="C2486">_xlfn.IFS(A2486&lt;20, "ภาคกลาง", A2486&lt;30, "ภาคตะวันออก", A2486&lt;50, "ภาคตะวันออกเฉียงเหนือ", A2486&lt;60, "ภาคเหนือ", A2486&lt;80, "ภาคกลาง/ตะวันตก", A2486&gt;=80, "ภาคใต้")</f>
        <v>ภาคใต้</v>
      </c>
      <c r="D2486" s="64">
        <v>9503</v>
      </c>
      <c r="E2486" s="10" t="s">
        <v>2765</v>
      </c>
      <c r="F2486" s="11">
        <v>18751</v>
      </c>
      <c r="G2486" s="11">
        <v>17716</v>
      </c>
      <c r="H2486" s="11">
        <v>36467</v>
      </c>
      <c r="I2486" s="11">
        <v>16253</v>
      </c>
      <c r="J2486" s="66">
        <f t="shared" si="156"/>
        <v>51.419091233169709</v>
      </c>
      <c r="K2486" s="66">
        <f t="shared" si="157"/>
        <v>48.580908766830284</v>
      </c>
    </row>
    <row r="2487" spans="1:11" x14ac:dyDescent="0.3">
      <c r="A2487" s="10">
        <v>95</v>
      </c>
      <c r="B2487" s="10" t="s">
        <v>2762</v>
      </c>
      <c r="C2487" s="10" t="str" cm="1">
        <f t="array" ref="C2487">_xlfn.IFS(A2487&lt;20, "ภาคกลาง", A2487&lt;30, "ภาคตะวันออก", A2487&lt;50, "ภาคตะวันออกเฉียงเหนือ", A2487&lt;60, "ภาคเหนือ", A2487&lt;80, "ภาคกลาง/ตะวันตก", A2487&gt;=80, "ภาคใต้")</f>
        <v>ภาคใต้</v>
      </c>
      <c r="D2487" s="64">
        <v>9504</v>
      </c>
      <c r="E2487" s="10" t="s">
        <v>2766</v>
      </c>
      <c r="F2487" s="11">
        <v>29480</v>
      </c>
      <c r="G2487" s="11">
        <v>28578</v>
      </c>
      <c r="H2487" s="11">
        <v>58058</v>
      </c>
      <c r="I2487" s="11">
        <v>16646</v>
      </c>
      <c r="J2487" s="66">
        <f t="shared" si="156"/>
        <v>50.776809397499058</v>
      </c>
      <c r="K2487" s="66">
        <f t="shared" si="157"/>
        <v>49.223190602500949</v>
      </c>
    </row>
    <row r="2488" spans="1:11" x14ac:dyDescent="0.3">
      <c r="A2488" s="10">
        <v>95</v>
      </c>
      <c r="B2488" s="10" t="s">
        <v>2762</v>
      </c>
      <c r="C2488" s="10" t="str" cm="1">
        <f t="array" ref="C2488">_xlfn.IFS(A2488&lt;20, "ภาคกลาง", A2488&lt;30, "ภาคตะวันออก", A2488&lt;50, "ภาคตะวันออกเฉียงเหนือ", A2488&lt;60, "ภาคเหนือ", A2488&lt;80, "ภาคกลาง/ตะวันตก", A2488&gt;=80, "ภาคใต้")</f>
        <v>ภาคใต้</v>
      </c>
      <c r="D2488" s="64">
        <v>9505</v>
      </c>
      <c r="E2488" s="10" t="s">
        <v>2767</v>
      </c>
      <c r="F2488" s="11">
        <v>12941</v>
      </c>
      <c r="G2488" s="11">
        <v>11953</v>
      </c>
      <c r="H2488" s="11">
        <v>24894</v>
      </c>
      <c r="I2488" s="11">
        <v>9444</v>
      </c>
      <c r="J2488" s="66">
        <f t="shared" si="156"/>
        <v>51.984413914999593</v>
      </c>
      <c r="K2488" s="66">
        <f t="shared" si="157"/>
        <v>48.0155860850004</v>
      </c>
    </row>
    <row r="2489" spans="1:11" x14ac:dyDescent="0.3">
      <c r="A2489" s="10">
        <v>95</v>
      </c>
      <c r="B2489" s="10" t="s">
        <v>2762</v>
      </c>
      <c r="C2489" s="10" t="str" cm="1">
        <f t="array" ref="C2489">_xlfn.IFS(A2489&lt;20, "ภาคกลาง", A2489&lt;30, "ภาคตะวันออก", A2489&lt;50, "ภาคตะวันออกเฉียงเหนือ", A2489&lt;60, "ภาคเหนือ", A2489&lt;80, "ภาคกลาง/ตะวันตก", A2489&gt;=80, "ภาคใต้")</f>
        <v>ภาคใต้</v>
      </c>
      <c r="D2489" s="64">
        <v>9506</v>
      </c>
      <c r="E2489" s="10" t="s">
        <v>2768</v>
      </c>
      <c r="F2489" s="11">
        <v>31859</v>
      </c>
      <c r="G2489" s="11">
        <v>31696</v>
      </c>
      <c r="H2489" s="11">
        <v>63555</v>
      </c>
      <c r="I2489" s="11">
        <v>15280</v>
      </c>
      <c r="J2489" s="66">
        <f t="shared" si="156"/>
        <v>50.128235386672962</v>
      </c>
      <c r="K2489" s="66">
        <f t="shared" si="157"/>
        <v>49.871764613327038</v>
      </c>
    </row>
    <row r="2490" spans="1:11" x14ac:dyDescent="0.3">
      <c r="A2490" s="10">
        <v>95</v>
      </c>
      <c r="B2490" s="10" t="s">
        <v>2762</v>
      </c>
      <c r="C2490" s="10" t="str" cm="1">
        <f t="array" ref="C2490">_xlfn.IFS(A2490&lt;20, "ภาคกลาง", A2490&lt;30, "ภาคตะวันออก", A2490&lt;50, "ภาคตะวันออกเฉียงเหนือ", A2490&lt;60, "ภาคเหนือ", A2490&lt;80, "ภาคกลาง/ตะวันตก", A2490&gt;=80, "ภาคใต้")</f>
        <v>ภาคใต้</v>
      </c>
      <c r="D2490" s="64">
        <v>9507</v>
      </c>
      <c r="E2490" s="10" t="s">
        <v>2769</v>
      </c>
      <c r="F2490" s="11">
        <v>43642</v>
      </c>
      <c r="G2490" s="11">
        <v>44607</v>
      </c>
      <c r="H2490" s="11">
        <v>88249</v>
      </c>
      <c r="I2490" s="11">
        <v>21827</v>
      </c>
      <c r="J2490" s="66">
        <f t="shared" si="156"/>
        <v>49.453251594918925</v>
      </c>
      <c r="K2490" s="66">
        <f t="shared" si="157"/>
        <v>50.546748405081075</v>
      </c>
    </row>
    <row r="2491" spans="1:11" x14ac:dyDescent="0.3">
      <c r="A2491" s="10">
        <v>95</v>
      </c>
      <c r="B2491" s="10" t="s">
        <v>2762</v>
      </c>
      <c r="C2491" s="10" t="str" cm="1">
        <f t="array" ref="C2491">_xlfn.IFS(A2491&lt;20, "ภาคกลาง", A2491&lt;30, "ภาคตะวันออก", A2491&lt;50, "ภาคตะวันออกเฉียงเหนือ", A2491&lt;60, "ภาคเหนือ", A2491&lt;80, "ภาคกลาง/ตะวันตก", A2491&gt;=80, "ภาคใต้")</f>
        <v>ภาคใต้</v>
      </c>
      <c r="D2491" s="64">
        <v>9508</v>
      </c>
      <c r="E2491" s="10" t="s">
        <v>2770</v>
      </c>
      <c r="F2491" s="11">
        <v>13416</v>
      </c>
      <c r="G2491" s="11">
        <v>12801</v>
      </c>
      <c r="H2491" s="11">
        <v>26217</v>
      </c>
      <c r="I2491" s="11">
        <v>7475</v>
      </c>
      <c r="J2491" s="66">
        <f t="shared" si="156"/>
        <v>51.172903078155393</v>
      </c>
      <c r="K2491" s="66">
        <f t="shared" si="157"/>
        <v>48.827096921844607</v>
      </c>
    </row>
    <row r="2492" spans="1:11" ht="27.6" x14ac:dyDescent="0.3">
      <c r="A2492" s="10">
        <v>95</v>
      </c>
      <c r="B2492" s="10" t="s">
        <v>2762</v>
      </c>
      <c r="C2492" s="10" t="str" cm="1">
        <f t="array" ref="C2492">_xlfn.IFS(A2492&lt;20, "ภาคกลาง", A2492&lt;30, "ภาคตะวันออก", A2492&lt;50, "ภาคตะวันออกเฉียงเหนือ", A2492&lt;60, "ภาคเหนือ", A2492&lt;80, "ภาคกลาง/ตะวันตก", A2492&gt;=80, "ภาคใต้")</f>
        <v>ภาคใต้</v>
      </c>
      <c r="D2492" s="64">
        <v>9590</v>
      </c>
      <c r="E2492" s="10" t="s">
        <v>2771</v>
      </c>
      <c r="F2492" s="11">
        <v>15754</v>
      </c>
      <c r="G2492" s="11">
        <v>15469</v>
      </c>
      <c r="H2492" s="11">
        <v>31223</v>
      </c>
      <c r="I2492" s="11">
        <v>6703</v>
      </c>
      <c r="J2492" s="66">
        <f t="shared" si="156"/>
        <v>50.456394324696539</v>
      </c>
      <c r="K2492" s="66">
        <f t="shared" si="157"/>
        <v>49.543605675303468</v>
      </c>
    </row>
    <row r="2493" spans="1:11" ht="27.6" x14ac:dyDescent="0.3">
      <c r="A2493" s="10">
        <v>95</v>
      </c>
      <c r="B2493" s="10" t="s">
        <v>2762</v>
      </c>
      <c r="C2493" s="10" t="str" cm="1">
        <f t="array" ref="C2493">_xlfn.IFS(A2493&lt;20, "ภาคกลาง", A2493&lt;30, "ภาคตะวันออก", A2493&lt;50, "ภาคตะวันออกเฉียงเหนือ", A2493&lt;60, "ภาคเหนือ", A2493&lt;80, "ภาคกลาง/ตะวันตก", A2493&gt;=80, "ภาคใต้")</f>
        <v>ภาคใต้</v>
      </c>
      <c r="D2493" s="64">
        <v>9591</v>
      </c>
      <c r="E2493" s="10" t="s">
        <v>2772</v>
      </c>
      <c r="F2493" s="11">
        <v>18302</v>
      </c>
      <c r="G2493" s="11">
        <v>19783</v>
      </c>
      <c r="H2493" s="11">
        <v>38085</v>
      </c>
      <c r="I2493" s="11">
        <v>17414</v>
      </c>
      <c r="J2493" s="66">
        <f t="shared" si="156"/>
        <v>48.055664959957987</v>
      </c>
      <c r="K2493" s="66">
        <f t="shared" si="157"/>
        <v>51.944335040042013</v>
      </c>
    </row>
    <row r="2494" spans="1:11" ht="27.6" x14ac:dyDescent="0.3">
      <c r="A2494" s="10">
        <v>95</v>
      </c>
      <c r="B2494" s="10" t="s">
        <v>2762</v>
      </c>
      <c r="C2494" s="10" t="str" cm="1">
        <f t="array" ref="C2494">_xlfn.IFS(A2494&lt;20, "ภาคกลาง", A2494&lt;30, "ภาคตะวันออก", A2494&lt;50, "ภาคตะวันออกเฉียงเหนือ", A2494&lt;60, "ภาคเหนือ", A2494&lt;80, "ภาคกลาง/ตะวันตก", A2494&gt;=80, "ภาคใต้")</f>
        <v>ภาคใต้</v>
      </c>
      <c r="D2494" s="64">
        <v>9592</v>
      </c>
      <c r="E2494" s="10" t="s">
        <v>2773</v>
      </c>
      <c r="F2494" s="11">
        <v>2451</v>
      </c>
      <c r="G2494" s="11">
        <v>2209</v>
      </c>
      <c r="H2494" s="11">
        <v>4660</v>
      </c>
      <c r="I2494" s="11">
        <v>2076</v>
      </c>
      <c r="J2494" s="66">
        <f t="shared" si="156"/>
        <v>52.596566523605148</v>
      </c>
      <c r="K2494" s="66">
        <f t="shared" si="157"/>
        <v>47.403433476394852</v>
      </c>
    </row>
    <row r="2495" spans="1:11" ht="27.6" x14ac:dyDescent="0.3">
      <c r="A2495" s="10">
        <v>95</v>
      </c>
      <c r="B2495" s="10" t="s">
        <v>2762</v>
      </c>
      <c r="C2495" s="10" t="str" cm="1">
        <f t="array" ref="C2495">_xlfn.IFS(A2495&lt;20, "ภาคกลาง", A2495&lt;30, "ภาคตะวันออก", A2495&lt;50, "ภาคตะวันออกเฉียงเหนือ", A2495&lt;60, "ภาคเหนือ", A2495&lt;80, "ภาคกลาง/ตะวันตก", A2495&gt;=80, "ภาคใต้")</f>
        <v>ภาคใต้</v>
      </c>
      <c r="D2495" s="64">
        <v>9593</v>
      </c>
      <c r="E2495" s="10" t="s">
        <v>2774</v>
      </c>
      <c r="F2495" s="11">
        <v>2949</v>
      </c>
      <c r="G2495" s="11">
        <v>3076</v>
      </c>
      <c r="H2495" s="11">
        <v>6025</v>
      </c>
      <c r="I2495" s="11">
        <v>1811</v>
      </c>
      <c r="J2495" s="66">
        <f t="shared" si="156"/>
        <v>48.946058091286311</v>
      </c>
      <c r="K2495" s="66">
        <f t="shared" si="157"/>
        <v>51.053941908713696</v>
      </c>
    </row>
    <row r="2496" spans="1:11" x14ac:dyDescent="0.3">
      <c r="A2496" s="10">
        <v>95</v>
      </c>
      <c r="B2496" s="10" t="s">
        <v>2762</v>
      </c>
      <c r="C2496" s="10" t="str" cm="1">
        <f t="array" ref="C2496">_xlfn.IFS(A2496&lt;20, "ภาคกลาง", A2496&lt;30, "ภาคตะวันออก", A2496&lt;50, "ภาคตะวันออกเฉียงเหนือ", A2496&lt;60, "ภาคเหนือ", A2496&lt;80, "ภาคกลาง/ตะวันตก", A2496&gt;=80, "ภาคใต้")</f>
        <v>ภาคใต้</v>
      </c>
      <c r="D2496" s="64">
        <v>9594</v>
      </c>
      <c r="E2496" s="10" t="s">
        <v>2775</v>
      </c>
      <c r="F2496" s="11">
        <v>2537</v>
      </c>
      <c r="G2496" s="11">
        <v>2594</v>
      </c>
      <c r="H2496" s="11">
        <v>5131</v>
      </c>
      <c r="I2496" s="11">
        <v>1960</v>
      </c>
      <c r="J2496" s="66">
        <f t="shared" si="156"/>
        <v>49.444552718768271</v>
      </c>
      <c r="K2496" s="66">
        <f t="shared" si="157"/>
        <v>50.555447281231721</v>
      </c>
    </row>
    <row r="2497" spans="1:11" x14ac:dyDescent="0.3">
      <c r="A2497" s="10">
        <v>95</v>
      </c>
      <c r="B2497" s="10" t="s">
        <v>2762</v>
      </c>
      <c r="C2497" s="10" t="str" cm="1">
        <f t="array" ref="C2497">_xlfn.IFS(A2497&lt;20, "ภาคกลาง", A2497&lt;30, "ภาคตะวันออก", A2497&lt;50, "ภาคตะวันออกเฉียงเหนือ", A2497&lt;60, "ภาคเหนือ", A2497&lt;80, "ภาคกลาง/ตะวันตก", A2497&gt;=80, "ภาคใต้")</f>
        <v>ภาคใต้</v>
      </c>
      <c r="D2497" s="64">
        <v>9595</v>
      </c>
      <c r="E2497" s="10" t="s">
        <v>2776</v>
      </c>
      <c r="F2497" s="11">
        <v>1246</v>
      </c>
      <c r="G2497" s="11">
        <v>1215</v>
      </c>
      <c r="H2497" s="11">
        <v>2461</v>
      </c>
      <c r="I2497" s="10">
        <v>812</v>
      </c>
      <c r="J2497" s="66">
        <f t="shared" si="156"/>
        <v>50.629825274278751</v>
      </c>
      <c r="K2497" s="66">
        <f t="shared" si="157"/>
        <v>49.370174725721249</v>
      </c>
    </row>
    <row r="2498" spans="1:11" ht="27.6" x14ac:dyDescent="0.3">
      <c r="A2498" s="10">
        <v>95</v>
      </c>
      <c r="B2498" s="10" t="s">
        <v>2762</v>
      </c>
      <c r="C2498" s="10" t="str" cm="1">
        <f t="array" ref="C2498">_xlfn.IFS(A2498&lt;20, "ภาคกลาง", A2498&lt;30, "ภาคตะวันออก", A2498&lt;50, "ภาคตะวันออกเฉียงเหนือ", A2498&lt;60, "ภาคเหนือ", A2498&lt;80, "ภาคกลาง/ตะวันตก", A2498&gt;=80, "ภาคใต้")</f>
        <v>ภาคใต้</v>
      </c>
      <c r="D2498" s="64">
        <v>9596</v>
      </c>
      <c r="E2498" s="10" t="s">
        <v>2777</v>
      </c>
      <c r="F2498" s="10">
        <v>719</v>
      </c>
      <c r="G2498" s="10">
        <v>706</v>
      </c>
      <c r="H2498" s="11">
        <v>1425</v>
      </c>
      <c r="I2498" s="10">
        <v>603</v>
      </c>
      <c r="J2498" s="66">
        <f t="shared" si="156"/>
        <v>50.456140350877185</v>
      </c>
      <c r="K2498" s="66">
        <f t="shared" si="157"/>
        <v>49.543859649122808</v>
      </c>
    </row>
    <row r="2499" spans="1:11" x14ac:dyDescent="0.3">
      <c r="A2499" s="10">
        <v>95</v>
      </c>
      <c r="B2499" s="10" t="s">
        <v>2762</v>
      </c>
      <c r="C2499" s="10" t="str" cm="1">
        <f t="array" ref="C2499">_xlfn.IFS(A2499&lt;20, "ภาคกลาง", A2499&lt;30, "ภาคตะวันออก", A2499&lt;50, "ภาคตะวันออกเฉียงเหนือ", A2499&lt;60, "ภาคเหนือ", A2499&lt;80, "ภาคกลาง/ตะวันตก", A2499&gt;=80, "ภาคใต้")</f>
        <v>ภาคใต้</v>
      </c>
      <c r="D2499" s="64">
        <v>9597</v>
      </c>
      <c r="E2499" s="10" t="s">
        <v>2778</v>
      </c>
      <c r="F2499" s="11">
        <v>1268</v>
      </c>
      <c r="G2499" s="11">
        <v>1275</v>
      </c>
      <c r="H2499" s="11">
        <v>2543</v>
      </c>
      <c r="I2499" s="11">
        <v>1060</v>
      </c>
      <c r="J2499" s="66">
        <f t="shared" si="156"/>
        <v>49.862367282736926</v>
      </c>
      <c r="K2499" s="66">
        <f t="shared" si="157"/>
        <v>50.137632717263067</v>
      </c>
    </row>
    <row r="2500" spans="1:11" x14ac:dyDescent="0.3">
      <c r="A2500" s="10">
        <v>95</v>
      </c>
      <c r="B2500" s="10" t="s">
        <v>2762</v>
      </c>
      <c r="C2500" s="10" t="str" cm="1">
        <f t="array" ref="C2500">_xlfn.IFS(A2500&lt;20, "ภาคกลาง", A2500&lt;30, "ภาคตะวันออก", A2500&lt;50, "ภาคตะวันออกเฉียงเหนือ", A2500&lt;60, "ภาคเหนือ", A2500&lt;80, "ภาคกลาง/ตะวันตก", A2500&gt;=80, "ภาคใต้")</f>
        <v>ภาคใต้</v>
      </c>
      <c r="D2500" s="64">
        <v>9598</v>
      </c>
      <c r="E2500" s="10" t="s">
        <v>2779</v>
      </c>
      <c r="F2500" s="10">
        <v>514</v>
      </c>
      <c r="G2500" s="10">
        <v>527</v>
      </c>
      <c r="H2500" s="11">
        <v>1041</v>
      </c>
      <c r="I2500" s="10">
        <v>393</v>
      </c>
      <c r="J2500" s="66">
        <f t="shared" si="156"/>
        <v>49.375600384245914</v>
      </c>
      <c r="K2500" s="66">
        <f t="shared" si="157"/>
        <v>50.624399615754079</v>
      </c>
    </row>
    <row r="2501" spans="1:11" x14ac:dyDescent="0.3">
      <c r="A2501" s="10">
        <v>95</v>
      </c>
      <c r="B2501" s="10" t="s">
        <v>2762</v>
      </c>
      <c r="C2501" s="10" t="str" cm="1">
        <f t="array" ref="C2501">_xlfn.IFS(A2501&lt;20, "ภาคกลาง", A2501&lt;30, "ภาคตะวันออก", A2501&lt;50, "ภาคตะวันออกเฉียงเหนือ", A2501&lt;60, "ภาคเหนือ", A2501&lt;80, "ภาคกลาง/ตะวันตก", A2501&gt;=80, "ภาคใต้")</f>
        <v>ภาคใต้</v>
      </c>
      <c r="D2501" s="64">
        <v>9599</v>
      </c>
      <c r="E2501" s="10" t="s">
        <v>2780</v>
      </c>
      <c r="F2501" s="11">
        <v>12437</v>
      </c>
      <c r="G2501" s="11">
        <v>13467</v>
      </c>
      <c r="H2501" s="11">
        <v>25904</v>
      </c>
      <c r="I2501" s="11">
        <v>11651</v>
      </c>
      <c r="J2501" s="66">
        <f t="shared" si="156"/>
        <v>48.011890055589866</v>
      </c>
      <c r="K2501" s="66">
        <f t="shared" si="157"/>
        <v>51.988109944410134</v>
      </c>
    </row>
    <row r="2502" spans="1:11" hidden="1" x14ac:dyDescent="0.3">
      <c r="A2502" s="10">
        <v>95</v>
      </c>
      <c r="B2502" s="10" t="s">
        <v>2762</v>
      </c>
      <c r="C2502" s="10" t="str" cm="1">
        <f t="array" ref="C2502">_xlfn.IFS(A2502&lt;20, "ภาคกลาง", A2502&lt;30, "ภาคตะวันออก", A2502&lt;50, "ภาคตะวันออกเฉียงเหนือ", A2502&lt;60, "ภาคเหนือ", A2502&lt;80, "ภาคกลาง/ตะวันตก", A2502&gt;=80, "ภาคใต้")</f>
        <v>ภาคใต้</v>
      </c>
      <c r="D2502" s="10">
        <v>0</v>
      </c>
      <c r="E2502" s="10" t="s">
        <v>343</v>
      </c>
      <c r="F2502" s="11">
        <v>27635</v>
      </c>
      <c r="G2502" s="11">
        <v>30815</v>
      </c>
      <c r="H2502" s="11">
        <v>58450</v>
      </c>
      <c r="I2502" s="11">
        <v>29664</v>
      </c>
      <c r="J2502"/>
      <c r="K2502"/>
    </row>
    <row r="2503" spans="1:11" x14ac:dyDescent="0.3">
      <c r="A2503" s="10">
        <v>96</v>
      </c>
      <c r="B2503" s="10" t="s">
        <v>2781</v>
      </c>
      <c r="C2503" s="10" t="str" cm="1">
        <f t="array" ref="C2503">_xlfn.IFS(A2503&lt;20, "ภาคกลาง", A2503&lt;30, "ภาคตะวันออก", A2503&lt;50, "ภาคตะวันออกเฉียงเหนือ", A2503&lt;60, "ภาคเหนือ", A2503&lt;80, "ภาคกลาง/ตะวันตก", A2503&gt;=80, "ภาคใต้")</f>
        <v>ภาคใต้</v>
      </c>
      <c r="D2503" s="64">
        <v>9601</v>
      </c>
      <c r="E2503" s="10" t="s">
        <v>2782</v>
      </c>
      <c r="F2503" s="11">
        <v>407632</v>
      </c>
      <c r="G2503" s="11">
        <v>416364</v>
      </c>
      <c r="H2503" s="11">
        <v>823996</v>
      </c>
      <c r="I2503" s="11">
        <v>232664</v>
      </c>
      <c r="J2503" s="66">
        <f t="shared" ref="J2503:J2529" si="158">F2503/H2503*100</f>
        <v>49.470143058946888</v>
      </c>
      <c r="K2503" s="66">
        <f t="shared" ref="K2503:K2529" si="159">G2503/H2503*100</f>
        <v>50.529856941053112</v>
      </c>
    </row>
    <row r="2504" spans="1:11" x14ac:dyDescent="0.3">
      <c r="A2504" s="10">
        <v>96</v>
      </c>
      <c r="B2504" s="10" t="s">
        <v>2781</v>
      </c>
      <c r="C2504" s="10" t="str" cm="1">
        <f t="array" ref="C2504">_xlfn.IFS(A2504&lt;20, "ภาคกลาง", A2504&lt;30, "ภาคตะวันออก", A2504&lt;50, "ภาคตะวันออกเฉียงเหนือ", A2504&lt;60, "ภาคเหนือ", A2504&lt;80, "ภาคกลาง/ตะวันตก", A2504&gt;=80, "ภาคใต้")</f>
        <v>ภาคใต้</v>
      </c>
      <c r="D2504" s="64">
        <v>9602</v>
      </c>
      <c r="E2504" s="10" t="s">
        <v>2783</v>
      </c>
      <c r="F2504" s="11">
        <v>44411</v>
      </c>
      <c r="G2504" s="11">
        <v>44203</v>
      </c>
      <c r="H2504" s="11">
        <v>88614</v>
      </c>
      <c r="I2504" s="11">
        <v>28297</v>
      </c>
      <c r="J2504" s="66">
        <f t="shared" si="158"/>
        <v>50.117362944907129</v>
      </c>
      <c r="K2504" s="66">
        <f t="shared" si="159"/>
        <v>49.882637055092879</v>
      </c>
    </row>
    <row r="2505" spans="1:11" x14ac:dyDescent="0.3">
      <c r="A2505" s="10">
        <v>96</v>
      </c>
      <c r="B2505" s="10" t="s">
        <v>2781</v>
      </c>
      <c r="C2505" s="10" t="str" cm="1">
        <f t="array" ref="C2505">_xlfn.IFS(A2505&lt;20, "ภาคกลาง", A2505&lt;30, "ภาคตะวันออก", A2505&lt;50, "ภาคตะวันออกเฉียงเหนือ", A2505&lt;60, "ภาคเหนือ", A2505&lt;80, "ภาคกลาง/ตะวันตก", A2505&gt;=80, "ภาคใต้")</f>
        <v>ภาคใต้</v>
      </c>
      <c r="D2505" s="64">
        <v>9603</v>
      </c>
      <c r="E2505" s="10" t="s">
        <v>2784</v>
      </c>
      <c r="F2505" s="11">
        <v>27379</v>
      </c>
      <c r="G2505" s="11">
        <v>28121</v>
      </c>
      <c r="H2505" s="11">
        <v>55500</v>
      </c>
      <c r="I2505" s="11">
        <v>12788</v>
      </c>
      <c r="J2505" s="66">
        <f t="shared" si="158"/>
        <v>49.331531531531532</v>
      </c>
      <c r="K2505" s="66">
        <f t="shared" si="159"/>
        <v>50.668468468468461</v>
      </c>
    </row>
    <row r="2506" spans="1:11" x14ac:dyDescent="0.3">
      <c r="A2506" s="10">
        <v>96</v>
      </c>
      <c r="B2506" s="10" t="s">
        <v>2781</v>
      </c>
      <c r="C2506" s="10" t="str" cm="1">
        <f t="array" ref="C2506">_xlfn.IFS(A2506&lt;20, "ภาคกลาง", A2506&lt;30, "ภาคตะวันออก", A2506&lt;50, "ภาคตะวันออกเฉียงเหนือ", A2506&lt;60, "ภาคเหนือ", A2506&lt;80, "ภาคกลาง/ตะวันตก", A2506&gt;=80, "ภาคใต้")</f>
        <v>ภาคใต้</v>
      </c>
      <c r="D2506" s="64">
        <v>9604</v>
      </c>
      <c r="E2506" s="10" t="s">
        <v>2785</v>
      </c>
      <c r="F2506" s="11">
        <v>20807</v>
      </c>
      <c r="G2506" s="11">
        <v>21493</v>
      </c>
      <c r="H2506" s="11">
        <v>42300</v>
      </c>
      <c r="I2506" s="11">
        <v>9876</v>
      </c>
      <c r="J2506" s="66">
        <f t="shared" si="158"/>
        <v>49.189125295508276</v>
      </c>
      <c r="K2506" s="66">
        <f t="shared" si="159"/>
        <v>50.810874704491724</v>
      </c>
    </row>
    <row r="2507" spans="1:11" x14ac:dyDescent="0.3">
      <c r="A2507" s="10">
        <v>96</v>
      </c>
      <c r="B2507" s="10" t="s">
        <v>2781</v>
      </c>
      <c r="C2507" s="10" t="str" cm="1">
        <f t="array" ref="C2507">_xlfn.IFS(A2507&lt;20, "ภาคกลาง", A2507&lt;30, "ภาคตะวันออก", A2507&lt;50, "ภาคตะวันออกเฉียงเหนือ", A2507&lt;60, "ภาคเหนือ", A2507&lt;80, "ภาคกลาง/ตะวันตก", A2507&gt;=80, "ภาคใต้")</f>
        <v>ภาคใต้</v>
      </c>
      <c r="D2507" s="64">
        <v>9605</v>
      </c>
      <c r="E2507" s="10" t="s">
        <v>2786</v>
      </c>
      <c r="F2507" s="11">
        <v>22357</v>
      </c>
      <c r="G2507" s="11">
        <v>22972</v>
      </c>
      <c r="H2507" s="11">
        <v>45329</v>
      </c>
      <c r="I2507" s="11">
        <v>11101</v>
      </c>
      <c r="J2507" s="66">
        <f t="shared" si="158"/>
        <v>49.321626331928783</v>
      </c>
      <c r="K2507" s="66">
        <f t="shared" si="159"/>
        <v>50.67837366807121</v>
      </c>
    </row>
    <row r="2508" spans="1:11" x14ac:dyDescent="0.3">
      <c r="A2508" s="10">
        <v>96</v>
      </c>
      <c r="B2508" s="10" t="s">
        <v>2781</v>
      </c>
      <c r="C2508" s="10" t="str" cm="1">
        <f t="array" ref="C2508">_xlfn.IFS(A2508&lt;20, "ภาคกลาง", A2508&lt;30, "ภาคตะวันออก", A2508&lt;50, "ภาคตะวันออกเฉียงเหนือ", A2508&lt;60, "ภาคเหนือ", A2508&lt;80, "ภาคกลาง/ตะวันตก", A2508&gt;=80, "ภาคใต้")</f>
        <v>ภาคใต้</v>
      </c>
      <c r="D2508" s="64">
        <v>9606</v>
      </c>
      <c r="E2508" s="10" t="s">
        <v>2787</v>
      </c>
      <c r="F2508" s="11">
        <v>39255</v>
      </c>
      <c r="G2508" s="11">
        <v>40607</v>
      </c>
      <c r="H2508" s="11">
        <v>79862</v>
      </c>
      <c r="I2508" s="11">
        <v>18377</v>
      </c>
      <c r="J2508" s="66">
        <f t="shared" si="158"/>
        <v>49.153539856252031</v>
      </c>
      <c r="K2508" s="66">
        <f t="shared" si="159"/>
        <v>50.846460143747962</v>
      </c>
    </row>
    <row r="2509" spans="1:11" x14ac:dyDescent="0.3">
      <c r="A2509" s="10">
        <v>96</v>
      </c>
      <c r="B2509" s="10" t="s">
        <v>2781</v>
      </c>
      <c r="C2509" s="10" t="str" cm="1">
        <f t="array" ref="C2509">_xlfn.IFS(A2509&lt;20, "ภาคกลาง", A2509&lt;30, "ภาคตะวันออก", A2509&lt;50, "ภาคตะวันออกเฉียงเหนือ", A2509&lt;60, "ภาคเหนือ", A2509&lt;80, "ภาคกลาง/ตะวันตก", A2509&gt;=80, "ภาคใต้")</f>
        <v>ภาคใต้</v>
      </c>
      <c r="D2509" s="64">
        <v>9607</v>
      </c>
      <c r="E2509" s="10" t="s">
        <v>2788</v>
      </c>
      <c r="F2509" s="11">
        <v>34281</v>
      </c>
      <c r="G2509" s="11">
        <v>34309</v>
      </c>
      <c r="H2509" s="11">
        <v>68590</v>
      </c>
      <c r="I2509" s="11">
        <v>16441</v>
      </c>
      <c r="J2509" s="66">
        <f t="shared" si="158"/>
        <v>49.979588861350052</v>
      </c>
      <c r="K2509" s="66">
        <f t="shared" si="159"/>
        <v>50.020411138649948</v>
      </c>
    </row>
    <row r="2510" spans="1:11" x14ac:dyDescent="0.3">
      <c r="A2510" s="10">
        <v>96</v>
      </c>
      <c r="B2510" s="10" t="s">
        <v>2781</v>
      </c>
      <c r="C2510" s="10" t="str" cm="1">
        <f t="array" ref="C2510">_xlfn.IFS(A2510&lt;20, "ภาคกลาง", A2510&lt;30, "ภาคตะวันออก", A2510&lt;50, "ภาคตะวันออกเฉียงเหนือ", A2510&lt;60, "ภาคเหนือ", A2510&lt;80, "ภาคกลาง/ตะวันตก", A2510&gt;=80, "ภาคใต้")</f>
        <v>ภาคใต้</v>
      </c>
      <c r="D2510" s="64">
        <v>9608</v>
      </c>
      <c r="E2510" s="10" t="s">
        <v>2789</v>
      </c>
      <c r="F2510" s="11">
        <v>19201</v>
      </c>
      <c r="G2510" s="11">
        <v>18678</v>
      </c>
      <c r="H2510" s="11">
        <v>37879</v>
      </c>
      <c r="I2510" s="11">
        <v>10045</v>
      </c>
      <c r="J2510" s="66">
        <f t="shared" si="158"/>
        <v>50.690356134005654</v>
      </c>
      <c r="K2510" s="66">
        <f t="shared" si="159"/>
        <v>49.309643865994353</v>
      </c>
    </row>
    <row r="2511" spans="1:11" x14ac:dyDescent="0.3">
      <c r="A2511" s="10">
        <v>96</v>
      </c>
      <c r="B2511" s="10" t="s">
        <v>2781</v>
      </c>
      <c r="C2511" s="10" t="str" cm="1">
        <f t="array" ref="C2511">_xlfn.IFS(A2511&lt;20, "ภาคกลาง", A2511&lt;30, "ภาคตะวันออก", A2511&lt;50, "ภาคตะวันออกเฉียงเหนือ", A2511&lt;60, "ภาคเหนือ", A2511&lt;80, "ภาคกลาง/ตะวันตก", A2511&gt;=80, "ภาคใต้")</f>
        <v>ภาคใต้</v>
      </c>
      <c r="D2511" s="64">
        <v>9609</v>
      </c>
      <c r="E2511" s="10" t="s">
        <v>2790</v>
      </c>
      <c r="F2511" s="11">
        <v>22201</v>
      </c>
      <c r="G2511" s="11">
        <v>22633</v>
      </c>
      <c r="H2511" s="11">
        <v>44834</v>
      </c>
      <c r="I2511" s="11">
        <v>10977</v>
      </c>
      <c r="J2511" s="66">
        <f t="shared" si="158"/>
        <v>49.51822277735647</v>
      </c>
      <c r="K2511" s="66">
        <f t="shared" si="159"/>
        <v>50.48177722264353</v>
      </c>
    </row>
    <row r="2512" spans="1:11" x14ac:dyDescent="0.3">
      <c r="A2512" s="10">
        <v>96</v>
      </c>
      <c r="B2512" s="10" t="s">
        <v>2781</v>
      </c>
      <c r="C2512" s="10" t="str" cm="1">
        <f t="array" ref="C2512">_xlfn.IFS(A2512&lt;20, "ภาคกลาง", A2512&lt;30, "ภาคตะวันออก", A2512&lt;50, "ภาคตะวันออกเฉียงเหนือ", A2512&lt;60, "ภาคเหนือ", A2512&lt;80, "ภาคกลาง/ตะวันตก", A2512&gt;=80, "ภาคใต้")</f>
        <v>ภาคใต้</v>
      </c>
      <c r="D2512" s="64">
        <v>9610</v>
      </c>
      <c r="E2512" s="10" t="s">
        <v>2791</v>
      </c>
      <c r="F2512" s="11">
        <v>11786</v>
      </c>
      <c r="G2512" s="11">
        <v>11357</v>
      </c>
      <c r="H2512" s="11">
        <v>23143</v>
      </c>
      <c r="I2512" s="11">
        <v>7666</v>
      </c>
      <c r="J2512" s="66">
        <f t="shared" si="158"/>
        <v>50.926846130579442</v>
      </c>
      <c r="K2512" s="66">
        <f t="shared" si="159"/>
        <v>49.073153869420558</v>
      </c>
    </row>
    <row r="2513" spans="1:11" x14ac:dyDescent="0.3">
      <c r="A2513" s="10">
        <v>96</v>
      </c>
      <c r="B2513" s="10" t="s">
        <v>2781</v>
      </c>
      <c r="C2513" s="10" t="str" cm="1">
        <f t="array" ref="C2513">_xlfn.IFS(A2513&lt;20, "ภาคกลาง", A2513&lt;30, "ภาคตะวันออก", A2513&lt;50, "ภาคตะวันออกเฉียงเหนือ", A2513&lt;60, "ภาคเหนือ", A2513&lt;80, "ภาคกลาง/ตะวันตก", A2513&gt;=80, "ภาคใต้")</f>
        <v>ภาคใต้</v>
      </c>
      <c r="D2513" s="64">
        <v>9611</v>
      </c>
      <c r="E2513" s="10" t="s">
        <v>2792</v>
      </c>
      <c r="F2513" s="11">
        <v>19057</v>
      </c>
      <c r="G2513" s="11">
        <v>20215</v>
      </c>
      <c r="H2513" s="11">
        <v>39272</v>
      </c>
      <c r="I2513" s="11">
        <v>11845</v>
      </c>
      <c r="J2513" s="66">
        <f t="shared" si="158"/>
        <v>48.525667141984115</v>
      </c>
      <c r="K2513" s="66">
        <f t="shared" si="159"/>
        <v>51.474332858015892</v>
      </c>
    </row>
    <row r="2514" spans="1:11" x14ac:dyDescent="0.3">
      <c r="A2514" s="10">
        <v>96</v>
      </c>
      <c r="B2514" s="10" t="s">
        <v>2781</v>
      </c>
      <c r="C2514" s="10" t="str" cm="1">
        <f t="array" ref="C2514">_xlfn.IFS(A2514&lt;20, "ภาคกลาง", A2514&lt;30, "ภาคตะวันออก", A2514&lt;50, "ภาคตะวันออกเฉียงเหนือ", A2514&lt;60, "ภาคเหนือ", A2514&lt;80, "ภาคกลาง/ตะวันตก", A2514&gt;=80, "ภาคใต้")</f>
        <v>ภาคใต้</v>
      </c>
      <c r="D2514" s="64">
        <v>9612</v>
      </c>
      <c r="E2514" s="10" t="s">
        <v>2793</v>
      </c>
      <c r="F2514" s="11">
        <v>24342</v>
      </c>
      <c r="G2514" s="11">
        <v>24998</v>
      </c>
      <c r="H2514" s="11">
        <v>49340</v>
      </c>
      <c r="I2514" s="11">
        <v>12786</v>
      </c>
      <c r="J2514" s="66">
        <f t="shared" si="158"/>
        <v>49.335224969598698</v>
      </c>
      <c r="K2514" s="66">
        <f t="shared" si="159"/>
        <v>50.664775030401302</v>
      </c>
    </row>
    <row r="2515" spans="1:11" x14ac:dyDescent="0.3">
      <c r="A2515" s="10">
        <v>96</v>
      </c>
      <c r="B2515" s="10" t="s">
        <v>2781</v>
      </c>
      <c r="C2515" s="10" t="str" cm="1">
        <f t="array" ref="C2515">_xlfn.IFS(A2515&lt;20, "ภาคกลาง", A2515&lt;30, "ภาคตะวันออก", A2515&lt;50, "ภาคตะวันออกเฉียงเหนือ", A2515&lt;60, "ภาคเหนือ", A2515&lt;80, "ภาคกลาง/ตะวันตก", A2515&gt;=80, "ภาคใต้")</f>
        <v>ภาคใต้</v>
      </c>
      <c r="D2515" s="64">
        <v>9613</v>
      </c>
      <c r="E2515" s="10" t="s">
        <v>2794</v>
      </c>
      <c r="F2515" s="11">
        <v>20540</v>
      </c>
      <c r="G2515" s="11">
        <v>19989</v>
      </c>
      <c r="H2515" s="11">
        <v>40529</v>
      </c>
      <c r="I2515" s="11">
        <v>10159</v>
      </c>
      <c r="J2515" s="66">
        <f t="shared" si="158"/>
        <v>50.67976017172888</v>
      </c>
      <c r="K2515" s="66">
        <f t="shared" si="159"/>
        <v>49.320239828271113</v>
      </c>
    </row>
    <row r="2516" spans="1:11" x14ac:dyDescent="0.3">
      <c r="A2516" s="10">
        <v>96</v>
      </c>
      <c r="B2516" s="10" t="s">
        <v>2781</v>
      </c>
      <c r="C2516" s="10" t="str" cm="1">
        <f t="array" ref="C2516">_xlfn.IFS(A2516&lt;20, "ภาคกลาง", A2516&lt;30, "ภาคตะวันออก", A2516&lt;50, "ภาคตะวันออกเฉียงเหนือ", A2516&lt;60, "ภาคเหนือ", A2516&lt;80, "ภาคกลาง/ตะวันตก", A2516&gt;=80, "ภาคใต้")</f>
        <v>ภาคใต้</v>
      </c>
      <c r="D2516" s="64">
        <v>9686</v>
      </c>
      <c r="E2516" s="10" t="s">
        <v>2795</v>
      </c>
      <c r="F2516" s="11">
        <v>20774</v>
      </c>
      <c r="G2516" s="11">
        <v>20945</v>
      </c>
      <c r="H2516" s="11">
        <v>41719</v>
      </c>
      <c r="I2516" s="11">
        <v>10241</v>
      </c>
      <c r="J2516" s="66">
        <f t="shared" si="158"/>
        <v>49.795057407895683</v>
      </c>
      <c r="K2516" s="66">
        <f t="shared" si="159"/>
        <v>50.204942592104317</v>
      </c>
    </row>
    <row r="2517" spans="1:11" x14ac:dyDescent="0.3">
      <c r="A2517" s="10">
        <v>96</v>
      </c>
      <c r="B2517" s="10" t="s">
        <v>2781</v>
      </c>
      <c r="C2517" s="10" t="str" cm="1">
        <f t="array" ref="C2517">_xlfn.IFS(A2517&lt;20, "ภาคกลาง", A2517&lt;30, "ภาคตะวันออก", A2517&lt;50, "ภาคตะวันออกเฉียงเหนือ", A2517&lt;60, "ภาคเหนือ", A2517&lt;80, "ภาคกลาง/ตะวันตก", A2517&gt;=80, "ภาคใต้")</f>
        <v>ภาคใต้</v>
      </c>
      <c r="D2517" s="64">
        <v>9687</v>
      </c>
      <c r="E2517" s="10" t="s">
        <v>2796</v>
      </c>
      <c r="F2517" s="11">
        <v>3400</v>
      </c>
      <c r="G2517" s="11">
        <v>3578</v>
      </c>
      <c r="H2517" s="11">
        <v>6978</v>
      </c>
      <c r="I2517" s="11">
        <v>2172</v>
      </c>
      <c r="J2517" s="66">
        <f t="shared" si="158"/>
        <v>48.724562912009176</v>
      </c>
      <c r="K2517" s="66">
        <f t="shared" si="159"/>
        <v>51.275437087990824</v>
      </c>
    </row>
    <row r="2518" spans="1:11" x14ac:dyDescent="0.3">
      <c r="A2518" s="10">
        <v>96</v>
      </c>
      <c r="B2518" s="10" t="s">
        <v>2781</v>
      </c>
      <c r="C2518" s="10" t="str" cm="1">
        <f t="array" ref="C2518">_xlfn.IFS(A2518&lt;20, "ภาคกลาง", A2518&lt;30, "ภาคตะวันออก", A2518&lt;50, "ภาคตะวันออกเฉียงเหนือ", A2518&lt;60, "ภาคเหนือ", A2518&lt;80, "ภาคกลาง/ตะวันตก", A2518&gt;=80, "ภาคใต้")</f>
        <v>ภาคใต้</v>
      </c>
      <c r="D2518" s="64">
        <v>9688</v>
      </c>
      <c r="E2518" s="10" t="s">
        <v>2797</v>
      </c>
      <c r="F2518" s="11">
        <v>1754</v>
      </c>
      <c r="G2518" s="11">
        <v>1685</v>
      </c>
      <c r="H2518" s="11">
        <v>3439</v>
      </c>
      <c r="I2518" s="11">
        <v>1650</v>
      </c>
      <c r="J2518" s="66">
        <f t="shared" si="158"/>
        <v>51.003198604245426</v>
      </c>
      <c r="K2518" s="66">
        <f t="shared" si="159"/>
        <v>48.996801395754581</v>
      </c>
    </row>
    <row r="2519" spans="1:11" x14ac:dyDescent="0.3">
      <c r="A2519" s="10">
        <v>96</v>
      </c>
      <c r="B2519" s="10" t="s">
        <v>2781</v>
      </c>
      <c r="C2519" s="10" t="str" cm="1">
        <f t="array" ref="C2519">_xlfn.IFS(A2519&lt;20, "ภาคกลาง", A2519&lt;30, "ภาคตะวันออก", A2519&lt;50, "ภาคตะวันออกเฉียงเหนือ", A2519&lt;60, "ภาคเหนือ", A2519&lt;80, "ภาคกลาง/ตะวันตก", A2519&gt;=80, "ภาคใต้")</f>
        <v>ภาคใต้</v>
      </c>
      <c r="D2519" s="64">
        <v>9689</v>
      </c>
      <c r="E2519" s="10" t="s">
        <v>2798</v>
      </c>
      <c r="F2519" s="11">
        <v>2561</v>
      </c>
      <c r="G2519" s="11">
        <v>2708</v>
      </c>
      <c r="H2519" s="11">
        <v>5269</v>
      </c>
      <c r="I2519" s="11">
        <v>1731</v>
      </c>
      <c r="J2519" s="66">
        <f t="shared" si="158"/>
        <v>48.605048396280132</v>
      </c>
      <c r="K2519" s="66">
        <f t="shared" si="159"/>
        <v>51.394951603719875</v>
      </c>
    </row>
    <row r="2520" spans="1:11" x14ac:dyDescent="0.3">
      <c r="A2520" s="10">
        <v>96</v>
      </c>
      <c r="B2520" s="10" t="s">
        <v>2781</v>
      </c>
      <c r="C2520" s="10" t="str" cm="1">
        <f t="array" ref="C2520">_xlfn.IFS(A2520&lt;20, "ภาคกลาง", A2520&lt;30, "ภาคตะวันออก", A2520&lt;50, "ภาคตะวันออกเฉียงเหนือ", A2520&lt;60, "ภาคเหนือ", A2520&lt;80, "ภาคกลาง/ตะวันตก", A2520&gt;=80, "ภาคใต้")</f>
        <v>ภาคใต้</v>
      </c>
      <c r="D2520" s="64">
        <v>9690</v>
      </c>
      <c r="E2520" s="10" t="s">
        <v>2799</v>
      </c>
      <c r="F2520" s="11">
        <v>2553</v>
      </c>
      <c r="G2520" s="11">
        <v>2716</v>
      </c>
      <c r="H2520" s="11">
        <v>5269</v>
      </c>
      <c r="I2520" s="11">
        <v>1484</v>
      </c>
      <c r="J2520" s="66">
        <f t="shared" si="158"/>
        <v>48.453216929208573</v>
      </c>
      <c r="K2520" s="66">
        <f t="shared" si="159"/>
        <v>51.546783070791427</v>
      </c>
    </row>
    <row r="2521" spans="1:11" x14ac:dyDescent="0.3">
      <c r="A2521" s="10">
        <v>96</v>
      </c>
      <c r="B2521" s="10" t="s">
        <v>2781</v>
      </c>
      <c r="C2521" s="10" t="str" cm="1">
        <f t="array" ref="C2521">_xlfn.IFS(A2521&lt;20, "ภาคกลาง", A2521&lt;30, "ภาคตะวันออก", A2521&lt;50, "ภาคตะวันออกเฉียงเหนือ", A2521&lt;60, "ภาคเหนือ", A2521&lt;80, "ภาคกลาง/ตะวันตก", A2521&gt;=80, "ภาคใต้")</f>
        <v>ภาคใต้</v>
      </c>
      <c r="D2521" s="64">
        <v>9691</v>
      </c>
      <c r="E2521" s="10" t="s">
        <v>2800</v>
      </c>
      <c r="F2521" s="11">
        <v>2635</v>
      </c>
      <c r="G2521" s="11">
        <v>2565</v>
      </c>
      <c r="H2521" s="11">
        <v>5200</v>
      </c>
      <c r="I2521" s="11">
        <v>1924</v>
      </c>
      <c r="J2521" s="66">
        <f t="shared" si="158"/>
        <v>50.67307692307692</v>
      </c>
      <c r="K2521" s="66">
        <f t="shared" si="159"/>
        <v>49.32692307692308</v>
      </c>
    </row>
    <row r="2522" spans="1:11" ht="27.6" x14ac:dyDescent="0.3">
      <c r="A2522" s="10">
        <v>96</v>
      </c>
      <c r="B2522" s="10" t="s">
        <v>2781</v>
      </c>
      <c r="C2522" s="10" t="str" cm="1">
        <f t="array" ref="C2522">_xlfn.IFS(A2522&lt;20, "ภาคกลาง", A2522&lt;30, "ภาคตะวันออก", A2522&lt;50, "ภาคตะวันออกเฉียงเหนือ", A2522&lt;60, "ภาคเหนือ", A2522&lt;80, "ภาคกลาง/ตะวันตก", A2522&gt;=80, "ภาคใต้")</f>
        <v>ภาคใต้</v>
      </c>
      <c r="D2522" s="64">
        <v>9692</v>
      </c>
      <c r="E2522" s="10" t="s">
        <v>2801</v>
      </c>
      <c r="F2522" s="11">
        <v>3672</v>
      </c>
      <c r="G2522" s="11">
        <v>3817</v>
      </c>
      <c r="H2522" s="11">
        <v>7489</v>
      </c>
      <c r="I2522" s="11">
        <v>3753</v>
      </c>
      <c r="J2522" s="66">
        <f t="shared" si="158"/>
        <v>49.031913473093866</v>
      </c>
      <c r="K2522" s="66">
        <f t="shared" si="159"/>
        <v>50.968086526906134</v>
      </c>
    </row>
    <row r="2523" spans="1:11" ht="27.6" x14ac:dyDescent="0.3">
      <c r="A2523" s="10">
        <v>96</v>
      </c>
      <c r="B2523" s="10" t="s">
        <v>2781</v>
      </c>
      <c r="C2523" s="10" t="str" cm="1">
        <f t="array" ref="C2523">_xlfn.IFS(A2523&lt;20, "ภาคกลาง", A2523&lt;30, "ภาคตะวันออก", A2523&lt;50, "ภาคตะวันออกเฉียงเหนือ", A2523&lt;60, "ภาคเหนือ", A2523&lt;80, "ภาคกลาง/ตะวันตก", A2523&gt;=80, "ภาคใต้")</f>
        <v>ภาคใต้</v>
      </c>
      <c r="D2523" s="64">
        <v>9693</v>
      </c>
      <c r="E2523" s="10" t="s">
        <v>2802</v>
      </c>
      <c r="F2523" s="11">
        <v>4399</v>
      </c>
      <c r="G2523" s="11">
        <v>4280</v>
      </c>
      <c r="H2523" s="11">
        <v>8679</v>
      </c>
      <c r="I2523" s="11">
        <v>1842</v>
      </c>
      <c r="J2523" s="66">
        <f t="shared" si="158"/>
        <v>50.685562852863228</v>
      </c>
      <c r="K2523" s="66">
        <f t="shared" si="159"/>
        <v>49.314437147136772</v>
      </c>
    </row>
    <row r="2524" spans="1:11" x14ac:dyDescent="0.3">
      <c r="A2524" s="10">
        <v>96</v>
      </c>
      <c r="B2524" s="10" t="s">
        <v>2781</v>
      </c>
      <c r="C2524" s="10" t="str" cm="1">
        <f t="array" ref="C2524">_xlfn.IFS(A2524&lt;20, "ภาคกลาง", A2524&lt;30, "ภาคตะวันออก", A2524&lt;50, "ภาคตะวันออกเฉียงเหนือ", A2524&lt;60, "ภาคเหนือ", A2524&lt;80, "ภาคกลาง/ตะวันตก", A2524&gt;=80, "ภาคใต้")</f>
        <v>ภาคใต้</v>
      </c>
      <c r="D2524" s="64">
        <v>9694</v>
      </c>
      <c r="E2524" s="10" t="s">
        <v>2803</v>
      </c>
      <c r="F2524" s="11">
        <v>3251</v>
      </c>
      <c r="G2524" s="11">
        <v>3501</v>
      </c>
      <c r="H2524" s="11">
        <v>6752</v>
      </c>
      <c r="I2524" s="11">
        <v>3920</v>
      </c>
      <c r="J2524" s="66">
        <f t="shared" si="158"/>
        <v>48.148696682464454</v>
      </c>
      <c r="K2524" s="66">
        <f t="shared" si="159"/>
        <v>51.851303317535546</v>
      </c>
    </row>
    <row r="2525" spans="1:11" x14ac:dyDescent="0.3">
      <c r="A2525" s="10">
        <v>96</v>
      </c>
      <c r="B2525" s="10" t="s">
        <v>2781</v>
      </c>
      <c r="C2525" s="10" t="str" cm="1">
        <f t="array" ref="C2525">_xlfn.IFS(A2525&lt;20, "ภาคกลาง", A2525&lt;30, "ภาคตะวันออก", A2525&lt;50, "ภาคตะวันออกเฉียงเหนือ", A2525&lt;60, "ภาคเหนือ", A2525&lt;80, "ภาคกลาง/ตะวันตก", A2525&gt;=80, "ภาคใต้")</f>
        <v>ภาคใต้</v>
      </c>
      <c r="D2525" s="64">
        <v>9695</v>
      </c>
      <c r="E2525" s="10" t="s">
        <v>2804</v>
      </c>
      <c r="F2525" s="11">
        <v>1549</v>
      </c>
      <c r="G2525" s="11">
        <v>1538</v>
      </c>
      <c r="H2525" s="11">
        <v>3087</v>
      </c>
      <c r="I2525" s="11">
        <v>1148</v>
      </c>
      <c r="J2525" s="66">
        <f t="shared" si="158"/>
        <v>50.178166504697117</v>
      </c>
      <c r="K2525" s="66">
        <f t="shared" si="159"/>
        <v>49.821833495302883</v>
      </c>
    </row>
    <row r="2526" spans="1:11" x14ac:dyDescent="0.3">
      <c r="A2526" s="10">
        <v>96</v>
      </c>
      <c r="B2526" s="10" t="s">
        <v>2781</v>
      </c>
      <c r="C2526" s="10" t="str" cm="1">
        <f t="array" ref="C2526">_xlfn.IFS(A2526&lt;20, "ภาคกลาง", A2526&lt;30, "ภาคตะวันออก", A2526&lt;50, "ภาคตะวันออกเฉียงเหนือ", A2526&lt;60, "ภาคเหนือ", A2526&lt;80, "ภาคกลาง/ตะวันตก", A2526&gt;=80, "ภาคใต้")</f>
        <v>ภาคใต้</v>
      </c>
      <c r="D2526" s="64">
        <v>9696</v>
      </c>
      <c r="E2526" s="10" t="s">
        <v>2805</v>
      </c>
      <c r="F2526" s="11">
        <v>4857</v>
      </c>
      <c r="G2526" s="11">
        <v>4863</v>
      </c>
      <c r="H2526" s="11">
        <v>9720</v>
      </c>
      <c r="I2526" s="11">
        <v>2380</v>
      </c>
      <c r="J2526" s="66">
        <f t="shared" si="158"/>
        <v>49.969135802469133</v>
      </c>
      <c r="K2526" s="66">
        <f t="shared" si="159"/>
        <v>50.030864197530867</v>
      </c>
    </row>
    <row r="2527" spans="1:11" x14ac:dyDescent="0.3">
      <c r="A2527" s="10">
        <v>96</v>
      </c>
      <c r="B2527" s="10" t="s">
        <v>2781</v>
      </c>
      <c r="C2527" s="10" t="str" cm="1">
        <f t="array" ref="C2527">_xlfn.IFS(A2527&lt;20, "ภาคกลาง", A2527&lt;30, "ภาคตะวันออก", A2527&lt;50, "ภาคตะวันออกเฉียงเหนือ", A2527&lt;60, "ภาคเหนือ", A2527&lt;80, "ภาคกลาง/ตะวันตก", A2527&gt;=80, "ภาคใต้")</f>
        <v>ภาคใต้</v>
      </c>
      <c r="D2527" s="64">
        <v>9697</v>
      </c>
      <c r="E2527" s="10" t="s">
        <v>2806</v>
      </c>
      <c r="F2527" s="11">
        <v>2472</v>
      </c>
      <c r="G2527" s="11">
        <v>2696</v>
      </c>
      <c r="H2527" s="11">
        <v>5168</v>
      </c>
      <c r="I2527" s="11">
        <v>1501</v>
      </c>
      <c r="J2527" s="66">
        <f t="shared" si="158"/>
        <v>47.8328173374613</v>
      </c>
      <c r="K2527" s="66">
        <f t="shared" si="159"/>
        <v>52.1671826625387</v>
      </c>
    </row>
    <row r="2528" spans="1:11" ht="27.6" x14ac:dyDescent="0.3">
      <c r="A2528" s="10">
        <v>96</v>
      </c>
      <c r="B2528" s="10" t="s">
        <v>2781</v>
      </c>
      <c r="C2528" s="10" t="str" cm="1">
        <f t="array" ref="C2528">_xlfn.IFS(A2528&lt;20, "ภาคกลาง", A2528&lt;30, "ภาคตะวันออก", A2528&lt;50, "ภาคตะวันออกเฉียงเหนือ", A2528&lt;60, "ภาคเหนือ", A2528&lt;80, "ภาคกลาง/ตะวันตก", A2528&gt;=80, "ภาคใต้")</f>
        <v>ภาคใต้</v>
      </c>
      <c r="D2528" s="64">
        <v>9698</v>
      </c>
      <c r="E2528" s="10" t="s">
        <v>2807</v>
      </c>
      <c r="F2528" s="11">
        <v>9814</v>
      </c>
      <c r="G2528" s="11">
        <v>10377</v>
      </c>
      <c r="H2528" s="11">
        <v>20191</v>
      </c>
      <c r="I2528" s="11">
        <v>6005</v>
      </c>
      <c r="J2528" s="66">
        <f t="shared" si="158"/>
        <v>48.605814471794361</v>
      </c>
      <c r="K2528" s="66">
        <f t="shared" si="159"/>
        <v>51.394185528205639</v>
      </c>
    </row>
    <row r="2529" spans="1:11" x14ac:dyDescent="0.3">
      <c r="A2529" s="10">
        <v>96</v>
      </c>
      <c r="B2529" s="10" t="s">
        <v>2781</v>
      </c>
      <c r="C2529" s="10" t="str" cm="1">
        <f t="array" ref="C2529">_xlfn.IFS(A2529&lt;20, "ภาคกลาง", A2529&lt;30, "ภาคตะวันออก", A2529&lt;50, "ภาคตะวันออกเฉียงเหนือ", A2529&lt;60, "ภาคเหนือ", A2529&lt;80, "ภาคกลาง/ตะวันตก", A2529&gt;=80, "ภาคใต้")</f>
        <v>ภาคใต้</v>
      </c>
      <c r="D2529" s="64">
        <v>9699</v>
      </c>
      <c r="E2529" s="10" t="s">
        <v>2808</v>
      </c>
      <c r="F2529" s="11">
        <v>18723</v>
      </c>
      <c r="G2529" s="11">
        <v>20858</v>
      </c>
      <c r="H2529" s="11">
        <v>39581</v>
      </c>
      <c r="I2529" s="11">
        <v>15884</v>
      </c>
      <c r="J2529" s="66">
        <f t="shared" si="158"/>
        <v>47.302998913620172</v>
      </c>
      <c r="K2529" s="66">
        <f t="shared" si="159"/>
        <v>52.697001086379828</v>
      </c>
    </row>
    <row r="2530" spans="1:11" hidden="1" x14ac:dyDescent="0.3">
      <c r="A2530" s="10">
        <v>96</v>
      </c>
      <c r="B2530" s="10" t="s">
        <v>2781</v>
      </c>
      <c r="C2530" s="10" t="str" cm="1">
        <f t="array" ref="C2530">_xlfn.IFS(A2530&lt;20, "ภาคกลาง", A2530&lt;30, "ภาคตะวันออก", A2530&lt;50, "ภาคตะวันออกเฉียงเหนือ", A2530&lt;60, "ภาคเหนือ", A2530&lt;80, "ภาคกลาง/ตะวันตก", A2530&gt;=80, "ภาคใต้")</f>
        <v>ภาคใต้</v>
      </c>
      <c r="D2530"/>
      <c r="F2530" s="11">
        <v>19601</v>
      </c>
      <c r="G2530" s="11">
        <v>20662</v>
      </c>
      <c r="H2530" s="11">
        <v>40263</v>
      </c>
      <c r="I2530" s="11">
        <v>16671</v>
      </c>
      <c r="J2530"/>
      <c r="K2530"/>
    </row>
    <row r="2531" spans="1:11" hidden="1" x14ac:dyDescent="0.3">
      <c r="D2531"/>
      <c r="J2531"/>
      <c r="K2531"/>
    </row>
  </sheetData>
  <autoFilter ref="E1:E2531" xr:uid="{60E042F8-2EB1-477F-B534-C3A267D835CB}">
    <filterColumn colId="0">
      <filters>
        <filter val="ท้องถิ่น ทต.นิคมสร้างตนเองลำโดมน้อย"/>
        <filter val="ท้องถิ่นเขตคลองเตย"/>
        <filter val="ท้องถิ่นเขตคลองสาน"/>
        <filter val="ท้องถิ่นเขตคลองสามวา"/>
        <filter val="ท้องถิ่นเขตคันนายาว"/>
        <filter val="ท้องถิ่นเขตจตุจักร"/>
        <filter val="ท้องถิ่นเขตจอมทอง"/>
        <filter val="ท้องถิ่นเขตดอนเมือง"/>
        <filter val="ท้องถิ่นเขตดินแดง"/>
        <filter val="ท้องถิ่นเขตดุสิต"/>
        <filter val="ท้องถิ่นเขตตลิ่งชัน"/>
        <filter val="ท้องถิ่นเขตทวีวัฒนา"/>
        <filter val="ท้องถิ่นเขตทุ่งครุ"/>
        <filter val="ท้องถิ่นเขตธนบุรี"/>
        <filter val="ท้องถิ่นเขตบางกอกน้อย"/>
        <filter val="ท้องถิ่นเขตบางกอกใหญ่"/>
        <filter val="ท้องถิ่นเขตบางกะปิ"/>
        <filter val="ท้องถิ่นเขตบางขุนเทียน"/>
        <filter val="ท้องถิ่นเขตบางเขน"/>
        <filter val="ท้องถิ่นเขตบางคอแหลม"/>
        <filter val="ท้องถิ่นเขตบางแค"/>
        <filter val="ท้องถิ่นเขตบางซื่อ"/>
        <filter val="ท้องถิ่นเขตบางนา"/>
        <filter val="ท้องถิ่นเขตบางบอน"/>
        <filter val="ท้องถิ่นเขตบางพลัด"/>
        <filter val="ท้องถิ่นเขตบางรัก"/>
        <filter val="ท้องถิ่นเขตบึงกุ่ม"/>
        <filter val="ท้องถิ่นเขตปทุมวัน"/>
        <filter val="ท้องถิ่นเขตประเวศ"/>
        <filter val="ท้องถิ่นเขตป้อมปราบศัตรูพ่าย"/>
        <filter val="ท้องถิ่นเขตพญาไท"/>
        <filter val="ท้องถิ่นเขตพระโขนง"/>
        <filter val="ท้องถิ่นเขตพระนคร"/>
        <filter val="ท้องถิ่นเขตภาษีเจริญ"/>
        <filter val="ท้องถิ่นเขตมีนบุรี"/>
        <filter val="ท้องถิ่นเขตยานนาวา"/>
        <filter val="ท้องถิ่นเขตราชเทวี"/>
        <filter val="ท้องถิ่นเขตราษฎร์บูรณะ"/>
        <filter val="ท้องถิ่นเขตลาดกระบัง"/>
        <filter val="ท้องถิ่นเขตลาดพร้าว"/>
        <filter val="ท้องถิ่นเขตวังทองหลาง"/>
        <filter val="ท้องถิ่นเขตวัฒนา"/>
        <filter val="ท้องถิ่นเขตสวนหลวง"/>
        <filter val="ท้องถิ่นเขตสะพานสูง"/>
        <filter val="ท้องถิ่นเขตสัมพันธวงศ์"/>
        <filter val="ท้องถิ่นเขตสาทร"/>
        <filter val="ท้องถิ่นเขตสายไหม"/>
        <filter val="ท้องถิ่นเขตหนองแขม"/>
        <filter val="ท้องถิ่นเขตหนองจอก"/>
        <filter val="ท้องถิ่นเขตหลักสี่"/>
        <filter val="ท้องถิ่นเขตห้วยขวาง"/>
        <filter val="ท้องถิ่นเทศบาลตำบล กม.5"/>
        <filter val="ท้องถิ่นเทศบาลตำบลกกโก"/>
        <filter val="ท้องถิ่นเทศบาลตำบลกงไกรลาศ"/>
        <filter val="ท้องถิ่นเทศบาลตำบลกบินทร์"/>
        <filter val="ท้องถิ่นเทศบาลตำบลกมลาไสย"/>
        <filter val="ท้องถิ่นเทศบาลตำบลกรอกสมบูรณ์"/>
        <filter val="ท้องถิ่นเทศบาลตำบลกระจัน"/>
        <filter val="ท้องถิ่นเทศบาลตำบลกระจับ"/>
        <filter val="ท้องถิ่นเทศบาลตำบลกระดังงา"/>
        <filter val="ท้องถิ่นเทศบาลตำบลกระบี่น้อย"/>
        <filter val="ท้องถิ่นเทศบาลตำบลกระสัง"/>
        <filter val="ท้องถิ่นเทศบาลตำบลกระโสม"/>
        <filter val="ท้องถิ่นเทศบาลตำบลกระหวัน"/>
        <filter val="ท้องถิ่นเทศบาลตำบลกรับใหญ่"/>
        <filter val="ท้องถิ่นเทศบาลตำบลกลางดง"/>
        <filter val="ท้องถิ่นเทศบาลตำบลกองดิน"/>
        <filter val="ท้องถิ่นเทศบาลตำบลกะเปอร์"/>
        <filter val="ท้องถิ่นเทศบาลตำบลกะรน"/>
        <filter val="ท้องถิ่นเทศบาลตำบลกังแอน"/>
        <filter val="ท้องถิ่นเทศบาลตำบลกันทรอม"/>
        <filter val="ท้องถิ่นเทศบาลตำบลกันทรารมย์"/>
        <filter val="ท้องถิ่นเทศบาลตำบลกาญจนดิษฐ์"/>
        <filter val="ท้องถิ่นเทศบาลตำบลกำเนิดนพคุณ"/>
        <filter val="ท้องถิ่นเทศบาลตำบลกำแพง"/>
        <filter val="ท้องถิ่นเทศบาลตำบลกำแพงดิน"/>
        <filter val="ท้องถิ่นเทศบาลตำบลกำแพงเพชร"/>
        <filter val="ท้องถิ่นเทศบาลตำบลกำแพงแสน"/>
        <filter val="ท้องถิ่นเทศบาลตำบลกุดข้าวปุ้น"/>
        <filter val="ท้องถิ่นเทศบาลตำบลกุดจับ"/>
        <filter val="ท้องถิ่นเทศบาลตำบลกุดจิก"/>
        <filter val="ท้องถิ่นเทศบาลตำบลกุดชมภู"/>
        <filter val="ท้องถิ่นเทศบาลตำบลกุดชุมพัฒนา"/>
        <filter val="ท้องถิ่นเทศบาลตำบลกุดดินจี่"/>
        <filter val="ท้องถิ่นเทศบาลตำบลกุดดู่"/>
        <filter val="ท้องถิ่นเทศบาลตำบลกุดนกเปล้า"/>
        <filter val="ท้องถิ่นเทศบาลตำบลกุดน้ำใส"/>
        <filter val="ท้องถิ่นเทศบาลตำบลกุดบาก"/>
        <filter val="ท้องถิ่นเทศบาลตำบลกุดประทาย"/>
        <filter val="ท้องถิ่นเทศบาลตำบลกุดสิม"/>
        <filter val="ท้องถิ่นเทศบาลตำบลกุดหว้า"/>
        <filter val="ท้องถิ่นเทศบาลตำบลกุมภวาปี"/>
        <filter val="ท้องถิ่นเทศบาลตำบลกุยบุรี"/>
        <filter val="ท้องถิ่นเทศบาลตำบลกุสุมาลย์"/>
        <filter val="ท้องถิ่นเทศบาลตำบลกู่กาสิงห์"/>
        <filter val="ท้องถิ่นเทศบาลตำบลเกล็ดแก้ว"/>
        <filter val="ท้องถิ่นเทศบาลตำบลเกวียนหัก"/>
        <filter val="ท้องถิ่นเทศบาลตำบลเกษไชโย"/>
        <filter val="ท้องถิ่นเทศบาลตำบลเกษตรพัฒนา"/>
        <filter val="ท้องถิ่นเทศบาลตำบลเกษตรวิสัย"/>
        <filter val="ท้องถิ่นเทศบาลตำบลเกษตรสมบูรณ์"/>
        <filter val="ท้องถิ่นเทศบาลตำบลเก้าเลี้ยว"/>
        <filter val="ท้องถิ่นเทศบาลตำบลเกาะขนุน"/>
        <filter val="ท้องถิ่นเทศบาลตำบลเกาะขวาง"/>
        <filter val="ท้องถิ่นเทศบาลตำบลเกาะคา"/>
        <filter val="ท้องถิ่นเทศบาลตำบลเกาะจันทร์"/>
        <filter val="ท้องถิ่นเทศบาลตำบลเกาะแต้ว"/>
        <filter val="ท้องถิ่นเทศบาลตำบลเกาะพะงัน"/>
        <filter val="ท้องถิ่นเทศบาลตำบลเกาะเพชร"/>
        <filter val="ท้องถิ่นเทศบาลตำบลเกาะลันตาใหญ่"/>
        <filter val="ท้องถิ่นเทศบาลตำบลเกาะสีชัง"/>
        <filter val="ท้องถิ่นเทศบาลตำบลเกาะหวาย"/>
        <filter val="ท้องถิ่นเทศบาลตำบลแก้งคร้อ"/>
        <filter val="ท้องถิ่นเทศบาลตำบลแก่งเสี้ยน"/>
        <filter val="ท้องถิ่นเทศบาลตำบลแก่งเสือเต้น"/>
        <filter val="ท้องถิ่นเทศบาลตำบลแกดำ"/>
        <filter val="ท้องถิ่นเทศบาลตำบลแกลงกะเฉด"/>
        <filter val="ท้องถิ่นเทศบาลตำบลโกตาบารู"/>
        <filter val="ท้องถิ่นเทศบาลตำบลโกรกพระ"/>
        <filter val="ท้องถิ่นเทศบาลตำบลโกสุมพิสัย"/>
        <filter val="ท้องถิ่นเทศบาลตำบลขนอม"/>
        <filter val="ท้องถิ่นเทศบาลตำบลขวาว"/>
        <filter val="ท้องถิ่นเทศบาลตำบลขาณุวรลักษบุรี"/>
        <filter val="ท้องถิ่นเทศบาลตำบลขามทะเลสอ"/>
        <filter val="ท้องถิ่นเทศบาลตำบลขามป้อม"/>
        <filter val="ท้องถิ่นเทศบาลตำบลขามเรียง"/>
        <filter val="ท้องถิ่นเทศบาลตำบลขามสะแกแสง"/>
        <filter val="ท้องถิ่นเทศบาลตำบลขามใหญ่"/>
        <filter val="ท้องถิ่นเทศบาลตำบลขุนทะเล"/>
        <filter val="ท้องถิ่นเทศบาลตำบลขุนพัดเพ็ง"/>
        <filter val="ท้องถิ่นเทศบาลตำบลขุนยวม"/>
        <filter val="ท้องถิ่นเทศบาลตำบลขุนหาญ"/>
        <filter val="ท้องถิ่นเทศบาลตำบลเขตรอุดมศักดิ์"/>
        <filter val="ท้องถิ่นเทศบาลตำบลเขมราฐ"/>
        <filter val="ท้องถิ่นเทศบาลตำบลเขาแก้ว"/>
        <filter val="ท้องถิ่นเทศบาลตำบลเขาขวาง"/>
        <filter val="ท้องถิ่นเทศบาลตำบลเขางู"/>
        <filter val="ท้องถิ่นเทศบาลตำบลเขาฉกรรจ์"/>
        <filter val="ท้องถิ่นเทศบาลตำบลเขาชัยสน"/>
        <filter val="ท้องถิ่นเทศบาลตำบลเขาชุมทอง"/>
        <filter val="ท้องถิ่นเทศบาลตำบลเขาดิน"/>
        <filter val="ท้องถิ่นเทศบาลตำบลเขาทราย"/>
        <filter val="ท้องถิ่นเทศบาลตำบลเขาน้อย"/>
        <filter val="ท้องถิ่นเทศบาลตำบลเขานิพันธ์"/>
        <filter val="ท้องถิ่นเทศบาลตำบลเขาบางแกรก"/>
        <filter val="ท้องถิ่นเทศบาลตำบลเขาบายศรี"/>
        <filter val="ท้องถิ่นเทศบาลตำบลเขาพนม"/>
        <filter val="ท้องถิ่นเทศบาลตำบลเขาพระ"/>
        <filter val="ท้องถิ่นเทศบาลตำบลเขาพระงาม"/>
        <filter val="ท้องถิ่นเทศบาลตำบลเขาย้อย"/>
        <filter val="ท้องถิ่นเทศบาลตำบลเขาสมิง"/>
        <filter val="ท้องถิ่นเทศบาลตำบลเขาสวนกวาง"/>
        <filter val="ท้องถิ่นเทศบาลตำบลเขาหัวช้าง"/>
        <filter val="ท้องถิ่นเทศบาลตำบลเขาหินซ้อน"/>
        <filter val="ท้องถิ่นเทศบาลตำบลเขื่องใน"/>
        <filter val="ท้องถิ่นเทศบาลตำบลเขื่อนบางลาง"/>
        <filter val="ท้องถิ่นเทศบาลตำบลเขื่อนอุบลรัตน์"/>
        <filter val="ท้องถิ่นเทศบาลตำบลคชสิทธิ์"/>
        <filter val="ท้องถิ่นเทศบาลตำบลครึ่ง"/>
        <filter val="ท้องถิ่นเทศบาลตำบลคลองขลุง"/>
        <filter val="ท้องถิ่นเทศบาลตำบลคลองขุด"/>
        <filter val="ท้องถิ่นเทศบาลตำบลคลองแงะ"/>
        <filter val="ท้องถิ่นเทศบาลตำบลคลองจิก"/>
        <filter val="ท้องถิ่นเทศบาลตำบลคลองชะอุ่น"/>
        <filter val="ท้องถิ่นเทศบาลตำบลคลองด่าน"/>
        <filter val="ท้องถิ่นเทศบาลตำบลคลองตำหรุ"/>
        <filter val="ท้องถิ่นเทศบาลตำบลคลองเต็ง"/>
        <filter val="ท้องถิ่นเทศบาลตำบลคลองท่อมใต้"/>
        <filter val="ท้องถิ่นเทศบาลตำบลคลองปาง"/>
        <filter val="ท้องถิ่นเทศบาลตำบลคลองไผ่"/>
        <filter val="ท้องถิ่นเทศบาลตำบลคลองพน"/>
        <filter val="ท้องถิ่นเทศบาลตำบลคลองพิไกร"/>
        <filter val="ท้องถิ่นเทศบาลตำบลคลองแม่ลาย"/>
        <filter val="ท้องถิ่นเทศบาลตำบลคลองโยง"/>
        <filter val="ท้องถิ่นเทศบาลตำบลคลองลานพัฒนา"/>
        <filter val="ท้องถิ่นเทศบาลตำบลคลองวาฬ"/>
        <filter val="ท้องถิ่นเทศบาลตำบลคลองสวน"/>
        <filter val="ท้องถิ่นเทศบาลตำบลคลองใหญ่"/>
        <filter val="ท้องถิ่นเทศบาลตำบลควนกุน"/>
        <filter val="ท้องถิ่นเทศบาลตำบลควนขนุน"/>
        <filter val="ท้องถิ่นเทศบาลตำบลควนโดน"/>
        <filter val="ท้องถิ่นเทศบาลตำบลควนเนียง"/>
        <filter val="ท้องถิ่นเทศบาลตำบลคอกช้าง"/>
        <filter val="ท้องถิ่นเทศบาลตำบลคอนสวรรค์"/>
        <filter val="ท้องถิ่นเทศบาลตำบลคอนสาร"/>
        <filter val="ท้องถิ่นเทศบาลตำบลคอแลน"/>
        <filter val="ท้องถิ่นเทศบาลตำบลค้อวัง"/>
        <filter val="ท้องถิ่นเทศบาลตำบลคำเขื่อนแก้ว"/>
        <filter val="ท้องถิ่นเทศบาลตำบลคำชะอี"/>
        <filter val="ท้องถิ่นเทศบาลตำบลคำตากล้า"/>
        <filter val="ท้องถิ่นเทศบาลตำบลคำน้ำแซบ"/>
        <filter val="ท้องถิ่นเทศบาลตำบลคำบง"/>
        <filter val="ท้องถิ่นเทศบาลตำบลคำบ่อ"/>
        <filter val="ท้องถิ่นเทศบาลตำบลคำพราน"/>
        <filter val="ท้องถิ่นเทศบาลตำบลคำพอุง"/>
        <filter val="ท้องถิ่นเทศบาลตำบลคำม่วง"/>
        <filter val="ท้องถิ่นเทศบาลตำบลคำใหญ่"/>
        <filter val="ท้องถิ่นเทศบาลตำบลคำอาฮวน"/>
        <filter val="ท้องถิ่นเทศบาลตำบลคุ้งตะเภา"/>
        <filter val="ท้องถิ่นเทศบาลตำบลคุ้งสำเภา"/>
        <filter val="ท้องถิ่นเทศบาลตำบลคุระบุรี"/>
        <filter val="ท้องถิ่นเทศบาลตำบลคูเต่า"/>
        <filter val="ท้องถิ่นเทศบาลตำบลคูเมือง"/>
        <filter val="ท้องถิ่นเทศบาลตำบลเคียนซา"/>
        <filter val="ท้องถิ่นเทศบาลตำบลแคนดง"/>
        <filter val="ท้องถิ่นเทศบาลตำบลแคมป์สน"/>
        <filter val="ท้องถิ่นเทศบาลตำบลโคกกรวด"/>
        <filter val="ท้องถิ่นเทศบาลตำบลโคกกลอย"/>
        <filter val="ท้องถิ่นเทศบาลตำบลโคกคราม"/>
        <filter val="ท้องถิ่นเทศบาลตำบลโคกตูม"/>
        <filter val="ท้องถิ่นเทศบาลตำบลโคกปีบ"/>
        <filter val="ท้องถิ่นเทศบาลตำบลโคกพระ"/>
        <filter val="ท้องถิ่นเทศบาลตำบลโคกโพธิ์"/>
        <filter val="ท้องถิ่นเทศบาลตำบลโคกม่วง"/>
        <filter val="ท้องถิ่นเทศบาลตำบลโคกมะกอก"/>
        <filter val="ท้องถิ่นเทศบาลตำบลโคกล่าม"/>
        <filter val="ท้องถิ่นเทศบาลตำบลโคกศรี"/>
        <filter val="ท้องถิ่นเทศบาลตำบลโคกสวาย"/>
        <filter val="ท้องถิ่นเทศบาลตำบลโคกสะอาด"/>
        <filter val="ท้องถิ่นเทศบาลตำบลโคกสำโรง"/>
        <filter val="ท้องถิ่นเทศบาลตำบลโคกสูง"/>
        <filter val="ท้องถิ่นเทศบาลตำบลโคกสูงสัมพันธ์"/>
        <filter val="ท้องถิ่นเทศบาลตำบลงิม"/>
        <filter val="ท้องถิ่นเทศบาลตำบลจตุรพักตรพิมาน"/>
        <filter val="ท้องถิ่นเทศบาลตำบลจระเข้หิน"/>
        <filter val="ท้องถิ่นเทศบาลตำบลจริม"/>
        <filter val="ท้องถิ่นเทศบาลตำบลจอมทอง"/>
        <filter val="ท้องถิ่นเทศบาลตำบลจอมบึง"/>
        <filter val="ท้องถิ่นเทศบาลตำบลจอมพระ"/>
        <filter val="ท้องถิ่นเทศบาลตำบลจอมพลเจ้าพระยา"/>
        <filter val="ท้องถิ่นเทศบาลตำบลจอหอ"/>
        <filter val="ท้องถิ่นเทศบาลตำบลจะนะ"/>
        <filter val="ท้องถิ่นเทศบาลตำบลจักราช"/>
        <filter val="ท้องถิ่นเทศบาลตำบลจัตุรัส"/>
        <filter val="ท้องถิ่นเทศบาลตำบลจันจว้า"/>
        <filter val="ท้องถิ่นเทศบาลตำบลจันดี"/>
        <filter val="ท้องถิ่นเทศบาลตำบลจันดุม"/>
        <filter val="ท้องถิ่นเทศบาลตำบลจันทบเพชร"/>
        <filter val="ท้องถิ่นเทศบาลตำบลจำปี"/>
        <filter val="ท้องถิ่นเทศบาลตำบลจุน"/>
        <filter val="ท้องถิ่นเทศบาลตำบลจุมจัง"/>
        <filter val="ท้องถิ่นเทศบาลตำบลเจ็ดเสมียน"/>
        <filter val="ท้องถิ่นเทศบาลตำบลเจดีย์แม่ครัว"/>
        <filter val="ท้องถิ่นเทศบาลตำบลเจดีย์หลวง"/>
        <filter val="ท้องถิ่นเทศบาลตำบลเจริญศิลป์"/>
        <filter val="ท้องถิ่นเทศบาลตำบลเจ๊ะบิลัง"/>
        <filter val="ท้องถิ่นเทศบาลตำบลเจ้าเจ็ด"/>
        <filter val="ท้องถิ่นเทศบาลตำบลแจ้ห่ม"/>
        <filter val="ท้องถิ่นเทศบาลตำบลฉลุง"/>
        <filter val="ท้องถิ่นเทศบาลตำบลฉวาง"/>
        <filter val="ท้องถิ่นเทศบาลตำบลเฉลียงทอง"/>
        <filter val="ท้องถิ่นเทศบาลตำบลชนแดน"/>
        <filter val="ท้องถิ่นเทศบาลตำบลชนบท"/>
        <filter val="ท้องถิ่นเทศบาลตำบลชมภู"/>
        <filter val="ท้องถิ่นเทศบาลตำบลช่องแค"/>
        <filter val="ท้องถิ่นเทศบาลตำบลช่องเม็ก"/>
        <filter val="ท้องถิ่นเทศบาลตำบลช่องลม"/>
        <filter val="ท้องถิ่นเทศบาลตำบลช่อแฮ"/>
        <filter val="ท้องถิ่นเทศบาลตำบลชะรัด"/>
        <filter val="ท้องถิ่นเทศบาลตำบลชะอวด"/>
        <filter val="ท้องถิ่นเทศบาลตำบลชัยนาท"/>
        <filter val="ท้องถิ่นเทศบาลตำบลชัยวารี"/>
        <filter val="ท้องถิ่นเทศบาลตำบลชากไทย"/>
        <filter val="ท้องถิ่นเทศบาลตำบลช้างซ้าย"/>
        <filter val="ท้องถิ่นเทศบาลตำบลช้างเผือก"/>
        <filter val="ท้องถิ่นเทศบาลตำบลชานุมาน"/>
        <filter val="ท้องถิ่นเทศบาลตำบลชุมพล"/>
        <filter val="ท้องถิ่นเทศบาลตำบลชุมพลบุรี"/>
        <filter val="ท้องถิ่นเทศบาลตำบลชุมพวง"/>
        <filter val="ท้องถิ่นเทศบาลตำบลชุมแสง"/>
        <filter val="ท้องถิ่นเทศบาลตำบลเชิงดอย"/>
        <filter val="ท้องถิ่นเทศบาลตำบลเชิงทะเล"/>
        <filter val="ท้องถิ่นเทศบาลตำบลเชียงกลม"/>
        <filter val="ท้องถิ่นเทศบาลตำบลเชียงกลาง"/>
        <filter val="ท้องถิ่นเทศบาลตำบลเชียงคาน"/>
        <filter val="ท้องถิ่นเทศบาลตำบลเชียงคำ"/>
        <filter val="ท้องถิ่นเทศบาลตำบลเชียงเครือ"/>
        <filter val="ท้องถิ่นเทศบาลตำบลเชียงดาว"/>
        <filter val="ท้องถิ่นเทศบาลตำบลเชียงเพ็ง"/>
        <filter val="ท้องถิ่นเทศบาลตำบลเชียงม่วน"/>
        <filter val="ท้องถิ่นเทศบาลตำบลเชียงยืน"/>
        <filter val="ท้องถิ่นเทศบาลตำบลเชียงรากน้อย"/>
        <filter val="ท้องถิ่นเทศบาลตำบลเชียงใหม่"/>
        <filter val="ท้องถิ่นเทศบาลตำบลเชียรใหญ่"/>
        <filter val="ท้องถิ่นเทศบาลตำบลแชะ"/>
        <filter val="ท้องถิ่นเทศบาลตำบลโชคชัย"/>
        <filter val="ท้องถิ่นเทศบาลตำบลไชยปราการ"/>
        <filter val="ท้องถิ่นเทศบาลตำบลไชยวาน"/>
        <filter val="ท้องถิ่นเทศบาลตำบลไชโย"/>
        <filter val="ท้องถิ่นเทศบาลตำบลซับสมอทอด"/>
        <filter val="ท้องถิ่นเทศบาลตำบลซำสูง"/>
        <filter val="ท้องถิ่นเทศบาลตำบลโซ่พิสัย"/>
        <filter val="ท้องถิ่นเทศบาลตำบลดงขุย"/>
        <filter val="ท้องถิ่นเทศบาลตำบลดงเจน"/>
        <filter val="ท้องถิ่นเทศบาลตำบลดงแดง"/>
        <filter val="ท้องถิ่นเทศบาลตำบลดงป่าคำ"/>
        <filter val="ท้องถิ่นเทศบาลตำบลดงมะไฟ"/>
        <filter val="ท้องถิ่นเทศบาลตำบลดงเย็น"/>
        <filter val="ท้องถิ่นเทศบาลตำบลดอนเกาะกา"/>
        <filter val="ท้องถิ่นเทศบาลตำบลดอนเขือง"/>
        <filter val="ท้องถิ่นเทศบาลตำบลดอนเจดีย์"/>
        <filter val="ท้องถิ่นเทศบาลตำบลดอนฉิมพลี"/>
        <filter val="ท้องถิ่นเทศบาลตำบลดอนตาล"/>
        <filter val="ท้องถิ่นเทศบาลตำบลดอนทราย"/>
        <filter val="ท้องถิ่นเทศบาลตำบลดอนพุด"/>
        <filter val="ท้องถิ่นเทศบาลตำบลดอนโมง"/>
        <filter val="ท้องถิ่นเทศบาลตำบลดอนยายหอม"/>
        <filter val="ท้องถิ่นเทศบาลตำบลดอนหญ้านาง"/>
        <filter val="ท้องถิ่นเทศบาลตำบลดอนหวาย"/>
        <filter val="ท้องถิ่นเทศบาลตำบลดอนหัวฬ่อ"/>
        <filter val="ท้องถิ่นเทศบาลตำบลดอยสะเก็ด"/>
        <filter val="ท้องถิ่นเทศบาลตำบลด่านเกวียน"/>
        <filter val="ท้องถิ่นเทศบาลตำบลด่านขุนทด"/>
        <filter val="ท้องถิ่นเทศบาลตำบลด่านคล้า"/>
        <filter val="ท้องถิ่นเทศบาลตำบลด่านช้าง"/>
        <filter val="ท้องถิ่นเทศบาลตำบลด่านซ้าย"/>
        <filter val="ท้องถิ่นเทศบาลตำบลด่านทับตะโก"/>
        <filter val="ท้องถิ่นเทศบาลตำบลด่านมะขามเตี้ย"/>
        <filter val="ท้องถิ่นเทศบาลตำบลด่านสำโรง"/>
        <filter val="ท้องถิ่นเทศบาลตำบลดำเนินสะดวก"/>
        <filter val="ท้องถิ่นเทศบาลตำบลดินดำ"/>
        <filter val="ท้องถิ่นเทศบาลตำบลดีลัง"/>
        <filter val="ท้องถิ่นเทศบาลตำบลเด่นชัย"/>
        <filter val="ท้องถิ่นเทศบาลตำบลเดิมบาง"/>
        <filter val="ท้องถิ่นเทศบาลตำบลตกพรม"/>
        <filter val="ท้องถิ่นเทศบาลตำบลต้นคราม"/>
        <filter val="ท้องถิ่นเทศบาลตำบลต้นไทร"/>
        <filter val="ท้องถิ่นเทศบาลตำบลตรอน"/>
        <filter val="ท้องถิ่นเทศบาลตำบลตระการพืชผล"/>
        <filter val="ท้องถิ่นเทศบาลตำบลตลาดเขต"/>
        <filter val="ท้องถิ่นเทศบาลตำบลตลาดแค"/>
        <filter val="ท้องถิ่นเทศบาลตำบลตลาดไชยา"/>
        <filter val="ท้องถิ่นเทศบาลตำบลตลาดนิคมปราสาท"/>
        <filter val="ท้องถิ่นเทศบาลตำบลตลุกดู่"/>
        <filter val="ท้องถิ่นเทศบาลตำบลตองโขบ"/>
        <filter val="ท้องถิ่นเทศบาลตำบลตะกาง"/>
        <filter val="ท้องถิ่นเทศบาลตำบลตะกุด"/>
        <filter val="ท้องถิ่นเทศบาลตำบลตะขบ"/>
        <filter val="ท้องถิ่นเทศบาลตำบลตะค่า"/>
        <filter val="ท้องถิ่นเทศบาลตำบลตะเคียนเตี้ย"/>
        <filter val="ท้องถิ่นเทศบาลตำบลตะเคียนทอง"/>
        <filter val="ท้องถิ่นเทศบาลตำบลตะโหมด"/>
        <filter val="ท้องถิ่นเทศบาลตำบลตันหยง"/>
        <filter val="ท้องถิ่นเทศบาลตำบลตันหยงมัส"/>
        <filter val="ท้องถิ่นเทศบาลตำบลตากฟ้า"/>
        <filter val="ท้องถิ่นเทศบาลตำบลตาจง"/>
        <filter val="ท้องถิ่นเทศบาลตำบลตาพระยา"/>
        <filter val="ท้องถิ่นเทศบาลตำบลตาลเลียน"/>
        <filter val="ท้องถิ่นเทศบาลตำบลตาลสุม"/>
        <filter val="ท้องถิ่นเทศบาลตำบลถนนใหญ่"/>
        <filter val="ท้องถิ่นเทศบาลตำบลถอนสมอ"/>
        <filter val="ท้องถิ่นเทศบาลตำบลถาวร"/>
        <filter val="ท้องถิ่นเทศบาลตำบลทรายมูล"/>
        <filter val="ท้องถิ่นเทศบาลตำบลท้องเนียน"/>
        <filter val="ท้องถิ่นเทศบาลตำบลทองผาภูมิ"/>
        <filter val="ท้องถิ่นเทศบาลตำบลทองแสนขัน"/>
        <filter val="ท้องถิ่นเทศบาลตำบลทอนหงส์"/>
        <filter val="ท้องถิ่นเทศบาลตำบลทะเมนชัย"/>
        <filter val="ท้องถิ่นเทศบาลตำบลทับกฤช"/>
        <filter val="ท้องถิ่นเทศบาลตำบลทับคล้อ"/>
        <filter val="ท้องถิ่นเทศบาลตำบลทับช้าง"/>
        <filter val="ท้องถิ่นเทศบาลตำบลทับปุด"/>
        <filter val="ท้องถิ่นเทศบาลตำบลทับมา"/>
        <filter val="ท้องถิ่นเทศบาลตำบลทับสะแก"/>
        <filter val="ท้องถิ่นเทศบาลตำบลทัพทัน"/>
        <filter val="ท้องถิ่นเทศบาลตำบลทากาศ"/>
        <filter val="ท้องถิ่นเทศบาลตำบลท่าเกษม"/>
        <filter val="ท้องถิ่นเทศบาลตำบลท่าขนอน"/>
        <filter val="ท้องถิ่นเทศบาลตำบลท่าขอนยาง"/>
        <filter val="ท้องถิ่นเทศบาลตำบลท่าข้าม"/>
        <filter val="ท้องถิ่นเทศบาลตำบลท่าโขลง"/>
        <filter val="ท้องถิ่นเทศบาลตำบลท่าคันโท"/>
        <filter val="ท้องถิ่นเทศบาลตำบลทางพูน"/>
        <filter val="ท้องถิ่นเทศบาลตำบลท่าฉาง"/>
        <filter val="ท้องถิ่นเทศบาลตำบลท่าชนะ"/>
        <filter val="ท้องถิ่นเทศบาลตำบลท่าช้าง"/>
        <filter val="ท้องถิ่นเทศบาลตำบลท่าแซะ"/>
        <filter val="ท้องถิ่นเทศบาลตำบลท่าเดื่อ-มืดกา"/>
        <filter val="ท้องถิ่นเทศบาลตำบลท่าตะโก"/>
        <filter val="ท้องถิ่นเทศบาลตำบลท่าตูม"/>
        <filter val="ท้องถิ่นเทศบาลตำบลท่าทองใหม่"/>
        <filter val="ท้องถิ่นเทศบาลตำบลท่านา"/>
        <filter val="ท้องถิ่นเทศบาลตำบลท่าน้ำอ้อยม่วงหัก"/>
        <filter val="ท้องถิ่นเทศบาลตำบลท่าบุญมี"/>
        <filter val="ท้องถิ่นเทศบาลตำบลท่าปลา"/>
        <filter val="ท้องถิ่นเทศบาลตำบลท่าพระ"/>
        <filter val="ท้องถิ่นเทศบาลตำบลท่าพริกเนินทราย"/>
        <filter val="ท้องถิ่นเทศบาลตำบลท่าพล"/>
        <filter val="ท้องถิ่นเทศบาลตำบลท่าพุทรา"/>
        <filter val="ท้องถิ่นเทศบาลตำบลท่าแพ"/>
        <filter val="ท้องถิ่นเทศบาลตำบลท่าม่วง"/>
        <filter val="ท้องถิ่นเทศบาลตำบลท่ามะกา"/>
        <filter val="ท้องถิ่นเทศบาลตำบลท่ามะเขือ"/>
        <filter val="ท้องถิ่นเทศบาลตำบลท่ามะเดื่อ"/>
        <filter val="ท้องถิ่นเทศบาลตำบลท่าไม้"/>
        <filter val="ท้องถิ่นเทศบาลตำบลท้ายดง"/>
        <filter val="ท้องถิ่นเทศบาลตำบลท้ายเหมือง"/>
        <filter val="ท้องถิ่นเทศบาลตำบลท่ายาง"/>
        <filter val="ท้องถิ่นเทศบาลตำบลท่าเยี่ยม"/>
        <filter val="ท้องถิ่นเทศบาลตำบลท่าระหัด"/>
        <filter val="ท้องถิ่นเทศบาลตำบลท่าเรือ"/>
        <filter val="ท้องถิ่นเทศบาลตำบลท่าแร่"/>
        <filter val="ท้องถิ่นเทศบาลตำบลท่าล้อ"/>
        <filter val="ท้องถิ่นเทศบาลตำบลท่าลาน"/>
        <filter val="ท้องถิ่นเทศบาลตำบลท่าลี่"/>
        <filter val="ท้องถิ่นเทศบาลตำบลท่าแลง"/>
        <filter val="ท้องถิ่นเทศบาลตำบลท้าวอู่ทอง"/>
        <filter val="ท้องถิ่นเทศบาลตำบลท่าวังทอง"/>
        <filter val="ท้องถิ่นเทศบาลตำบลท่าวังผา"/>
        <filter val="ท้องถิ่นเทศบาลตำบลท่าวุ้ง"/>
        <filter val="ท้องถิ่นเทศบาลตำบลท่าศาลา"/>
        <filter val="ท้องถิ่นเทศบาลตำบลทาสบชัย"/>
        <filter val="ท้องถิ่นเทศบาลตำบลทาสบเส้า"/>
        <filter val="ท้องถิ่นเทศบาลตำบลท่าสะอาด"/>
        <filter val="ท้องถิ่นเทศบาลตำบลท่าสะอ้าน"/>
        <filter val="ท้องถิ่นเทศบาลตำบลท่าสัก"/>
        <filter val="ท้องถิ่นเทศบาลตำบลท่าสายลวด"/>
        <filter val="ท้องถิ่นเทศบาลตำบลท่าเสด็จ"/>
        <filter val="ท้องถิ่นเทศบาลตำบลท่าเสา"/>
        <filter val="ท้องถิ่นเทศบาลตำบลท่าหลวง"/>
        <filter val="ท้องถิ่นเทศบาลตำบลท่าฬ่อ"/>
        <filter val="ท้องถิ่นเทศบาลตำบลท่าอุเทน"/>
        <filter val="ท้องถิ่นเทศบาลตำบลที่วัง"/>
        <filter val="ท้องถิ่นเทศบาลตำบลทุ่งกระเชาะ"/>
        <filter val="ท้องถิ่นเทศบาลตำบลทุ่งข้าวพวง"/>
        <filter val="ท้องถิ่นเทศบาลตำบลทุ่งควายกิน"/>
        <filter val="ท้องถิ่นเทศบาลตำบลทุ่งคอก"/>
        <filter val="ท้องถิ่นเทศบาลตำบลทุ่งช้าง"/>
        <filter val="ท้องถิ่นเทศบาลตำบลทุ่งทราย"/>
        <filter val="ท้องถิ่นเทศบาลตำบลทุ่งฝน"/>
        <filter val="ท้องถิ่นเทศบาลตำบลทุ่งยั้ง"/>
        <filter val="ท้องถิ่นเทศบาลตำบลทุ่งยาว"/>
        <filter val="ท้องถิ่นเทศบาลตำบลทุ่งลาน"/>
        <filter val="ท้องถิ่นเทศบาลตำบลทุ่งสะเดา"/>
        <filter val="ท้องถิ่นเทศบาลตำบลทุ่งเสลี่ยม"/>
        <filter val="ท้องถิ่นเทศบาลตำบลทุ่งหลวง"/>
        <filter val="ท้องถิ่นเทศบาลตำบลทุ่งหว้า"/>
        <filter val="ท้องถิ่นเทศบาลตำบลทุ่งหัวช้าง"/>
        <filter val="ท้องถิ่นเทศบาลตำบลทุ่งโฮ้ง"/>
        <filter val="ท้องถิ่นเทศบาลตำบลเทพกระษัตรี"/>
        <filter val="ท้องถิ่นเทศบาลตำบลเทพนคร"/>
        <filter val="ท้องถิ่นเทศบาลตำบลเทพราช"/>
        <filter val="ท้องถิ่นเทศบาลตำบลเทพวงศา"/>
        <filter val="ท้องถิ่นเทศบาลตำบลเทพสถิต"/>
        <filter val="ท้องถิ่นเทศบาลตำบลเทพา"/>
        <filter val="ท้องถิ่นเทศบาลตำบลเทพาลัย"/>
        <filter val="ท้องถิ่นเทศบาลตำบลไทรงาม"/>
        <filter val="ท้องถิ่นเทศบาลตำบลไทรน้อย"/>
        <filter val="ท้องถิ่นเทศบาลตำบลไทรย้อย"/>
        <filter val="ท้องถิ่นเทศบาลตำบลไทรโยง-ไชยวาล"/>
        <filter val="ท้องถิ่นเทศบาลตำบลธงธานี"/>
        <filter val="ท้องถิ่นเทศบาลตำบลธรรมศาลา"/>
        <filter val="ท้องถิ่นเทศบาลตำบลธัญญา"/>
        <filter val="ท้องถิ่นเทศบาลตำบลธัญบุรี"/>
        <filter val="ท้องถิ่นเทศบาลตำบลธาตุ"/>
        <filter val="ท้องถิ่นเทศบาลตำบลธาตุทอง"/>
        <filter val="ท้องถิ่นเทศบาลตำบลธาตุพนม"/>
        <filter val="ท้องถิ่นเทศบาลตำบลนครชัยศรี"/>
        <filter val="ท้องถิ่นเทศบาลตำบลนครชุม"/>
        <filter val="ท้องถิ่นเทศบาลตำบลนครไทย"/>
        <filter val="ท้องถิ่นเทศบาลตำบลนครเนื่องเขต"/>
        <filter val="ท้องถิ่นเทศบาลตำบลนครหลวง"/>
        <filter val="ท้องถิ่นเทศบาลตำบลนากลาง"/>
        <filter val="ท้องถิ่นเทศบาลตำบลนาแก"/>
        <filter val="ท้องถิ่นเทศบาลตำบลนาแก้ว"/>
        <filter val="ท้องถิ่นเทศบาลตำบลนาข่า"/>
        <filter val="ท้องถิ่นเทศบาลตำบลนาขาม"/>
        <filter val="ท้องถิ่นเทศบาลตำบลนาคำไฮ"/>
        <filter val="ท้องถิ่นเทศบาลตำบลนาคู"/>
        <filter val="ท้องถิ่นเทศบาลตำบลนางบวช"/>
        <filter val="ท้องถิ่นเทศบาลตำบลนางลือ"/>
        <filter val="ท้องถิ่นเทศบาลตำบลนางแล"/>
        <filter val="ท้องถิ่นเทศบาลตำบลนางัว"/>
        <filter val="ท้องถิ่นเทศบาลตำบลนางั่ว"/>
        <filter val="ท้องถิ่นเทศบาลตำบลนาจอมเทียน"/>
        <filter val="ท้องถิ่นเทศบาลตำบลนาจะหลวย"/>
        <filter val="ท้องถิ่นเทศบาลตำบลนาจารย์"/>
        <filter val="ท้องถิ่นเทศบาลตำบลนาเฉลียง"/>
        <filter val="ท้องถิ่นเทศบาลตำบลนาเชือก"/>
        <filter val="ท้องถิ่นเทศบาลตำบลนาด้วง"/>
        <filter val="ท้องถิ่นเทศบาลตำบลนาดอกคำ"/>
        <filter val="ท้องถิ่นเทศบาลตำบลนาดินดำ"/>
        <filter val="ท้องถิ่นเทศบาลตำบลนาดี"/>
        <filter val="ท้องถิ่นเทศบาลตำบลนาดูน"/>
        <filter val="ท้องถิ่นเทศบาลตำบลนาทวี"/>
        <filter val="ท้องถิ่นเทศบาลตำบลนาทัน"/>
        <filter val="ท้องถิ่นเทศบาลตำบลนาน้อย"/>
        <filter val="ท้องถิ่นเทศบาลตำบลนาบอน"/>
        <filter val="ท้องถิ่นเทศบาลตำบลนาประดู่"/>
        <filter val="ท้องถิ่นเทศบาลตำบลนาป่า"/>
        <filter val="ท้องถิ่นเทศบาลตำบลนาโป่ง"/>
        <filter val="ท้องถิ่นเทศบาลตำบลนาโพธิ์"/>
        <filter val="ท้องถิ่นเทศบาลตำบลนามน"/>
        <filter val="ท้องถิ่นเทศบาลตำบลนามะเฟือง"/>
        <filter val="ท้องถิ่นเทศบาลตำบลนายม"/>
        <filter val="ท้องถิ่นเทศบาลตำบลนายาง"/>
        <filter val="ท้องถิ่นเทศบาลตำบลนายายอาม"/>
        <filter val="ท้องถิ่นเทศบาลตำบลนาเยีย"/>
        <filter val="ท้องถิ่นเทศบาลตำบลนาโยงเหนือ"/>
        <filter val="ท้องถิ่นเทศบาลตำบลนาวง"/>
        <filter val="ท้องถิ่นเทศบาลตำบลนาส่วง"/>
        <filter val="ท้องถิ่นเทศบาลตำบลนาสีทอง"/>
        <filter val="ท้องถิ่นเทศบาลตำบลนาหนองทุ่ม"/>
        <filter val="ท้องถิ่นเทศบาลตำบลนาหว้า"/>
        <filter val="ท้องถิ่นเทศบาลตำบลนาเหล่า"/>
        <filter val="ท้องถิ่นเทศบาลตำบลนาแห้ว"/>
        <filter val="ท้องถิ่นเทศบาลตำบลนาอ้อ"/>
        <filter val="ท้องถิ่นเทศบาลตำบลนาอาน"/>
        <filter val="ท้องถิ่นเทศบาลตำบลน้ำคำ"/>
        <filter val="ท้องถิ่นเทศบาลตำบลน้ำจืด"/>
        <filter val="ท้องถิ่นเทศบาลตำบลน้ำโจ้"/>
        <filter val="ท้องถิ่นเทศบาลตำบลน้ำเชี่ยว"/>
        <filter val="ท้องถิ่นเทศบาลตำบลน้ำตกไทรโยคน้อย"/>
        <filter val="ท้องถิ่นเทศบาลตำบลน้ำน้อย"/>
        <filter val="ท้องถิ่นเทศบาลตำบลน้ำปลีก"/>
        <filter val="ท้องถิ่นเทศบาลตำบลน้ำปาด"/>
        <filter val="ท้องถิ่นเทศบาลตำบลน้ำพอง"/>
        <filter val="ท้องถิ่นเทศบาลตำบลน้ำยืน"/>
        <filter val="ท้องถิ่นเทศบาลตำบลน้ำริด"/>
        <filter val="ท้องถิ่นเทศบาลตำบลน้ำสวย"/>
        <filter val="ท้องถิ่นเทศบาลตำบลน้ำโสม"/>
        <filter val="ท้องถิ่นเทศบาลตำบลนิคมคำสร้อย"/>
        <filter val="ท้องถิ่นเทศบาลตำบลนิคมทุ่งโพธิ์ทะเล"/>
        <filter val="ท้องถิ่นเทศบาลตำบลนิคมปราสาท"/>
        <filter val="ท้องถิ่นเทศบาลตำบลนิคมพัฒนา"/>
        <filter val="ท้องถิ่นเทศบาลตำบลนิคมสงเคราะห์"/>
        <filter val="ท้องถิ่นเทศบาลตำบลนิเวศน์"/>
        <filter val="ท้องถิ่นเทศบาลตำบลเนินกุ่ม"/>
        <filter val="ท้องถิ่นเทศบาลตำบลเนินขาม"/>
        <filter val="ท้องถิ่นเทศบาลตำบลเนินฆ้อ"/>
        <filter val="ท้องถิ่นเทศบาลตำบลเนินปอ"/>
        <filter val="ท้องถิ่นเทศบาลตำบลเนินมะกอก"/>
        <filter val="ท้องถิ่นเทศบาลตำบลเนินมะปราง"/>
        <filter val="ท้องถิ่นเทศบาลตำบลเนินสันติ"/>
        <filter val="ท้องถิ่นเทศบาลตำบลเนินสูง"/>
        <filter val="ท้องถิ่นเทศบาลตำบลโนนดินแดง"/>
        <filter val="ท้องถิ่นเทศบาลตำบลโนนแดง"/>
        <filter val="ท้องถิ่นเทศบาลตำบลโนนตาล"/>
        <filter val="ท้องถิ่นเทศบาลตำบลโนนท่อน"/>
        <filter val="ท้องถิ่นเทศบาลตำบลโนนไทย"/>
        <filter val="ท้องถิ่นเทศบาลตำบลโนนบุรี"/>
        <filter val="ท้องถิ่นเทศบาลตำบลโนนปอแดง"/>
        <filter val="ท้องถิ่นเทศบาลตำบลโนนศิลา"/>
        <filter val="ท้องถิ่นเทศบาลตำบลโนนสมบูรณ์"/>
        <filter val="ท้องถิ่นเทศบาลตำบลโนนสว่าง"/>
        <filter val="ท้องถิ่นเทศบาลตำบลโนนสะอาด"/>
        <filter val="ท้องถิ่นเทศบาลตำบลโนนสัง"/>
        <filter val="ท้องถิ่นเทศบาลตำบลโนนสุวรรณ"/>
        <filter val="ท้องถิ่นเทศบาลตำบลโนนสูง"/>
        <filter val="ท้องถิ่นเทศบาลตำบลโนนสูงเปลือย"/>
        <filter val="ท้องถิ่นเทศบาลตำบลโนนหัน"/>
        <filter val="ท้องถิ่นเทศบาลตำบลในเมือง"/>
        <filter val="ท้องถิ่นเทศบาลตำบลบงใต้"/>
        <filter val="ท้องถิ่นเทศบาลตำบลบรบือ"/>
        <filter val="ท้องถิ่นเทศบาลตำบลบรรพตพิสัย"/>
        <filter val="ท้องถิ่นเทศบาลตำบลบวกค้าง"/>
        <filter val="ท้องถิ่นเทศบาลตำบลบ่อ"/>
        <filter val="ท้องถิ่นเทศบาลตำบลบ่อกรุ"/>
        <filter val="ท้องถิ่นเทศบาลตำบลบ่อตรุ"/>
        <filter val="ท้องถิ่นเทศบาลตำบลบ่อทอง"/>
        <filter val="ท้องถิ่นเทศบาลตำบลบ่อไทย"/>
        <filter val="ท้องถิ่นเทศบาลตำบลบ่อพลอย"/>
        <filter val="ท้องถิ่นเทศบาลตำบลบ่อพลับ"/>
        <filter val="ท้องถิ่นเทศบาลตำบลบ่อเวฬุ"/>
        <filter val="ท้องถิ่นเทศบาลตำบลบ่อหลวง"/>
        <filter val="ท้องถิ่นเทศบาลตำบลบ่อแฮ้ว"/>
        <filter val="ท้องถิ่นเทศบาลตำบลบันนังสตา"/>
        <filter val="ท้องถิ่นเทศบาลตำบลบัลลังก์"/>
        <filter val="ท้องถิ่นเทศบาลตำบลบัวงาม"/>
        <filter val="ท้องถิ่นเทศบาลตำบลบัวเชด"/>
        <filter val="ท้องถิ่นเทศบาลตำบลบัวบาน"/>
        <filter val="ท้องถิ่นเทศบาลตำบลบัววัฒนา"/>
        <filter val="ท้องถิ่นเทศบาลตำบลบางกระทึก"/>
        <filter val="ท้องถิ่นเทศบาลตำบลบางกระทุ่ม"/>
        <filter val="ท้องถิ่นเทศบาลตำบลบางกระสั้น"/>
        <filter val="ท้องถิ่นเทศบาลตำบลบางกะจะ"/>
        <filter val="ท้องถิ่นเทศบาลตำบลบางกุ้ง"/>
        <filter val="ท้องถิ่นเทศบาลตำบลบางแก้ว"/>
        <filter val="ท้องถิ่นเทศบาลตำบลบางขนาก"/>
        <filter val="ท้องถิ่นเทศบาลตำบลบางคล้า"/>
        <filter val="ท้องถิ่นเทศบาลตำบลบางจัก"/>
        <filter val="ท้องถิ่นเทศบาลตำบลบางจาก"/>
        <filter val="ท้องถิ่นเทศบาลตำบลบางซ้าย"/>
        <filter val="ท้องถิ่นเทศบาลตำบลบางตะบูน"/>
        <filter val="ท้องถิ่นเทศบาลตำบลบางเตย"/>
        <filter val="ท้องถิ่นเทศบาลตำบลบางทราย"/>
        <filter val="ท้องถิ่นเทศบาลตำบลบางไทร"/>
        <filter val="ท้องถิ่นเทศบาลตำบลบางนกแขวก"/>
        <filter val="ท้องถิ่นเทศบาลตำบลบางนมโค"/>
        <filter val="ท้องถิ่นเทศบาลตำบลบางน้ำเชี่ยว"/>
        <filter val="ท้องถิ่นเทศบาลตำบลบางน้ำเปรี้ยว"/>
        <filter val="ท้องถิ่นเทศบาลตำบลบางบ่อ"/>
        <filter val="ท้องถิ่นเทศบาลตำบลบางบาล"/>
        <filter val="ท้องถิ่นเทศบาลตำบลบางประมุง"/>
        <filter val="ท้องถิ่นเทศบาลตำบลบางปลา"/>
        <filter val="ท้องถิ่นเทศบาลตำบลบางปลาม้า"/>
        <filter val="ท้องถิ่นเทศบาลตำบลบางปะกง"/>
        <filter val="ท้องถิ่นเทศบาลตำบลบางปะหัน"/>
        <filter val="ท้องถิ่นเทศบาลตำบลบางปะอิน"/>
        <filter val="ท้องถิ่นเทศบาลตำบลบางปู"/>
        <filter val="ท้องถิ่นเทศบาลตำบลบางไผ่"/>
        <filter val="ท้องถิ่นเทศบาลตำบลบางพระ"/>
        <filter val="ท้องถิ่นเทศบาลตำบลบางพลับ"/>
        <filter val="ท้องถิ่นเทศบาลตำบลบางพลี"/>
        <filter val="ท้องถิ่นเทศบาลตำบลบางพูน"/>
        <filter val="ท้องถิ่นเทศบาลตำบลบางแพ"/>
        <filter val="ท้องถิ่นเทศบาลตำบลบางม่วง"/>
        <filter val="ท้องถิ่นเทศบาลตำบลบางเมือง"/>
        <filter val="ท้องถิ่นเทศบาลตำบลบางระกำ"/>
        <filter val="ท้องถิ่นเทศบาลตำบลบางละมุง"/>
        <filter val="ท้องถิ่นเทศบาลตำบลบางเลน"/>
        <filter val="ท้องถิ่นเทศบาลตำบลบางวัว"/>
        <filter val="ท้องถิ่นเทศบาลตำบลบางวัวคณารักษ์"/>
        <filter val="ท้องถิ่นเทศบาลตำบลบางสวรรค์"/>
        <filter val="ท้องถิ่นเทศบาลตำบลบางสะพานน้อย"/>
        <filter val="ท้องถิ่นเทศบาลตำบลบางเสร่"/>
        <filter val="ท้องถิ่นเทศบาลตำบลบางเสาธง"/>
        <filter val="ท้องถิ่นเทศบาลตำบลบางหลวง"/>
        <filter val="ท้องถิ่นเทศบาลตำบลบางใหญ่"/>
        <filter val="ท้องถิ่นเทศบาลตำบลบาเจาะ"/>
        <filter val="ท้องถิ่นเทศบาลตำบลบ้านกรวด"/>
        <filter val="ท้องถิ่นเทศบาลตำบลบ้านกรวดปัญญาวัฒน์"/>
        <filter val="ท้องถิ่นเทศบาลตำบลบ้านกรูด"/>
        <filter val="ท้องถิ่นเทศบาลตำบลบ้านกล้วย"/>
        <filter val="ท้องถิ่นเทศบาลตำบลบ้านกลาง"/>
        <filter val="ท้องถิ่นเทศบาลตำบลบ้านเกาะ"/>
        <filter val="ท้องถิ่นเทศบาลตำบลบ้านแก่ง"/>
        <filter val="ท้องถิ่นเทศบาลตำบลบ้านแก้ง"/>
        <filter val="ท้องถิ่นเทศบาลตำบลบ้านเขว้า"/>
        <filter val="ท้องถิ่นเทศบาลตำบลบ้านโข้ง"/>
        <filter val="ท้องถิ่นเทศบาลตำบลบ้านค้อ"/>
        <filter val="ท้องถิ่นเทศบาลตำบลบ้านค่าย"/>
        <filter val="ท้องถิ่นเทศบาลตำบลบ้านค่ายหมื่นแผ้ว"/>
        <filter val="ท้องถิ่นเทศบาลตำบลบ้านโคก"/>
        <filter val="ท้องถิ่นเทศบาลตำบลบ้านฆ้อง"/>
        <filter val="ท้องถิ่นเทศบาลตำบลบ้านจั่น"/>
        <filter val="ท้องถิ่นเทศบาลตำบลบ้านฉาง"/>
        <filter val="ท้องถิ่นเทศบาลตำบลบ้านชัฏป่าหวาย"/>
        <filter val="ท้องถิ่นเทศบาลตำบลบ้านเชียง"/>
        <filter val="ท้องถิ่นเทศบาลตำบลบ้านเชี่ยวหลาน"/>
        <filter val="ท้องถิ่นเทศบาลตำบลบ้านดอน"/>
        <filter val="ท้องถิ่นเทศบาลตำบลบ้านด่าน"/>
        <filter val="ท้องถิ่นเทศบาลตำบลบ้านด่านโขงเจียม"/>
        <filter val="ท้องถิ่นเทศบาลตำบลบ้านด่านนาขาม"/>
        <filter val="ท้องถิ่นเทศบาลตำบลบ้านดู่"/>
        <filter val="ท้องถิ่นเทศบาลตำบลบ้านเดื่อ"/>
        <filter val="ท้องถิ่นเทศบาลตำบลบ้านต๋อม"/>
        <filter val="ท้องถิ่นเทศบาลตำบลบ้านต้า"/>
        <filter val="ท้องถิ่นเทศบาลตำบลบ้านตาก"/>
        <filter val="ท้องถิ่นเทศบาลตำบลบ้านตาขุน"/>
        <filter val="ท้องถิ่นเทศบาลตำบลบ้านต๊ำ"/>
        <filter val="ท้องถิ่นเทศบาลตำบลบ้านโต้น"/>
        <filter val="ท้องถิ่นเทศบาลตำบลบ้านโตนด"/>
        <filter val="ท้องถิ่นเทศบาลตำบลบ้านถ้ำ"/>
        <filter val="ท้องถิ่นเทศบาลตำบลบ้านท่าหลวง"/>
        <filter val="ท้องถิ่นเทศบาลตำบลบ้านแท่น"/>
        <filter val="ท้องถิ่นเทศบาลตำบลบ้านธาตุ"/>
        <filter val="ท้องถิ่นเทศบาลตำบลบ้านธิ"/>
        <filter val="ท้องถิ่นเทศบาลตำบลบ้านนา"/>
        <filter val="ท้องถิ่นเทศบาลตำบลบ้านนาปรือ"/>
        <filter val="ท้องถิ่นเทศบาลตำบลบ้านนิเวศน์"/>
        <filter val="ท้องถิ่นเทศบาลตำบลบ้านปลวกแดง"/>
        <filter val="ท้องถิ่นเทศบาลตำบลบ้านปล้อง"/>
        <filter val="ท้องถิ่นเทศบาลตำบลบ้านปิน"/>
        <filter val="ท้องถิ่นเทศบาลตำบลบ้านเป็ด"/>
        <filter val="ท้องถิ่นเทศบาลตำบลบ้านเป้า"/>
        <filter val="ท้องถิ่นเทศบาลตำบลบ้านแป้น"/>
        <filter val="ท้องถิ่นเทศบาลตำบลบ้านผือ"/>
        <filter val="ท้องถิ่นเทศบาลตำบลบ้านฝาง"/>
        <filter val="ท้องถิ่นเทศบาลตำบลบ้านพราน"/>
        <filter val="ท้องถิ่นเทศบาลตำบลบ้านเพ"/>
        <filter val="ท้องถิ่นเทศบาลตำบลบ้านเพชร"/>
        <filter val="ท้องถิ่นเทศบาลตำบลบ้านเพชรภูเขียว"/>
        <filter val="ท้องถิ่นเทศบาลตำบลบ้านแพง"/>
        <filter val="ท้องถิ่นเทศบาลตำบลบ้านแพรก"/>
        <filter val="ท้องถิ่นเทศบาลตำบลบ้านแพ้ว"/>
        <filter val="ท้องถิ่นเทศบาลตำบลบ้านโพธิ์"/>
        <filter val="ท้องถิ่นเทศบาลตำบลบ้านม่วง"/>
        <filter val="ท้องถิ่นเทศบาลตำบลบ้านมุง"/>
        <filter val="ท้องถิ่นเทศบาลตำบลบ้านแม่ข่า"/>
        <filter val="ท้องถิ่นเทศบาลตำบลบ้านยาง"/>
        <filter val="ท้องถิ่นเทศบาลตำบลบ้านแยง"/>
        <filter val="ท้องถิ่นเทศบาลตำบลบ้านไร่"/>
        <filter val="ท้องถิ่นเทศบาลตำบลบ้านลาด"/>
        <filter val="ท้องถิ่นเทศบาลตำบลบ้านเลือก"/>
        <filter val="ท้องถิ่นเทศบาลตำบลบ้านสร้าง"/>
        <filter val="ท้องถิ่นเทศบาลตำบลบ้านสวน"/>
        <filter val="ท้องถิ่นเทศบาลตำบลบ้านส้อง"/>
        <filter val="ท้องถิ่นเทศบาลตำบลบ้านสิงห์"/>
        <filter val="ท้องถิ่นเทศบาลตำบลบ้านเสด็จ"/>
        <filter val="ท้องถิ่นเทศบาลตำบลบ้านหมอ"/>
        <filter val="ท้องถิ่นเทศบาลตำบลบ้านเหล่า"/>
        <filter val="ท้องถิ่นเทศบาลตำบลบ้านเหลื่อม"/>
        <filter val="ท้องถิ่นเทศบาลตำบลบ้านแหลม"/>
        <filter val="ท้องถิ่นเทศบาลตำบลบ้านใหม่"/>
        <filter val="ท้องถิ่นเทศบาลตำบลบ้านใหม่ไชยพจน์"/>
        <filter val="ท้องถิ่นเทศบาลตำบลบ้านแฮด"/>
        <filter val="ท้องถิ่นเทศบาลตำบลบ้านโฮ่ง"/>
        <filter val="ท้องถิ่นเทศบาลตำบลบำเหน็จณรงค์"/>
        <filter val="ท้องถิ่นเทศบาลตำบลบึงโขงหลง"/>
        <filter val="ท้องถิ่นเทศบาลตำบลบึงบูรพ์"/>
        <filter val="ท้องถิ่นเทศบาลตำบลบึงระมาณ"/>
        <filter val="ท้องถิ่นเทศบาลตำบลบุญเรือง"/>
        <filter val="ท้องถิ่นเทศบาลตำบลบุณฑริก"/>
        <filter val="ท้องถิ่นเทศบาลตำบลบุสูง"/>
        <filter val="ท้องถิ่นเทศบาลตำบลบูเก๊ะตา"/>
        <filter val="ท้องถิ่นเทศบาลตำบลเบิกไพร"/>
        <filter val="ท้องถิ่นเทศบาลตำบลปง"/>
        <filter val="ท้องถิ่นเทศบาลตำบลปทุม"/>
        <filter val="ท้องถิ่นเทศบาลตำบลปทุมรัตต์"/>
        <filter val="ท้องถิ่นเทศบาลตำบลปทุมราชวงศา"/>
        <filter val="ท้องถิ่นเทศบาลตำบลประโคนชัย"/>
        <filter val="ท้องถิ่นเทศบาลตำบลประจันตคาม"/>
        <filter val="ท้องถิ่นเทศบาลตำบลประทาย"/>
        <filter val="ท้องถิ่นเทศบาลตำบลปรางค์กู่"/>
        <filter val="ท้องถิ่นเทศบาลตำบลปราณบุรี"/>
        <filter val="ท้องถิ่นเทศบาลตำบลปราสาททอง"/>
        <filter val="ท้องถิ่นเทศบาลตำบลปริก"/>
        <filter val="ท้องถิ่นเทศบาลตำบลปรุใหญ่"/>
        <filter val="ท้องถิ่นเทศบาลตำบลปลักแรด"/>
        <filter val="ท้องถิ่นเทศบาลตำบลปลาปาก"/>
        <filter val="ท้องถิ่นเทศบาลตำบลปลายนา"/>
        <filter val="ท้องถิ่นเทศบาลตำบลปลายบาง"/>
        <filter val="ท้องถิ่นเทศบาลตำบลปลายพระยา"/>
        <filter val="ท้องถิ่นเทศบาลตำบลป๊อกแป๊ก"/>
        <filter val="ท้องถิ่นเทศบาลตำบลปอภาร"/>
        <filter val="ท้องถิ่นเทศบาลตำบลปะคำ"/>
        <filter val="ท้องถิ่นเทศบาลตำบลปะโค"/>
        <filter val="ท้องถิ่นเทศบาลตำบลปะทิว"/>
        <filter val="ท้องถิ่นเทศบาลตำบลปะนาเระ"/>
        <filter val="ท้องถิ่นเทศบาลตำบลปะลุรู"/>
        <filter val="ท้องถิ่นเทศบาลตำบลปัว"/>
        <filter val="ท้องถิ่นเทศบาลตำบลปากคาด"/>
        <filter val="ท้องถิ่นเทศบาลตำบลปากชม"/>
        <filter val="ท้องถิ่นเทศบาลตำบลปากดง"/>
        <filter val="ท้องถิ่นเทศบาลตำบลปากตะโก"/>
        <filter val="ท้องถิ่นเทศบาลตำบลปากท่อ"/>
        <filter val="ท้องถิ่นเทศบาลตำบลปากนคร"/>
        <filter val="ท้องถิ่นเทศบาลตำบลปากน้ำ"/>
        <filter val="ท้องถิ่นเทศบาลตำบลปากน้ำชุมพร"/>
        <filter val="ท้องถิ่นเทศบาลตำบลปากน้ำประแส"/>
        <filter val="ท้องถิ่นเทศบาลตำบลปากน้ำปราณ"/>
        <filter val="ท้องถิ่นเทศบาลตำบลปากน้ำหลังสวน"/>
        <filter val="ท้องถิ่นเทศบาลตำบลปากน้ำแหลมสิงห์"/>
        <filter val="ท้องถิ่นเทศบาลตำบลปากพะยูน"/>
        <filter val="ท้องถิ่นเทศบาลตำบลป่าก่อดำ"/>
        <filter val="ท้องถิ่นเทศบาลตำบลป่ากุมเกาะ"/>
        <filter val="ท้องถิ่นเทศบาลตำบลป่าแงะ"/>
        <filter val="ท้องถิ่นเทศบาลตำบลป่าซาง"/>
        <filter val="ท้องถิ่นเทศบาลตำบลป่าแดง"/>
        <filter val="ท้องถิ่นเทศบาลตำบลป่าแดด"/>
        <filter val="ท้องถิ่นเทศบาลตำบลป่าตันนาครัว"/>
        <filter val="ท้องถิ่นเทศบาลตำบลป่าติ้ว"/>
        <filter val="ท้องถิ่นเทศบาลตำบลป่าบอน"/>
        <filter val="ท้องถิ่นเทศบาลตำบลป่าไผ่"/>
        <filter val="ท้องถิ่นเทศบาลตำบลป่าแมต"/>
        <filter val="ท้องถิ่นเทศบาลตำบลป่าโมก"/>
        <filter val="ท้องถิ่นเทศบาลตำบลปาย"/>
        <filter val="ท้องถิ่นเทศบาลตำบลป่าอ้อดอนชัย"/>
        <filter val="ท้องถิ่นเทศบาลตำบลปิงโค้ง"/>
        <filter val="ท้องถิ่นเทศบาลตำบลเปือยน้อย"/>
        <filter val="ท้องถิ่นเทศบาลตำบลแปลงยาว"/>
        <filter val="ท้องถิ่นเทศบาลตำบลโป่ง"/>
        <filter val="ท้องถิ่นเทศบาลตำบลโป่งน้ำร้อน"/>
        <filter val="ท้องถิ่นเทศบาลตำบลผาจุก"/>
        <filter val="ท้องถิ่นเทศบาลตำบลผาสุก"/>
        <filter val="ท้องถิ่นเทศบาลตำบลไผ่กองดิน"/>
        <filter val="ท้องถิ่นเทศบาลตำบลไผ่ต่ำ"/>
        <filter val="ท้องถิ่นเทศบาลตำบลฝายกวาง"/>
        <filter val="ท้องถิ่นเทศบาลตำบลเฝ้าไร่"/>
        <filter val="ท้องถิ่นเทศบาลตำบลพญาเม็งราย"/>
        <filter val="ท้องถิ่นเทศบาลตำบลพนม"/>
        <filter val="ท้องถิ่นเทศบาลตำบลพนมทวน"/>
        <filter val="ท้องถิ่นเทศบาลตำบลพนมไพร"/>
        <filter val="ท้องถิ่นเทศบาลตำบลพนมรุ้ง"/>
        <filter val="ท้องถิ่นเทศบาลตำบลพนมสารคาม"/>
        <filter val="ท้องถิ่นเทศบาลตำบลพนา"/>
        <filter val="ท้องถิ่นเทศบาลตำบลพบพระ"/>
        <filter val="ท้องถิ่นเทศบาลตำบลพยัคฆภูมิพิสัย"/>
        <filter val="ท้องถิ่นเทศบาลตำบลพยุห์"/>
        <filter val="ท้องถิ่นเทศบาลตำบลพยุหะ"/>
        <filter val="ท้องถิ่นเทศบาลตำบลพรเจริญ"/>
        <filter val="ท้องถิ่นเทศบาลตำบลพรรณานิคม"/>
        <filter val="ท้องถิ่นเทศบาลตำบลพรหมบุรี"/>
        <filter val="ท้องถิ่นเทศบาลตำบลพรหมพิราม"/>
        <filter val="ท้องถิ่นเทศบาลตำบลพรหมโลก"/>
        <filter val="ท้องถิ่นเทศบาลตำบลพระทองคำ"/>
        <filter val="ท้องถิ่นเทศบาลตำบลพระแท่น"/>
        <filter val="ท้องถิ่นเทศบาลตำบลพระธาตุปู่ก่ำ"/>
        <filter val="ท้องถิ่นเทศบาลตำบลพระยืน"/>
        <filter val="ท้องถิ่นเทศบาลตำบลพระสมุทรเจดีย์"/>
        <filter val="ท้องถิ่นเทศบาลตำบลพระเหลา"/>
        <filter val="ท้องถิ่นเทศบาลตำบลพระอินทราชา"/>
        <filter val="ท้องถิ่นเทศบาลตำบลพรานกระต่าย"/>
        <filter val="ท้องถิ่นเทศบาลตำบลพลวง"/>
        <filter val="ท้องถิ่นเทศบาลตำบลพลับพลาชัย"/>
        <filter val="ท้องถิ่นเทศบาลตำบลพลับพลานารายณ์"/>
        <filter val="ท้องถิ่นเทศบาลตำบลพลา"/>
        <filter val="ท้องถิ่นเทศบาลตำบลพลายชุมพล"/>
        <filter val="ท้องถิ่นเทศบาลตำบลพลิ้ว"/>
        <filter val="ท้องถิ่นเทศบาลตำบลพะตง"/>
        <filter val="ท้องถิ่นเทศบาลตำบลพะโต๊ะ"/>
        <filter val="ท้องถิ่นเทศบาลตำบลพะวง"/>
        <filter val="ท้องถิ่นเทศบาลตำบลพังโคน"/>
        <filter val="ท้องถิ่นเทศบาลตำบลพัฒนานิคม"/>
        <filter val="ท้องถิ่นเทศบาลตำบลพันดอน"/>
        <filter val="ท้องถิ่นเทศบาลตำบลพันเสา"/>
        <filter val="ท้องถิ่นเทศบาลตำบลพานทอง"/>
        <filter val="ท้องถิ่นเทศบาลตำบลพิปูน"/>
        <filter val="ท้องถิ่นเทศบาลตำบลพิมพา"/>
        <filter val="ท้องถิ่นเทศบาลตำบลพิมาย"/>
        <filter val="ท้องถิ่นเทศบาลตำบลพุกร่าง"/>
        <filter val="ท้องถิ่นเทศบาลตำบลพุเตย"/>
        <filter val="ท้องถิ่นเทศบาลตำบลพุทไธสง"/>
        <filter val="ท้องถิ่นเทศบาลตำบลพุมเรียง"/>
        <filter val="ท้องถิ่นเทศบาลตำบลเพ็ญ"/>
        <filter val="ท้องถิ่นเทศบาลตำบลแพรกศรีราชา"/>
        <filter val="ท้องถิ่นเทศบาลตำบลแพรกษา"/>
        <filter val="ท้องถิ่นเทศบาลตำบลโพทะเล"/>
        <filter val="ท้องถิ่นเทศบาลตำบลโพธิ์กระสังข์"/>
        <filter val="ท้องถิ่นเทศบาลตำบลโพธิ์กลาง"/>
        <filter val="ท้องถิ่นเทศบาลตำบลโพธิ์ชัย"/>
        <filter val="ท้องถิ่นเทศบาลตำบลโพธิ์ทอง"/>
        <filter val="ท้องถิ่นเทศบาลตำบลโพธิ์ไทร"/>
        <filter val="ท้องถิ่นเทศบาลตำบลโพธิ์ประทับช้าง"/>
        <filter val="ท้องถิ่นเทศบาลตำบลโพธิ์พระยา"/>
        <filter val="ท้องถิ่นเทศบาลตำบลโพธิ์พิทักษ์"/>
        <filter val="ท้องถิ่นเทศบาลตำบลโพน"/>
        <filter val="ท้องถิ่นเทศบาลตำบลโพนงาม"/>
        <filter val="ท้องถิ่นเทศบาลตำบลโพนทราย"/>
        <filter val="ท้องถิ่นเทศบาลตำบลโพนทอง"/>
        <filter val="ท้องถิ่นเทศบาลตำบลโพนพิสัย"/>
        <filter val="ท้องถิ่นเทศบาลตำบลโพนสวรรค์"/>
        <filter val="ท้องถิ่นเทศบาลตำบลโพนสา"/>
        <filter val="ท้องถิ่นเทศบาลตำบลโพนสูง"/>
        <filter val="ท้องถิ่นเทศบาลตำบลโพรงมะเดื่อ"/>
        <filter val="ท้องถิ่นเทศบาลตำบลโพสังโฆ"/>
        <filter val="ท้องถิ่นเทศบาลตำบลโพหัก"/>
        <filter val="ท้องถิ่นเทศบาลตำบลไพรบึง"/>
        <filter val="ท้องถิ่นเทศบาลตำบลไพศาลี"/>
        <filter val="ท้องถิ่นเทศบาลตำบลฟากท่า"/>
        <filter val="ท้องถิ่นเทศบาลตำบลฟ้าหยาด"/>
        <filter val="ท้องถิ่นเทศบาลตำบลฟ้าฮ่าม"/>
        <filter val="ท้องถิ่นเทศบาลตำบลภาชี"/>
        <filter val="ท้องถิ่นเทศบาลตำบลภูกระดึง"/>
        <filter val="ท้องถิ่นเทศบาลตำบลภูเขียว"/>
        <filter val="ท้องถิ่นเทศบาลตำบลภูผาแดง"/>
        <filter val="ท้องถิ่นเทศบาลตำบลภูผาม่าน"/>
        <filter val="ท้องถิ่นเทศบาลตำบลภูเรือ"/>
        <filter val="ท้องถิ่นเทศบาลตำบลภูเวียง"/>
        <filter val="ท้องถิ่นเทศบาลตำบลมวกเหล็ก"/>
        <filter val="ท้องถิ่นเทศบาลตำบลม่วงน้อย"/>
        <filter val="ท้องถิ่นเทศบาลตำบลม่วงสามสิบ"/>
        <filter val="ท้องถิ่นเทศบาลตำบลม่วงหวาน"/>
        <filter val="ท้องถิ่นเทศบาลตำบลมหาพราหมณ์"/>
        <filter val="ท้องถิ่นเทศบาลตำบลมหาราช"/>
        <filter val="ท้องถิ่นเทศบาลตำบลมะกอก"/>
        <filter val="ท้องถิ่นเทศบาลตำบลมะกอกเหนือ"/>
        <filter val="ท้องถิ่นเทศบาลตำบลมะขาม"/>
        <filter val="ท้องถิ่นเทศบาลตำบลมะขามคู่"/>
        <filter val="ท้องถิ่นเทศบาลตำบลมะเขือแจ้"/>
        <filter val="ท้องถิ่นเทศบาลตำบลมะค่า"/>
        <filter val="ท้องถิ่นเทศบาลตำบลมะรือโบตก"/>
        <filter val="ท้องถิ่นเทศบาลตำบลมะอึ"/>
        <filter val="ท้องถิ่นเทศบาลตำบลมัญจาคีรี"/>
        <filter val="ท้องถิ่นเทศบาลตำบลมาบข่าพัฒนา"/>
        <filter val="ท้องถิ่นเทศบาลตำบลมาบอำมฤต"/>
        <filter val="ท้องถิ่นเทศบาลตำบลมายอ"/>
        <filter val="ท้องถิ่นเทศบาลตำบลเมืองการุ้ง"/>
        <filter val="ท้องถิ่นเทศบาลตำบลเมืองเก่า"/>
        <filter val="ท้องถิ่นเทศบาลตำบลเมืองแกลง"/>
        <filter val="ท้องถิ่นเทศบาลตำบลเมืองขุขันธ์"/>
        <filter val="ท้องถิ่นเทศบาลตำบลเมืองคง"/>
        <filter val="ท้องถิ่นเทศบาลตำบลเมืองงาย"/>
        <filter val="ท้องถิ่นเทศบาลตำบลเมืองที"/>
        <filter val="ท้องถิ่นเทศบาลตำบลเมืองนะ"/>
        <filter val="ท้องถิ่นเทศบาลตำบลเมืองบัว"/>
        <filter val="ท้องถิ่นเทศบาลตำบลเมืองพาน"/>
        <filter val="ท้องถิ่นเทศบาลตำบลเมืองไพร"/>
        <filter val="ท้องถิ่นเทศบาลตำบลเมืองยาง"/>
        <filter val="ท้องถิ่นเทศบาลตำบลเมืองรามันห์"/>
        <filter val="ท้องถิ่นเทศบาลตำบลเมืองศรีไค"/>
        <filter val="ท้องถิ่นเทศบาลตำบลเมืองสรวง"/>
        <filter val="ท้องถิ่นเทศบาลตำบลเมืองใหม่โคกกรวด"/>
        <filter val="ท้องถิ่นเทศบาลตำบลแม่กา"/>
        <filter val="ท้องถิ่นเทศบาลตำบลแม่กุ"/>
        <filter val="ท้องถิ่นเทศบาลตำบลแม่ขรี"/>
        <filter val="ท้องถิ่นเทศบาลตำบลแม่ขะจาน"/>
        <filter val="ท้องถิ่นเทศบาลตำบลแม่คำ"/>
        <filter val="ท้องถิ่นเทศบาลตำบลแม่คำมี"/>
        <filter val="ท้องถิ่นเทศบาลตำบลแม่จะเรา"/>
        <filter val="ท้องถิ่นเทศบาลตำบลแม่จัน"/>
        <filter val="ท้องถิ่นเทศบาลตำบลแม่จั๊วะ"/>
        <filter val="ท้องถิ่นเทศบาลตำบลแม่แจ่ม"/>
        <filter val="ท้องถิ่นเทศบาลตำบลแม่ใจ"/>
        <filter val="ท้องถิ่นเทศบาลตำบลแม่ต้าน"/>
        <filter val="ท้องถิ่นเทศบาลตำบลแม่ตืน"/>
        <filter val="ท้องถิ่นเทศบาลตำบลแม่ทะ"/>
        <filter val="ท้องถิ่นเทศบาลตำบลแม่ปั๋ง"/>
        <filter val="ท้องถิ่นเทศบาลตำบลแม่ปาน"/>
        <filter val="ท้องถิ่นเทศบาลตำบลแม่ปืม"/>
        <filter val="ท้องถิ่นเทศบาลตำบลแม่ปุ"/>
        <filter val="ท้องถิ่นเทศบาลตำบลแม่แฝก"/>
        <filter val="ท้องถิ่นเทศบาลตำบลแม่พริก"/>
        <filter val="ท้องถิ่นเทศบาลตำบลแม่เมาะ"/>
        <filter val="ท้องถิ่นเทศบาลตำบลแม่ยาว"/>
        <filter val="ท้องถิ่นเทศบาลตำบลแม่ระมาด"/>
        <filter val="ท้องถิ่นเทศบาลตำบลแม่ริม"/>
        <filter val="ท้องถิ่นเทศบาลตำบลแม่แรง"/>
        <filter val="ท้องถิ่นเทศบาลตำบลแม่ลานนา"/>
        <filter val="ท้องถิ่นเทศบาลตำบลแม่ลาน้อย"/>
        <filter val="ท้องถิ่นเทศบาลตำบลแม่ลาว"/>
        <filter val="ท้องถิ่นเทศบาลตำบลแม่วาง"/>
        <filter val="ท้องถิ่นเทศบาลตำบลแม่สรวย"/>
        <filter val="ท้องถิ่นเทศบาลตำบลแม่สะเรียง"/>
        <filter val="ท้องถิ่นเทศบาลตำบลแม่สาย"/>
        <filter val="ท้องถิ่นเทศบาลตำบลแม่หล่าย"/>
        <filter val="ท้องถิ่นเทศบาลตำบลแม่อาย"/>
        <filter val="ท้องถิ่นเทศบาลตำบลไม้งาม"/>
        <filter val="ท้องถิ่นเทศบาลตำบลไม้ยา"/>
        <filter val="ท้องถิ่นเทศบาลตำบลไม้เรียง"/>
        <filter val="ท้องถิ่นเทศบาลตำบลยะรัง"/>
        <filter val="ท้องถิ่นเทศบาลตำบลยะหริ่ง"/>
        <filter val="ท้องถิ่นเทศบาลตำบลยะหา"/>
        <filter val="ท้องถิ่นเทศบาลตำบลยางชุมน้อย"/>
        <filter val="ท้องถิ่นเทศบาลตำบลยางตลาด"/>
        <filter val="ท้องถิ่นเทศบาลตำบลยางเนิ้ง"/>
        <filter val="ท้องถิ่นเทศบาลตำบลยางหล่อ"/>
        <filter val="ท้องถิ่นเทศบาลตำบลยางฮอม"/>
        <filter val="ท้องถิ่นเทศบาลตำบลย่านดินแดง"/>
        <filter val="ท้องถิ่นเทศบาลตำบลย่านตาขาว"/>
        <filter val="ท้องถิ่นเทศบาลตำบลยายแย้มวัฒนา"/>
        <filter val="ท้องถิ่นเทศบาลตำบลยี่งอ"/>
        <filter val="ท้องถิ่นเทศบาลตำบลร่มเกล้า"/>
        <filter val="ท้องถิ่นเทศบาลตำบลร่วมจิต"/>
        <filter val="ท้องถิ่นเทศบาลตำบลร้องกวาง"/>
        <filter val="ท้องถิ่นเทศบาลตำบลร่องคำ"/>
        <filter val="ท้องถิ่นเทศบาลตำบลร่อนทอง"/>
        <filter val="ท้องถิ่นเทศบาลตำบลร่อนพิบูลย์"/>
        <filter val="ท้องถิ่นเทศบาลตำบลระโนด"/>
        <filter val="ท้องถิ่นเทศบาลตำบลระหาน"/>
        <filter val="ท้องถิ่นเทศบาลตำบลระแหง"/>
        <filter val="ท้องถิ่นเทศบาลตำบลรัตนบุรี"/>
        <filter val="ท้องถิ่นเทศบาลตำบลรัษฎา"/>
        <filter val="ท้องถิ่นเทศบาลตำบลรางกระทุ่ม"/>
        <filter val="ท้องถิ่นเทศบาลตำบลรางหวาย"/>
        <filter val="ท้องถิ่นเทศบาลตำบลราชคราม"/>
        <filter val="ท้องถิ่นเทศบาลตำบลราไวย์"/>
        <filter val="ท้องถิ่นเทศบาลตำบลรำมะสัก"/>
        <filter val="ท้องถิ่นเทศบาลตำบลริมปิง"/>
        <filter val="ท้องถิ่นเทศบาลตำบลรือเสาะ"/>
        <filter val="ท้องถิ่นเทศบาลตำบลเรณูนคร"/>
        <filter val="ท้องถิ่นเทศบาลตำบลโรงช้าง"/>
        <filter val="ท้องถิ่นเทศบาลตำบลไร่เก่า"/>
        <filter val="ท้องถิ่นเทศบาลตำบลไร่ใหม่"/>
        <filter val="ท้องถิ่นเทศบาลตำบลละแม"/>
        <filter val="ท้องถิ่นเทศบาลตำบลละหานทราย"/>
        <filter val="ท้องถิ่นเทศบาลตำบลละอุ่น"/>
        <filter val="ท้องถิ่นเทศบาลตำบลลาดชะโด"/>
        <filter val="ท้องถิ่นเทศบาลตำบลลาดบัวขาว"/>
        <filter val="ท้องถิ่นเทศบาลตำบลลาดบัวหลวง"/>
        <filter val="ท้องถิ่นเทศบาลตำบลลาดยาว"/>
        <filter val="ท้องถิ่นเทศบาลตำบลลาดหญ้า"/>
        <filter val="ท้องถิ่นเทศบาลตำบลลาดใหญ่"/>
        <filter val="ท้องถิ่นเทศบาลตำบลลานกระบือ"/>
        <filter val="ท้องถิ่นเทศบาลตำบลลานข่อย"/>
        <filter val="ท้องถิ่นเทศบาลตำบลลานสกา"/>
        <filter val="ท้องถิ่นเทศบาลตำบลลานสัก"/>
        <filter val="ท้องถิ่นเทศบาลตำบลลานหอย"/>
        <filter val="ท้องถิ่นเทศบาลตำบลลำคลอง"/>
        <filter val="ท้องถิ่นเทศบาลตำบลลำดวนสุรพินท์"/>
        <filter val="ท้องถิ่นเทศบาลตำบลลำทับ"/>
        <filter val="ท้องถิ่นเทศบาลตำบลลำไทร"/>
        <filter val="ท้องถิ่นเทศบาลตำบลลำนางแก้ว"/>
        <filter val="ท้องถิ่นเทศบาลตำบลลำนารายณ์"/>
        <filter val="ท้องถิ่นเทศบาลตำบลลำปลายมาศ"/>
        <filter val="ท้องถิ่นเทศบาลตำบลลำปางหลวง"/>
        <filter val="ท้องถิ่นเทศบาลตำบลลำพญา"/>
        <filter val="ท้องถิ่นเทศบาลตำบลลำพันชาด"/>
        <filter val="ท้องถิ่นเทศบาลตำบลลำไพล"/>
        <filter val="ท้องถิ่นเทศบาลตำบลลำภูรา"/>
        <filter val="ท้องถิ่นเทศบาลตำบลลำลูกกา"/>
        <filter val="ท้องถิ่นเทศบาลตำบลลำใหม่"/>
        <filter val="ท้องถิ่นเทศบาลตำบลลูกแก"/>
        <filter val="ท้องถิ่นเทศบาลตำบลเลาขวัญ"/>
        <filter val="ท้องถิ่นเทศบาลตำบลเลิงนกทา"/>
        <filter val="ท้องถิ่นเทศบาลตำบลวงฆ้อง"/>
        <filter val="ท้องถิ่นเทศบาลตำบลวังกรด"/>
        <filter val="ท้องถิ่นเทศบาลตำบลวังกะ"/>
        <filter val="ท้องถิ่นเทศบาลตำบลวังกะพี้"/>
        <filter val="ท้องถิ่นเทศบาลตำบลวังขนาย"/>
        <filter val="ท้องถิ่นเทศบาลตำบลวังเจ้า"/>
        <filter val="ท้องถิ่นเทศบาลตำบลวังชมภู"/>
        <filter val="ท้องถิ่นเทศบาลตำบลวังชัย"/>
        <filter val="ท้องถิ่นเทศบาลตำบลวังชิ้น"/>
        <filter val="ท้องถิ่นเทศบาลตำบลวังดิน"/>
        <filter val="ท้องถิ่นเทศบาลตำบลวังตะกู"/>
        <filter val="ท้องถิ่นเทศบาลตำบลวังตะเคียน"/>
        <filter val="ท้องถิ่นเทศบาลตำบลวังทรายพูน"/>
        <filter val="ท้องถิ่นเทศบาลตำบลวังทอง"/>
        <filter val="ท้องถิ่นเทศบาลตำบลวังไทร"/>
        <filter val="ท้องถิ่นเทศบาลตำบลวังโป่ง"/>
        <filter val="ท้องถิ่นเทศบาลตำบลวังผาง"/>
        <filter val="ท้องถิ่นเทศบาลตำบลวังไผ่"/>
        <filter val="ท้องถิ่นเทศบาลตำบลวังโพธิ์"/>
        <filter val="ท้องถิ่นเทศบาลตำบลวังม่วง"/>
        <filter val="ท้องถิ่นเทศบาลตำบลวังยาง"/>
        <filter val="ท้องถิ่นเทศบาลตำบลวังเย็น"/>
        <filter val="ท้องถิ่นเทศบาลตำบลวังวิเศษ"/>
        <filter val="ท้องถิ่นเทศบาลตำบลวังศาลา"/>
        <filter val="ท้องถิ่นเทศบาลตำบลวังสมบูรณ์"/>
        <filter val="ท้องถิ่นเทศบาลตำบลวังสามหมอ"/>
        <filter val="ท้องถิ่นเทศบาลตำบลวังเหนือ"/>
        <filter val="ท้องถิ่นเทศบาลตำบลวัฒนานคร"/>
        <filter val="ท้องถิ่นเทศบาลตำบลวัดโบสถ์"/>
        <filter val="ท้องถิ่นเทศบาลตำบลวัดประดู่"/>
        <filter val="ท้องถิ่นเทศบาลตำบลวัดเพลง"/>
        <filter val="ท้องถิ่นเทศบาลตำบลวัดสิงห์"/>
        <filter val="ท้องถิ่นเทศบาลตำบลวานรนิวาส"/>
        <filter val="ท้องถิ่นเทศบาลตำบลวาปีปทุม"/>
        <filter val="ท้องถิ่นเทศบาลตำบลวาริชภูมิ"/>
        <filter val="ท้องถิ่นเทศบาลตำบลวิชิต"/>
        <filter val="ท้องถิ่นเทศบาลตำบลวิเศษไชยชาญ"/>
        <filter val="ท้องถิ่นเทศบาลตำบลวิหารแดง"/>
        <filter val="ท้องถิ่นเทศบาลตำบลเวียง"/>
        <filter val="ท้องถิ่นเทศบาลตำบลเวียงคำ"/>
        <filter val="ท้องถิ่นเทศบาลตำบลเวียงคุก"/>
        <filter val="ท้องถิ่นเทศบาลตำบลเวียงชัย"/>
        <filter val="ท้องถิ่นเทศบาลตำบลเวียงเชียงของ"/>
        <filter val="ท้องถิ่นเทศบาลตำบลเวียงเชียงแสน"/>
        <filter val="ท้องถิ่นเทศบาลตำบลเวียงต้า"/>
        <filter val="ท้องถิ่นเทศบาลตำบลเวียงเทิง"/>
        <filter val="ท้องถิ่นเทศบาลตำบลเวียงป่าเป้า"/>
        <filter val="ท้องถิ่นเทศบาลตำบลเวียงฝาง"/>
        <filter val="ท้องถิ่นเทศบาลตำบลเวียงพร้าว"/>
        <filter val="ท้องถิ่นเทศบาลตำบลเวียงพางคำ"/>
        <filter val="ท้องถิ่นเทศบาลตำบลเวียงมอก"/>
        <filter val="ท้องถิ่นเทศบาลตำบลเวียงยอง"/>
        <filter val="ท้องถิ่นเทศบาลตำบลเวียงลอ"/>
        <filter val="ท้องถิ่นเทศบาลตำบลเวียงสระ"/>
        <filter val="ท้องถิ่นเทศบาลตำบลเวียงสา"/>
        <filter val="ท้องถิ่นเทศบาลตำบลแว้ง"/>
        <filter val="ท้องถิ่นเทศบาลตำบลแวงน้อย"/>
        <filter val="ท้องถิ่นเทศบาลตำบลแวงน่าง"/>
        <filter val="ท้องถิ่นเทศบาลตำบลแวงใหญ่"/>
        <filter val="ท้องถิ่นเทศบาลตำบลศรีเชียงใหม่"/>
        <filter val="ท้องถิ่นเทศบาลตำบลศรีดอนไผ่"/>
        <filter val="ท้องถิ่นเทศบาลตำบลศรีเตี้ย"/>
        <filter val="ท้องถิ่นเทศบาลตำบลศรีธาตุ"/>
        <filter val="ท้องถิ่นเทศบาลตำบลศรีนคร"/>
        <filter val="ท้องถิ่นเทศบาลตำบลศรีประจันต์"/>
        <filter val="ท้องถิ่นเทศบาลตำบลศรีพนมมาศ"/>
        <filter val="ท้องถิ่นเทศบาลตำบลศรีพนา"/>
        <filter val="ท้องถิ่นเทศบาลตำบลศรีมหาโพธิ"/>
        <filter val="ท้องถิ่นเทศบาลตำบลศรีเมืองใหม่"/>
        <filter val="ท้องถิ่นเทศบาลตำบลศรีรัตนะ"/>
        <filter val="ท้องถิ่นเทศบาลตำบลศรีวิไล"/>
        <filter val="ท้องถิ่นเทศบาลตำบลศรีสงคราม"/>
        <filter val="ท้องถิ่นเทศบาลตำบลศรีสาคร"/>
        <filter val="ท้องถิ่นเทศบาลตำบลศรีสำโรง"/>
        <filter val="ท้องถิ่นเทศบาลตำบลศาลเจ้าไก่ต่อ"/>
        <filter val="ท้องถิ่นเทศบาลตำบลศาลเจ้าพ่อ"/>
        <filter val="ท้องถิ่นเทศบาลตำบลศาลเจ้าพ่อขุนศรี"/>
        <filter val="ท้องถิ่นเทศบาลตำบลศาลากลาง"/>
        <filter val="ท้องถิ่นเทศบาลตำบลศาลาแดง"/>
        <filter val="ท้องถิ่นเทศบาลตำบลศาลายา"/>
        <filter val="ท้องถิ่นเทศบาลตำบลศาลาลำดวน"/>
        <filter val="ท้องถิ่นเทศบาลตำบลศีขรภูมิ"/>
        <filter val="ท้องถิ่นเทศบาลตำบลสตึก"/>
        <filter val="ท้องถิ่นเทศบาลตำบลสทิงพระ"/>
        <filter val="ท้องถิ่นเทศบาลตำบลสนม"/>
        <filter val="ท้องถิ่นเทศบาลตำบลสนามชัยเขต"/>
        <filter val="ท้องถิ่นเทศบาลตำบลสบบง"/>
        <filter val="ท้องถิ่นเทศบาลตำบลสบปราบ"/>
        <filter val="ท้องถิ่นเทศบาลตำบลสมเด็จ"/>
        <filter val="ท้องถิ่นเทศบาลตำบลสรรพยา"/>
        <filter val="ท้องถิ่นเทศบาลตำบลสระกระโจม"/>
        <filter val="ท้องถิ่นเทศบาลตำบลสระบัว"/>
        <filter val="ท้องถิ่นเทศบาลตำบลสระโบสถ์"/>
        <filter val="ท้องถิ่นเทศบาลตำบลสระพังทอง"/>
        <filter val="ท้องถิ่นเทศบาลตำบลสระยายโสม"/>
        <filter val="ท้องถิ่นเทศบาลตำบลสร้างก่อ"/>
        <filter val="ท้องถิ่นเทศบาลตำบลสร้างคอม"/>
        <filter val="ท้องถิ่นเทศบาลตำบลสลกบาตร"/>
        <filter val="ท้องถิ่นเทศบาลตำบลสวนดอกไม้"/>
        <filter val="ท้องถิ่นเทศบาลตำบลสวนแตง"/>
        <filter val="ท้องถิ่นเทศบาลตำบลสวนผึ้ง"/>
        <filter val="ท้องถิ่นเทศบาลตำบลสวนหลวง"/>
        <filter val="ท้องถิ่นเทศบาลตำบลสว่างแดนดิน"/>
        <filter val="ท้องถิ่นเทศบาลตำบลสว่างวัฒนา"/>
        <filter val="ท้องถิ่นเทศบาลตำบลสว่างอารมณ์"/>
        <filter val="ท้องถิ่นเทศบาลตำบลสอง"/>
        <filter val="ท้องถิ่นเทศบาลตำบลส่องดาว"/>
        <filter val="ท้องถิ่นเทศบาลตำบลสอยดาว"/>
        <filter val="ท้องถิ่นเทศบาลตำบลสะบ้าย้อย"/>
        <filter val="ท้องถิ่นเทศบาลตำบลสะพลี"/>
        <filter val="ท้องถิ่นเทศบาลตำบลสะเมิงใต้"/>
        <filter val="ท้องถิ่นเทศบาลตำบลสะอาด"/>
        <filter val="ท้องถิ่นเทศบาลตำบลสังขะ"/>
        <filter val="ท้องถิ่นเทศบาลตำบลสังคม"/>
        <filter val="ท้องถิ่นเทศบาลตำบลสันกำแพง"/>
        <filter val="ท้องถิ่นเทศบาลตำบลสันทราย"/>
        <filter val="ท้องถิ่นเทศบาลตำบลสันทรายหลวง"/>
        <filter val="ท้องถิ่นเทศบาลตำบลสันนาเม็ง"/>
        <filter val="ท้องถิ่นเทศบาลตำบลสันป่าตอง"/>
        <filter val="ท้องถิ่นเทศบาลตำบลสันปูเลย"/>
        <filter val="ท้องถิ่นเทศบาลตำบลสันพระเนตร"/>
        <filter val="ท้องถิ่นเทศบาลตำบลสันมหาพน"/>
        <filter val="ท้องถิ่นเทศบาลตำบลสากเหล็ก"/>
        <filter val="ท้องถิ่นเทศบาลตำบลสามกอ"/>
        <filter val="ท้องถิ่นเทศบาลตำบลสามโก้"/>
        <filter val="ท้องถิ่นเทศบาลตำบลสามง่าม"/>
        <filter val="ท้องถิ่นเทศบาลตำบลสามง่ามท่าโบสถ์"/>
        <filter val="ท้องถิ่นเทศบาลตำบลสามเงา"/>
        <filter val="ท้องถิ่นเทศบาลตำบลสามชุก"/>
        <filter val="ท้องถิ่นเทศบาลตำบลสามเมือง"/>
        <filter val="ท้องถิ่นเทศบาลตำบลสามแยก"/>
        <filter val="ท้องถิ่นเทศบาลตำบลสามัคคีพัฒนา"/>
        <filter val="ท้องถิ่นเทศบาลตำบลสารภี"/>
        <filter val="ท้องถิ่นเทศบาลตำบลสาวะถี"/>
        <filter val="ท้องถิ่นเทศบาลตำบลสำนักขาม"/>
        <filter val="ท้องถิ่นเทศบาลตำบลสำนักขุนเณร"/>
        <filter val="ท้องถิ่นเทศบาลตำบลสำนักท้อน"/>
        <filter val="ท้องถิ่นเทศบาลตำบลสำรอง"/>
        <filter val="ท้องถิ่นเทศบาลตำบลสำโรงทาบ"/>
        <filter val="ท้องถิ่นเทศบาลตำบลสำโรงเหนือ"/>
        <filter val="ท้องถิ่นเทศบาลตำบลสำโรงใหม่"/>
        <filter val="ท้องถิ่นเทศบาลตำบลสิเกา"/>
        <filter val="ท้องถิ่นเทศบาลตำบลสิชล"/>
        <filter val="ท้องถิ่นเทศบาลตำบลสิริราช"/>
        <filter val="ท้องถิ่นเทศบาลตำบลสีชมพู"/>
        <filter val="ท้องถิ่นเทศบาลตำบลสีดา"/>
        <filter val="ท้องถิ่นเทศบาลตำบลสีมามงคล"/>
        <filter val="ท้องถิ่นเทศบาลตำบลสุคิริน"/>
        <filter val="ท้องถิ่นเทศบาลตำบลสุเทพ"/>
        <filter val="ท้องถิ่นเทศบาลตำบลสุนทรภู่"/>
        <filter val="ท้องถิ่นเทศบาลตำบลสุวรรณคูหา"/>
        <filter val="ท้องถิ่นเทศบาลตำบลสุวรรณภูมิ"/>
        <filter val="ท้องถิ่นเทศบาลตำบลสูงเนิน"/>
        <filter val="ท้องถิ่นเทศบาลตำบลสูงเม่น"/>
        <filter val="ท้องถิ่นเทศบาลตำบลเสนางคนิคม"/>
        <filter val="ท้องถิ่นเทศบาลตำบลเสม็ด"/>
        <filter val="ท้องถิ่นเทศบาลตำบลเสริมงาม"/>
        <filter val="ท้องถิ่นเทศบาลตำบลเสลภูมิ"/>
        <filter val="ท้องถิ่นเทศบาลตำบลเสาธงหิน"/>
        <filter val="ท้องถิ่นเทศบาลตำบลเสาไห้"/>
        <filter val="ท้องถิ่นเทศบาลตำบลเสิงสาง"/>
        <filter val="ท้องถิ่นเทศบาลตำบลเสือโฮก"/>
        <filter val="ท้องถิ่นเทศบาลตำบลแสงสว่าง"/>
        <filter val="ท้องถิ่นเทศบาลตำบลแสนตุ้ง"/>
        <filter val="ท้องถิ่นเทศบาลตำบลแสนสุข"/>
        <filter val="ท้องถิ่นเทศบาลตำบลแสวงหา"/>
        <filter val="ท้องถิ่นเทศบาลตำบลหงส์หิน"/>
        <filter val="ท้องถิ่นเทศบาลตำบลหงาว"/>
        <filter val="ท้องถิ่นเทศบาลตำบลหนองกราด"/>
        <filter val="ท้องถิ่นเทศบาลตำบลหนองกี่"/>
        <filter val="ท้องถิ่นเทศบาลตำบลหนองกุงศรี"/>
        <filter val="ท้องถิ่นเทศบาลตำบลหนองแก"/>
        <filter val="ท้องถิ่นเทศบาลตำบลหนองขาว"/>
        <filter val="ท้องถิ่นเทศบาลตำบลหนองขาหย่าง"/>
        <filter val="ท้องถิ่นเทศบาลตำบลหนองไข่น้ำ"/>
        <filter val="ท้องถิ่นเทศบาลตำบลหนองคล้า"/>
        <filter val="ท้องถิ่นเทศบาลตำบลหนองแค"/>
        <filter val="ท้องถิ่นเทศบาลตำบลหนองจอก"/>
        <filter val="ท้องถิ่นเทศบาลตำบลหนองจ๊อม"/>
        <filter val="ท้องถิ่นเทศบาลตำบลหนองจิก"/>
        <filter val="ท้องถิ่นเทศบาลตำบลหนองฉาง"/>
        <filter val="ท้องถิ่นเทศบาลตำบลหนองแซง"/>
        <filter val="ท้องถิ่นเทศบาลตำบลหนองโดน"/>
        <filter val="ท้องถิ่นเทศบาลตำบลหนองตองพัฒนา"/>
        <filter val="ท้องถิ่นเทศบาลตำบลหนองตากยา"/>
        <filter val="ท้องถิ่นเทศบาลตำบลหนองตาคง"/>
        <filter val="ท้องถิ่นเทศบาลตำบลหนองตำลึง"/>
        <filter val="ท้องถิ่นเทศบาลตำบลหนองตูม"/>
        <filter val="ท้องถิ่นเทศบาลตำบลหนองน้ำใส"/>
        <filter val="ท้องถิ่นเทศบาลตำบลหนองบอน"/>
        <filter val="ท้องถิ่นเทศบาลตำบลหนองบัว"/>
        <filter val="ท้องถิ่นเทศบาลตำบลหนองบัวโคก"/>
        <filter val="ท้องถิ่นเทศบาลตำบลหนองบัวแดง"/>
        <filter val="ท้องถิ่นเทศบาลตำบลหนองบัวตะเกียด"/>
        <filter val="ท้องถิ่นเทศบาลตำบลหนองบัวระเหว"/>
        <filter val="ท้องถิ่นเทศบาลตำบลหนองบัวลาย"/>
        <filter val="ท้องถิ่นเทศบาลตำบลหนองบัววง"/>
        <filter val="ท้องถิ่นเทศบาลตำบลหนองเบน"/>
        <filter val="ท้องถิ่นเทศบาลตำบลหนองปรือ"/>
        <filter val="ท้องถิ่นเทศบาลตำบลหนองปล้อง"/>
        <filter val="ท้องถิ่นเทศบาลตำบลหนองป่าครั่ง"/>
        <filter val="ท้องถิ่นเทศบาลตำบลหนองแปน"/>
        <filter val="ท้องถิ่นเทศบาลตำบลหนองผึ้ง"/>
        <filter val="ท้องถิ่นเทศบาลตำบลหนองผือ"/>
        <filter val="ท้องถิ่นเทศบาลตำบลหนองไผ่"/>
        <filter val="ท้องถิ่นเทศบาลตำบลหนองไผ่แก้ว"/>
        <filter val="ท้องถิ่นเทศบาลตำบลหนองไผ่ล้อม"/>
        <filter val="ท้องถิ่นเทศบาลตำบลหนองฝ้าย"/>
        <filter val="ท้องถิ่นเทศบาลตำบลหนองพยอม"/>
        <filter val="ท้องถิ่นเทศบาลตำบลหนองพลับ"/>
        <filter val="ท้องถิ่นเทศบาลตำบลหนองพอก"/>
        <filter val="ท้องถิ่นเทศบาลตำบลหนองโพ"/>
        <filter val="ท้องถิ่นเทศบาลตำบลหนองม่วง"/>
        <filter val="ท้องถิ่นเทศบาลตำบลหนองม่วงไข่"/>
        <filter val="ท้องถิ่นเทศบาลตำบลหนองเม็ก"/>
        <filter val="ท้องถิ่นเทศบาลตำบลหนองไม้งาม"/>
        <filter val="ท้องถิ่นเทศบาลตำบลหนองไม้แดง"/>
        <filter val="ท้องถิ่นเทศบาลตำบลหนองยวง"/>
        <filter val="ท้องถิ่นเทศบาลตำบลหนองรี"/>
        <filter val="ท้องถิ่นเทศบาลตำบลหนองเรือ"/>
        <filter val="ท้องถิ่นเทศบาลตำบลหนองล่อง"/>
        <filter val="ท้องถิ่นเทศบาลตำบลหนองวัวซอ"/>
        <filter val="ท้องถิ่นเทศบาลตำบลหนองแวง"/>
        <filter val="ท้องถิ่นเทศบาลตำบลหนองสระ"/>
        <filter val="ท้องถิ่นเทศบาลตำบลหนองสอ"/>
        <filter val="ท้องถิ่นเทศบาลตำบลหนองสองห้อง"/>
        <filter val="ท้องถิ่นเทศบาลตำบลหนองสาหร่าย"/>
        <filter val="ท้องถิ่นเทศบาลตำบลหนองเสือ"/>
        <filter val="ท้องถิ่นเทศบาลตำบลหนองหงส์"/>
        <filter val="ท้องถิ่นเทศบาลตำบลหนองหญ้าไซ"/>
        <filter val="ท้องถิ่นเทศบาลตำบลหนองหมู"/>
        <filter val="ท้องถิ่นเทศบาลตำบลหนองหว้า"/>
        <filter val="ท้องถิ่นเทศบาลตำบลหนองหอย"/>
        <filter val="ท้องถิ่นเทศบาลตำบลหนองหัวฟาน"/>
        <filter val="ท้องถิ่นเทศบาลตำบลหนองหาน"/>
        <filter val="ท้องถิ่นเทศบาลตำบลหนองหิน"/>
        <filter val="ท้องถิ่นเทศบาลตำบลหนองใหญ่"/>
        <filter val="ท้องถิ่นเทศบาลตำบลหน้าพระลาน"/>
        <filter val="ท้องถิ่นเทศบาลตำบลหน้าสตน"/>
        <filter val="ท้องถิ่นเทศบาลตำบลหมอนนาง"/>
        <filter val="ท้องถิ่นเทศบาลตำบลหมูสี"/>
        <filter val="ท้องถิ่นเทศบาลตำบลหล่มเก่า"/>
        <filter val="ท้องถิ่นเทศบาลตำบลหลวงเหนือ"/>
        <filter val="ท้องถิ่นเทศบาลตำบลหลักเมือง"/>
        <filter val="ท้องถิ่นเทศบาลตำบลหลักห้า"/>
        <filter val="ท้องถิ่นเทศบาลตำบลหลุมดิน"/>
        <filter val="ท้องถิ่นเทศบาลตำบลห้วยกระบอก"/>
        <filter val="ท้องถิ่นเทศบาลตำบลห้วยกะปิ"/>
        <filter val="ท้องถิ่นเทศบาลตำบลห้วยเกิ้ง"/>
        <filter val="ท้องถิ่นเทศบาลตำบลห้วยขะยุง"/>
        <filter val="ท้องถิ่นเทศบาลตำบลห้วยข้าวก่ำ"/>
        <filter val="ท้องถิ่นเทศบาลตำบลห้วยไคร้"/>
        <filter val="ท้องถิ่นเทศบาลตำบลห้วยชินสีห์"/>
        <filter val="ท้องถิ่นเทศบาลตำบลห้วยซ้อ"/>
        <filter val="ท้องถิ่นเทศบาลตำบลห้วยแถลง"/>
        <filter val="ท้องถิ่นเทศบาลตำบลห้วยทับทัน"/>
        <filter val="ท้องถิ่นเทศบาลตำบลห้วยผึ้ง"/>
        <filter val="ท้องถิ่นเทศบาลตำบลห้วยพลู"/>
        <filter val="ท้องถิ่นเทศบาลตำบลห้วยโพธิ์"/>
        <filter val="ท้องถิ่นเทศบาลตำบลห้วยเม็ก"/>
        <filter val="ท้องถิ่นเทศบาลตำบลห้วยยอด"/>
        <filter val="ท้องถิ่นเทศบาลตำบลห้วยยาง"/>
        <filter val="ท้องถิ่นเทศบาลตำบลห้วยราช"/>
        <filter val="ท้องถิ่นเทศบาลตำบลห้วยลาน"/>
        <filter val="ท้องถิ่นเทศบาลตำบลห้วยหิน"/>
        <filter val="ท้องถิ่นเทศบาลตำบลห้วยใหญ่"/>
        <filter val="ท้องถิ่นเทศบาลตำบลห้วยอ้อ"/>
        <filter val="ท้องถิ่นเทศบาลตำบลหวายเหนียว"/>
        <filter val="ท้องถิ่นเทศบาลตำบลหอไกร"/>
        <filter val="ท้องถิ่นเทศบาลตำบลหอคำ"/>
        <filter val="ท้องถิ่นเทศบาลตำบลหอมศีล"/>
        <filter val="ท้องถิ่นเทศบาลตำบลหันคา"/>
        <filter val="ท้องถิ่นเทศบาลตำบลหัวกุญแจ"/>
        <filter val="ท้องถิ่นเทศบาลตำบลหัวช้าง"/>
        <filter val="ท้องถิ่นเทศบาลตำบลหัวดง"/>
        <filter val="ท้องถิ่นเทศบาลตำบลหัวตะพาน"/>
        <filter val="ท้องถิ่นเทศบาลตำบลหัวทะเล"/>
        <filter val="ท้องถิ่นเทศบาลตำบลหัวไทร"/>
        <filter val="ท้องถิ่นเทศบาลตำบลหัวนา"/>
        <filter val="ท้องถิ่นเทศบาลตำบลหัวนาคำ"/>
        <filter val="ท้องถิ่นเทศบาลตำบลหัวเวียง"/>
        <filter val="ท้องถิ่นเทศบาลตำบลหัวสะพาน"/>
        <filter val="ท้องถิ่นเทศบาลตำบลหัวสำโรง"/>
        <filter val="ท้องถิ่นเทศบาลตำบลห้างฉัตร"/>
        <filter val="ท้องถิ่นเทศบาลตำบลหางดง"/>
        <filter val="ท้องถิ่นเทศบาลตำบลหางน้ำสาคร"/>
        <filter val="ท้องถิ่นเทศบาลตำบลหาดกรวด"/>
        <filter val="ท้องถิ่นเทศบาลตำบลหาดคำ"/>
        <filter val="ท้องถิ่นเทศบาลตำบลหาดเจ้าสำราญ"/>
        <filter val="ท้องถิ่นเทศบาลตำบลหาดท่าเสา"/>
        <filter val="ท้องถิ่นเทศบาลตำบลหาดเล็ก"/>
        <filter val="ท้องถิ่นเทศบาลตำบลหาดเสี้ยว"/>
        <filter val="ท้องถิ่นเทศบาลตำบลหารเทา"/>
        <filter val="ท้องถิ่นเทศบาลตำบลหินกอง"/>
        <filter val="ท้องถิ่นเทศบาลตำบลหินดาด"/>
        <filter val="ท้องถิ่นเทศบาลตำบลหินตก"/>
        <filter val="ท้องถิ่นเทศบาลตำบลหินเหล็กไฟ"/>
        <filter val="ท้องถิ่นเทศบาลตำบลเหนือคลอง"/>
        <filter val="ท้องถิ่นเทศบาลตำบลเหมืองง่า"/>
        <filter val="ท้องถิ่นเทศบาลตำบลเหมืองใหม่"/>
        <filter val="ท้องถิ่นเทศบาลตำบลแหลมงอบ"/>
        <filter val="ท้องถิ่นเทศบาลตำบลแหลมฟ้าผ่า"/>
        <filter val="ท้องถิ่นเทศบาลตำบลแหลมสัก"/>
        <filter val="ท้องถิ่นเทศบาลตำบลใหม่"/>
        <filter val="ท้องถิ่นเทศบาลตำบลองครักษ์"/>
        <filter val="ท้องถิ่นเทศบาลตำบลอมก๋อย"/>
        <filter val="ท้องถิ่นเทศบาลตำบลอรัญญิก"/>
        <filter val="ท้องถิ่นเทศบาลตำบลอ้อมใหญ่"/>
        <filter val="ท้องถิ่นเทศบาลตำบลอัคคะคำ"/>
        <filter val="ท้องถิ่นเทศบาลตำบลอัมพวา"/>
        <filter val="ท้องถิ่นเทศบาลตำบลอากาศอำนวย"/>
        <filter val="ท้องถิ่นเทศบาลตำบลอ่างศิลา"/>
        <filter val="ท้องถิ่นเทศบาลตำบลอาจสามารถ"/>
        <filter val="ท้องถิ่นเทศบาลตำบลอ่าวพะยูน"/>
        <filter val="ท้องถิ่นเทศบาลตำบลอ่าวลึกใต้"/>
        <filter val="ท้องถิ่นเทศบาลตำบลอำนาจ"/>
        <filter val="ท้องถิ่นเทศบาลตำบลอิตื้อ"/>
        <filter val="ท้องถิ่นเทศบาลตำบลอินทร์บุรี"/>
        <filter val="ท้องถิ่นเทศบาลตำบลอุทัย"/>
        <filter val="ท้องถิ่นเทศบาลตำบลอุบล"/>
        <filter val="ท้องถิ่นเทศบาลตำบลอุ้มผาง"/>
        <filter val="ท้องถิ่นเทศบาลตำบลอุ่มเม้า"/>
        <filter val="ท้องถิ่นเทศบาลตำบลอุโมงค์"/>
        <filter val="ท้องถิ่นเทศบาลตำบลอู่ทอง"/>
        <filter val="ท้องถิ่นเทศบาลตำบลเอราวัณ"/>
        <filter val="ท้องถิ่นเทศบาลนครเกาะสมุย"/>
        <filter val="ท้องถิ่นเทศบาลนครขอนแก่น"/>
        <filter val="ท้องถิ่นเทศบาลนครเจ้าพระยาสุรศักดิ์"/>
        <filter val="ท้องถิ่นเทศบาลนครเชียงราย"/>
        <filter val="ท้องถิ่นเทศบาลนครเชียงใหม่"/>
        <filter val="ท้องถิ่นเทศบาลนครตรัง"/>
        <filter val="ท้องถิ่นเทศบาลนครนครปฐม"/>
        <filter val="ท้องถิ่นเทศบาลนครนครราชสีมา"/>
        <filter val="ท้องถิ่นเทศบาลนครนครศรีธรรมราช"/>
        <filter val="ท้องถิ่นเทศบาลนครนครสวรรค์"/>
        <filter val="ท้องถิ่นเทศบาลนครนนทบุรี"/>
        <filter val="ท้องถิ่นเทศบาลนครบุรีรัมย์"/>
        <filter val="ท้องถิ่นเทศบาลนครปากเกร็ด"/>
        <filter val="ท้องถิ่นเทศบาลนครพระนครศรีอยุธยา"/>
        <filter val="ท้องถิ่นเทศบาลนครพิษณุโลก"/>
        <filter val="ท้องถิ่นเทศบาลนครภูเก็ต"/>
        <filter val="ท้องถิ่นเทศบาลนครแม่สอด"/>
        <filter val="ท้องถิ่นเทศบาลนครยะลา"/>
        <filter val="ท้องถิ่นเทศบาลนครระยอง"/>
        <filter val="ท้องถิ่นเทศบาลนครรังสิต"/>
        <filter val="ท้องถิ่นเทศบาลนครลำปาง"/>
        <filter val="ท้องถิ่นเทศบาลนครสกลนคร"/>
        <filter val="ท้องถิ่นเทศบาลนครสงขลา"/>
        <filter val="ท้องถิ่นเทศบาลนครสมุทรปราการ"/>
        <filter val="ท้องถิ่นเทศบาลนครสมุทรสาคร"/>
        <filter val="ท้องถิ่นเทศบาลนครสุราษฎร์ธานี"/>
        <filter val="ท้องถิ่นเทศบาลนครหาดใหญ่"/>
        <filter val="ท้องถิ่นเทศบาลนครแหลมฉบัง"/>
        <filter val="ท้องถิ่นเทศบาลนครอ้อมน้อย"/>
        <filter val="ท้องถิ่นเทศบาลนครอุดรธานี"/>
        <filter val="ท้องถิ่นเทศบาลนครอุบลราชธานี"/>
        <filter val="ท้องถิ่นเทศบาลเมืองกระทุ่มแบน"/>
        <filter val="ท้องถิ่นเทศบาลเมืองกระทุ่มล้ม"/>
        <filter val="ท้องถิ่นเทศบาลเมืองกระนวน"/>
        <filter val="ท้องถิ่นเทศบาลเมืองกระบี่"/>
        <filter val="ท้องถิ่นเทศบาลเมืองกะทู้"/>
        <filter val="ท้องถิ่นเทศบาลเมืองกันตัง"/>
        <filter val="ท้องถิ่นเทศบาลเมืองกันทรลักษ์"/>
        <filter val="ท้องถิ่นเทศบาลเมืองกาญจนบุรี"/>
        <filter val="ท้องถิ่นเทศบาลเมืองกาฬสินธุ์"/>
        <filter val="ท้องถิ่นเทศบาลเมืองกำแพงเพชร"/>
        <filter val="ท้องถิ่นเทศบาลเมืองกุฉินารายณ์"/>
        <filter val="ท้องถิ่นเทศบาลเมืองแก่งคอย"/>
        <filter val="ท้องถิ่นเทศบาลเมืองขลุง"/>
        <filter val="ท้องถิ่นเทศบาลเมืองเขลางค์นคร"/>
        <filter val="ท้องถิ่นเทศบาลเมืองเขารูปช้าง"/>
        <filter val="ท้องถิ่นเทศบาลเมืองเขาสามยอด"/>
        <filter val="ท้องถิ่นเทศบาลเมืองคลองหลวง"/>
        <filter val="ท้องถิ่นเทศบาลเมืองคลองแห"/>
        <filter val="ท้องถิ่นเทศบาลเมืองควนลัง"/>
        <filter val="ท้องถิ่นเทศบาลเมืองคอหงส์"/>
        <filter val="ท้องถิ่นเทศบาลเมืองคูคต"/>
        <filter val="ท้องถิ่นเทศบาลเมืองจันทนิมิต"/>
        <filter val="ท้องถิ่นเทศบาลเมืองจันทบุรี"/>
        <filter val="ท้องถิ่นเทศบาลเมืองฉะเชิงเทรา"/>
        <filter val="ท้องถิ่นเทศบาลเมืองชลบุรี"/>
        <filter val="ท้องถิ่นเทศบาลเมืองชะอำ"/>
        <filter val="ท้องถิ่นเทศบาลเมืองชัยนาท"/>
        <filter val="ท้องถิ่นเทศบาลเมืองชัยภูมิ"/>
        <filter val="ท้องถิ่นเทศบาลเมืองชุมพร"/>
        <filter val="ท้องถิ่นเทศบาลเมืองชุมแพ"/>
        <filter val="ท้องถิ่นเทศบาลเมืองชุมแสง"/>
        <filter val="ท้องถิ่นเทศบาลเมืองดอกคำใต้"/>
        <filter val="ท้องถิ่นเทศบาลเมืองดอนสัก"/>
        <filter val="ท้องถิ่นเทศบาลเมืองเดชอุดม"/>
        <filter val="ท้องถิ่นเทศบาลเมืองต้นเปา"/>
        <filter val="ท้องถิ่นเทศบาลเมืองตราด"/>
        <filter val="ท้องถิ่นเทศบาลเมืองตะกั่วป่า"/>
        <filter val="ท้องถิ่นเทศบาลเมืองตะพานหิน"/>
        <filter val="ท้องถิ่นเทศบาลเมืองตะลุบัน"/>
        <filter val="ท้องถิ่นเทศบาลเมืองตาก"/>
        <filter val="ท้องถิ่นเทศบาลเมืองตากใบ"/>
        <filter val="ท้องถิ่นเทศบาลเมืองตาคลี"/>
        <filter val="ท้องถิ่นเทศบาลเมืองทับกวาง"/>
        <filter val="ท้องถิ่นเทศบาลเมืองท่าข้าม"/>
        <filter val="ท้องถิ่นเทศบาลเมืองท่าโขลง"/>
        <filter val="ท้องถิ่นเทศบาลเมืองท่าช้าง"/>
        <filter val="ท้องถิ่นเทศบาลเมืองท่าบ่อ"/>
        <filter val="ท้องถิ่นเทศบาลเมืองท่าผา"/>
        <filter val="ท้องถิ่นเทศบาลเมืองท่ายาง"/>
        <filter val="ท้องถิ่นเทศบาลเมืองท่าเรือพระแท่น"/>
        <filter val="ท้องถิ่นเทศบาลเมืองท่าใหม่"/>
        <filter val="ท้องถิ่นเทศบาลเมืองทุ่งตำเสา"/>
        <filter val="ท้องถิ่นเทศบาลเมืองทุ่งสง"/>
        <filter val="ท้องถิ่นเทศบาลเมืองไทรม้า"/>
        <filter val="ท้องถิ่นเทศบาลเมืองนครนายก"/>
        <filter val="ท้องถิ่นเทศบาลเมืองนครพนม"/>
        <filter val="ท้องถิ่นเทศบาลเมืองนราธิวาส"/>
        <filter val="ท้องถิ่นเทศบาลเมืองนางรอง"/>
        <filter val="ท้องถิ่นเทศบาลเมืองน่าน"/>
        <filter val="ท้องถิ่นเทศบาลเมืองนาสาร"/>
        <filter val="ท้องถิ่นเทศบาลเมืองโนนสูง-น้ำคำ"/>
        <filter val="ท้องถิ่นเทศบาลเมืองบัวใหญ่"/>
        <filter val="ท้องถิ่นเทศบาลเมืองบางกรวย"/>
        <filter val="ท้องถิ่นเทศบาลเมืองบางกะดี"/>
        <filter val="ท้องถิ่นเทศบาลเมืองบางคูรัด"/>
        <filter val="ท้องถิ่นเทศบาลเมืองบางคูวัด"/>
        <filter val="ท้องถิ่นเทศบาลเมืองบางบัวทอง"/>
        <filter val="ท้องถิ่นเทศบาลเมืองบางมูลนาก"/>
        <filter val="ท้องถิ่นเทศบาลเมืองบางระจัน"/>
        <filter val="ท้องถิ่นเทศบาลเมืองบางศรีเมือง"/>
        <filter val="ท้องถิ่นเทศบาลเมืองบ้านกรด"/>
        <filter val="ท้องถิ่นเทศบาลเมืองบ้านฉาง"/>
        <filter val="ท้องถิ่นเทศบาลเมืองบ้านดุง"/>
        <filter val="ท้องถิ่นเทศบาลเมืองบ้านทุ่ม"/>
        <filter val="ท้องถิ่นเทศบาลเมืองบ้านบึง"/>
        <filter val="ท้องถิ่นเทศบาลเมืองบ้านโป่ง"/>
        <filter val="ท้องถิ่นเทศบาลเมืองบ้านไผ่"/>
        <filter val="ท้องถิ่นเทศบาลเมืองบ้านพรุ"/>
        <filter val="ท้องถิ่นเทศบาลเมืองบ้านสวน"/>
        <filter val="ท้องถิ่นเทศบาลเมืองบ้านหมี่"/>
        <filter val="ท้องถิ่นเทศบาลเมืองบึงกาฬ"/>
        <filter val="ท้องถิ่นเทศบาลเมืองบึงยี่โถ"/>
        <filter val="ท้องถิ่นเทศบาลเมืองเบตง"/>
        <filter val="ท้องถิ่นเทศบาลเมืองปทุมธานี"/>
        <filter val="ท้องถิ่นเทศบาลเมืองประจวบคีรีขันธ์"/>
        <filter val="ท้องถิ่นเทศบาลเมืองปราจีนบุรี"/>
        <filter val="ท้องถิ่นเทศบาลเมืองปัตตานี"/>
        <filter val="ท้องถิ่นเทศบาลเมืองปากช่อง"/>
        <filter val="ท้องถิ่นเทศบาลเมืองปากน้ำสมุทรปราการ"/>
        <filter val="ท้องถิ่นเทศบาลเมืองปากพนัง"/>
        <filter val="ท้องถิ่นเทศบาลเมืองปากแพรก"/>
        <filter val="ท้องถิ่นเทศบาลเมืองปางมะค่า"/>
        <filter val="ท้องถิ่นเทศบาลเมืองปาดังเบซาร์"/>
        <filter val="ท้องถิ่นเทศบาลเมืองป่าตอง"/>
        <filter val="ท้องถิ่นเทศบาลเมืองปู่เจ้าสมิงพราย"/>
        <filter val="ท้องถิ่นเทศบาลเมืองผักไห่"/>
        <filter val="ท้องถิ่นเทศบาลเมืองพนัสนิคม"/>
        <filter val="ท้องถิ่นเทศบาลเมืองพระประแดง"/>
        <filter val="ท้องถิ่นเทศบาลเมืองพระพุทธบาท"/>
        <filter val="ท้องถิ่นเทศบาลเมืองพะเยา"/>
        <filter val="ท้องถิ่นเทศบาลเมืองพังงา"/>
        <filter val="ท้องถิ่นเทศบาลเมืองพัทลุง"/>
        <filter val="ท้องถิ่นเทศบาลเมืองพิจิตร"/>
        <filter val="ท้องถิ่นเทศบาลเมืองพิชัย"/>
        <filter val="ท้องถิ่นเทศบาลเมืองพิบูลมังสาหาร"/>
        <filter val="ท้องถิ่นเทศบาลเมืองพิมลราช"/>
        <filter val="ท้องถิ่นเทศบาลเมืองเพชรบุรี"/>
        <filter val="ท้องถิ่นเทศบาลเมืองเพชรบูรณ์"/>
        <filter val="ท้องถิ่นเทศบาลเมืองแพร่"/>
        <filter val="ท้องถิ่นเทศบาลเมืองโพธาราม"/>
        <filter val="ท้องถิ่นเทศบาลเมืองมหาสารคาม"/>
        <filter val="ท้องถิ่นเทศบาลเมืองมาบตาพุด"/>
        <filter val="ท้องถิ่นเทศบาลเมืองมุกดาหาร"/>
        <filter val="ท้องถิ่นเทศบาลเมืองเมืองแกนพัฒนา"/>
        <filter val="ท้องถิ่นเทศบาลเมืองเมืองปัก"/>
        <filter val="ท้องถิ่นเทศบาลเมืองเมืองพล"/>
        <filter val="ท้องถิ่นเทศบาลเมืองแม่โจ้"/>
        <filter val="ท้องถิ่นเทศบาลเมืองแม่เหียะ"/>
        <filter val="ท้องถิ่นเทศบาลเมืองแม่ฮ่องสอน"/>
        <filter val="ท้องถิ่นเทศบาลเมืองยโสธร"/>
        <filter val="ท้องถิ่นเทศบาลเมืองร้อยเอ็ด"/>
        <filter val="ท้องถิ่นเทศบาลเมืองระนอง"/>
        <filter val="ท้องถิ่นเทศบาลเมืองราชบุรี"/>
        <filter val="ท้องถิ่นเทศบาลเมืองไร่ขิง"/>
        <filter val="ท้องถิ่นเทศบาลเมืองลพบุรี"/>
        <filter val="ท้องถิ่นเทศบาลเมืองล้อมแรด"/>
        <filter val="ท้องถิ่นเทศบาลเมืองลัดหลวง"/>
        <filter val="ท้องถิ่นเทศบาลเมืองลาดสวาย"/>
        <filter val="ท้องถิ่นเทศบาลเมืองลำตาเสา"/>
        <filter val="ท้องถิ่นเทศบาลเมืองลำพูน"/>
        <filter val="ท้องถิ่นเทศบาลเมืองลำสามแก้ว"/>
        <filter val="ท้องถิ่นเทศบาลเมืองเลย"/>
        <filter val="ท้องถิ่นเทศบาลเมืองวังน้ำเย็น"/>
        <filter val="ท้องถิ่นเทศบาลเมืองวังสะพุง"/>
        <filter val="ท้องถิ่นเทศบาลเมืองวารินชำราบ"/>
        <filter val="ท้องถิ่นเทศบาลเมืองวิเชียรบุรี"/>
        <filter val="ท้องถิ่นเทศบาลเมืองศรีราชา"/>
        <filter val="ท้องถิ่นเทศบาลเมืองศรีสะเกษ"/>
        <filter val="ท้องถิ่นเทศบาลเมืองศรีสัชนาลัย"/>
        <filter val="ท้องถิ่นเทศบาลเมืองศิลา"/>
        <filter val="ท้องถิ่นเทศบาลเมืองสตูล"/>
        <filter val="ท้องถิ่นเทศบาลเมืองสนั่นรักษ์"/>
        <filter val="ท้องถิ่นเทศบาลเมืองสมุทรสงคราม"/>
        <filter val="ท้องถิ่นเทศบาลเมืองสระแก้ว"/>
        <filter val="ท้องถิ่นเทศบาลเมืองสระบุรี"/>
        <filter val="ท้องถิ่นเทศบาลเมืองสวรรคโลก"/>
        <filter val="ท้องถิ่นเทศบาลเมืองสองพี่น้อง"/>
        <filter val="ท้องถิ่นเทศบาลเมืองสะเดา"/>
        <filter val="ท้องถิ่นเทศบาลเมืองสะเตงนอก"/>
        <filter val="ท้องถิ่นเทศบาลเมืองสัตหีบ"/>
        <filter val="ท้องถิ่นเทศบาลเมืองสามพราน"/>
        <filter val="ท้องถิ่นเทศบาลเมืองสิงหนคร"/>
        <filter val="ท้องถิ่นเทศบาลเมืองสิงห์บุรี"/>
        <filter val="ท้องถิ่นเทศบาลเมืองสีคิ้ว"/>
        <filter val="ท้องถิ่นเทศบาลเมืองสุโขทัยธานี"/>
        <filter val="ท้องถิ่นเทศบาลเมืองสุพรรณบุรี"/>
        <filter val="ท้องถิ่นเทศบาลเมืองสุรินทร์"/>
        <filter val="ท้องถิ่นเทศบาลเมืองสุไหงโกลก"/>
        <filter val="ท้องถิ่นเทศบาลเมืองเสนา"/>
        <filter val="ท้องถิ่นเทศบาลเมืองแสนสุข"/>
        <filter val="ท้องถิ่นเทศบาลเมืองหนองคาย"/>
        <filter val="ท้องถิ่นเทศบาลเมืองหนองบัวลำภู"/>
        <filter val="ท้องถิ่นเทศบาลเมืองหนองปรือ"/>
        <filter val="ท้องถิ่นเทศบาลเมืองหนองสำโรง"/>
        <filter val="ท้องถิ่นเทศบาลเมืองหล่มสัก"/>
        <filter val="ท้องถิ่นเทศบาลเมืองหลังสวน"/>
        <filter val="ท้องถิ่นเทศบาลเมืองหัวหิน"/>
        <filter val="ท้องถิ่นเทศบาลเมืองอโยธยา"/>
        <filter val="ท้องถิ่นเทศบาลเมืองอรัญญประเทศ"/>
        <filter val="ท้องถิ่นเทศบาลเมืองอรัญญิก"/>
        <filter val="ท้องถิ่นเทศบาลเมืองอ่างทอง"/>
        <filter val="ท้องถิ่นเทศบาลเมืองอ่างศิลา"/>
        <filter val="ท้องถิ่นเทศบาลเมืองอำนาจเจริญ"/>
        <filter val="ท้องถิ่นเทศบาลเมืองอุตรดิตถ์"/>
        <filter val="ท้องถิ่นเทศบาลเมืองอุทัยธานี"/>
        <filter val="ท้องถิ่นเมืองพัทยา"/>
        <filter val="อำเภอกงไกรลาศ"/>
        <filter val="อำเภอกงหรา"/>
        <filter val="อำเภอกบินทร์บุรี"/>
        <filter val="อำเภอกมลาไสย"/>
        <filter val="อำเภอกรงปินัง"/>
        <filter val="อำเภอกระทุ่มแบน"/>
        <filter val="อำเภอกระนวน"/>
        <filter val="อำเภอกระบุรี"/>
        <filter val="อำเภอกระสัง"/>
        <filter val="อำเภอกระแสสินธุ์"/>
        <filter val="อำเภอกะทู้"/>
        <filter val="อำเภอกะปง"/>
        <filter val="อำเภอกะเปอร์"/>
        <filter val="อำเภอกะพ้อ"/>
        <filter val="อำเภอกันตัง"/>
        <filter val="อำเภอกันทรลักษ์"/>
        <filter val="อำเภอกันทรวิชัย"/>
        <filter val="อำเภอกันทรารมย์"/>
        <filter val="อำเภอกัลยาณิวัฒนา"/>
        <filter val="อำเภอกาญจนดิษฐ์"/>
        <filter val="อำเภอกาบเชิง"/>
        <filter val="อำเภอกาบัง"/>
        <filter val="อำเภอกำแพงแสน"/>
        <filter val="อำเภอกุฉินารายณ์"/>
        <filter val="อำเภอกุดข้าวปุ้น"/>
        <filter val="อำเภอกุดจับ"/>
        <filter val="อำเภอกุดชุม"/>
        <filter val="อำเภอกุดบาก"/>
        <filter val="อำเภอกุดรัง"/>
        <filter val="อำเภอกุมภวาปี"/>
        <filter val="อำเภอกุยบุรี"/>
        <filter val="อำเภอกุสุมาลย์"/>
        <filter val="อำเภอกู่แก้ว"/>
        <filter val="อำเภอเกษตรวิสัย"/>
        <filter val="อำเภอเกษตรสมบูรณ์"/>
        <filter val="อำเภอเก้าเลี้ยว"/>
        <filter val="อำเภอเกาะกูด"/>
        <filter val="อำเภอเกาะคา"/>
        <filter val="อำเภอเกาะจันทร์"/>
        <filter val="อำเภอเกาะช้าง"/>
        <filter val="อำเภอเกาะพะงัน"/>
        <filter val="อำเภอเกาะยาว"/>
        <filter val="อำเภอเกาะลันตา"/>
        <filter val="อำเภอแก่งกระจาน"/>
        <filter val="อำเภอแก้งคร้อ"/>
        <filter val="อำเภอแก่งคอย"/>
        <filter val="อำเภอแก้งสนามนาง"/>
        <filter val="อำเภอแก่งหางแมว"/>
        <filter val="อำเภอแกดำ"/>
        <filter val="อำเภอแกลง"/>
        <filter val="อำเภอโกรกพระ"/>
        <filter val="อำเภอโกสัมพีนคร"/>
        <filter val="อำเภอโกสุมพิสัย"/>
        <filter val="อำเภอขนอม"/>
        <filter val="อำเภอขลุง"/>
        <filter val="อำเภอขาณุวรลักษบุรี"/>
        <filter val="อำเภอขามทะเลสอ"/>
        <filter val="อำเภอขามสะแกแสง"/>
        <filter val="อำเภอขุขันธ์"/>
        <filter val="อำเภอขุนตาล"/>
        <filter val="อำเภอขุนยวม"/>
        <filter val="อำเภอขุนหาญ"/>
        <filter val="อำเภอเขมราฐ"/>
        <filter val="อำเภอเขวาสินรินทร์"/>
        <filter val="อำเภอเขาค้อ"/>
        <filter val="อำเภอเขาคิชฌกูฏ"/>
        <filter val="อำเภอเขาฉกรรจ์"/>
        <filter val="อำเภอเขาชะเมา"/>
        <filter val="อำเภอเขาชัยสน"/>
        <filter val="อำเภอเขาพนม"/>
        <filter val="อำเภอเขาย้อย"/>
        <filter val="อำเภอเขาวง"/>
        <filter val="อำเภอเขาสมิง"/>
        <filter val="อำเภอเขาสวนกวาง"/>
        <filter val="อำเภอเขื่องใน"/>
        <filter val="อำเภอโขงเจียม"/>
        <filter val="อำเภอคง"/>
        <filter val="อำเภอครบุรี"/>
        <filter val="อำเภอคลองขลุง"/>
        <filter val="อำเภอคลองเขื่อน"/>
        <filter val="อำเภอคลองท่อม"/>
        <filter val="อำเภอคลองลาน"/>
        <filter val="อำเภอคลองหลวง"/>
        <filter val="อำเภอคลองหอยโข่ง"/>
        <filter val="อำเภอคลองหาด"/>
        <filter val="อำเภอคลองใหญ่"/>
        <filter val="อำเภอควนกาหลง"/>
        <filter val="อำเภอควนขนุน"/>
        <filter val="อำเภอควนโดน"/>
        <filter val="อำเภอควนเนียง"/>
        <filter val="อำเภอคอนสวรรค์"/>
        <filter val="อำเภอคอนสาร"/>
        <filter val="อำเภอค้อวัง"/>
        <filter val="อำเภอค่ายบางระจัน"/>
        <filter val="อำเภอคำเขื่อนแก้ว"/>
        <filter val="อำเภอคำชะอี"/>
        <filter val="อำเภอคำตากล้า"/>
        <filter val="อำเภอคำม่วง"/>
        <filter val="อำเภอคีรีมาศ"/>
        <filter val="อำเภอคีรีรัฐนิคม"/>
        <filter val="อำเภอคุระบุรี"/>
        <filter val="อำเภอคูเมือง"/>
        <filter val="อำเภอเคียนซา"/>
        <filter val="อำเภอแคนดง"/>
        <filter val="อำเภอโคกเจริญ"/>
        <filter val="อำเภอโคกโพธิ์"/>
        <filter val="อำเภอโคกโพธิ์ไชย"/>
        <filter val="อำเภอโคกศรีสุพรรณ"/>
        <filter val="อำเภอโคกสำโรง"/>
        <filter val="อำเภอโคกสูง"/>
        <filter val="อำเภอฆ้องชัย"/>
        <filter val="อำเภองาว"/>
        <filter val="อำเภอจตุรพักตรพิมาน"/>
        <filter val="อำเภอจอมทอง"/>
        <filter val="อำเภอจอมบึง"/>
        <filter val="อำเภอจอมพระ"/>
        <filter val="อำเภอจะนะ"/>
        <filter val="อำเภอจะแนะ"/>
        <filter val="อำเภอจักราช"/>
        <filter val="อำเภอจังหาร"/>
        <filter val="อำเภอจัตุรัส"/>
        <filter val="อำเภอจุน"/>
        <filter val="อำเภอจุฬาภรณ์"/>
        <filter val="อำเภอเจริญศิลป์"/>
        <filter val="อำเภอเจาะไอร้อง"/>
        <filter val="อำเภอแจ้ห่ม"/>
        <filter val="อำเภอฉวาง"/>
        <filter val="อำเภอเฉลิมพระเกียรติ"/>
        <filter val="อำเภอชนแดน"/>
        <filter val="อำเภอชนบท"/>
        <filter val="อำเภอชะอวด"/>
        <filter val="อำเภอชะอำ"/>
        <filter val="อำเภอชัยบาดาล"/>
        <filter val="อำเภอชัยบุรี"/>
        <filter val="อำเภอช้างกลาง"/>
        <filter val="อำเภอชาติตระการ"/>
        <filter val="อำเภอชานุมาน"/>
        <filter val="อำเภอชำนิ"/>
        <filter val="อำเภอชื่นชม"/>
        <filter val="อำเภอชุมตาบง"/>
        <filter val="อำเภอชุมพลบุรี"/>
        <filter val="อำเภอชุมพวง"/>
        <filter val="อำเภอชุมแพ"/>
        <filter val="อำเภอชุมแสง"/>
        <filter val="อำเภอเชียงกลาง"/>
        <filter val="อำเภอเชียงขวัญ"/>
        <filter val="อำเภอเชียงของ"/>
        <filter val="อำเภอเชียงคาน"/>
        <filter val="อำเภอเชียงคำ"/>
        <filter val="อำเภอเชียงดาว"/>
        <filter val="อำเภอเชียงม่วน"/>
        <filter val="อำเภอเชียงยืน"/>
        <filter val="อำเภอเชียงแสน"/>
        <filter val="อำเภอเชียรใหญ่"/>
        <filter val="อำเภอโชคชัย"/>
        <filter val="อำเภอไชยปราการ"/>
        <filter val="อำเภอไชยวาน"/>
        <filter val="อำเภอไชยา"/>
        <filter val="อำเภอไชโย"/>
        <filter val="อำเภอซับใหญ่"/>
        <filter val="อำเภอซำสูง"/>
        <filter val="อำเภอเซกา"/>
        <filter val="อำเภอโซ่พิสัย"/>
        <filter val="อำเภอดงเจริญ"/>
        <filter val="อำเภอดงหลวง"/>
        <filter val="อำเภอดอกคำใต้"/>
        <filter val="อำเภอดอนจาน"/>
        <filter val="อำเภอดอนเจดีย์"/>
        <filter val="อำเภอดอนตาล"/>
        <filter val="อำเภอดอนตูม"/>
        <filter val="อำเภอดอนพุด"/>
        <filter val="อำเภอดอนมดแดง"/>
        <filter val="อำเภอดอนสัก"/>
        <filter val="อำเภอดอยเต่า"/>
        <filter val="อำเภอดอยสะเก็ด"/>
        <filter val="อำเภอดอยหลวง"/>
        <filter val="อำเภอดอยหล่อ"/>
        <filter val="อำเภอด่านขุนทด"/>
        <filter val="อำเภอด่านช้าง"/>
        <filter val="อำเภอด่านซ้าย"/>
        <filter val="อำเภอด่านมะขามเตี้ย"/>
        <filter val="อำเภอดำเนินสะดวก"/>
        <filter val="อำเภอเดชอุดม"/>
        <filter val="อำเภอเด่นชัย"/>
        <filter val="อำเภอเดิมบางนางบวช"/>
        <filter val="อำเภอตรอน"/>
        <filter val="อำเภอตระการพืชผล"/>
        <filter val="อำเภอตะกั่วทุ่ง"/>
        <filter val="อำเภอตะกั่วป่า"/>
        <filter val="อำเภอตะพานหิน"/>
        <filter val="อำเภอตะโหมด"/>
        <filter val="อำเภอตากใบ"/>
        <filter val="อำเภอตากฟ้า"/>
        <filter val="อำเภอตาคลี"/>
        <filter val="อำเภอตาพระยา"/>
        <filter val="อำเภอตาลสุม"/>
        <filter val="อำเภอเต่างอย"/>
        <filter val="อำเภอถลาง"/>
        <filter val="อำเภอถ้ำพรรณรา"/>
        <filter val="อำเภอเถิน"/>
        <filter val="อำเภอทรายทองวัฒนา"/>
        <filter val="อำเภอทรายมูล"/>
        <filter val="อำเภอทองผาภูมิ"/>
        <filter val="อำเภอทองแสนขัน"/>
        <filter val="อำเภอทับคล้อ"/>
        <filter val="อำเภอทับปุด"/>
        <filter val="อำเภอทับสะแก"/>
        <filter val="อำเภอทัพทัน"/>
        <filter val="อำเภอท่าคันโท"/>
        <filter val="อำเภอท่าฉาง"/>
        <filter val="อำเภอท่าชนะ"/>
        <filter val="อำเภอท่าช้าง"/>
        <filter val="อำเภอท่าแซะ"/>
        <filter val="อำเภอท่าตะเกียบ"/>
        <filter val="อำเภอท่าตะโก"/>
        <filter val="อำเภอท่าตูม"/>
        <filter val="อำเภอท่าบ่อ"/>
        <filter val="อำเภอท่าปลา"/>
        <filter val="อำเภอท่าแพ"/>
        <filter val="อำเภอท่าม่วง"/>
        <filter val="อำเภอท่ามะกา"/>
        <filter val="อำเภอท้ายเหมือง"/>
        <filter val="อำเภอท่ายาง"/>
        <filter val="อำเภอท่าเรือ"/>
        <filter val="อำเภอท่าลี่"/>
        <filter val="อำเภอท่าวังผา"/>
        <filter val="อำเภอท่าวุ้ง"/>
        <filter val="อำเภอท่าศาลา"/>
        <filter val="อำเภอท่าสองยาง"/>
        <filter val="อำเภอท่าหลวง"/>
        <filter val="อำเภอท่าใหม่"/>
        <filter val="อำเภอท่าอุเทน"/>
        <filter val="อำเภอทุ่งเขาหลวง"/>
        <filter val="อำเภอทุ่งช้าง"/>
        <filter val="อำเภอทุ่งตะโก"/>
        <filter val="อำเภอทุ่งฝน"/>
        <filter val="อำเภอทุ่งยางแดง"/>
        <filter val="อำเภอทุ่งศรีอุดม"/>
        <filter val="อำเภอทุ่งสง"/>
        <filter val="อำเภอทุ่งเสลี่ยม"/>
        <filter val="อำเภอทุ่งหว้า"/>
        <filter val="อำเภอทุ่งหัวช้าง"/>
        <filter val="อำเภอทุ่งใหญ่"/>
        <filter val="อำเภอเทพสถิต"/>
        <filter val="อำเภอเทพา"/>
        <filter val="อำเภอเทพารักษ์"/>
        <filter val="อำเภอเทิง"/>
        <filter val="อำเภอไทยเจริญ"/>
        <filter val="อำเภอไทรงาม"/>
        <filter val="อำเภอไทรน้อย"/>
        <filter val="อำเภอไทรโยค"/>
        <filter val="อำเภอธวัชบุรี"/>
        <filter val="อำเภอธาตุพนม"/>
        <filter val="อำเภอธารโต"/>
        <filter val="อำเภอนครชัยศรี"/>
        <filter val="อำเภอนครไทย"/>
        <filter val="อำเภอนครหลวง"/>
        <filter val="อำเภอนบพิตำ"/>
        <filter val="อำเภอนากลาง"/>
        <filter val="อำเภอนาแก"/>
        <filter val="อำเภอนาคู"/>
        <filter val="อำเภอนางรอง"/>
        <filter val="อำเภอนาจะหลวย"/>
        <filter val="อำเภอนาเชือก"/>
        <filter val="อำเภอนาด้วง"/>
        <filter val="อำเภอนาดี"/>
        <filter val="อำเภอนาดูน"/>
        <filter val="อำเภอนาตาล"/>
        <filter val="อำเภอนาทม"/>
        <filter val="อำเภอนาทวี"/>
        <filter val="อำเภอนาน้อย"/>
        <filter val="อำเภอนาบอน"/>
        <filter val="อำเภอนาโพธิ์"/>
        <filter val="อำเภอนามน"/>
        <filter val="อำเภอนายายอาม"/>
        <filter val="อำเภอนายูง"/>
        <filter val="อำเภอนาเยีย"/>
        <filter val="อำเภอนาโยง"/>
        <filter val="อำเภอนาวัง"/>
        <filter val="อำเภอนาหม่อม"/>
        <filter val="อำเภอนาหมื่น"/>
        <filter val="อำเภอนาหว้า"/>
        <filter val="อำเภอนาแห้ว"/>
        <filter val="อำเภอน้ำเกลี้ยง"/>
        <filter val="อำเภอน้ำขุ่น"/>
        <filter val="อำเภอน้ำปาด"/>
        <filter val="อำเภอน้ำพอง"/>
        <filter val="อำเภอน้ำยืน"/>
        <filter val="อำเภอน้ำโสม"/>
        <filter val="อำเภอน้ำหนาว"/>
        <filter val="อำเภอนิคมคำสร้อย"/>
        <filter val="อำเภอนิคมน้ำอูน"/>
        <filter val="อำเภอนิคมพัฒนา"/>
        <filter val="อำเภอเนินขาม"/>
        <filter val="อำเภอเนินมะปราง"/>
        <filter val="อำเภอเนินสง่า"/>
        <filter val="อำเภอโนนคูณ"/>
        <filter val="อำเภอโนนดินแดง"/>
        <filter val="อำเภอโนนแดง"/>
        <filter val="อำเภอโนนไทย"/>
        <filter val="อำเภอโนนนารายณ์"/>
        <filter val="อำเภอโนนศิลา"/>
        <filter val="อำเภอโนนสะอาด"/>
        <filter val="อำเภอโนนสัง"/>
        <filter val="อำเภอโนนสุวรรณ"/>
        <filter val="อำเภอโนนสูง"/>
        <filter val="อำเภอบรบือ"/>
        <filter val="อำเภอบรรพตพิสัย"/>
        <filter val="อำเภอบ่อเกลือ"/>
        <filter val="อำเภอบ่อทอง"/>
        <filter val="อำเภอบ่อพลอย"/>
        <filter val="อำเภอบ่อไร่"/>
        <filter val="อำเภอบันนังสตา"/>
        <filter val="อำเภอบัวเชด"/>
        <filter val="อำเภอบัวลาย"/>
        <filter val="อำเภอบัวใหญ่"/>
        <filter val="อำเภอบางกรวย"/>
        <filter val="อำเภอบางกระทุ่ม"/>
        <filter val="อำเภอบางกล่ำ"/>
        <filter val="อำเภอบางแก้ว"/>
        <filter val="อำเภอบางขัน"/>
        <filter val="อำเภอบางคนที"/>
        <filter val="อำเภอบางคล้า"/>
        <filter val="อำเภอบางซ้าย"/>
        <filter val="อำเภอบางไทร"/>
        <filter val="อำเภอบางน้ำเปรี้ยว"/>
        <filter val="อำเภอบางบ่อ"/>
        <filter val="อำเภอบางบัวทอง"/>
        <filter val="อำเภอบางบาล"/>
        <filter val="อำเภอบางปลาม้า"/>
        <filter val="อำเภอบางปะกง"/>
        <filter val="อำเภอบางปะหัน"/>
        <filter val="อำเภอบางปะอิน"/>
        <filter val="อำเภอบางพลี"/>
        <filter val="อำเภอบางแพ"/>
        <filter val="อำเภอบางมูลนาก"/>
        <filter val="อำเภอบางระกำ"/>
        <filter val="อำเภอบางระจัน"/>
        <filter val="อำเภอบางละมุง"/>
        <filter val="อำเภอบางเลน"/>
        <filter val="อำเภอบางสะพาน"/>
        <filter val="อำเภอบางสะพานน้อย"/>
        <filter val="อำเภอบางเสาธง"/>
        <filter val="อำเภอบางใหญ่"/>
        <filter val="อำเภอบาเจาะ"/>
        <filter val="อำเภอบ้านกรวด"/>
        <filter val="อำเภอบ้านเขว้า"/>
        <filter val="อำเภอบ้านคา"/>
        <filter val="อำเภอบ้านค่าย"/>
        <filter val="อำเภอบ้านโคก"/>
        <filter val="อำเภอบ้านฉาง"/>
        <filter val="อำเภอบ้านด่าน"/>
        <filter val="อำเภอบ้านด่านลานหอย"/>
        <filter val="อำเภอบ้านดุง"/>
        <filter val="อำเภอบ้านตาก"/>
        <filter val="อำเภอบ้านตาขุน"/>
        <filter val="อำเภอบ้านแท่น"/>
        <filter val="อำเภอบ้านธิ"/>
        <filter val="อำเภอบ้านนา"/>
        <filter val="อำเภอบ้านนาเดิม"/>
        <filter val="อำเภอบ้านนาสาร"/>
        <filter val="อำเภอบ้านบึง"/>
        <filter val="อำเภอบ้านโป่ง"/>
        <filter val="อำเภอบ้านผือ"/>
        <filter val="อำเภอบ้านไผ่"/>
        <filter val="อำเภอบ้านฝาง"/>
        <filter val="อำเภอบ้านแพง"/>
        <filter val="อำเภอบ้านแพรก"/>
        <filter val="อำเภอบ้านแพ้ว"/>
        <filter val="อำเภอบ้านโพธิ์"/>
        <filter val="อำเภอบ้านม่วง"/>
        <filter val="อำเภอบ้านไร่"/>
        <filter val="อำเภอบ้านลาด"/>
        <filter val="อำเภอบ้านสร้าง"/>
        <filter val="อำเภอบ้านหมอ"/>
        <filter val="อำเภอบ้านหมี่"/>
        <filter val="อำเภอบ้านหลวง"/>
        <filter val="อำเภอบ้านเหลื่อม"/>
        <filter val="อำเภอบ้านแหลม"/>
        <filter val="อำเภอบ้านใหม่ไชยพจน์"/>
        <filter val="อำเภอบ้านแฮด"/>
        <filter val="อำเภอบ้านโฮ่ง"/>
        <filter val="อำเภอบำเหน็จณรงค์"/>
        <filter val="อำเภอบึงโขงหลง"/>
        <filter val="อำเภอบึงนาราง"/>
        <filter val="อำเภอบึงบูรพ์"/>
        <filter val="อำเภอบึงสามพัน"/>
        <filter val="อำเภอบึงสามัคคี"/>
        <filter val="อำเภอบุ่งคล้า"/>
        <filter val="อำเภอบุณฑริก"/>
        <filter val="อำเภอเบญจลักษ์"/>
        <filter val="อำเภอเบตง"/>
        <filter val="อำเภอปง"/>
        <filter val="อำเภอปทุมรัตต์"/>
        <filter val="อำเภอปทุมราชวงศา"/>
        <filter val="อำเภอประโคนชัย"/>
        <filter val="อำเภอประจักษ์ศิลปาคม"/>
        <filter val="อำเภอประจันตคาม"/>
        <filter val="อำเภอประทาย"/>
        <filter val="อำเภอปรางค์กู่"/>
        <filter val="อำเภอปราณบุรี"/>
        <filter val="อำเภอปราสาท"/>
        <filter val="อำเภอปลวกแดง"/>
        <filter val="อำเภอปลาปาก"/>
        <filter val="อำเภอปลายพระยา"/>
        <filter val="อำเภอปะคำ"/>
        <filter val="อำเภอปะทิว"/>
        <filter val="อำเภอปะนาเระ"/>
        <filter val="อำเภอปะเหลียน"/>
        <filter val="อำเภอปักธงชัย"/>
        <filter val="อำเภอปัว"/>
        <filter val="อำเภอปากเกร็ด"/>
        <filter val="อำเภอปากคาด"/>
        <filter val="อำเภอปากชม"/>
        <filter val="อำเภอปากช่อง"/>
        <filter val="อำเภอปากท่อ"/>
        <filter val="อำเภอปากพนัง"/>
        <filter val="อำเภอปากพลี"/>
        <filter val="อำเภอปากพะยูน"/>
        <filter val="อำเภอปางมะผ้า"/>
        <filter val="อำเภอปางศิลาทอง"/>
        <filter val="อำเภอป่าซาง"/>
        <filter val="อำเภอป่าแดด"/>
        <filter val="อำเภอป่าติ้ว"/>
        <filter val="อำเภอป่าบอน"/>
        <filter val="อำเภอป่าพะยอม"/>
        <filter val="อำเภอป่าโมก"/>
        <filter val="อำเภอปาย"/>
        <filter val="อำเภอเปือยน้อย"/>
        <filter val="อำเภอแปลงยาว"/>
        <filter val="อำเภอโป่งน้ำร้อน"/>
        <filter val="อำเภอผักไห่"/>
        <filter val="อำเภอผาขาว"/>
        <filter val="อำเภอฝาง"/>
        <filter val="อำเภอเฝ้าไร่"/>
        <filter val="อำเภอพญาเม็งราย"/>
        <filter val="อำเภอพนม"/>
        <filter val="อำเภอพนมดงรัก"/>
        <filter val="อำเภอพนมทวน"/>
        <filter val="อำเภอพนมไพร"/>
        <filter val="อำเภอพนมสารคาม"/>
        <filter val="อำเภอพนัสนิคม"/>
        <filter val="อำเภอพนา"/>
        <filter val="อำเภอพบพระ"/>
        <filter val="อำเภอพยัคฆภูมิพิสัย"/>
        <filter val="อำเภอพยุห์"/>
        <filter val="อำเภอพยุหะคีรี"/>
        <filter val="อำเภอพรเจริญ"/>
        <filter val="อำเภอพรรณานิคม"/>
        <filter val="อำเภอพรหมคีรี"/>
        <filter val="อำเภอพรหมบุรี"/>
        <filter val="อำเภอพรหมพิราม"/>
        <filter val="อำเภอพระทองคำ"/>
        <filter val="อำเภอพระนครศรีอยุธยา"/>
        <filter val="อำเภอพระประแดง"/>
        <filter val="อำเภอพระพรหม"/>
        <filter val="อำเภอพระพุทธบาท"/>
        <filter val="อำเภอพระยืน"/>
        <filter val="อำเภอพระสมุทรเจดีย์"/>
        <filter val="อำเภอพระแสง"/>
        <filter val="อำเภอพรานกระต่าย"/>
        <filter val="อำเภอพร้าว"/>
        <filter val="อำเภอพล"/>
        <filter val="อำเภอพลับพลาชัย"/>
        <filter val="อำเภอพะโต๊ะ"/>
        <filter val="อำเภอพังโคน"/>
        <filter val="อำเภอพัฒนานิคม"/>
        <filter val="อำเภอพาน"/>
        <filter val="อำเภอพานทอง"/>
        <filter val="อำเภอพิชัย"/>
        <filter val="อำเภอพิบูลมังสาหาร"/>
        <filter val="อำเภอพิบูลย์รักษ์"/>
        <filter val="อำเภอพิปูน"/>
        <filter val="อำเภอพิมาย"/>
        <filter val="อำเภอพุทธมณฑล"/>
        <filter val="อำเภอพุทไธสง"/>
        <filter val="อำเภอพุนพิน"/>
        <filter val="อำเภอเพ็ญ"/>
        <filter val="อำเภอโพทะเล"/>
        <filter val="อำเภอโพธาราม"/>
        <filter val="อำเภอโพธิ์ชัย"/>
        <filter val="อำเภอโพธิ์ตาก"/>
        <filter val="อำเภอโพธิ์ทอง"/>
        <filter val="อำเภอโพธิ์ไทร"/>
        <filter val="อำเภอโพธิ์ประทับช้าง"/>
        <filter val="อำเภอโพธิ์ศรีสุวรรณ"/>
        <filter val="อำเภอโพนทราย"/>
        <filter val="อำเภอโพนทอง"/>
        <filter val="อำเภอโพนนาแก้ว"/>
        <filter val="อำเภอโพนพิสัย"/>
        <filter val="อำเภอโพนสวรรค์"/>
        <filter val="อำเภอไพรบึง"/>
        <filter val="อำเภอไพศาลี"/>
        <filter val="อำเภอฟากท่า"/>
        <filter val="อำเภอภักดีชุมพล"/>
        <filter val="อำเภอภาชี"/>
        <filter val="อำเภอภูกระดึง"/>
        <filter val="อำเภอภูกามยาว"/>
        <filter val="อำเภอภูเขียว"/>
        <filter val="อำเภอภูซาง"/>
        <filter val="อำเภอภูผาม่าน"/>
        <filter val="อำเภอภูพาน"/>
        <filter val="อำเภอภูเพียง"/>
        <filter val="อำเภอภูเรือ"/>
        <filter val="อำเภอภูเวียง"/>
        <filter val="อำเภอภูสิงห์"/>
        <filter val="อำเภอภูหลวง"/>
        <filter val="อำเภอมโนรมย์"/>
        <filter val="อำเภอมวกเหล็ก"/>
        <filter val="อำเภอม่วงสามสิบ"/>
        <filter val="อำเภอมหาชนะชัย"/>
        <filter val="อำเภอมหาราช"/>
        <filter val="อำเภอมะขาม"/>
        <filter val="อำเภอมะนัง"/>
        <filter val="อำเภอมัญจาคีรี"/>
        <filter val="อำเภอมายอ"/>
        <filter val="อำเภอเมยวดี"/>
        <filter val="อำเภอเมืองกระบี่"/>
        <filter val="อำเภอเมืองกาญจนบุรี"/>
        <filter val="อำเภอเมืองกาฬสินธุ์"/>
        <filter val="อำเภอเมืองกำแพงเพชร"/>
        <filter val="อำเภอเมืองขอนแก่น"/>
        <filter val="อำเภอเมืองจันทบุรี"/>
        <filter val="อำเภอเมืองจันทร์"/>
        <filter val="อำเภอเมืองฉะเชิงเทรา"/>
        <filter val="อำเภอเมืองชลบุรี"/>
        <filter val="อำเภอเมืองชัยนาท"/>
        <filter val="อำเภอเมืองชัยภูมิ"/>
        <filter val="อำเภอเมืองชุมพร"/>
        <filter val="อำเภอเมืองเชียงราย"/>
        <filter val="อำเภอเมืองเชียงใหม่"/>
        <filter val="อำเภอเมืองตรัง"/>
        <filter val="อำเภอเมืองตราด"/>
        <filter val="อำเภอเมืองตาก"/>
        <filter val="อำเภอเมืองนครนายก"/>
        <filter val="อำเภอเมืองนครปฐม"/>
        <filter val="อำเภอเมืองนครพนม"/>
        <filter val="อำเภอเมืองนครราชสีมา"/>
        <filter val="อำเภอเมืองนครศรีธรรมราช"/>
        <filter val="อำเภอเมืองนครสวรรค์"/>
        <filter val="อำเภอเมืองนนทบุรี"/>
        <filter val="อำเภอเมืองนราธิวาส"/>
        <filter val="อำเภอเมืองน่าน"/>
        <filter val="อำเภอเมืองบึงกาฬ"/>
        <filter val="อำเภอเมืองบุรีรัมย์"/>
        <filter val="อำเภอเมืองปทุมธานี"/>
        <filter val="อำเภอเมืองประจวบคีรีขันธ์"/>
        <filter val="อำเภอเมืองปราจีนบุรี"/>
        <filter val="อำเภอเมืองปัตตานี"/>
        <filter val="อำเภอเมืองปาน"/>
        <filter val="อำเภอเมืองพะเยา"/>
        <filter val="อำเภอเมืองพังงา"/>
        <filter val="อำเภอเมืองพัทลุง"/>
        <filter val="อำเภอเมืองพิจิตร"/>
        <filter val="อำเภอเมืองพิษณุโลก"/>
        <filter val="อำเภอเมืองเพชรบุรี"/>
        <filter val="อำเภอเมืองเพชรบูรณ์"/>
        <filter val="อำเภอเมืองแพร่"/>
        <filter val="อำเภอเมืองภูเก็ต"/>
        <filter val="อำเภอเมืองมหาสารคาม"/>
        <filter val="อำเภอเมืองมุกดาหาร"/>
        <filter val="อำเภอเมืองแม่ฮ่องสอน"/>
        <filter val="อำเภอเมืองยโสธร"/>
        <filter val="อำเภอเมืองยะลา"/>
        <filter val="อำเภอเมืองยาง"/>
        <filter val="อำเภอเมืองร้อยเอ็ด"/>
        <filter val="อำเภอเมืองระนอง"/>
        <filter val="อำเภอเมืองระยอง"/>
        <filter val="อำเภอเมืองราชบุรี"/>
        <filter val="อำเภอเมืองลพบุรี"/>
        <filter val="อำเภอเมืองลำปาง"/>
        <filter val="อำเภอเมืองลำพูน"/>
        <filter val="อำเภอเมืองเลย"/>
        <filter val="อำเภอเมืองศรีสะเกษ"/>
        <filter val="อำเภอเมืองสกลนคร"/>
        <filter val="อำเภอเมืองสงขลา"/>
        <filter val="อำเภอเมืองสตูล"/>
        <filter val="อำเภอเมืองสมุทรปราการ"/>
        <filter val="อำเภอเมืองสมุทรสงคราม"/>
        <filter val="อำเภอเมืองสมุทรสาคร"/>
        <filter val="อำเภอเมืองสรวง"/>
        <filter val="อำเภอเมืองสระแก้ว"/>
        <filter val="อำเภอเมืองสระบุรี"/>
        <filter val="อำเภอเมืองสิงห์บุรี"/>
        <filter val="อำเภอเมืองสุโขทัย"/>
        <filter val="อำเภอเมืองสุพรรณบุรี"/>
        <filter val="อำเภอเมืองสุราษฎร์ธานี"/>
        <filter val="อำเภอเมืองสุรินทร์"/>
        <filter val="อำเภอเมืองหนองคาย"/>
        <filter val="อำเภอเมืองหนองบัวลำภู"/>
        <filter val="อำเภอเมืองอ่างทอง"/>
        <filter val="อำเภอเมืองอำนาจเจริญ"/>
        <filter val="อำเภอเมืองอุดรธานี"/>
        <filter val="อำเภอเมืองอุตรดิตถ์"/>
        <filter val="อำเภอเมืองอุทัยธานี"/>
        <filter val="อำเภอเมืองอุบลราชธานี"/>
        <filter val="อำเภอแม่จริม"/>
        <filter val="อำเภอแม่จัน"/>
        <filter val="อำเภอแม่แจ่ม"/>
        <filter val="อำเภอแม่ใจ"/>
        <filter val="อำเภอแม่แตง"/>
        <filter val="อำเภอแม่ทะ"/>
        <filter val="อำเภอแม่ทา"/>
        <filter val="อำเภอแม่เปิน"/>
        <filter val="อำเภอแม่พริก"/>
        <filter val="อำเภอแม่ฟ้าหลวง"/>
        <filter val="อำเภอแม่เมาะ"/>
        <filter val="อำเภอแม่ระมาด"/>
        <filter val="อำเภอแม่ริม"/>
        <filter val="อำเภอแม่ลาน"/>
        <filter val="อำเภอแม่ลาน้อย"/>
        <filter val="อำเภอแม่ลาว"/>
        <filter val="อำเภอแม่วงก์"/>
        <filter val="อำเภอแม่วาง"/>
        <filter val="อำเภอแม่สรวย"/>
        <filter val="อำเภอแม่สอด"/>
        <filter val="อำเภอแม่สะเรียง"/>
        <filter val="อำเภอแม่สาย"/>
        <filter val="อำเภอแม่ออน"/>
        <filter val="อำเภอแม่อาย"/>
        <filter val="อำเภอไม้แก่น"/>
        <filter val="อำเภอยะรัง"/>
        <filter val="อำเภอยะหริ่ง"/>
        <filter val="อำเภอยะหา"/>
        <filter val="อำเภอยางชุมน้อย"/>
        <filter val="อำเภอยางตลาด"/>
        <filter val="อำเภอยางสีสุราช"/>
        <filter val="อำเภอย่านตาขาว"/>
        <filter val="อำเภอยี่งอ"/>
        <filter val="อำเภอร้องกวาง"/>
        <filter val="อำเภอร่องคำ"/>
        <filter val="อำเภอร่อนพิบูลย์"/>
        <filter val="อำเภอระแงะ"/>
        <filter val="อำเภอระโนด"/>
        <filter val="อำเภอรัตนบุรี"/>
        <filter val="อำเภอรัตนวาปี"/>
        <filter val="อำเภอรัตภูมิ"/>
        <filter val="อำเภอรัษฎา"/>
        <filter val="อำเภอราชสาส์น"/>
        <filter val="อำเภอรามัน"/>
        <filter val="อำเภอราษีไศล"/>
        <filter val="อำเภอรือเสาะ"/>
        <filter val="อำเภอเรณูนคร"/>
        <filter val="อำเภอลอง"/>
        <filter val="อำเภอละงู"/>
        <filter val="อำเภอละแม"/>
        <filter val="อำเภอละหานทราย"/>
        <filter val="อำเภอละอุ่น"/>
        <filter val="อำเภอลับแล"/>
        <filter val="อำเภอลาดบัวหลวง"/>
        <filter val="อำเภอลาดยาว"/>
        <filter val="อำเภอลาดหลุมแก้ว"/>
        <filter val="อำเภอลานกระบือ"/>
        <filter val="อำเภอลานสกา"/>
        <filter val="อำเภอลานสัก"/>
        <filter val="อำเภอลำดวน"/>
        <filter val="อำเภอลำทะเมนชัย"/>
        <filter val="อำเภอลำทับ"/>
        <filter val="อำเภอลำปลายมาศ"/>
        <filter val="อำเภอลำลูกกา"/>
        <filter val="อำเภอลำสนธิ"/>
        <filter val="อำเภอลี้"/>
        <filter val="อำเภอลืออำนาจ"/>
        <filter val="อำเภอเลาขวัญ"/>
        <filter val="อำเภอเลิงนกทา"/>
        <filter val="อำเภอวชิรบารมี"/>
        <filter val="อำเภอวังจันทร์"/>
        <filter val="อำเภอวังเจ้า"/>
        <filter val="อำเภอวังชิ้น"/>
        <filter val="อำเภอวังทรายพูน"/>
        <filter val="อำเภอวังทอง"/>
        <filter val="อำเภอวังน้อย"/>
        <filter val="อำเภอวังน้ำเขียว"/>
        <filter val="อำเภอวังน้ำเย็น"/>
        <filter val="อำเภอวังโป่ง"/>
        <filter val="อำเภอวังม่วง"/>
        <filter val="อำเภอวังยาง"/>
        <filter val="อำเภอวังวิเศษ"/>
        <filter val="อำเภอวังสมบูรณ์"/>
        <filter val="อำเภอวังสะพุง"/>
        <filter val="อำเภอวังสามหมอ"/>
        <filter val="อำเภอวังหิน"/>
        <filter val="อำเภอวังเหนือ"/>
        <filter val="อำเภอวัฒนานคร"/>
        <filter val="อำเภอวัดโบสถ์"/>
        <filter val="อำเภอวัดเพลง"/>
        <filter val="อำเภอวัดสิงห์"/>
        <filter val="อำเภอวานรนิวาส"/>
        <filter val="อำเภอวาปีปทุม"/>
        <filter val="อำเภอวาริชภูมิ"/>
        <filter val="อำเภอวารินชำราบ"/>
        <filter val="อำเภอวิเชียรบุรี"/>
        <filter val="อำเภอวิภาวดี"/>
        <filter val="อำเภอวิเศษชัยชาญ"/>
        <filter val="อำเภอวิหารแดง"/>
        <filter val="อำเภอเวียงเก่า"/>
        <filter val="อำเภอเวียงแก่น"/>
        <filter val="อำเภอเวียงชัย"/>
        <filter val="อำเภอเวียงเชียงรุ้ง"/>
        <filter val="อำเภอเวียงป่าเป้า"/>
        <filter val="อำเภอเวียงสระ"/>
        <filter val="อำเภอเวียงสา"/>
        <filter val="อำเภอเวียงแหง"/>
        <filter val="อำเภอแว้ง"/>
        <filter val="อำเภอแวงน้อย"/>
        <filter val="อำเภอแวงใหญ่"/>
        <filter val="อำเภอศรีเชียงใหม่"/>
        <filter val="อำเภอศรีณรงค์"/>
        <filter val="อำเภอศรีเทพ"/>
        <filter val="อำเภอศรีธาตุ"/>
        <filter val="อำเภอศรีนคร"/>
        <filter val="อำเภอศรีนครินทร์"/>
        <filter val="อำเภอศรีบรรพต"/>
        <filter val="อำเภอศรีบุญเรือง"/>
        <filter val="อำเภอศรีประจันต์"/>
        <filter val="อำเภอศรีมหาโพธิ"/>
        <filter val="อำเภอศรีมโหสถ"/>
        <filter val="อำเภอศรีเมืองใหม่"/>
        <filter val="อำเภอศรีรัตนะ"/>
        <filter val="อำเภอศรีราชา"/>
        <filter val="อำเภอศรีวิไล"/>
        <filter val="อำเภอศรีสงคราม"/>
        <filter val="อำเภอศรีสมเด็จ"/>
        <filter val="อำเภอศรีสวัสดิ์"/>
        <filter val="อำเภอศรีสัชนาลัย"/>
        <filter val="อำเภอศรีสาคร"/>
        <filter val="อำเภอศรีสำโรง"/>
        <filter val="อำเภอศิลาลาด"/>
        <filter val="อำเภอศีขรภูมิ"/>
        <filter val="อำเภอสตึก"/>
        <filter val="อำเภอสทิงพระ"/>
        <filter val="อำเภอสนม"/>
        <filter val="อำเภอสนามชัยเขต"/>
        <filter val="อำเภอสบปราบ"/>
        <filter val="อำเภอสบเมย"/>
        <filter val="อำเภอสมเด็จ"/>
        <filter val="อำเภอสรรคบุรี"/>
        <filter val="อำเภอสรรพยา"/>
        <filter val="อำเภอสระใคร"/>
        <filter val="อำเภอสระโบสถ์"/>
        <filter val="อำเภอสร้างคอม"/>
        <filter val="อำเภอสวนผึ้ง"/>
        <filter val="อำเภอสวรรคโลก"/>
        <filter val="อำเภอสว่างแดนดิน"/>
        <filter val="อำเภอสว่างวีระวงศ์"/>
        <filter val="อำเภอสว่างอารมณ์"/>
        <filter val="อำเภอสวี"/>
        <filter val="อำเภอสหัสขันธ์"/>
        <filter val="อำเภอสอง"/>
        <filter val="อำเภอสองแคว"/>
        <filter val="อำเภอส่องดาว"/>
        <filter val="อำเภอสองพี่น้อง"/>
        <filter val="อำเภอสอยดาว"/>
        <filter val="อำเภอสะเดา"/>
        <filter val="อำเภอสะบ้าย้อย"/>
        <filter val="อำเภอสะเมิง"/>
        <filter val="อำเภอสังขละบุรี"/>
        <filter val="อำเภอสังขะ"/>
        <filter val="อำเภอสังคม"/>
        <filter val="อำเภอสัตหีบ"/>
        <filter val="อำเภอสันกำแพง"/>
        <filter val="อำเภอสันติสุข"/>
        <filter val="อำเภอสันทราย"/>
        <filter val="อำเภอสันป่าตอง"/>
        <filter val="อำเภอสากเหล็ก"/>
        <filter val="อำเภอสามโก้"/>
        <filter val="อำเภอสามโคก"/>
        <filter val="อำเภอสามง่าม"/>
        <filter val="อำเภอสามเงา"/>
        <filter val="อำเภอสามชัย"/>
        <filter val="อำเภอสามชุก"/>
        <filter val="อำเภอสามพราน"/>
        <filter val="อำเภอสามร้อยยอด"/>
        <filter val="อำเภอสายบุรี"/>
        <filter val="อำเภอสารภี"/>
        <filter val="อำเภอสำโรง"/>
        <filter val="อำเภอสำโรงทาบ"/>
        <filter val="อำเภอสิเกา"/>
        <filter val="อำเภอสิงหนคร"/>
        <filter val="อำเภอสิชล"/>
        <filter val="อำเภอสิรินธร"/>
        <filter val="อำเภอสีคิ้ว"/>
        <filter val="อำเภอสีชมพู"/>
        <filter val="อำเภอสีดา"/>
        <filter val="อำเภอสุขสำราญ"/>
        <filter val="อำเภอสุคิริน"/>
        <filter val="อำเภอสุวรรณคูหา"/>
        <filter val="อำเภอสุวรรณภูมิ"/>
        <filter val="อำเภอสุไหงโกลก"/>
        <filter val="อำเภอสุไหงปาดี"/>
        <filter val="อำเภอสูงเนิน"/>
        <filter val="อำเภอสูงเม่น"/>
        <filter val="อำเภอเสนา"/>
        <filter val="อำเภอเสนางคนิคม"/>
        <filter val="อำเภอเสริมงาม"/>
        <filter val="อำเภอเสลภูมิ"/>
        <filter val="อำเภอเสาไห้"/>
        <filter val="อำเภอเสิงสาง"/>
        <filter val="อำเภอแสวงหา"/>
        <filter val="อำเภอหนองกี่"/>
        <filter val="อำเภอหนองกุงศรี"/>
        <filter val="อำเภอหนองขาหย่าง"/>
        <filter val="อำเภอหนองแค"/>
        <filter val="อำเภอหนองจิก"/>
        <filter val="อำเภอหนองฉาง"/>
        <filter val="อำเภอหนองแซง"/>
        <filter val="อำเภอหนองโดน"/>
        <filter val="อำเภอหนองนาคำ"/>
        <filter val="อำเภอหนองบัว"/>
        <filter val="อำเภอหนองบัวแดง"/>
        <filter val="อำเภอหนองบัวระเหว"/>
        <filter val="อำเภอหนองบุญมาก"/>
        <filter val="อำเภอหนองปรือ"/>
        <filter val="อำเภอหนองไผ่"/>
        <filter val="อำเภอหนองพอก"/>
        <filter val="อำเภอหนองม่วง"/>
        <filter val="อำเภอหนองม่วงไข่"/>
        <filter val="อำเภอหนองมะโมง"/>
        <filter val="อำเภอหนองเรือ"/>
        <filter val="อำเภอหนองวัวซอ"/>
        <filter val="อำเภอหนองสองห้อง"/>
        <filter val="อำเภอหนองสูง"/>
        <filter val="อำเภอหนองเสือ"/>
        <filter val="อำเภอหนองแสง"/>
        <filter val="อำเภอหนองหงส์"/>
        <filter val="อำเภอหนองหญ้าไซ"/>
        <filter val="อำเภอหนองหญ้าปล้อง"/>
        <filter val="อำเภอหนองหาน"/>
        <filter val="อำเภอหนองหิน"/>
        <filter val="อำเภอหนองใหญ่"/>
        <filter val="อำเภอหนองฮี"/>
        <filter val="อำเภอหล่มเก่า"/>
        <filter val="อำเภอหล่มสัก"/>
        <filter val="อำเภอหลังสวน"/>
        <filter val="อำเภอห้วยกระเจา"/>
        <filter val="อำเภอห้วยคต"/>
        <filter val="อำเภอห้วยแถลง"/>
        <filter val="อำเภอห้วยทับทัน"/>
        <filter val="อำเภอห้วยผึ้ง"/>
        <filter val="อำเภอห้วยเม็ก"/>
        <filter val="อำเภอห้วยยอด"/>
        <filter val="อำเภอห้วยราช"/>
        <filter val="อำเภอหว้านใหญ่"/>
        <filter val="อำเภอหันคา"/>
        <filter val="อำเภอหัวตะพาน"/>
        <filter val="อำเภอหัวไทร"/>
        <filter val="อำเภอหัวหิน"/>
        <filter val="อำเภอห้างฉัตร"/>
        <filter val="อำเภอหางดง"/>
        <filter val="อำเภอหาดสำราญ"/>
        <filter val="อำเภอหาดใหญ่"/>
        <filter val="อำเภอเหนือคลอง"/>
        <filter val="อำเภอเหล่าเสือโก้ก"/>
        <filter val="อำเภอแหลมงอบ"/>
        <filter val="อำเภอแหลมสิงห์"/>
        <filter val="อำเภอองครักษ์"/>
        <filter val="อำเภออมก๋อย"/>
        <filter val="อำเภออรัญประเทศ"/>
        <filter val="อำเภออัมพวา"/>
        <filter val="อำเภออากาศอำนวย"/>
        <filter val="อำเภออาจสามารถ"/>
        <filter val="อำเภออ่าวลึก"/>
        <filter val="อำเภออินทร์บุรี"/>
        <filter val="อำเภออุทัย"/>
        <filter val="อำเภออุทุมพรพิสัย"/>
        <filter val="อำเภออุบลรัตน์"/>
        <filter val="อำเภออุ้มผาง"/>
        <filter val="อำเภออู่ทอง"/>
        <filter val="อำเภอเอราวัณ"/>
        <filter val="อำเภอฮอด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9B92-030B-488A-8237-6ACC6FBC73D3}">
  <dimension ref="A1:P12"/>
  <sheetViews>
    <sheetView workbookViewId="0">
      <selection activeCell="A8" sqref="A8:B8"/>
    </sheetView>
  </sheetViews>
  <sheetFormatPr defaultRowHeight="14.4" x14ac:dyDescent="0.3"/>
  <cols>
    <col min="1" max="1" width="21.109375" bestFit="1" customWidth="1"/>
    <col min="2" max="2" width="33.77734375" bestFit="1" customWidth="1"/>
    <col min="4" max="4" width="19.5546875" bestFit="1" customWidth="1"/>
    <col min="5" max="5" width="33.77734375" bestFit="1" customWidth="1"/>
    <col min="7" max="7" width="21.109375" bestFit="1" customWidth="1"/>
    <col min="8" max="8" width="30.88671875" bestFit="1" customWidth="1"/>
    <col min="9" max="9" width="31.44140625" bestFit="1" customWidth="1"/>
    <col min="10" max="10" width="21.109375" bestFit="1" customWidth="1"/>
    <col min="11" max="11" width="35.109375" bestFit="1" customWidth="1"/>
    <col min="13" max="13" width="30.88671875" bestFit="1" customWidth="1"/>
    <col min="14" max="14" width="31.44140625" bestFit="1" customWidth="1"/>
    <col min="15" max="15" width="33.77734375" bestFit="1" customWidth="1"/>
    <col min="16" max="16" width="35.109375" bestFit="1" customWidth="1"/>
  </cols>
  <sheetData>
    <row r="1" spans="1:16" x14ac:dyDescent="0.3">
      <c r="A1" s="56" t="s">
        <v>2986</v>
      </c>
      <c r="B1" t="s">
        <v>2988</v>
      </c>
      <c r="D1" s="56" t="s">
        <v>2986</v>
      </c>
      <c r="E1" t="s">
        <v>2988</v>
      </c>
      <c r="G1" s="56" t="s">
        <v>2986</v>
      </c>
      <c r="H1" t="s">
        <v>2989</v>
      </c>
      <c r="I1" t="s">
        <v>2990</v>
      </c>
      <c r="J1" s="56" t="s">
        <v>2986</v>
      </c>
      <c r="K1" t="s">
        <v>2991</v>
      </c>
      <c r="M1" t="s">
        <v>2989</v>
      </c>
      <c r="N1" t="s">
        <v>2990</v>
      </c>
      <c r="O1" t="s">
        <v>2988</v>
      </c>
      <c r="P1" t="s">
        <v>2991</v>
      </c>
    </row>
    <row r="2" spans="1:16" x14ac:dyDescent="0.3">
      <c r="A2" s="57" t="s">
        <v>2992</v>
      </c>
      <c r="B2" s="62">
        <v>24719648</v>
      </c>
      <c r="D2" s="57" t="s">
        <v>344</v>
      </c>
      <c r="E2" s="62">
        <v>10910040</v>
      </c>
      <c r="G2" s="57" t="s">
        <v>2992</v>
      </c>
      <c r="H2" s="62">
        <v>11667634</v>
      </c>
      <c r="I2" s="62">
        <v>13052014</v>
      </c>
      <c r="J2" s="57" t="s">
        <v>2992</v>
      </c>
      <c r="K2" s="62">
        <v>13733722</v>
      </c>
      <c r="M2" s="62">
        <v>64290564</v>
      </c>
      <c r="N2" s="62">
        <v>67611856</v>
      </c>
      <c r="O2" s="62">
        <v>131902420</v>
      </c>
      <c r="P2" s="62">
        <v>58257038</v>
      </c>
    </row>
    <row r="3" spans="1:16" x14ac:dyDescent="0.3">
      <c r="A3" s="57" t="s">
        <v>2997</v>
      </c>
      <c r="B3" s="62">
        <v>21893514</v>
      </c>
      <c r="D3" s="57" t="s">
        <v>871</v>
      </c>
      <c r="E3" s="62">
        <v>5240344</v>
      </c>
      <c r="G3" s="57" t="s">
        <v>2997</v>
      </c>
      <c r="H3" s="62">
        <v>10679458</v>
      </c>
      <c r="I3" s="62">
        <v>11214056</v>
      </c>
      <c r="J3" s="57" t="s">
        <v>2997</v>
      </c>
      <c r="K3" s="62">
        <v>9425528</v>
      </c>
    </row>
    <row r="4" spans="1:16" x14ac:dyDescent="0.3">
      <c r="A4" s="57" t="s">
        <v>2993</v>
      </c>
      <c r="B4" s="62">
        <v>10472702</v>
      </c>
      <c r="D4" s="57" t="s">
        <v>1098</v>
      </c>
      <c r="E4" s="62">
        <v>3735884</v>
      </c>
      <c r="G4" s="57" t="s">
        <v>2993</v>
      </c>
      <c r="H4" s="62">
        <v>5131182</v>
      </c>
      <c r="I4" s="62">
        <v>5341520</v>
      </c>
      <c r="J4" s="57" t="s">
        <v>2993</v>
      </c>
      <c r="K4" s="62">
        <v>6119908</v>
      </c>
    </row>
    <row r="5" spans="1:16" x14ac:dyDescent="0.3">
      <c r="A5" s="57" t="s">
        <v>2994</v>
      </c>
      <c r="B5" s="62">
        <v>43238100</v>
      </c>
      <c r="D5" s="57" t="s">
        <v>1671</v>
      </c>
      <c r="E5" s="62">
        <v>3598038</v>
      </c>
      <c r="G5" s="57" t="s">
        <v>2994</v>
      </c>
      <c r="H5" s="62">
        <v>21375060</v>
      </c>
      <c r="I5" s="62">
        <v>21863040</v>
      </c>
      <c r="J5" s="57" t="s">
        <v>2994</v>
      </c>
      <c r="K5" s="62">
        <v>15373678</v>
      </c>
    </row>
    <row r="6" spans="1:16" x14ac:dyDescent="0.3">
      <c r="A6" s="57" t="s">
        <v>2996</v>
      </c>
      <c r="B6" s="62">
        <v>19040584</v>
      </c>
      <c r="D6" s="57" t="s">
        <v>1277</v>
      </c>
      <c r="E6" s="62">
        <v>3544762</v>
      </c>
      <c r="G6" s="57" t="s">
        <v>2996</v>
      </c>
      <c r="H6" s="62">
        <v>9355754</v>
      </c>
      <c r="I6" s="62">
        <v>9684830</v>
      </c>
      <c r="J6" s="57" t="s">
        <v>2996</v>
      </c>
      <c r="K6" s="62">
        <v>7862984</v>
      </c>
    </row>
    <row r="7" spans="1:16" x14ac:dyDescent="0.3">
      <c r="A7" s="57" t="s">
        <v>2995</v>
      </c>
      <c r="B7" s="62">
        <v>12537872</v>
      </c>
      <c r="D7" s="57" t="s">
        <v>647</v>
      </c>
      <c r="E7" s="62">
        <v>3271050</v>
      </c>
      <c r="G7" s="57" t="s">
        <v>2995</v>
      </c>
      <c r="H7" s="62">
        <v>6081476</v>
      </c>
      <c r="I7" s="62">
        <v>6456396</v>
      </c>
      <c r="J7" s="57" t="s">
        <v>2995</v>
      </c>
      <c r="K7" s="62">
        <v>5741218</v>
      </c>
    </row>
    <row r="8" spans="1:16" x14ac:dyDescent="0.3">
      <c r="A8" s="57" t="s">
        <v>2987</v>
      </c>
      <c r="B8" s="62">
        <v>131902420</v>
      </c>
      <c r="D8" s="57" t="s">
        <v>966</v>
      </c>
      <c r="E8" s="62">
        <v>3132616</v>
      </c>
      <c r="G8" s="57" t="s">
        <v>2987</v>
      </c>
      <c r="H8" s="62">
        <v>64290564</v>
      </c>
      <c r="I8" s="62">
        <v>67611856</v>
      </c>
      <c r="J8" s="57" t="s">
        <v>2987</v>
      </c>
      <c r="K8" s="62">
        <v>58257038</v>
      </c>
    </row>
    <row r="9" spans="1:16" x14ac:dyDescent="0.3">
      <c r="D9" s="57" t="s">
        <v>1345</v>
      </c>
      <c r="E9" s="62">
        <v>3104270</v>
      </c>
    </row>
    <row r="10" spans="1:16" x14ac:dyDescent="0.3">
      <c r="D10" s="57" t="s">
        <v>2444</v>
      </c>
      <c r="E10" s="62">
        <v>3069306</v>
      </c>
    </row>
    <row r="11" spans="1:16" x14ac:dyDescent="0.3">
      <c r="D11" s="57" t="s">
        <v>1057</v>
      </c>
      <c r="E11" s="62">
        <v>2884026</v>
      </c>
    </row>
    <row r="12" spans="1:16" x14ac:dyDescent="0.3">
      <c r="D12" s="57" t="s">
        <v>2987</v>
      </c>
      <c r="E12" s="62">
        <v>42490336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7FED-66B6-45F7-BA92-9C97AB997F82}">
  <dimension ref="A1:D5"/>
  <sheetViews>
    <sheetView topLeftCell="A4" zoomScaleNormal="100" workbookViewId="0">
      <selection activeCell="E13" sqref="E13"/>
    </sheetView>
  </sheetViews>
  <sheetFormatPr defaultRowHeight="14.4" x14ac:dyDescent="0.3"/>
  <cols>
    <col min="1" max="4" width="8.88671875" style="61"/>
    <col min="5" max="16384" width="8.88671875" style="59"/>
  </cols>
  <sheetData>
    <row r="1" s="60" customFormat="1" x14ac:dyDescent="0.3"/>
    <row r="2" s="60" customFormat="1" x14ac:dyDescent="0.3"/>
    <row r="3" s="60" customFormat="1" x14ac:dyDescent="0.3"/>
    <row r="4" s="60" customFormat="1" x14ac:dyDescent="0.3"/>
    <row r="5" s="60" customForma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C82E-8743-4B36-A76A-364E83E7B109}">
  <dimension ref="A1:F80"/>
  <sheetViews>
    <sheetView workbookViewId="0">
      <selection activeCell="D3" sqref="D3"/>
    </sheetView>
  </sheetViews>
  <sheetFormatPr defaultRowHeight="14.4" x14ac:dyDescent="0.3"/>
  <cols>
    <col min="1" max="1" width="10.6640625" bestFit="1" customWidth="1"/>
    <col min="2" max="2" width="21.77734375" bestFit="1" customWidth="1"/>
    <col min="3" max="3" width="16" customWidth="1"/>
    <col min="4" max="4" width="31.33203125" customWidth="1"/>
    <col min="5" max="5" width="34.88671875" customWidth="1"/>
    <col min="6" max="6" width="37.109375" customWidth="1"/>
  </cols>
  <sheetData>
    <row r="1" spans="1:6" x14ac:dyDescent="0.3">
      <c r="A1" t="s">
        <v>2901</v>
      </c>
      <c r="B1" t="s">
        <v>2902</v>
      </c>
      <c r="C1" t="s">
        <v>2903</v>
      </c>
      <c r="D1" t="s">
        <v>2904</v>
      </c>
      <c r="E1" t="s">
        <v>2905</v>
      </c>
      <c r="F1" t="s">
        <v>2906</v>
      </c>
    </row>
    <row r="2" spans="1:6" x14ac:dyDescent="0.3">
      <c r="A2" t="s">
        <v>329</v>
      </c>
      <c r="B2" t="s">
        <v>330</v>
      </c>
      <c r="C2" t="s">
        <v>2983</v>
      </c>
      <c r="D2" t="s">
        <v>338</v>
      </c>
      <c r="E2" t="s">
        <v>339</v>
      </c>
      <c r="F2" t="s">
        <v>2984</v>
      </c>
    </row>
    <row r="3" spans="1:6" x14ac:dyDescent="0.3">
      <c r="A3">
        <v>0</v>
      </c>
      <c r="B3" t="s">
        <v>342</v>
      </c>
      <c r="C3">
        <v>32045088</v>
      </c>
      <c r="D3">
        <v>33763923</v>
      </c>
      <c r="E3">
        <v>65809011</v>
      </c>
      <c r="F3">
        <v>29540110</v>
      </c>
    </row>
    <row r="4" spans="1:6" x14ac:dyDescent="0.3">
      <c r="A4">
        <v>10</v>
      </c>
      <c r="B4" t="s">
        <v>344</v>
      </c>
      <c r="C4">
        <v>2526272</v>
      </c>
      <c r="D4">
        <v>2896296</v>
      </c>
      <c r="E4">
        <v>5422568</v>
      </c>
      <c r="F4">
        <v>3356358</v>
      </c>
    </row>
    <row r="5" spans="1:6" x14ac:dyDescent="0.3">
      <c r="A5">
        <v>11</v>
      </c>
      <c r="B5" t="s">
        <v>2907</v>
      </c>
      <c r="C5">
        <v>654644</v>
      </c>
      <c r="D5">
        <v>729280</v>
      </c>
      <c r="E5">
        <v>1383924</v>
      </c>
      <c r="F5">
        <v>792409</v>
      </c>
    </row>
    <row r="6" spans="1:6" x14ac:dyDescent="0.3">
      <c r="A6">
        <v>12</v>
      </c>
      <c r="B6" t="s">
        <v>2908</v>
      </c>
      <c r="C6">
        <v>610989</v>
      </c>
      <c r="D6">
        <v>711291</v>
      </c>
      <c r="E6">
        <v>1322280</v>
      </c>
      <c r="F6">
        <v>775919</v>
      </c>
    </row>
    <row r="7" spans="1:6" x14ac:dyDescent="0.3">
      <c r="A7">
        <v>13</v>
      </c>
      <c r="B7" t="s">
        <v>2909</v>
      </c>
      <c r="C7">
        <v>587603</v>
      </c>
      <c r="D7">
        <v>658459</v>
      </c>
      <c r="E7">
        <v>1246062</v>
      </c>
      <c r="F7">
        <v>728164</v>
      </c>
    </row>
    <row r="8" spans="1:6" x14ac:dyDescent="0.3">
      <c r="A8">
        <v>14</v>
      </c>
      <c r="B8" t="s">
        <v>2910</v>
      </c>
      <c r="C8">
        <v>393983</v>
      </c>
      <c r="D8">
        <v>428720</v>
      </c>
      <c r="E8">
        <v>822703</v>
      </c>
      <c r="F8">
        <v>366492</v>
      </c>
    </row>
    <row r="9" spans="1:6" x14ac:dyDescent="0.3">
      <c r="A9">
        <v>15</v>
      </c>
      <c r="B9" t="s">
        <v>2911</v>
      </c>
      <c r="C9">
        <v>127448</v>
      </c>
      <c r="D9">
        <v>139475</v>
      </c>
      <c r="E9">
        <v>266923</v>
      </c>
      <c r="F9">
        <v>106411</v>
      </c>
    </row>
    <row r="10" spans="1:6" x14ac:dyDescent="0.3">
      <c r="A10">
        <v>16</v>
      </c>
      <c r="B10" t="s">
        <v>2912</v>
      </c>
      <c r="C10">
        <v>357927</v>
      </c>
      <c r="D10">
        <v>363633</v>
      </c>
      <c r="E10">
        <v>721560</v>
      </c>
      <c r="F10">
        <v>308446</v>
      </c>
    </row>
    <row r="11" spans="1:6" x14ac:dyDescent="0.3">
      <c r="A11">
        <v>17</v>
      </c>
      <c r="B11" t="s">
        <v>2913</v>
      </c>
      <c r="C11">
        <v>93983</v>
      </c>
      <c r="D11">
        <v>104041</v>
      </c>
      <c r="E11">
        <v>198024</v>
      </c>
      <c r="F11">
        <v>82690</v>
      </c>
    </row>
    <row r="12" spans="1:6" x14ac:dyDescent="0.3">
      <c r="A12">
        <v>18</v>
      </c>
      <c r="B12" t="s">
        <v>2914</v>
      </c>
      <c r="C12">
        <v>149462</v>
      </c>
      <c r="D12">
        <v>162212</v>
      </c>
      <c r="E12">
        <v>311674</v>
      </c>
      <c r="F12">
        <v>134321</v>
      </c>
    </row>
    <row r="13" spans="1:6" x14ac:dyDescent="0.3">
      <c r="A13">
        <v>19</v>
      </c>
      <c r="B13" t="s">
        <v>2915</v>
      </c>
      <c r="C13">
        <v>312863</v>
      </c>
      <c r="D13">
        <v>325614</v>
      </c>
      <c r="E13">
        <v>638477</v>
      </c>
      <c r="F13">
        <v>310146</v>
      </c>
    </row>
    <row r="14" spans="1:6" x14ac:dyDescent="0.3">
      <c r="A14">
        <v>20</v>
      </c>
      <c r="B14" t="s">
        <v>2916</v>
      </c>
      <c r="C14">
        <v>798596</v>
      </c>
      <c r="D14">
        <v>847389</v>
      </c>
      <c r="E14">
        <v>1645985</v>
      </c>
      <c r="F14">
        <v>1194372</v>
      </c>
    </row>
    <row r="15" spans="1:6" x14ac:dyDescent="0.3">
      <c r="A15">
        <v>21</v>
      </c>
      <c r="B15" t="s">
        <v>2917</v>
      </c>
      <c r="C15">
        <v>386293</v>
      </c>
      <c r="D15">
        <v>403437</v>
      </c>
      <c r="E15">
        <v>789730</v>
      </c>
      <c r="F15">
        <v>594435</v>
      </c>
    </row>
    <row r="16" spans="1:6" x14ac:dyDescent="0.3">
      <c r="A16">
        <v>22</v>
      </c>
      <c r="B16" t="s">
        <v>2918</v>
      </c>
      <c r="C16">
        <v>261002</v>
      </c>
      <c r="D16">
        <v>274561</v>
      </c>
      <c r="E16">
        <v>535563</v>
      </c>
      <c r="F16">
        <v>265747</v>
      </c>
    </row>
    <row r="17" spans="1:6" x14ac:dyDescent="0.3">
      <c r="A17">
        <v>23</v>
      </c>
      <c r="B17" t="s">
        <v>2919</v>
      </c>
      <c r="C17">
        <v>111274</v>
      </c>
      <c r="D17">
        <v>114317</v>
      </c>
      <c r="E17">
        <v>225591</v>
      </c>
      <c r="F17">
        <v>115767</v>
      </c>
    </row>
    <row r="18" spans="1:6" x14ac:dyDescent="0.3">
      <c r="A18">
        <v>24</v>
      </c>
      <c r="B18" t="s">
        <v>2920</v>
      </c>
      <c r="C18">
        <v>358444</v>
      </c>
      <c r="D18">
        <v>374956</v>
      </c>
      <c r="E18">
        <v>733400</v>
      </c>
      <c r="F18">
        <v>351277</v>
      </c>
    </row>
    <row r="19" spans="1:6" x14ac:dyDescent="0.3">
      <c r="A19">
        <v>25</v>
      </c>
      <c r="B19" t="s">
        <v>2921</v>
      </c>
      <c r="C19">
        <v>247521</v>
      </c>
      <c r="D19">
        <v>254433</v>
      </c>
      <c r="E19">
        <v>501954</v>
      </c>
      <c r="F19">
        <v>246663</v>
      </c>
    </row>
    <row r="20" spans="1:6" x14ac:dyDescent="0.3">
      <c r="A20">
        <v>26</v>
      </c>
      <c r="B20" t="s">
        <v>2922</v>
      </c>
      <c r="C20">
        <v>128262</v>
      </c>
      <c r="D20">
        <v>131421</v>
      </c>
      <c r="E20">
        <v>259683</v>
      </c>
      <c r="F20">
        <v>113187</v>
      </c>
    </row>
    <row r="21" spans="1:6" x14ac:dyDescent="0.3">
      <c r="A21">
        <v>27</v>
      </c>
      <c r="B21" t="s">
        <v>2923</v>
      </c>
      <c r="C21">
        <v>279611</v>
      </c>
      <c r="D21">
        <v>281236</v>
      </c>
      <c r="E21">
        <v>560847</v>
      </c>
      <c r="F21">
        <v>237085</v>
      </c>
    </row>
    <row r="22" spans="1:6" x14ac:dyDescent="0.3">
      <c r="A22">
        <v>30</v>
      </c>
      <c r="B22" t="s">
        <v>2924</v>
      </c>
      <c r="C22">
        <v>1278348</v>
      </c>
      <c r="D22">
        <v>1335084</v>
      </c>
      <c r="E22">
        <v>2613432</v>
      </c>
      <c r="F22">
        <v>1094756</v>
      </c>
    </row>
    <row r="23" spans="1:6" x14ac:dyDescent="0.3">
      <c r="A23">
        <v>31</v>
      </c>
      <c r="B23" t="s">
        <v>2925</v>
      </c>
      <c r="C23">
        <v>771659</v>
      </c>
      <c r="D23">
        <v>788620</v>
      </c>
      <c r="E23">
        <v>1560279</v>
      </c>
      <c r="F23">
        <v>510228</v>
      </c>
    </row>
    <row r="24" spans="1:6" x14ac:dyDescent="0.3">
      <c r="A24">
        <v>32</v>
      </c>
      <c r="B24" t="s">
        <v>2926</v>
      </c>
      <c r="C24">
        <v>671798</v>
      </c>
      <c r="D24">
        <v>682679</v>
      </c>
      <c r="E24">
        <v>1354477</v>
      </c>
      <c r="F24">
        <v>430692</v>
      </c>
    </row>
    <row r="25" spans="1:6" x14ac:dyDescent="0.3">
      <c r="A25">
        <v>33</v>
      </c>
      <c r="B25" t="s">
        <v>2927</v>
      </c>
      <c r="C25">
        <v>714181</v>
      </c>
      <c r="D25">
        <v>722560</v>
      </c>
      <c r="E25">
        <v>1436741</v>
      </c>
      <c r="F25">
        <v>425296</v>
      </c>
    </row>
    <row r="26" spans="1:6" x14ac:dyDescent="0.3">
      <c r="A26">
        <v>34</v>
      </c>
      <c r="B26" t="s">
        <v>2928</v>
      </c>
      <c r="C26">
        <v>927678</v>
      </c>
      <c r="D26">
        <v>937823</v>
      </c>
      <c r="E26">
        <v>1865501</v>
      </c>
      <c r="F26">
        <v>668687</v>
      </c>
    </row>
    <row r="27" spans="1:6" x14ac:dyDescent="0.3">
      <c r="A27">
        <v>35</v>
      </c>
      <c r="B27" t="s">
        <v>2929</v>
      </c>
      <c r="C27">
        <v>259694</v>
      </c>
      <c r="D27">
        <v>263125</v>
      </c>
      <c r="E27">
        <v>522819</v>
      </c>
      <c r="F27">
        <v>191679</v>
      </c>
    </row>
    <row r="28" spans="1:6" x14ac:dyDescent="0.3">
      <c r="A28">
        <v>36</v>
      </c>
      <c r="B28" t="s">
        <v>2930</v>
      </c>
      <c r="C28">
        <v>541513</v>
      </c>
      <c r="D28">
        <v>559134</v>
      </c>
      <c r="E28">
        <v>1100647</v>
      </c>
      <c r="F28">
        <v>428916</v>
      </c>
    </row>
    <row r="29" spans="1:6" x14ac:dyDescent="0.3">
      <c r="A29">
        <v>37</v>
      </c>
      <c r="B29" t="s">
        <v>2931</v>
      </c>
      <c r="C29">
        <v>183905</v>
      </c>
      <c r="D29">
        <v>186772</v>
      </c>
      <c r="E29">
        <v>370677</v>
      </c>
      <c r="F29">
        <v>129998</v>
      </c>
    </row>
    <row r="30" spans="1:6" x14ac:dyDescent="0.3">
      <c r="A30">
        <v>38</v>
      </c>
      <c r="B30" t="s">
        <v>2932</v>
      </c>
      <c r="C30">
        <v>208991</v>
      </c>
      <c r="D30">
        <v>208916</v>
      </c>
      <c r="E30">
        <v>417907</v>
      </c>
      <c r="F30">
        <v>149134</v>
      </c>
    </row>
    <row r="31" spans="1:6" x14ac:dyDescent="0.3">
      <c r="A31">
        <v>39</v>
      </c>
      <c r="B31" t="s">
        <v>2933</v>
      </c>
      <c r="C31">
        <v>249382</v>
      </c>
      <c r="D31">
        <v>252706</v>
      </c>
      <c r="E31">
        <v>502088</v>
      </c>
      <c r="F31">
        <v>163997</v>
      </c>
    </row>
    <row r="32" spans="1:6" x14ac:dyDescent="0.3">
      <c r="A32">
        <v>40</v>
      </c>
      <c r="B32" t="s">
        <v>2934</v>
      </c>
      <c r="C32">
        <v>863862</v>
      </c>
      <c r="D32">
        <v>902105</v>
      </c>
      <c r="E32">
        <v>1765967</v>
      </c>
      <c r="F32">
        <v>703153</v>
      </c>
    </row>
    <row r="33" spans="1:6" x14ac:dyDescent="0.3">
      <c r="A33">
        <v>41</v>
      </c>
      <c r="B33" t="s">
        <v>2935</v>
      </c>
      <c r="C33">
        <v>762067</v>
      </c>
      <c r="D33">
        <v>784670</v>
      </c>
      <c r="E33">
        <v>1546737</v>
      </c>
      <c r="F33">
        <v>573112</v>
      </c>
    </row>
    <row r="34" spans="1:6" x14ac:dyDescent="0.3">
      <c r="A34">
        <v>42</v>
      </c>
      <c r="B34" t="s">
        <v>2936</v>
      </c>
      <c r="C34">
        <v>314066</v>
      </c>
      <c r="D34">
        <v>315311</v>
      </c>
      <c r="E34">
        <v>629377</v>
      </c>
      <c r="F34">
        <v>243020</v>
      </c>
    </row>
    <row r="35" spans="1:6" x14ac:dyDescent="0.3">
      <c r="A35">
        <v>43</v>
      </c>
      <c r="B35" t="s">
        <v>2937</v>
      </c>
      <c r="C35">
        <v>252051</v>
      </c>
      <c r="D35">
        <v>258138</v>
      </c>
      <c r="E35">
        <v>510189</v>
      </c>
      <c r="F35">
        <v>192378</v>
      </c>
    </row>
    <row r="36" spans="1:6" x14ac:dyDescent="0.3">
      <c r="A36">
        <v>44</v>
      </c>
      <c r="B36" t="s">
        <v>2938</v>
      </c>
      <c r="C36">
        <v>453093</v>
      </c>
      <c r="D36">
        <v>471031</v>
      </c>
      <c r="E36">
        <v>924124</v>
      </c>
      <c r="F36">
        <v>324703</v>
      </c>
    </row>
    <row r="37" spans="1:6" x14ac:dyDescent="0.3">
      <c r="A37">
        <v>45</v>
      </c>
      <c r="B37" t="s">
        <v>2939</v>
      </c>
      <c r="C37">
        <v>625987</v>
      </c>
      <c r="D37">
        <v>643461</v>
      </c>
      <c r="E37">
        <v>1269448</v>
      </c>
      <c r="F37">
        <v>422603</v>
      </c>
    </row>
    <row r="38" spans="1:6" x14ac:dyDescent="0.3">
      <c r="A38">
        <v>46</v>
      </c>
      <c r="B38" t="s">
        <v>2940</v>
      </c>
      <c r="C38">
        <v>471528</v>
      </c>
      <c r="D38">
        <v>485893</v>
      </c>
      <c r="E38">
        <v>957421</v>
      </c>
      <c r="F38">
        <v>335591</v>
      </c>
    </row>
    <row r="39" spans="1:6" x14ac:dyDescent="0.3">
      <c r="A39">
        <v>47</v>
      </c>
      <c r="B39" t="s">
        <v>2941</v>
      </c>
      <c r="C39">
        <v>561786</v>
      </c>
      <c r="D39">
        <v>572305</v>
      </c>
      <c r="E39">
        <v>1134091</v>
      </c>
      <c r="F39">
        <v>415928</v>
      </c>
    </row>
    <row r="40" spans="1:6" x14ac:dyDescent="0.3">
      <c r="A40">
        <v>48</v>
      </c>
      <c r="B40" t="s">
        <v>2942</v>
      </c>
      <c r="C40">
        <v>352126</v>
      </c>
      <c r="D40">
        <v>356139</v>
      </c>
      <c r="E40">
        <v>708265</v>
      </c>
      <c r="F40">
        <v>249246</v>
      </c>
    </row>
    <row r="41" spans="1:6" x14ac:dyDescent="0.3">
      <c r="A41">
        <v>49</v>
      </c>
      <c r="B41" t="s">
        <v>2943</v>
      </c>
      <c r="C41">
        <v>174321</v>
      </c>
      <c r="D41">
        <v>175297</v>
      </c>
      <c r="E41">
        <v>349618</v>
      </c>
      <c r="F41">
        <v>127885</v>
      </c>
    </row>
    <row r="42" spans="1:6" x14ac:dyDescent="0.3">
      <c r="A42">
        <v>50</v>
      </c>
      <c r="B42" t="s">
        <v>2944</v>
      </c>
      <c r="C42">
        <v>863853</v>
      </c>
      <c r="D42">
        <v>934735</v>
      </c>
      <c r="E42">
        <v>1798588</v>
      </c>
      <c r="F42">
        <v>916688</v>
      </c>
    </row>
    <row r="43" spans="1:6" x14ac:dyDescent="0.3">
      <c r="A43">
        <v>51</v>
      </c>
      <c r="B43" t="s">
        <v>2945</v>
      </c>
      <c r="C43">
        <v>188407</v>
      </c>
      <c r="D43">
        <v>206537</v>
      </c>
      <c r="E43">
        <v>394944</v>
      </c>
      <c r="F43">
        <v>195859</v>
      </c>
    </row>
    <row r="44" spans="1:6" x14ac:dyDescent="0.3">
      <c r="A44">
        <v>52</v>
      </c>
      <c r="B44" t="s">
        <v>2946</v>
      </c>
      <c r="C44">
        <v>337970</v>
      </c>
      <c r="D44">
        <v>359709</v>
      </c>
      <c r="E44">
        <v>697679</v>
      </c>
      <c r="F44">
        <v>310381</v>
      </c>
    </row>
    <row r="45" spans="1:6" x14ac:dyDescent="0.3">
      <c r="A45">
        <v>53</v>
      </c>
      <c r="B45" t="s">
        <v>2947</v>
      </c>
      <c r="C45">
        <v>210378</v>
      </c>
      <c r="D45">
        <v>222897</v>
      </c>
      <c r="E45">
        <v>433275</v>
      </c>
      <c r="F45">
        <v>180771</v>
      </c>
    </row>
    <row r="46" spans="1:6" x14ac:dyDescent="0.3">
      <c r="A46">
        <v>54</v>
      </c>
      <c r="B46" t="s">
        <v>2948</v>
      </c>
      <c r="C46">
        <v>200080</v>
      </c>
      <c r="D46">
        <v>217400</v>
      </c>
      <c r="E46">
        <v>417480</v>
      </c>
      <c r="F46">
        <v>187264</v>
      </c>
    </row>
    <row r="47" spans="1:6" x14ac:dyDescent="0.3">
      <c r="A47">
        <v>55</v>
      </c>
      <c r="B47" t="s">
        <v>2949</v>
      </c>
      <c r="C47">
        <v>233287</v>
      </c>
      <c r="D47">
        <v>235081</v>
      </c>
      <c r="E47">
        <v>468368</v>
      </c>
      <c r="F47">
        <v>182521</v>
      </c>
    </row>
    <row r="48" spans="1:6" x14ac:dyDescent="0.3">
      <c r="A48">
        <v>56</v>
      </c>
      <c r="B48" t="s">
        <v>2950</v>
      </c>
      <c r="C48">
        <v>218714</v>
      </c>
      <c r="D48">
        <v>233250</v>
      </c>
      <c r="E48">
        <v>451964</v>
      </c>
      <c r="F48">
        <v>207675</v>
      </c>
    </row>
    <row r="49" spans="1:6" x14ac:dyDescent="0.3">
      <c r="A49">
        <v>57</v>
      </c>
      <c r="B49" t="s">
        <v>2951</v>
      </c>
      <c r="C49">
        <v>627342</v>
      </c>
      <c r="D49">
        <v>668580</v>
      </c>
      <c r="E49">
        <v>1295922</v>
      </c>
      <c r="F49">
        <v>603627</v>
      </c>
    </row>
    <row r="50" spans="1:6" x14ac:dyDescent="0.3">
      <c r="A50">
        <v>58</v>
      </c>
      <c r="B50" t="s">
        <v>2952</v>
      </c>
      <c r="C50">
        <v>145888</v>
      </c>
      <c r="D50">
        <v>142869</v>
      </c>
      <c r="E50">
        <v>288757</v>
      </c>
      <c r="F50">
        <v>125752</v>
      </c>
    </row>
    <row r="51" spans="1:6" x14ac:dyDescent="0.3">
      <c r="A51">
        <v>60</v>
      </c>
      <c r="B51" t="s">
        <v>2953</v>
      </c>
      <c r="C51">
        <v>489891</v>
      </c>
      <c r="D51">
        <v>518471</v>
      </c>
      <c r="E51">
        <v>1008362</v>
      </c>
      <c r="F51">
        <v>442181</v>
      </c>
    </row>
    <row r="52" spans="1:6" x14ac:dyDescent="0.3">
      <c r="A52">
        <v>61</v>
      </c>
      <c r="B52" t="s">
        <v>2954</v>
      </c>
      <c r="C52">
        <v>155460</v>
      </c>
      <c r="D52">
        <v>163508</v>
      </c>
      <c r="E52">
        <v>318968</v>
      </c>
      <c r="F52">
        <v>133605</v>
      </c>
    </row>
    <row r="53" spans="1:6" x14ac:dyDescent="0.3">
      <c r="A53">
        <v>62</v>
      </c>
      <c r="B53" t="s">
        <v>2955</v>
      </c>
      <c r="C53">
        <v>342943</v>
      </c>
      <c r="D53">
        <v>354029</v>
      </c>
      <c r="E53">
        <v>696972</v>
      </c>
      <c r="F53">
        <v>294361</v>
      </c>
    </row>
    <row r="54" spans="1:6" x14ac:dyDescent="0.3">
      <c r="A54">
        <v>63</v>
      </c>
      <c r="B54" t="s">
        <v>2956</v>
      </c>
      <c r="C54">
        <v>355835</v>
      </c>
      <c r="D54">
        <v>348659</v>
      </c>
      <c r="E54">
        <v>704494</v>
      </c>
      <c r="F54">
        <v>246226</v>
      </c>
    </row>
    <row r="55" spans="1:6" x14ac:dyDescent="0.3">
      <c r="A55">
        <v>64</v>
      </c>
      <c r="B55" t="s">
        <v>2957</v>
      </c>
      <c r="C55">
        <v>274878</v>
      </c>
      <c r="D55">
        <v>294384</v>
      </c>
      <c r="E55">
        <v>569262</v>
      </c>
      <c r="F55">
        <v>231232</v>
      </c>
    </row>
    <row r="56" spans="1:6" x14ac:dyDescent="0.3">
      <c r="A56">
        <v>65</v>
      </c>
      <c r="B56" t="s">
        <v>2958</v>
      </c>
      <c r="C56">
        <v>407212</v>
      </c>
      <c r="D56">
        <v>428268</v>
      </c>
      <c r="E56">
        <v>835480</v>
      </c>
      <c r="F56">
        <v>377281</v>
      </c>
    </row>
    <row r="57" spans="1:6" x14ac:dyDescent="0.3">
      <c r="A57">
        <v>66</v>
      </c>
      <c r="B57" t="s">
        <v>2959</v>
      </c>
      <c r="C57">
        <v>249551</v>
      </c>
      <c r="D57">
        <v>263599</v>
      </c>
      <c r="E57">
        <v>513150</v>
      </c>
      <c r="F57">
        <v>209014</v>
      </c>
    </row>
    <row r="58" spans="1:6" x14ac:dyDescent="0.3">
      <c r="A58">
        <v>67</v>
      </c>
      <c r="B58" t="s">
        <v>2960</v>
      </c>
      <c r="C58">
        <v>468503</v>
      </c>
      <c r="D58">
        <v>485914</v>
      </c>
      <c r="E58">
        <v>954417</v>
      </c>
      <c r="F58">
        <v>385840</v>
      </c>
    </row>
    <row r="59" spans="1:6" x14ac:dyDescent="0.3">
      <c r="A59">
        <v>70</v>
      </c>
      <c r="B59" t="s">
        <v>2961</v>
      </c>
      <c r="C59">
        <v>417614</v>
      </c>
      <c r="D59">
        <v>444265</v>
      </c>
      <c r="E59">
        <v>861879</v>
      </c>
      <c r="F59">
        <v>355963</v>
      </c>
    </row>
    <row r="60" spans="1:6" x14ac:dyDescent="0.3">
      <c r="A60">
        <v>71</v>
      </c>
      <c r="B60" t="s">
        <v>2962</v>
      </c>
      <c r="C60">
        <v>447296</v>
      </c>
      <c r="D60">
        <v>449377</v>
      </c>
      <c r="E60">
        <v>896673</v>
      </c>
      <c r="F60">
        <v>375254</v>
      </c>
    </row>
    <row r="61" spans="1:6" x14ac:dyDescent="0.3">
      <c r="A61">
        <v>72</v>
      </c>
      <c r="B61" t="s">
        <v>2963</v>
      </c>
      <c r="C61">
        <v>393212</v>
      </c>
      <c r="D61">
        <v>424637</v>
      </c>
      <c r="E61">
        <v>817849</v>
      </c>
      <c r="F61">
        <v>327755</v>
      </c>
    </row>
    <row r="62" spans="1:6" x14ac:dyDescent="0.3">
      <c r="A62">
        <v>73</v>
      </c>
      <c r="B62" t="s">
        <v>2964</v>
      </c>
      <c r="C62">
        <v>443582</v>
      </c>
      <c r="D62">
        <v>482736</v>
      </c>
      <c r="E62">
        <v>926318</v>
      </c>
      <c r="F62">
        <v>449769</v>
      </c>
    </row>
    <row r="63" spans="1:6" x14ac:dyDescent="0.3">
      <c r="A63">
        <v>74</v>
      </c>
      <c r="B63" t="s">
        <v>2965</v>
      </c>
      <c r="C63">
        <v>281271</v>
      </c>
      <c r="D63">
        <v>306096</v>
      </c>
      <c r="E63">
        <v>587367</v>
      </c>
      <c r="F63">
        <v>327860</v>
      </c>
    </row>
    <row r="64" spans="1:6" x14ac:dyDescent="0.3">
      <c r="A64">
        <v>75</v>
      </c>
      <c r="B64" t="s">
        <v>2966</v>
      </c>
      <c r="C64">
        <v>88237</v>
      </c>
      <c r="D64">
        <v>97044</v>
      </c>
      <c r="E64">
        <v>185281</v>
      </c>
      <c r="F64">
        <v>78449</v>
      </c>
    </row>
    <row r="65" spans="1:6" x14ac:dyDescent="0.3">
      <c r="A65">
        <v>76</v>
      </c>
      <c r="B65" t="s">
        <v>2967</v>
      </c>
      <c r="C65">
        <v>232868</v>
      </c>
      <c r="D65">
        <v>251259</v>
      </c>
      <c r="E65">
        <v>484127</v>
      </c>
      <c r="F65">
        <v>241198</v>
      </c>
    </row>
    <row r="66" spans="1:6" x14ac:dyDescent="0.3">
      <c r="A66">
        <v>77</v>
      </c>
      <c r="B66" t="s">
        <v>2968</v>
      </c>
      <c r="C66">
        <v>269387</v>
      </c>
      <c r="D66">
        <v>282056</v>
      </c>
      <c r="E66">
        <v>551443</v>
      </c>
      <c r="F66">
        <v>299161</v>
      </c>
    </row>
    <row r="67" spans="1:6" x14ac:dyDescent="0.3">
      <c r="A67">
        <v>80</v>
      </c>
      <c r="B67" t="s">
        <v>2969</v>
      </c>
      <c r="C67">
        <v>754930</v>
      </c>
      <c r="D67">
        <v>775505</v>
      </c>
      <c r="E67">
        <v>1530435</v>
      </c>
      <c r="F67">
        <v>624899</v>
      </c>
    </row>
    <row r="68" spans="1:6" x14ac:dyDescent="0.3">
      <c r="A68">
        <v>81</v>
      </c>
      <c r="B68" t="s">
        <v>2970</v>
      </c>
      <c r="C68">
        <v>240718</v>
      </c>
      <c r="D68">
        <v>244078</v>
      </c>
      <c r="E68">
        <v>484796</v>
      </c>
      <c r="F68">
        <v>212135</v>
      </c>
    </row>
    <row r="69" spans="1:6" x14ac:dyDescent="0.3">
      <c r="A69">
        <v>82</v>
      </c>
      <c r="B69" t="s">
        <v>2971</v>
      </c>
      <c r="C69">
        <v>132518</v>
      </c>
      <c r="D69">
        <v>133135</v>
      </c>
      <c r="E69">
        <v>265653</v>
      </c>
      <c r="F69">
        <v>127398</v>
      </c>
    </row>
    <row r="70" spans="1:6" x14ac:dyDescent="0.3">
      <c r="A70">
        <v>83</v>
      </c>
      <c r="B70" t="s">
        <v>2972</v>
      </c>
      <c r="C70">
        <v>203101</v>
      </c>
      <c r="D70">
        <v>229363</v>
      </c>
      <c r="E70">
        <v>432464</v>
      </c>
      <c r="F70">
        <v>303160</v>
      </c>
    </row>
    <row r="71" spans="1:6" x14ac:dyDescent="0.3">
      <c r="A71">
        <v>84</v>
      </c>
      <c r="B71" t="s">
        <v>2973</v>
      </c>
      <c r="C71">
        <v>528853</v>
      </c>
      <c r="D71">
        <v>547124</v>
      </c>
      <c r="E71">
        <v>1075977</v>
      </c>
      <c r="F71">
        <v>559761</v>
      </c>
    </row>
    <row r="72" spans="1:6" x14ac:dyDescent="0.3">
      <c r="A72">
        <v>85</v>
      </c>
      <c r="B72" t="s">
        <v>2974</v>
      </c>
      <c r="C72">
        <v>96644</v>
      </c>
      <c r="D72">
        <v>95843</v>
      </c>
      <c r="E72">
        <v>192487</v>
      </c>
      <c r="F72">
        <v>99564</v>
      </c>
    </row>
    <row r="73" spans="1:6" x14ac:dyDescent="0.3">
      <c r="A73">
        <v>86</v>
      </c>
      <c r="B73" t="s">
        <v>2975</v>
      </c>
      <c r="C73">
        <v>249489</v>
      </c>
      <c r="D73">
        <v>257367</v>
      </c>
      <c r="E73">
        <v>506856</v>
      </c>
      <c r="F73">
        <v>259113</v>
      </c>
    </row>
    <row r="74" spans="1:6" x14ac:dyDescent="0.3">
      <c r="A74">
        <v>90</v>
      </c>
      <c r="B74" t="s">
        <v>2976</v>
      </c>
      <c r="C74">
        <v>693970</v>
      </c>
      <c r="D74">
        <v>735155</v>
      </c>
      <c r="E74">
        <v>1429125</v>
      </c>
      <c r="F74">
        <v>602196</v>
      </c>
    </row>
    <row r="75" spans="1:6" x14ac:dyDescent="0.3">
      <c r="A75">
        <v>91</v>
      </c>
      <c r="B75" t="s">
        <v>2977</v>
      </c>
      <c r="C75">
        <v>161425</v>
      </c>
      <c r="D75">
        <v>163135</v>
      </c>
      <c r="E75">
        <v>324560</v>
      </c>
      <c r="F75">
        <v>113018</v>
      </c>
    </row>
    <row r="76" spans="1:6" x14ac:dyDescent="0.3">
      <c r="A76">
        <v>92</v>
      </c>
      <c r="B76" t="s">
        <v>2978</v>
      </c>
      <c r="C76">
        <v>309150</v>
      </c>
      <c r="D76">
        <v>324266</v>
      </c>
      <c r="E76">
        <v>633416</v>
      </c>
      <c r="F76">
        <v>249101</v>
      </c>
    </row>
    <row r="77" spans="1:6" x14ac:dyDescent="0.3">
      <c r="A77">
        <v>93</v>
      </c>
      <c r="B77" t="s">
        <v>2979</v>
      </c>
      <c r="C77">
        <v>251652</v>
      </c>
      <c r="D77">
        <v>266414</v>
      </c>
      <c r="E77">
        <v>518066</v>
      </c>
      <c r="F77">
        <v>211206</v>
      </c>
    </row>
    <row r="78" spans="1:6" x14ac:dyDescent="0.3">
      <c r="A78">
        <v>94</v>
      </c>
      <c r="B78" t="s">
        <v>2980</v>
      </c>
      <c r="C78">
        <v>368511</v>
      </c>
      <c r="D78">
        <v>376460</v>
      </c>
      <c r="E78">
        <v>744971</v>
      </c>
      <c r="F78">
        <v>212220</v>
      </c>
    </row>
    <row r="79" spans="1:6" x14ac:dyDescent="0.3">
      <c r="A79">
        <v>95</v>
      </c>
      <c r="B79" t="s">
        <v>2981</v>
      </c>
      <c r="C79">
        <v>276503</v>
      </c>
      <c r="D79">
        <v>279584</v>
      </c>
      <c r="E79">
        <v>556087</v>
      </c>
      <c r="F79">
        <v>183827</v>
      </c>
    </row>
    <row r="80" spans="1:6" x14ac:dyDescent="0.3">
      <c r="A80">
        <v>96</v>
      </c>
      <c r="B80" t="s">
        <v>2982</v>
      </c>
      <c r="C80">
        <v>409752</v>
      </c>
      <c r="D80">
        <v>418594</v>
      </c>
      <c r="E80">
        <v>828346</v>
      </c>
      <c r="F80">
        <v>235934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F82D-C507-4162-9116-C1393BB7E4D7}">
  <dimension ref="A1:H78"/>
  <sheetViews>
    <sheetView topLeftCell="A40" workbookViewId="0">
      <selection activeCell="A2" sqref="A2"/>
    </sheetView>
  </sheetViews>
  <sheetFormatPr defaultRowHeight="14.4" x14ac:dyDescent="0.3"/>
  <cols>
    <col min="1" max="1" width="12.5546875" customWidth="1"/>
    <col min="2" max="4" width="23.5546875" customWidth="1"/>
    <col min="5" max="5" width="23.6640625" customWidth="1"/>
    <col min="6" max="6" width="25.33203125" customWidth="1"/>
    <col min="7" max="7" width="23.109375" customWidth="1"/>
    <col min="8" max="8" width="22.5546875" customWidth="1"/>
  </cols>
  <sheetData>
    <row r="1" spans="1:8" x14ac:dyDescent="0.3">
      <c r="A1" s="53" t="s">
        <v>329</v>
      </c>
      <c r="B1" s="54" t="s">
        <v>330</v>
      </c>
      <c r="C1" s="54" t="s">
        <v>330</v>
      </c>
      <c r="D1" s="54" t="s">
        <v>2985</v>
      </c>
      <c r="E1" s="54" t="s">
        <v>2983</v>
      </c>
      <c r="F1" s="54" t="s">
        <v>338</v>
      </c>
      <c r="G1" s="54" t="s">
        <v>339</v>
      </c>
      <c r="H1" s="55" t="s">
        <v>2984</v>
      </c>
    </row>
    <row r="2" spans="1:8" x14ac:dyDescent="0.3">
      <c r="A2" s="46">
        <v>10</v>
      </c>
      <c r="B2" s="47" t="s">
        <v>344</v>
      </c>
      <c r="C2" s="47"/>
      <c r="D2" s="47"/>
      <c r="E2" s="47">
        <v>2526272</v>
      </c>
      <c r="F2" s="47">
        <v>2896296</v>
      </c>
      <c r="G2" s="47">
        <v>5422568</v>
      </c>
      <c r="H2" s="48">
        <v>3356358</v>
      </c>
    </row>
    <row r="3" spans="1:8" x14ac:dyDescent="0.3">
      <c r="A3" s="44">
        <v>11</v>
      </c>
      <c r="B3" s="45" t="s">
        <v>2907</v>
      </c>
      <c r="C3" s="45" t="str">
        <f t="shared" ref="C3:C34" si="0">REPLACE(B3,1,7,"")</f>
        <v xml:space="preserve">สมุทรปราการ </v>
      </c>
      <c r="D3" s="45"/>
      <c r="E3" s="45">
        <v>654644</v>
      </c>
      <c r="F3" s="45">
        <v>729280</v>
      </c>
      <c r="G3" s="45">
        <v>1383924</v>
      </c>
      <c r="H3" s="49">
        <v>792409</v>
      </c>
    </row>
    <row r="4" spans="1:8" x14ac:dyDescent="0.3">
      <c r="A4" s="46">
        <v>12</v>
      </c>
      <c r="B4" s="47" t="s">
        <v>2908</v>
      </c>
      <c r="C4" s="45" t="str">
        <f t="shared" si="0"/>
        <v xml:space="preserve">นนทบุรี </v>
      </c>
      <c r="D4" s="47"/>
      <c r="E4" s="47">
        <v>610989</v>
      </c>
      <c r="F4" s="47">
        <v>711291</v>
      </c>
      <c r="G4" s="47">
        <v>1322280</v>
      </c>
      <c r="H4" s="48">
        <v>775919</v>
      </c>
    </row>
    <row r="5" spans="1:8" x14ac:dyDescent="0.3">
      <c r="A5" s="44">
        <v>13</v>
      </c>
      <c r="B5" s="45" t="s">
        <v>2909</v>
      </c>
      <c r="C5" s="45" t="str">
        <f t="shared" si="0"/>
        <v xml:space="preserve">ปทุมธานี </v>
      </c>
      <c r="D5" s="45"/>
      <c r="E5" s="45">
        <v>587603</v>
      </c>
      <c r="F5" s="45">
        <v>658459</v>
      </c>
      <c r="G5" s="45">
        <v>1246062</v>
      </c>
      <c r="H5" s="49">
        <v>728164</v>
      </c>
    </row>
    <row r="6" spans="1:8" x14ac:dyDescent="0.3">
      <c r="A6" s="46">
        <v>14</v>
      </c>
      <c r="B6" s="47" t="s">
        <v>2910</v>
      </c>
      <c r="C6" s="45" t="str">
        <f t="shared" si="0"/>
        <v xml:space="preserve">พระนครศรีอยุธยา </v>
      </c>
      <c r="D6" s="47"/>
      <c r="E6" s="47">
        <v>393983</v>
      </c>
      <c r="F6" s="47">
        <v>428720</v>
      </c>
      <c r="G6" s="47">
        <v>822703</v>
      </c>
      <c r="H6" s="48">
        <v>366492</v>
      </c>
    </row>
    <row r="7" spans="1:8" x14ac:dyDescent="0.3">
      <c r="A7" s="44">
        <v>15</v>
      </c>
      <c r="B7" s="45" t="s">
        <v>2911</v>
      </c>
      <c r="C7" s="45" t="str">
        <f t="shared" si="0"/>
        <v xml:space="preserve">อ่างทอง </v>
      </c>
      <c r="D7" s="45"/>
      <c r="E7" s="45">
        <v>127448</v>
      </c>
      <c r="F7" s="45">
        <v>139475</v>
      </c>
      <c r="G7" s="45">
        <v>266923</v>
      </c>
      <c r="H7" s="49">
        <v>106411</v>
      </c>
    </row>
    <row r="8" spans="1:8" x14ac:dyDescent="0.3">
      <c r="A8" s="46">
        <v>16</v>
      </c>
      <c r="B8" s="47" t="s">
        <v>2912</v>
      </c>
      <c r="C8" s="45" t="str">
        <f t="shared" si="0"/>
        <v xml:space="preserve">ลพบุรี </v>
      </c>
      <c r="D8" s="47"/>
      <c r="E8" s="47">
        <v>357927</v>
      </c>
      <c r="F8" s="47">
        <v>363633</v>
      </c>
      <c r="G8" s="47">
        <v>721560</v>
      </c>
      <c r="H8" s="48">
        <v>308446</v>
      </c>
    </row>
    <row r="9" spans="1:8" x14ac:dyDescent="0.3">
      <c r="A9" s="44">
        <v>17</v>
      </c>
      <c r="B9" s="45" t="s">
        <v>2913</v>
      </c>
      <c r="C9" s="45" t="str">
        <f t="shared" si="0"/>
        <v xml:space="preserve">สิงห์บุรี </v>
      </c>
      <c r="D9" s="45"/>
      <c r="E9" s="45">
        <v>93983</v>
      </c>
      <c r="F9" s="45">
        <v>104041</v>
      </c>
      <c r="G9" s="45">
        <v>198024</v>
      </c>
      <c r="H9" s="49">
        <v>82690</v>
      </c>
    </row>
    <row r="10" spans="1:8" x14ac:dyDescent="0.3">
      <c r="A10" s="46">
        <v>18</v>
      </c>
      <c r="B10" s="47" t="s">
        <v>2914</v>
      </c>
      <c r="C10" s="45" t="str">
        <f t="shared" si="0"/>
        <v xml:space="preserve">ชัยนาท </v>
      </c>
      <c r="D10" s="47"/>
      <c r="E10" s="47">
        <v>149462</v>
      </c>
      <c r="F10" s="47">
        <v>162212</v>
      </c>
      <c r="G10" s="47">
        <v>311674</v>
      </c>
      <c r="H10" s="48">
        <v>134321</v>
      </c>
    </row>
    <row r="11" spans="1:8" x14ac:dyDescent="0.3">
      <c r="A11" s="44">
        <v>19</v>
      </c>
      <c r="B11" s="45" t="s">
        <v>2915</v>
      </c>
      <c r="C11" s="45" t="str">
        <f t="shared" si="0"/>
        <v xml:space="preserve">สระบุรี </v>
      </c>
      <c r="D11" s="45"/>
      <c r="E11" s="45">
        <v>312863</v>
      </c>
      <c r="F11" s="45">
        <v>325614</v>
      </c>
      <c r="G11" s="45">
        <v>638477</v>
      </c>
      <c r="H11" s="49">
        <v>310146</v>
      </c>
    </row>
    <row r="12" spans="1:8" x14ac:dyDescent="0.3">
      <c r="A12" s="46">
        <v>20</v>
      </c>
      <c r="B12" s="47" t="s">
        <v>2916</v>
      </c>
      <c r="C12" s="45" t="str">
        <f t="shared" si="0"/>
        <v xml:space="preserve">ชลบุรี </v>
      </c>
      <c r="D12" s="47"/>
      <c r="E12" s="47">
        <v>798596</v>
      </c>
      <c r="F12" s="47">
        <v>847389</v>
      </c>
      <c r="G12" s="47">
        <v>1645985</v>
      </c>
      <c r="H12" s="48">
        <v>1194372</v>
      </c>
    </row>
    <row r="13" spans="1:8" x14ac:dyDescent="0.3">
      <c r="A13" s="44">
        <v>21</v>
      </c>
      <c r="B13" s="45" t="s">
        <v>2917</v>
      </c>
      <c r="C13" s="45" t="str">
        <f t="shared" si="0"/>
        <v xml:space="preserve">ระยอง </v>
      </c>
      <c r="D13" s="45"/>
      <c r="E13" s="45">
        <v>386293</v>
      </c>
      <c r="F13" s="45">
        <v>403437</v>
      </c>
      <c r="G13" s="45">
        <v>789730</v>
      </c>
      <c r="H13" s="49">
        <v>594435</v>
      </c>
    </row>
    <row r="14" spans="1:8" x14ac:dyDescent="0.3">
      <c r="A14" s="46">
        <v>22</v>
      </c>
      <c r="B14" s="47" t="s">
        <v>2918</v>
      </c>
      <c r="C14" s="45" t="str">
        <f t="shared" si="0"/>
        <v xml:space="preserve">จันทบุรี </v>
      </c>
      <c r="D14" s="47"/>
      <c r="E14" s="47">
        <v>261002</v>
      </c>
      <c r="F14" s="47">
        <v>274561</v>
      </c>
      <c r="G14" s="47">
        <v>535563</v>
      </c>
      <c r="H14" s="48">
        <v>265747</v>
      </c>
    </row>
    <row r="15" spans="1:8" x14ac:dyDescent="0.3">
      <c r="A15" s="44">
        <v>23</v>
      </c>
      <c r="B15" s="45" t="s">
        <v>2919</v>
      </c>
      <c r="C15" s="45" t="str">
        <f t="shared" si="0"/>
        <v xml:space="preserve">ตราด </v>
      </c>
      <c r="D15" s="45"/>
      <c r="E15" s="45">
        <v>111274</v>
      </c>
      <c r="F15" s="45">
        <v>114317</v>
      </c>
      <c r="G15" s="45">
        <v>225591</v>
      </c>
      <c r="H15" s="49">
        <v>115767</v>
      </c>
    </row>
    <row r="16" spans="1:8" x14ac:dyDescent="0.3">
      <c r="A16" s="46">
        <v>24</v>
      </c>
      <c r="B16" s="47" t="s">
        <v>2920</v>
      </c>
      <c r="C16" s="45" t="str">
        <f t="shared" si="0"/>
        <v xml:space="preserve">ฉะเชิงเทรา </v>
      </c>
      <c r="D16" s="47"/>
      <c r="E16" s="47">
        <v>358444</v>
      </c>
      <c r="F16" s="47">
        <v>374956</v>
      </c>
      <c r="G16" s="47">
        <v>733400</v>
      </c>
      <c r="H16" s="48">
        <v>351277</v>
      </c>
    </row>
    <row r="17" spans="1:8" x14ac:dyDescent="0.3">
      <c r="A17" s="44">
        <v>25</v>
      </c>
      <c r="B17" s="45" t="s">
        <v>2921</v>
      </c>
      <c r="C17" s="45" t="str">
        <f t="shared" si="0"/>
        <v xml:space="preserve">ปราจีนบุรี </v>
      </c>
      <c r="D17" s="45"/>
      <c r="E17" s="45">
        <v>247521</v>
      </c>
      <c r="F17" s="45">
        <v>254433</v>
      </c>
      <c r="G17" s="45">
        <v>501954</v>
      </c>
      <c r="H17" s="49">
        <v>246663</v>
      </c>
    </row>
    <row r="18" spans="1:8" x14ac:dyDescent="0.3">
      <c r="A18" s="46">
        <v>26</v>
      </c>
      <c r="B18" s="47" t="s">
        <v>2922</v>
      </c>
      <c r="C18" s="45" t="str">
        <f t="shared" si="0"/>
        <v xml:space="preserve">นครนายก </v>
      </c>
      <c r="D18" s="47"/>
      <c r="E18" s="47">
        <v>128262</v>
      </c>
      <c r="F18" s="47">
        <v>131421</v>
      </c>
      <c r="G18" s="47">
        <v>259683</v>
      </c>
      <c r="H18" s="48">
        <v>113187</v>
      </c>
    </row>
    <row r="19" spans="1:8" x14ac:dyDescent="0.3">
      <c r="A19" s="44">
        <v>27</v>
      </c>
      <c r="B19" s="45" t="s">
        <v>2923</v>
      </c>
      <c r="C19" s="45" t="str">
        <f t="shared" si="0"/>
        <v xml:space="preserve">สระแก้ว </v>
      </c>
      <c r="D19" s="45"/>
      <c r="E19" s="45">
        <v>279611</v>
      </c>
      <c r="F19" s="45">
        <v>281236</v>
      </c>
      <c r="G19" s="45">
        <v>560847</v>
      </c>
      <c r="H19" s="49">
        <v>237085</v>
      </c>
    </row>
    <row r="20" spans="1:8" x14ac:dyDescent="0.3">
      <c r="A20" s="46">
        <v>30</v>
      </c>
      <c r="B20" s="47" t="s">
        <v>2924</v>
      </c>
      <c r="C20" s="45" t="str">
        <f t="shared" si="0"/>
        <v xml:space="preserve">นครราชสีมา </v>
      </c>
      <c r="D20" s="47"/>
      <c r="E20" s="47">
        <v>1278348</v>
      </c>
      <c r="F20" s="47">
        <v>1335084</v>
      </c>
      <c r="G20" s="47">
        <v>2613432</v>
      </c>
      <c r="H20" s="48">
        <v>1094756</v>
      </c>
    </row>
    <row r="21" spans="1:8" x14ac:dyDescent="0.3">
      <c r="A21" s="44">
        <v>31</v>
      </c>
      <c r="B21" s="45" t="s">
        <v>2925</v>
      </c>
      <c r="C21" s="45" t="str">
        <f t="shared" si="0"/>
        <v xml:space="preserve">บุรีรัมย์ </v>
      </c>
      <c r="D21" s="45"/>
      <c r="E21" s="45">
        <v>771659</v>
      </c>
      <c r="F21" s="45">
        <v>788620</v>
      </c>
      <c r="G21" s="45">
        <v>1560279</v>
      </c>
      <c r="H21" s="49">
        <v>510228</v>
      </c>
    </row>
    <row r="22" spans="1:8" x14ac:dyDescent="0.3">
      <c r="A22" s="46">
        <v>32</v>
      </c>
      <c r="B22" s="47" t="s">
        <v>2926</v>
      </c>
      <c r="C22" s="45" t="str">
        <f t="shared" si="0"/>
        <v xml:space="preserve">สุรินทร์ </v>
      </c>
      <c r="D22" s="47"/>
      <c r="E22" s="47">
        <v>671798</v>
      </c>
      <c r="F22" s="47">
        <v>682679</v>
      </c>
      <c r="G22" s="47">
        <v>1354477</v>
      </c>
      <c r="H22" s="48">
        <v>430692</v>
      </c>
    </row>
    <row r="23" spans="1:8" x14ac:dyDescent="0.3">
      <c r="A23" s="44">
        <v>33</v>
      </c>
      <c r="B23" s="45" t="s">
        <v>2927</v>
      </c>
      <c r="C23" s="45" t="str">
        <f t="shared" si="0"/>
        <v xml:space="preserve">ศรีสะเกษ </v>
      </c>
      <c r="D23" s="45"/>
      <c r="E23" s="45">
        <v>714181</v>
      </c>
      <c r="F23" s="45">
        <v>722560</v>
      </c>
      <c r="G23" s="45">
        <v>1436741</v>
      </c>
      <c r="H23" s="49">
        <v>425296</v>
      </c>
    </row>
    <row r="24" spans="1:8" x14ac:dyDescent="0.3">
      <c r="A24" s="46">
        <v>34</v>
      </c>
      <c r="B24" s="47" t="s">
        <v>2928</v>
      </c>
      <c r="C24" s="45" t="str">
        <f t="shared" si="0"/>
        <v xml:space="preserve">อุบลราชธานี </v>
      </c>
      <c r="D24" s="47"/>
      <c r="E24" s="47">
        <v>927678</v>
      </c>
      <c r="F24" s="47">
        <v>937823</v>
      </c>
      <c r="G24" s="47">
        <v>1865501</v>
      </c>
      <c r="H24" s="48">
        <v>668687</v>
      </c>
    </row>
    <row r="25" spans="1:8" x14ac:dyDescent="0.3">
      <c r="A25" s="44">
        <v>35</v>
      </c>
      <c r="B25" s="45" t="s">
        <v>2929</v>
      </c>
      <c r="C25" s="45" t="str">
        <f t="shared" si="0"/>
        <v xml:space="preserve">ยโสธร </v>
      </c>
      <c r="D25" s="45"/>
      <c r="E25" s="45">
        <v>259694</v>
      </c>
      <c r="F25" s="45">
        <v>263125</v>
      </c>
      <c r="G25" s="45">
        <v>522819</v>
      </c>
      <c r="H25" s="49">
        <v>191679</v>
      </c>
    </row>
    <row r="26" spans="1:8" x14ac:dyDescent="0.3">
      <c r="A26" s="46">
        <v>36</v>
      </c>
      <c r="B26" s="47" t="s">
        <v>2930</v>
      </c>
      <c r="C26" s="45" t="str">
        <f t="shared" si="0"/>
        <v xml:space="preserve">ชัยภูมิ </v>
      </c>
      <c r="D26" s="47"/>
      <c r="E26" s="47">
        <v>541513</v>
      </c>
      <c r="F26" s="47">
        <v>559134</v>
      </c>
      <c r="G26" s="47">
        <v>1100647</v>
      </c>
      <c r="H26" s="48">
        <v>428916</v>
      </c>
    </row>
    <row r="27" spans="1:8" x14ac:dyDescent="0.3">
      <c r="A27" s="44">
        <v>37</v>
      </c>
      <c r="B27" s="45" t="s">
        <v>2931</v>
      </c>
      <c r="C27" s="45" t="str">
        <f t="shared" si="0"/>
        <v xml:space="preserve">อำนาจเจริญ </v>
      </c>
      <c r="D27" s="45"/>
      <c r="E27" s="45">
        <v>183905</v>
      </c>
      <c r="F27" s="45">
        <v>186772</v>
      </c>
      <c r="G27" s="45">
        <v>370677</v>
      </c>
      <c r="H27" s="49">
        <v>129998</v>
      </c>
    </row>
    <row r="28" spans="1:8" x14ac:dyDescent="0.3">
      <c r="A28" s="46">
        <v>38</v>
      </c>
      <c r="B28" s="47" t="s">
        <v>2932</v>
      </c>
      <c r="C28" s="45" t="str">
        <f t="shared" si="0"/>
        <v xml:space="preserve">บึงกาฬ </v>
      </c>
      <c r="D28" s="47"/>
      <c r="E28" s="47">
        <v>208991</v>
      </c>
      <c r="F28" s="47">
        <v>208916</v>
      </c>
      <c r="G28" s="47">
        <v>417907</v>
      </c>
      <c r="H28" s="48">
        <v>149134</v>
      </c>
    </row>
    <row r="29" spans="1:8" x14ac:dyDescent="0.3">
      <c r="A29" s="44">
        <v>39</v>
      </c>
      <c r="B29" s="45" t="s">
        <v>2933</v>
      </c>
      <c r="C29" s="45" t="str">
        <f t="shared" si="0"/>
        <v xml:space="preserve">หนองบัวลำภู </v>
      </c>
      <c r="D29" s="45"/>
      <c r="E29" s="45">
        <v>249382</v>
      </c>
      <c r="F29" s="45">
        <v>252706</v>
      </c>
      <c r="G29" s="45">
        <v>502088</v>
      </c>
      <c r="H29" s="49">
        <v>163997</v>
      </c>
    </row>
    <row r="30" spans="1:8" x14ac:dyDescent="0.3">
      <c r="A30" s="46">
        <v>40</v>
      </c>
      <c r="B30" s="47" t="s">
        <v>2934</v>
      </c>
      <c r="C30" s="45" t="str">
        <f t="shared" si="0"/>
        <v xml:space="preserve">ขอนแก่น </v>
      </c>
      <c r="D30" s="47"/>
      <c r="E30" s="47">
        <v>863862</v>
      </c>
      <c r="F30" s="47">
        <v>902105</v>
      </c>
      <c r="G30" s="47">
        <v>1765967</v>
      </c>
      <c r="H30" s="48">
        <v>703153</v>
      </c>
    </row>
    <row r="31" spans="1:8" x14ac:dyDescent="0.3">
      <c r="A31" s="44">
        <v>41</v>
      </c>
      <c r="B31" s="45" t="s">
        <v>2935</v>
      </c>
      <c r="C31" s="45" t="str">
        <f t="shared" si="0"/>
        <v xml:space="preserve">อุดรธานี </v>
      </c>
      <c r="D31" s="45"/>
      <c r="E31" s="45">
        <v>762067</v>
      </c>
      <c r="F31" s="45">
        <v>784670</v>
      </c>
      <c r="G31" s="45">
        <v>1546737</v>
      </c>
      <c r="H31" s="49">
        <v>573112</v>
      </c>
    </row>
    <row r="32" spans="1:8" x14ac:dyDescent="0.3">
      <c r="A32" s="46">
        <v>42</v>
      </c>
      <c r="B32" s="47" t="s">
        <v>2936</v>
      </c>
      <c r="C32" s="45" t="str">
        <f t="shared" si="0"/>
        <v xml:space="preserve">เลย </v>
      </c>
      <c r="D32" s="47"/>
      <c r="E32" s="47">
        <v>314066</v>
      </c>
      <c r="F32" s="47">
        <v>315311</v>
      </c>
      <c r="G32" s="47">
        <v>629377</v>
      </c>
      <c r="H32" s="48">
        <v>243020</v>
      </c>
    </row>
    <row r="33" spans="1:8" x14ac:dyDescent="0.3">
      <c r="A33" s="44">
        <v>43</v>
      </c>
      <c r="B33" s="45" t="s">
        <v>2937</v>
      </c>
      <c r="C33" s="45" t="str">
        <f t="shared" si="0"/>
        <v xml:space="preserve">หนองคาย </v>
      </c>
      <c r="D33" s="45"/>
      <c r="E33" s="45">
        <v>252051</v>
      </c>
      <c r="F33" s="45">
        <v>258138</v>
      </c>
      <c r="G33" s="45">
        <v>510189</v>
      </c>
      <c r="H33" s="49">
        <v>192378</v>
      </c>
    </row>
    <row r="34" spans="1:8" x14ac:dyDescent="0.3">
      <c r="A34" s="46">
        <v>44</v>
      </c>
      <c r="B34" s="47" t="s">
        <v>2938</v>
      </c>
      <c r="C34" s="45" t="str">
        <f t="shared" si="0"/>
        <v xml:space="preserve">มหาสารคาม </v>
      </c>
      <c r="D34" s="47"/>
      <c r="E34" s="47">
        <v>453093</v>
      </c>
      <c r="F34" s="47">
        <v>471031</v>
      </c>
      <c r="G34" s="47">
        <v>924124</v>
      </c>
      <c r="H34" s="48">
        <v>324703</v>
      </c>
    </row>
    <row r="35" spans="1:8" x14ac:dyDescent="0.3">
      <c r="A35" s="44">
        <v>45</v>
      </c>
      <c r="B35" s="45" t="s">
        <v>2939</v>
      </c>
      <c r="C35" s="45" t="str">
        <f t="shared" ref="C35:C66" si="1">REPLACE(B35,1,7,"")</f>
        <v xml:space="preserve">ร้อยเอ็ด </v>
      </c>
      <c r="D35" s="45"/>
      <c r="E35" s="45">
        <v>625987</v>
      </c>
      <c r="F35" s="45">
        <v>643461</v>
      </c>
      <c r="G35" s="45">
        <v>1269448</v>
      </c>
      <c r="H35" s="49">
        <v>422603</v>
      </c>
    </row>
    <row r="36" spans="1:8" x14ac:dyDescent="0.3">
      <c r="A36" s="46">
        <v>46</v>
      </c>
      <c r="B36" s="47" t="s">
        <v>2940</v>
      </c>
      <c r="C36" s="45" t="str">
        <f t="shared" si="1"/>
        <v xml:space="preserve">กาฬสินธุ์ </v>
      </c>
      <c r="D36" s="47"/>
      <c r="E36" s="47">
        <v>471528</v>
      </c>
      <c r="F36" s="47">
        <v>485893</v>
      </c>
      <c r="G36" s="47">
        <v>957421</v>
      </c>
      <c r="H36" s="48">
        <v>335591</v>
      </c>
    </row>
    <row r="37" spans="1:8" x14ac:dyDescent="0.3">
      <c r="A37" s="44">
        <v>47</v>
      </c>
      <c r="B37" s="45" t="s">
        <v>2941</v>
      </c>
      <c r="C37" s="45" t="str">
        <f t="shared" si="1"/>
        <v xml:space="preserve">สกลนคร </v>
      </c>
      <c r="D37" s="45"/>
      <c r="E37" s="45">
        <v>561786</v>
      </c>
      <c r="F37" s="45">
        <v>572305</v>
      </c>
      <c r="G37" s="45">
        <v>1134091</v>
      </c>
      <c r="H37" s="49">
        <v>415928</v>
      </c>
    </row>
    <row r="38" spans="1:8" x14ac:dyDescent="0.3">
      <c r="A38" s="46">
        <v>48</v>
      </c>
      <c r="B38" s="47" t="s">
        <v>2942</v>
      </c>
      <c r="C38" s="45" t="str">
        <f t="shared" si="1"/>
        <v xml:space="preserve">นครพนม </v>
      </c>
      <c r="D38" s="47"/>
      <c r="E38" s="47">
        <v>352126</v>
      </c>
      <c r="F38" s="47">
        <v>356139</v>
      </c>
      <c r="G38" s="47">
        <v>708265</v>
      </c>
      <c r="H38" s="48">
        <v>249246</v>
      </c>
    </row>
    <row r="39" spans="1:8" x14ac:dyDescent="0.3">
      <c r="A39" s="44">
        <v>49</v>
      </c>
      <c r="B39" s="45" t="s">
        <v>2943</v>
      </c>
      <c r="C39" s="45" t="str">
        <f t="shared" si="1"/>
        <v xml:space="preserve">มุกดาหาร </v>
      </c>
      <c r="D39" s="45"/>
      <c r="E39" s="45">
        <v>174321</v>
      </c>
      <c r="F39" s="45">
        <v>175297</v>
      </c>
      <c r="G39" s="45">
        <v>349618</v>
      </c>
      <c r="H39" s="49">
        <v>127885</v>
      </c>
    </row>
    <row r="40" spans="1:8" x14ac:dyDescent="0.3">
      <c r="A40" s="46">
        <v>50</v>
      </c>
      <c r="B40" s="47" t="s">
        <v>2944</v>
      </c>
      <c r="C40" s="45" t="str">
        <f t="shared" si="1"/>
        <v xml:space="preserve">เชียงใหม่ </v>
      </c>
      <c r="D40" s="47"/>
      <c r="E40" s="47">
        <v>863853</v>
      </c>
      <c r="F40" s="47">
        <v>934735</v>
      </c>
      <c r="G40" s="47">
        <v>1798588</v>
      </c>
      <c r="H40" s="48">
        <v>916688</v>
      </c>
    </row>
    <row r="41" spans="1:8" x14ac:dyDescent="0.3">
      <c r="A41" s="44">
        <v>51</v>
      </c>
      <c r="B41" s="45" t="s">
        <v>2945</v>
      </c>
      <c r="C41" s="45" t="str">
        <f t="shared" si="1"/>
        <v xml:space="preserve">ลำพูน </v>
      </c>
      <c r="D41" s="45"/>
      <c r="E41" s="45">
        <v>188407</v>
      </c>
      <c r="F41" s="45">
        <v>206537</v>
      </c>
      <c r="G41" s="45">
        <v>394944</v>
      </c>
      <c r="H41" s="49">
        <v>195859</v>
      </c>
    </row>
    <row r="42" spans="1:8" x14ac:dyDescent="0.3">
      <c r="A42" s="46">
        <v>52</v>
      </c>
      <c r="B42" s="47" t="s">
        <v>2946</v>
      </c>
      <c r="C42" s="45" t="str">
        <f t="shared" si="1"/>
        <v xml:space="preserve">ลำปาง </v>
      </c>
      <c r="D42" s="47"/>
      <c r="E42" s="47">
        <v>337970</v>
      </c>
      <c r="F42" s="47">
        <v>359709</v>
      </c>
      <c r="G42" s="47">
        <v>697679</v>
      </c>
      <c r="H42" s="48">
        <v>310381</v>
      </c>
    </row>
    <row r="43" spans="1:8" x14ac:dyDescent="0.3">
      <c r="A43" s="44">
        <v>53</v>
      </c>
      <c r="B43" s="45" t="s">
        <v>2947</v>
      </c>
      <c r="C43" s="45" t="str">
        <f t="shared" si="1"/>
        <v xml:space="preserve">อุตรดิตถ์ </v>
      </c>
      <c r="D43" s="45"/>
      <c r="E43" s="45">
        <v>210378</v>
      </c>
      <c r="F43" s="45">
        <v>222897</v>
      </c>
      <c r="G43" s="45">
        <v>433275</v>
      </c>
      <c r="H43" s="49">
        <v>180771</v>
      </c>
    </row>
    <row r="44" spans="1:8" x14ac:dyDescent="0.3">
      <c r="A44" s="46">
        <v>54</v>
      </c>
      <c r="B44" s="47" t="s">
        <v>2948</v>
      </c>
      <c r="C44" s="45" t="str">
        <f t="shared" si="1"/>
        <v xml:space="preserve">แพร่ </v>
      </c>
      <c r="D44" s="47"/>
      <c r="E44" s="47">
        <v>200080</v>
      </c>
      <c r="F44" s="47">
        <v>217400</v>
      </c>
      <c r="G44" s="47">
        <v>417480</v>
      </c>
      <c r="H44" s="48">
        <v>187264</v>
      </c>
    </row>
    <row r="45" spans="1:8" x14ac:dyDescent="0.3">
      <c r="A45" s="44">
        <v>55</v>
      </c>
      <c r="B45" s="45" t="s">
        <v>2949</v>
      </c>
      <c r="C45" s="45" t="str">
        <f t="shared" si="1"/>
        <v xml:space="preserve">น่าน </v>
      </c>
      <c r="D45" s="45"/>
      <c r="E45" s="45">
        <v>233287</v>
      </c>
      <c r="F45" s="45">
        <v>235081</v>
      </c>
      <c r="G45" s="45">
        <v>468368</v>
      </c>
      <c r="H45" s="49">
        <v>182521</v>
      </c>
    </row>
    <row r="46" spans="1:8" x14ac:dyDescent="0.3">
      <c r="A46" s="46">
        <v>56</v>
      </c>
      <c r="B46" s="47" t="s">
        <v>2950</v>
      </c>
      <c r="C46" s="45" t="str">
        <f t="shared" si="1"/>
        <v xml:space="preserve">พะเยา </v>
      </c>
      <c r="D46" s="47"/>
      <c r="E46" s="47">
        <v>218714</v>
      </c>
      <c r="F46" s="47">
        <v>233250</v>
      </c>
      <c r="G46" s="47">
        <v>451964</v>
      </c>
      <c r="H46" s="48">
        <v>207675</v>
      </c>
    </row>
    <row r="47" spans="1:8" x14ac:dyDescent="0.3">
      <c r="A47" s="44">
        <v>57</v>
      </c>
      <c r="B47" s="45" t="s">
        <v>2951</v>
      </c>
      <c r="C47" s="45" t="str">
        <f t="shared" si="1"/>
        <v xml:space="preserve">เชียงราย </v>
      </c>
      <c r="D47" s="45"/>
      <c r="E47" s="45">
        <v>627342</v>
      </c>
      <c r="F47" s="45">
        <v>668580</v>
      </c>
      <c r="G47" s="45">
        <v>1295922</v>
      </c>
      <c r="H47" s="49">
        <v>603627</v>
      </c>
    </row>
    <row r="48" spans="1:8" x14ac:dyDescent="0.3">
      <c r="A48" s="46">
        <v>58</v>
      </c>
      <c r="B48" s="47" t="s">
        <v>2952</v>
      </c>
      <c r="C48" s="45" t="str">
        <f t="shared" si="1"/>
        <v xml:space="preserve">แม่ฮ่องสอน </v>
      </c>
      <c r="D48" s="47"/>
      <c r="E48" s="47">
        <v>145888</v>
      </c>
      <c r="F48" s="47">
        <v>142869</v>
      </c>
      <c r="G48" s="47">
        <v>288757</v>
      </c>
      <c r="H48" s="48">
        <v>125752</v>
      </c>
    </row>
    <row r="49" spans="1:8" x14ac:dyDescent="0.3">
      <c r="A49" s="44">
        <v>60</v>
      </c>
      <c r="B49" s="45" t="s">
        <v>2953</v>
      </c>
      <c r="C49" s="45" t="str">
        <f t="shared" si="1"/>
        <v xml:space="preserve">นครสวรรค์ </v>
      </c>
      <c r="D49" s="45"/>
      <c r="E49" s="45">
        <v>489891</v>
      </c>
      <c r="F49" s="45">
        <v>518471</v>
      </c>
      <c r="G49" s="45">
        <v>1008362</v>
      </c>
      <c r="H49" s="49">
        <v>442181</v>
      </c>
    </row>
    <row r="50" spans="1:8" x14ac:dyDescent="0.3">
      <c r="A50" s="46">
        <v>61</v>
      </c>
      <c r="B50" s="47" t="s">
        <v>2954</v>
      </c>
      <c r="C50" s="45" t="str">
        <f t="shared" si="1"/>
        <v xml:space="preserve">อุทัยธานี </v>
      </c>
      <c r="D50" s="47"/>
      <c r="E50" s="47">
        <v>155460</v>
      </c>
      <c r="F50" s="47">
        <v>163508</v>
      </c>
      <c r="G50" s="47">
        <v>318968</v>
      </c>
      <c r="H50" s="48">
        <v>133605</v>
      </c>
    </row>
    <row r="51" spans="1:8" x14ac:dyDescent="0.3">
      <c r="A51" s="44">
        <v>62</v>
      </c>
      <c r="B51" s="45" t="s">
        <v>2955</v>
      </c>
      <c r="C51" s="45" t="str">
        <f t="shared" si="1"/>
        <v xml:space="preserve">กำแพงเพชร </v>
      </c>
      <c r="D51" s="45"/>
      <c r="E51" s="45">
        <v>342943</v>
      </c>
      <c r="F51" s="45">
        <v>354029</v>
      </c>
      <c r="G51" s="45">
        <v>696972</v>
      </c>
      <c r="H51" s="49">
        <v>294361</v>
      </c>
    </row>
    <row r="52" spans="1:8" x14ac:dyDescent="0.3">
      <c r="A52" s="46">
        <v>63</v>
      </c>
      <c r="B52" s="47" t="s">
        <v>2956</v>
      </c>
      <c r="C52" s="45" t="str">
        <f t="shared" si="1"/>
        <v xml:space="preserve">ตาก </v>
      </c>
      <c r="D52" s="47"/>
      <c r="E52" s="47">
        <v>355835</v>
      </c>
      <c r="F52" s="47">
        <v>348659</v>
      </c>
      <c r="G52" s="47">
        <v>704494</v>
      </c>
      <c r="H52" s="48">
        <v>246226</v>
      </c>
    </row>
    <row r="53" spans="1:8" x14ac:dyDescent="0.3">
      <c r="A53" s="44">
        <v>64</v>
      </c>
      <c r="B53" s="45" t="s">
        <v>2957</v>
      </c>
      <c r="C53" s="45" t="str">
        <f t="shared" si="1"/>
        <v xml:space="preserve">สุโขทัย </v>
      </c>
      <c r="D53" s="45"/>
      <c r="E53" s="45">
        <v>274878</v>
      </c>
      <c r="F53" s="45">
        <v>294384</v>
      </c>
      <c r="G53" s="45">
        <v>569262</v>
      </c>
      <c r="H53" s="49">
        <v>231232</v>
      </c>
    </row>
    <row r="54" spans="1:8" x14ac:dyDescent="0.3">
      <c r="A54" s="46">
        <v>65</v>
      </c>
      <c r="B54" s="47" t="s">
        <v>2958</v>
      </c>
      <c r="C54" s="45" t="str">
        <f t="shared" si="1"/>
        <v xml:space="preserve">พิษณุโลก </v>
      </c>
      <c r="D54" s="47"/>
      <c r="E54" s="47">
        <v>407212</v>
      </c>
      <c r="F54" s="47">
        <v>428268</v>
      </c>
      <c r="G54" s="47">
        <v>835480</v>
      </c>
      <c r="H54" s="48">
        <v>377281</v>
      </c>
    </row>
    <row r="55" spans="1:8" x14ac:dyDescent="0.3">
      <c r="A55" s="44">
        <v>66</v>
      </c>
      <c r="B55" s="45" t="s">
        <v>2959</v>
      </c>
      <c r="C55" s="45" t="str">
        <f t="shared" si="1"/>
        <v xml:space="preserve">พิจิตร </v>
      </c>
      <c r="D55" s="45"/>
      <c r="E55" s="45">
        <v>249551</v>
      </c>
      <c r="F55" s="45">
        <v>263599</v>
      </c>
      <c r="G55" s="45">
        <v>513150</v>
      </c>
      <c r="H55" s="49">
        <v>209014</v>
      </c>
    </row>
    <row r="56" spans="1:8" x14ac:dyDescent="0.3">
      <c r="A56" s="46">
        <v>67</v>
      </c>
      <c r="B56" s="47" t="s">
        <v>2960</v>
      </c>
      <c r="C56" s="45" t="str">
        <f t="shared" si="1"/>
        <v xml:space="preserve">เพชรบูรณ์ </v>
      </c>
      <c r="D56" s="47"/>
      <c r="E56" s="47">
        <v>468503</v>
      </c>
      <c r="F56" s="47">
        <v>485914</v>
      </c>
      <c r="G56" s="47">
        <v>954417</v>
      </c>
      <c r="H56" s="48">
        <v>385840</v>
      </c>
    </row>
    <row r="57" spans="1:8" x14ac:dyDescent="0.3">
      <c r="A57" s="44">
        <v>70</v>
      </c>
      <c r="B57" s="45" t="s">
        <v>2961</v>
      </c>
      <c r="C57" s="45" t="str">
        <f t="shared" si="1"/>
        <v xml:space="preserve">ราชบุรี </v>
      </c>
      <c r="D57" s="45"/>
      <c r="E57" s="45">
        <v>417614</v>
      </c>
      <c r="F57" s="45">
        <v>444265</v>
      </c>
      <c r="G57" s="45">
        <v>861879</v>
      </c>
      <c r="H57" s="49">
        <v>355963</v>
      </c>
    </row>
    <row r="58" spans="1:8" x14ac:dyDescent="0.3">
      <c r="A58" s="46">
        <v>71</v>
      </c>
      <c r="B58" s="47" t="s">
        <v>2962</v>
      </c>
      <c r="C58" s="45" t="str">
        <f t="shared" si="1"/>
        <v xml:space="preserve">กาญจนบุรี </v>
      </c>
      <c r="D58" s="47"/>
      <c r="E58" s="47">
        <v>447296</v>
      </c>
      <c r="F58" s="47">
        <v>449377</v>
      </c>
      <c r="G58" s="47">
        <v>896673</v>
      </c>
      <c r="H58" s="48">
        <v>375254</v>
      </c>
    </row>
    <row r="59" spans="1:8" x14ac:dyDescent="0.3">
      <c r="A59" s="44">
        <v>72</v>
      </c>
      <c r="B59" s="45" t="s">
        <v>2963</v>
      </c>
      <c r="C59" s="45" t="str">
        <f t="shared" si="1"/>
        <v xml:space="preserve">สุพรรณบุรี </v>
      </c>
      <c r="D59" s="45"/>
      <c r="E59" s="45">
        <v>393212</v>
      </c>
      <c r="F59" s="45">
        <v>424637</v>
      </c>
      <c r="G59" s="45">
        <v>817849</v>
      </c>
      <c r="H59" s="49">
        <v>327755</v>
      </c>
    </row>
    <row r="60" spans="1:8" x14ac:dyDescent="0.3">
      <c r="A60" s="46">
        <v>73</v>
      </c>
      <c r="B60" s="47" t="s">
        <v>2964</v>
      </c>
      <c r="C60" s="45" t="str">
        <f t="shared" si="1"/>
        <v xml:space="preserve">นครปฐม </v>
      </c>
      <c r="D60" s="47"/>
      <c r="E60" s="47">
        <v>443582</v>
      </c>
      <c r="F60" s="47">
        <v>482736</v>
      </c>
      <c r="G60" s="47">
        <v>926318</v>
      </c>
      <c r="H60" s="48">
        <v>449769</v>
      </c>
    </row>
    <row r="61" spans="1:8" x14ac:dyDescent="0.3">
      <c r="A61" s="44">
        <v>74</v>
      </c>
      <c r="B61" s="45" t="s">
        <v>2965</v>
      </c>
      <c r="C61" s="45" t="str">
        <f t="shared" si="1"/>
        <v xml:space="preserve">สมุทรสาคร </v>
      </c>
      <c r="D61" s="45"/>
      <c r="E61" s="45">
        <v>281271</v>
      </c>
      <c r="F61" s="45">
        <v>306096</v>
      </c>
      <c r="G61" s="45">
        <v>587367</v>
      </c>
      <c r="H61" s="49">
        <v>327860</v>
      </c>
    </row>
    <row r="62" spans="1:8" x14ac:dyDescent="0.3">
      <c r="A62" s="46">
        <v>75</v>
      </c>
      <c r="B62" s="47" t="s">
        <v>2966</v>
      </c>
      <c r="C62" s="45" t="str">
        <f t="shared" si="1"/>
        <v xml:space="preserve">สมุทรสงคราม </v>
      </c>
      <c r="D62" s="47"/>
      <c r="E62" s="47">
        <v>88237</v>
      </c>
      <c r="F62" s="47">
        <v>97044</v>
      </c>
      <c r="G62" s="47">
        <v>185281</v>
      </c>
      <c r="H62" s="48">
        <v>78449</v>
      </c>
    </row>
    <row r="63" spans="1:8" x14ac:dyDescent="0.3">
      <c r="A63" s="44">
        <v>76</v>
      </c>
      <c r="B63" s="45" t="s">
        <v>2967</v>
      </c>
      <c r="C63" s="45" t="str">
        <f t="shared" si="1"/>
        <v xml:space="preserve">เพชรบุรี </v>
      </c>
      <c r="D63" s="45"/>
      <c r="E63" s="45">
        <v>232868</v>
      </c>
      <c r="F63" s="45">
        <v>251259</v>
      </c>
      <c r="G63" s="45">
        <v>484127</v>
      </c>
      <c r="H63" s="49">
        <v>241198</v>
      </c>
    </row>
    <row r="64" spans="1:8" x14ac:dyDescent="0.3">
      <c r="A64" s="46">
        <v>77</v>
      </c>
      <c r="B64" s="47" t="s">
        <v>2968</v>
      </c>
      <c r="C64" s="45" t="str">
        <f t="shared" si="1"/>
        <v xml:space="preserve">ประจวบคีรีขันธ์ </v>
      </c>
      <c r="D64" s="47"/>
      <c r="E64" s="47">
        <v>269387</v>
      </c>
      <c r="F64" s="47">
        <v>282056</v>
      </c>
      <c r="G64" s="47">
        <v>551443</v>
      </c>
      <c r="H64" s="48">
        <v>299161</v>
      </c>
    </row>
    <row r="65" spans="1:8" x14ac:dyDescent="0.3">
      <c r="A65" s="44">
        <v>80</v>
      </c>
      <c r="B65" s="45" t="s">
        <v>2969</v>
      </c>
      <c r="C65" s="45" t="str">
        <f t="shared" si="1"/>
        <v xml:space="preserve">นครศรีธรรมราช </v>
      </c>
      <c r="D65" s="45"/>
      <c r="E65" s="45">
        <v>754930</v>
      </c>
      <c r="F65" s="45">
        <v>775505</v>
      </c>
      <c r="G65" s="45">
        <v>1530435</v>
      </c>
      <c r="H65" s="49">
        <v>624899</v>
      </c>
    </row>
    <row r="66" spans="1:8" x14ac:dyDescent="0.3">
      <c r="A66" s="46">
        <v>81</v>
      </c>
      <c r="B66" s="47" t="s">
        <v>2970</v>
      </c>
      <c r="C66" s="45" t="str">
        <f t="shared" si="1"/>
        <v xml:space="preserve">กระบี่ </v>
      </c>
      <c r="D66" s="45"/>
      <c r="E66" s="47">
        <v>240718</v>
      </c>
      <c r="F66" s="47">
        <v>244078</v>
      </c>
      <c r="G66" s="47">
        <v>484796</v>
      </c>
      <c r="H66" s="48">
        <v>212135</v>
      </c>
    </row>
    <row r="67" spans="1:8" x14ac:dyDescent="0.3">
      <c r="A67" s="44">
        <v>82</v>
      </c>
      <c r="B67" s="45" t="s">
        <v>2971</v>
      </c>
      <c r="C67" s="45" t="str">
        <f t="shared" ref="C67:C78" si="2">REPLACE(B67,1,7,"")</f>
        <v xml:space="preserve">พังงา </v>
      </c>
      <c r="D67" s="45"/>
      <c r="E67" s="45">
        <v>132518</v>
      </c>
      <c r="F67" s="45">
        <v>133135</v>
      </c>
      <c r="G67" s="45">
        <v>265653</v>
      </c>
      <c r="H67" s="49">
        <v>127398</v>
      </c>
    </row>
    <row r="68" spans="1:8" x14ac:dyDescent="0.3">
      <c r="A68" s="46">
        <v>83</v>
      </c>
      <c r="B68" s="47" t="s">
        <v>2972</v>
      </c>
      <c r="C68" s="45" t="str">
        <f t="shared" si="2"/>
        <v xml:space="preserve">ภูเก็ต </v>
      </c>
      <c r="D68" s="45"/>
      <c r="E68" s="47">
        <v>203101</v>
      </c>
      <c r="F68" s="47">
        <v>229363</v>
      </c>
      <c r="G68" s="47">
        <v>432464</v>
      </c>
      <c r="H68" s="48">
        <v>303160</v>
      </c>
    </row>
    <row r="69" spans="1:8" x14ac:dyDescent="0.3">
      <c r="A69" s="44">
        <v>84</v>
      </c>
      <c r="B69" s="45" t="s">
        <v>2973</v>
      </c>
      <c r="C69" s="45" t="str">
        <f t="shared" si="2"/>
        <v xml:space="preserve">สุราษฎร์ธานี </v>
      </c>
      <c r="D69" s="45"/>
      <c r="E69" s="45">
        <v>528853</v>
      </c>
      <c r="F69" s="45">
        <v>547124</v>
      </c>
      <c r="G69" s="45">
        <v>1075977</v>
      </c>
      <c r="H69" s="49">
        <v>559761</v>
      </c>
    </row>
    <row r="70" spans="1:8" x14ac:dyDescent="0.3">
      <c r="A70" s="46">
        <v>85</v>
      </c>
      <c r="B70" s="47" t="s">
        <v>2974</v>
      </c>
      <c r="C70" s="45" t="str">
        <f t="shared" si="2"/>
        <v xml:space="preserve">ระนอง </v>
      </c>
      <c r="D70" s="45"/>
      <c r="E70" s="47">
        <v>96644</v>
      </c>
      <c r="F70" s="47">
        <v>95843</v>
      </c>
      <c r="G70" s="47">
        <v>192487</v>
      </c>
      <c r="H70" s="48">
        <v>99564</v>
      </c>
    </row>
    <row r="71" spans="1:8" x14ac:dyDescent="0.3">
      <c r="A71" s="44">
        <v>86</v>
      </c>
      <c r="B71" s="45" t="s">
        <v>2975</v>
      </c>
      <c r="C71" s="45" t="str">
        <f t="shared" si="2"/>
        <v xml:space="preserve">ชุมพร </v>
      </c>
      <c r="D71" s="45"/>
      <c r="E71" s="45">
        <v>249489</v>
      </c>
      <c r="F71" s="45">
        <v>257367</v>
      </c>
      <c r="G71" s="45">
        <v>506856</v>
      </c>
      <c r="H71" s="49">
        <v>259113</v>
      </c>
    </row>
    <row r="72" spans="1:8" x14ac:dyDescent="0.3">
      <c r="A72" s="46">
        <v>90</v>
      </c>
      <c r="B72" s="47" t="s">
        <v>2976</v>
      </c>
      <c r="C72" s="45" t="str">
        <f t="shared" si="2"/>
        <v xml:space="preserve">สงขลา </v>
      </c>
      <c r="D72" s="45"/>
      <c r="E72" s="47">
        <v>693970</v>
      </c>
      <c r="F72" s="47">
        <v>735155</v>
      </c>
      <c r="G72" s="47">
        <v>1429125</v>
      </c>
      <c r="H72" s="48">
        <v>602196</v>
      </c>
    </row>
    <row r="73" spans="1:8" x14ac:dyDescent="0.3">
      <c r="A73" s="44">
        <v>91</v>
      </c>
      <c r="B73" s="45" t="s">
        <v>2977</v>
      </c>
      <c r="C73" s="45" t="str">
        <f t="shared" si="2"/>
        <v xml:space="preserve">สตูล </v>
      </c>
      <c r="D73" s="45"/>
      <c r="E73" s="45">
        <v>161425</v>
      </c>
      <c r="F73" s="45">
        <v>163135</v>
      </c>
      <c r="G73" s="45">
        <v>324560</v>
      </c>
      <c r="H73" s="49">
        <v>113018</v>
      </c>
    </row>
    <row r="74" spans="1:8" x14ac:dyDescent="0.3">
      <c r="A74" s="46">
        <v>92</v>
      </c>
      <c r="B74" s="47" t="s">
        <v>2978</v>
      </c>
      <c r="C74" s="45" t="str">
        <f t="shared" si="2"/>
        <v xml:space="preserve">ตรัง </v>
      </c>
      <c r="D74" s="45"/>
      <c r="E74" s="47">
        <v>309150</v>
      </c>
      <c r="F74" s="47">
        <v>324266</v>
      </c>
      <c r="G74" s="47">
        <v>633416</v>
      </c>
      <c r="H74" s="48">
        <v>249101</v>
      </c>
    </row>
    <row r="75" spans="1:8" x14ac:dyDescent="0.3">
      <c r="A75" s="44">
        <v>93</v>
      </c>
      <c r="B75" s="45" t="s">
        <v>2979</v>
      </c>
      <c r="C75" s="45" t="str">
        <f t="shared" si="2"/>
        <v xml:space="preserve">พัทลุง </v>
      </c>
      <c r="D75" s="45"/>
      <c r="E75" s="45">
        <v>251652</v>
      </c>
      <c r="F75" s="45">
        <v>266414</v>
      </c>
      <c r="G75" s="45">
        <v>518066</v>
      </c>
      <c r="H75" s="49">
        <v>211206</v>
      </c>
    </row>
    <row r="76" spans="1:8" x14ac:dyDescent="0.3">
      <c r="A76" s="46">
        <v>94</v>
      </c>
      <c r="B76" s="47" t="s">
        <v>2980</v>
      </c>
      <c r="C76" s="45" t="str">
        <f t="shared" si="2"/>
        <v xml:space="preserve">ปัตตานี </v>
      </c>
      <c r="D76" s="47"/>
      <c r="E76" s="47">
        <v>368511</v>
      </c>
      <c r="F76" s="47">
        <v>376460</v>
      </c>
      <c r="G76" s="47">
        <v>744971</v>
      </c>
      <c r="H76" s="48">
        <v>212220</v>
      </c>
    </row>
    <row r="77" spans="1:8" x14ac:dyDescent="0.3">
      <c r="A77" s="44">
        <v>95</v>
      </c>
      <c r="B77" s="45" t="s">
        <v>2981</v>
      </c>
      <c r="C77" s="45" t="str">
        <f t="shared" si="2"/>
        <v xml:space="preserve">ยะลา </v>
      </c>
      <c r="D77" s="47"/>
      <c r="E77" s="45">
        <v>276503</v>
      </c>
      <c r="F77" s="45">
        <v>279584</v>
      </c>
      <c r="G77" s="45">
        <v>556087</v>
      </c>
      <c r="H77" s="49">
        <v>183827</v>
      </c>
    </row>
    <row r="78" spans="1:8" x14ac:dyDescent="0.3">
      <c r="A78" s="50">
        <v>96</v>
      </c>
      <c r="B78" s="51" t="s">
        <v>2982</v>
      </c>
      <c r="C78" s="45" t="str">
        <f t="shared" si="2"/>
        <v xml:space="preserve">นราธิวาส </v>
      </c>
      <c r="D78" s="51"/>
      <c r="E78" s="51">
        <v>409752</v>
      </c>
      <c r="F78" s="51">
        <v>418594</v>
      </c>
      <c r="G78" s="51">
        <v>828346</v>
      </c>
      <c r="H78" s="52">
        <v>235934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58E4-80D1-4AF5-B0B4-8B10EDECBD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FD2D-E4FD-4213-A701-A35BD1317A2C}">
  <dimension ref="A1:R157"/>
  <sheetViews>
    <sheetView topLeftCell="A43" workbookViewId="0">
      <selection activeCell="L53" sqref="L5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Q1" t="s">
        <v>2899</v>
      </c>
      <c r="R1" t="s">
        <v>2900</v>
      </c>
    </row>
    <row r="2" spans="1:18" x14ac:dyDescent="0.3">
      <c r="A2" s="2">
        <v>2000</v>
      </c>
      <c r="B2" s="3">
        <v>-1.7</v>
      </c>
      <c r="C2" s="3">
        <v>-1.4</v>
      </c>
      <c r="D2" s="3">
        <v>-1.1000000000000001</v>
      </c>
      <c r="E2" s="3">
        <v>-0.8</v>
      </c>
      <c r="F2" s="3">
        <v>-0.7</v>
      </c>
      <c r="G2" s="3">
        <v>-0.6</v>
      </c>
      <c r="H2" s="3">
        <v>-0.6</v>
      </c>
      <c r="I2" s="3">
        <v>-0.5</v>
      </c>
      <c r="J2" s="3">
        <v>-0.5</v>
      </c>
      <c r="K2" s="3">
        <v>-0.6</v>
      </c>
      <c r="L2" s="3">
        <v>-0.7</v>
      </c>
      <c r="M2" s="3">
        <v>-0.7</v>
      </c>
      <c r="O2" s="2">
        <v>2000</v>
      </c>
      <c r="P2" s="3">
        <v>-1.7</v>
      </c>
      <c r="Q2">
        <f>IF(P2&lt;0,P2,0)</f>
        <v>-1.7</v>
      </c>
      <c r="R2">
        <f>IF(P2&gt;0,P2,0)</f>
        <v>0</v>
      </c>
    </row>
    <row r="3" spans="1:18" x14ac:dyDescent="0.3">
      <c r="A3" s="2">
        <v>2001</v>
      </c>
      <c r="B3" s="3">
        <v>-0.7</v>
      </c>
      <c r="C3" s="3">
        <v>-0.5</v>
      </c>
      <c r="D3" s="4">
        <v>-0.4</v>
      </c>
      <c r="E3" s="4">
        <v>-0.3</v>
      </c>
      <c r="F3" s="4">
        <v>-0.3</v>
      </c>
      <c r="G3" s="4">
        <v>-0.1</v>
      </c>
      <c r="H3" s="4">
        <v>-0.1</v>
      </c>
      <c r="I3" s="4">
        <v>-0.1</v>
      </c>
      <c r="J3" s="4">
        <v>-0.2</v>
      </c>
      <c r="K3" s="4">
        <v>-0.3</v>
      </c>
      <c r="L3" s="4">
        <v>-0.3</v>
      </c>
      <c r="M3" s="4">
        <v>-0.3</v>
      </c>
      <c r="P3" s="3">
        <v>-1.4</v>
      </c>
      <c r="Q3">
        <f t="shared" ref="Q3:Q66" si="0">IF(P3&lt;0,P3,0)</f>
        <v>-1.4</v>
      </c>
      <c r="R3">
        <f t="shared" ref="R3:R66" si="1">IF(P3&gt;0,P3,0)</f>
        <v>0</v>
      </c>
    </row>
    <row r="4" spans="1:18" x14ac:dyDescent="0.3">
      <c r="A4" s="2">
        <v>2002</v>
      </c>
      <c r="B4" s="4">
        <v>-0.1</v>
      </c>
      <c r="C4" s="4">
        <v>0</v>
      </c>
      <c r="D4" s="4">
        <v>0.1</v>
      </c>
      <c r="E4" s="4">
        <v>0.2</v>
      </c>
      <c r="F4" s="4">
        <v>0.4</v>
      </c>
      <c r="G4" s="5">
        <v>0.7</v>
      </c>
      <c r="H4" s="5">
        <v>0.8</v>
      </c>
      <c r="I4" s="5">
        <v>0.9</v>
      </c>
      <c r="J4" s="5">
        <v>1</v>
      </c>
      <c r="K4" s="5">
        <v>1.2</v>
      </c>
      <c r="L4" s="5">
        <v>1.3</v>
      </c>
      <c r="M4" s="5">
        <v>1.1000000000000001</v>
      </c>
      <c r="P4" s="3">
        <v>-1.1000000000000001</v>
      </c>
      <c r="Q4">
        <f t="shared" si="0"/>
        <v>-1.1000000000000001</v>
      </c>
      <c r="R4">
        <f t="shared" si="1"/>
        <v>0</v>
      </c>
    </row>
    <row r="5" spans="1:18" x14ac:dyDescent="0.3">
      <c r="A5" s="2">
        <v>2003</v>
      </c>
      <c r="B5" s="5">
        <v>0.9</v>
      </c>
      <c r="C5" s="5">
        <v>0.6</v>
      </c>
      <c r="D5" s="4">
        <v>0.4</v>
      </c>
      <c r="E5" s="4">
        <v>0</v>
      </c>
      <c r="F5" s="4">
        <v>-0.3</v>
      </c>
      <c r="G5" s="4">
        <v>-0.2</v>
      </c>
      <c r="H5" s="4">
        <v>0.1</v>
      </c>
      <c r="I5" s="4">
        <v>0.2</v>
      </c>
      <c r="J5" s="4">
        <v>0.3</v>
      </c>
      <c r="K5" s="4">
        <v>0.3</v>
      </c>
      <c r="L5" s="4">
        <v>0.4</v>
      </c>
      <c r="M5" s="4">
        <v>0.4</v>
      </c>
      <c r="P5" s="3">
        <v>-0.8</v>
      </c>
      <c r="Q5">
        <f t="shared" si="0"/>
        <v>-0.8</v>
      </c>
      <c r="R5">
        <f t="shared" si="1"/>
        <v>0</v>
      </c>
    </row>
    <row r="6" spans="1:18" x14ac:dyDescent="0.3">
      <c r="A6" s="2">
        <v>2004</v>
      </c>
      <c r="B6" s="4">
        <v>0.4</v>
      </c>
      <c r="C6" s="4">
        <v>0.3</v>
      </c>
      <c r="D6" s="4">
        <v>0.2</v>
      </c>
      <c r="E6" s="4">
        <v>0.2</v>
      </c>
      <c r="F6" s="4">
        <v>0.2</v>
      </c>
      <c r="G6" s="4">
        <v>0.3</v>
      </c>
      <c r="H6" s="5">
        <v>0.5</v>
      </c>
      <c r="I6" s="5">
        <v>0.6</v>
      </c>
      <c r="J6" s="5">
        <v>0.7</v>
      </c>
      <c r="K6" s="5">
        <v>0.7</v>
      </c>
      <c r="L6" s="5">
        <v>0.7</v>
      </c>
      <c r="M6" s="5">
        <v>0.7</v>
      </c>
      <c r="P6" s="3">
        <v>-0.7</v>
      </c>
      <c r="Q6">
        <f t="shared" si="0"/>
        <v>-0.7</v>
      </c>
      <c r="R6">
        <f t="shared" si="1"/>
        <v>0</v>
      </c>
    </row>
    <row r="7" spans="1:18" x14ac:dyDescent="0.3">
      <c r="A7" s="2">
        <v>2005</v>
      </c>
      <c r="B7" s="5">
        <v>0.6</v>
      </c>
      <c r="C7" s="5">
        <v>0.6</v>
      </c>
      <c r="D7" s="4">
        <v>0.4</v>
      </c>
      <c r="E7" s="4">
        <v>0.4</v>
      </c>
      <c r="F7" s="4">
        <v>0.3</v>
      </c>
      <c r="G7" s="4">
        <v>0.1</v>
      </c>
      <c r="H7" s="4">
        <v>-0.1</v>
      </c>
      <c r="I7" s="4">
        <v>-0.1</v>
      </c>
      <c r="J7" s="4">
        <v>-0.1</v>
      </c>
      <c r="K7" s="4">
        <v>-0.3</v>
      </c>
      <c r="L7" s="3">
        <v>-0.6</v>
      </c>
      <c r="M7" s="3">
        <v>-0.8</v>
      </c>
      <c r="P7" s="3">
        <v>-0.6</v>
      </c>
      <c r="Q7">
        <f t="shared" si="0"/>
        <v>-0.6</v>
      </c>
      <c r="R7">
        <f t="shared" si="1"/>
        <v>0</v>
      </c>
    </row>
    <row r="8" spans="1:18" x14ac:dyDescent="0.3">
      <c r="A8" s="2">
        <v>2006</v>
      </c>
      <c r="B8" s="3">
        <v>-0.9</v>
      </c>
      <c r="C8" s="3">
        <v>-0.8</v>
      </c>
      <c r="D8" s="3">
        <v>-0.6</v>
      </c>
      <c r="E8" s="4">
        <v>-0.4</v>
      </c>
      <c r="F8" s="4">
        <v>-0.1</v>
      </c>
      <c r="G8" s="4">
        <v>0</v>
      </c>
      <c r="H8" s="4">
        <v>0.1</v>
      </c>
      <c r="I8" s="4">
        <v>0.3</v>
      </c>
      <c r="J8" s="5">
        <v>0.5</v>
      </c>
      <c r="K8" s="5">
        <v>0.8</v>
      </c>
      <c r="L8" s="5">
        <v>0.9</v>
      </c>
      <c r="M8" s="5">
        <v>0.9</v>
      </c>
      <c r="P8" s="3">
        <v>-0.6</v>
      </c>
      <c r="Q8">
        <f t="shared" si="0"/>
        <v>-0.6</v>
      </c>
      <c r="R8">
        <f t="shared" si="1"/>
        <v>0</v>
      </c>
    </row>
    <row r="9" spans="1:18" x14ac:dyDescent="0.3">
      <c r="A9" s="2">
        <v>2007</v>
      </c>
      <c r="B9" s="5">
        <v>0.7</v>
      </c>
      <c r="C9" s="4">
        <v>0.2</v>
      </c>
      <c r="D9" s="4">
        <v>-0.1</v>
      </c>
      <c r="E9" s="4">
        <v>-0.3</v>
      </c>
      <c r="F9" s="4">
        <v>-0.4</v>
      </c>
      <c r="G9" s="3">
        <v>-0.5</v>
      </c>
      <c r="H9" s="3">
        <v>-0.6</v>
      </c>
      <c r="I9" s="3">
        <v>-0.8</v>
      </c>
      <c r="J9" s="3">
        <v>-1.1000000000000001</v>
      </c>
      <c r="K9" s="3">
        <v>-1.3</v>
      </c>
      <c r="L9" s="3">
        <v>-1.5</v>
      </c>
      <c r="M9" s="3">
        <v>-1.6</v>
      </c>
      <c r="P9" s="3">
        <v>-0.5</v>
      </c>
      <c r="Q9">
        <f t="shared" si="0"/>
        <v>-0.5</v>
      </c>
      <c r="R9">
        <f t="shared" si="1"/>
        <v>0</v>
      </c>
    </row>
    <row r="10" spans="1:18" x14ac:dyDescent="0.3">
      <c r="A10" s="2">
        <v>2008</v>
      </c>
      <c r="B10" s="3">
        <v>-1.6</v>
      </c>
      <c r="C10" s="3">
        <v>-1.5</v>
      </c>
      <c r="D10" s="3">
        <v>-1.3</v>
      </c>
      <c r="E10" s="3">
        <v>-1</v>
      </c>
      <c r="F10" s="3">
        <v>-0.8</v>
      </c>
      <c r="G10" s="3">
        <v>-0.6</v>
      </c>
      <c r="H10" s="4">
        <v>-0.4</v>
      </c>
      <c r="I10" s="4">
        <v>-0.2</v>
      </c>
      <c r="J10" s="4">
        <v>-0.2</v>
      </c>
      <c r="K10" s="4">
        <v>-0.4</v>
      </c>
      <c r="L10" s="3">
        <v>-0.6</v>
      </c>
      <c r="M10" s="3">
        <v>-0.7</v>
      </c>
      <c r="P10" s="3">
        <v>-0.5</v>
      </c>
      <c r="Q10">
        <f t="shared" si="0"/>
        <v>-0.5</v>
      </c>
      <c r="R10">
        <f t="shared" si="1"/>
        <v>0</v>
      </c>
    </row>
    <row r="11" spans="1:18" x14ac:dyDescent="0.3">
      <c r="A11" s="2">
        <v>2009</v>
      </c>
      <c r="B11" s="3">
        <v>-0.8</v>
      </c>
      <c r="C11" s="3">
        <v>-0.8</v>
      </c>
      <c r="D11" s="3">
        <v>-0.6</v>
      </c>
      <c r="E11" s="4">
        <v>-0.3</v>
      </c>
      <c r="F11" s="4">
        <v>0</v>
      </c>
      <c r="G11" s="4">
        <v>0.3</v>
      </c>
      <c r="H11" s="5">
        <v>0.5</v>
      </c>
      <c r="I11" s="5">
        <v>0.6</v>
      </c>
      <c r="J11" s="5">
        <v>0.7</v>
      </c>
      <c r="K11" s="5">
        <v>1</v>
      </c>
      <c r="L11" s="5">
        <v>1.4</v>
      </c>
      <c r="M11" s="5">
        <v>1.6</v>
      </c>
      <c r="P11" s="3">
        <v>-0.6</v>
      </c>
      <c r="Q11">
        <f t="shared" si="0"/>
        <v>-0.6</v>
      </c>
      <c r="R11">
        <f t="shared" si="1"/>
        <v>0</v>
      </c>
    </row>
    <row r="12" spans="1:18" x14ac:dyDescent="0.3">
      <c r="A12" s="2">
        <v>2010</v>
      </c>
      <c r="B12" s="5">
        <v>1.5</v>
      </c>
      <c r="C12" s="5">
        <v>1.2</v>
      </c>
      <c r="D12" s="5">
        <v>0.8</v>
      </c>
      <c r="E12" s="4">
        <v>0.4</v>
      </c>
      <c r="F12" s="4">
        <v>-0.2</v>
      </c>
      <c r="G12" s="3">
        <v>-0.7</v>
      </c>
      <c r="H12" s="3">
        <v>-1</v>
      </c>
      <c r="I12" s="3">
        <v>-1.3</v>
      </c>
      <c r="J12" s="3">
        <v>-1.6</v>
      </c>
      <c r="K12" s="3">
        <v>-1.6</v>
      </c>
      <c r="L12" s="3">
        <v>-1.6</v>
      </c>
      <c r="M12" s="3">
        <v>-1.6</v>
      </c>
      <c r="P12" s="3">
        <v>-0.7</v>
      </c>
      <c r="Q12">
        <f t="shared" si="0"/>
        <v>-0.7</v>
      </c>
      <c r="R12">
        <f t="shared" si="1"/>
        <v>0</v>
      </c>
    </row>
    <row r="13" spans="1:18" x14ac:dyDescent="0.3">
      <c r="A13" s="2">
        <v>2011</v>
      </c>
      <c r="B13" s="3">
        <v>-1.4</v>
      </c>
      <c r="C13" s="3">
        <v>-1.2</v>
      </c>
      <c r="D13" s="3">
        <v>-0.9</v>
      </c>
      <c r="E13" s="3">
        <v>-0.7</v>
      </c>
      <c r="F13" s="3">
        <v>-0.6</v>
      </c>
      <c r="G13" s="4">
        <v>-0.4</v>
      </c>
      <c r="H13" s="3">
        <v>-0.5</v>
      </c>
      <c r="I13" s="3">
        <v>-0.6</v>
      </c>
      <c r="J13" s="3">
        <v>-0.8</v>
      </c>
      <c r="K13" s="3">
        <v>-1</v>
      </c>
      <c r="L13" s="3">
        <v>-1.1000000000000001</v>
      </c>
      <c r="M13" s="3">
        <v>-1</v>
      </c>
      <c r="P13" s="3">
        <v>-0.7</v>
      </c>
      <c r="Q13">
        <f t="shared" si="0"/>
        <v>-0.7</v>
      </c>
      <c r="R13">
        <f t="shared" si="1"/>
        <v>0</v>
      </c>
    </row>
    <row r="14" spans="1:18" x14ac:dyDescent="0.3">
      <c r="A14" s="2">
        <v>2012</v>
      </c>
      <c r="B14" s="3">
        <v>-0.9</v>
      </c>
      <c r="C14" s="3">
        <v>-0.7</v>
      </c>
      <c r="D14" s="3">
        <v>-0.6</v>
      </c>
      <c r="E14" s="3">
        <v>-0.5</v>
      </c>
      <c r="F14" s="4">
        <v>-0.3</v>
      </c>
      <c r="G14" s="4">
        <v>0</v>
      </c>
      <c r="H14" s="4">
        <v>0.2</v>
      </c>
      <c r="I14" s="4">
        <v>0.4</v>
      </c>
      <c r="J14" s="4">
        <v>0.4</v>
      </c>
      <c r="K14" s="4">
        <v>0.3</v>
      </c>
      <c r="L14" s="4">
        <v>0.1</v>
      </c>
      <c r="M14" s="4">
        <v>-0.2</v>
      </c>
      <c r="O14" s="2">
        <v>2001</v>
      </c>
      <c r="P14" s="3">
        <v>-0.7</v>
      </c>
      <c r="Q14">
        <f t="shared" si="0"/>
        <v>-0.7</v>
      </c>
      <c r="R14">
        <f t="shared" si="1"/>
        <v>0</v>
      </c>
    </row>
    <row r="15" spans="1:18" x14ac:dyDescent="0.3">
      <c r="A15" s="2">
        <v>2013</v>
      </c>
      <c r="B15" s="4">
        <v>-0.4</v>
      </c>
      <c r="C15" s="4">
        <v>-0.4</v>
      </c>
      <c r="D15" s="4">
        <v>-0.3</v>
      </c>
      <c r="E15" s="4">
        <v>-0.3</v>
      </c>
      <c r="F15" s="4">
        <v>-0.4</v>
      </c>
      <c r="G15" s="4">
        <v>-0.4</v>
      </c>
      <c r="H15" s="4">
        <v>-0.4</v>
      </c>
      <c r="I15" s="4">
        <v>-0.3</v>
      </c>
      <c r="J15" s="4">
        <v>-0.3</v>
      </c>
      <c r="K15" s="4">
        <v>-0.2</v>
      </c>
      <c r="L15" s="4">
        <v>-0.2</v>
      </c>
      <c r="M15" s="4">
        <v>-0.3</v>
      </c>
      <c r="P15" s="3">
        <v>-0.5</v>
      </c>
      <c r="Q15">
        <f t="shared" si="0"/>
        <v>-0.5</v>
      </c>
      <c r="R15">
        <f t="shared" si="1"/>
        <v>0</v>
      </c>
    </row>
    <row r="16" spans="1:18" x14ac:dyDescent="0.3">
      <c r="A16" s="2">
        <v>2014</v>
      </c>
      <c r="B16" s="4">
        <v>-0.4</v>
      </c>
      <c r="C16" s="4">
        <v>-0.5</v>
      </c>
      <c r="D16" s="4">
        <v>-0.3</v>
      </c>
      <c r="E16" s="4">
        <v>0</v>
      </c>
      <c r="F16" s="4">
        <v>0.2</v>
      </c>
      <c r="G16" s="4">
        <v>0.2</v>
      </c>
      <c r="H16" s="4">
        <v>0</v>
      </c>
      <c r="I16" s="4">
        <v>0.1</v>
      </c>
      <c r="J16" s="4">
        <v>0.2</v>
      </c>
      <c r="K16" s="5">
        <v>0.5</v>
      </c>
      <c r="L16" s="5">
        <v>0.6</v>
      </c>
      <c r="M16" s="5">
        <v>0.7</v>
      </c>
      <c r="P16" s="4">
        <v>-0.4</v>
      </c>
      <c r="Q16">
        <f t="shared" si="0"/>
        <v>-0.4</v>
      </c>
      <c r="R16">
        <f t="shared" si="1"/>
        <v>0</v>
      </c>
    </row>
    <row r="17" spans="1:18" x14ac:dyDescent="0.3">
      <c r="A17" s="2">
        <v>2015</v>
      </c>
      <c r="B17" s="5">
        <v>0.5</v>
      </c>
      <c r="C17" s="5">
        <v>0.5</v>
      </c>
      <c r="D17" s="5">
        <v>0.5</v>
      </c>
      <c r="E17" s="5">
        <v>0.7</v>
      </c>
      <c r="F17" s="5">
        <v>0.9</v>
      </c>
      <c r="G17" s="5">
        <v>1.2</v>
      </c>
      <c r="H17" s="5">
        <v>1.5</v>
      </c>
      <c r="I17" s="5">
        <v>1.9</v>
      </c>
      <c r="J17" s="5">
        <v>2.2000000000000002</v>
      </c>
      <c r="K17" s="5">
        <v>2.4</v>
      </c>
      <c r="L17" s="5">
        <v>2.6</v>
      </c>
      <c r="M17" s="5">
        <v>2.6</v>
      </c>
      <c r="P17" s="4">
        <v>-0.3</v>
      </c>
      <c r="Q17">
        <f t="shared" si="0"/>
        <v>-0.3</v>
      </c>
      <c r="R17">
        <f t="shared" si="1"/>
        <v>0</v>
      </c>
    </row>
    <row r="18" spans="1:18" x14ac:dyDescent="0.3">
      <c r="A18" s="2">
        <v>2016</v>
      </c>
      <c r="B18" s="5">
        <v>2.5</v>
      </c>
      <c r="C18" s="5">
        <v>2.1</v>
      </c>
      <c r="D18" s="5">
        <v>1.6</v>
      </c>
      <c r="E18" s="5">
        <v>0.9</v>
      </c>
      <c r="F18" s="4">
        <v>0.4</v>
      </c>
      <c r="G18" s="4">
        <v>-0.1</v>
      </c>
      <c r="H18" s="4">
        <v>-0.4</v>
      </c>
      <c r="I18" s="3">
        <v>-0.5</v>
      </c>
      <c r="J18" s="3">
        <v>-0.6</v>
      </c>
      <c r="K18" s="3">
        <v>-0.7</v>
      </c>
      <c r="L18" s="3">
        <v>-0.7</v>
      </c>
      <c r="M18" s="3">
        <v>-0.6</v>
      </c>
      <c r="P18" s="4">
        <v>-0.3</v>
      </c>
      <c r="Q18">
        <f t="shared" si="0"/>
        <v>-0.3</v>
      </c>
      <c r="R18">
        <f t="shared" si="1"/>
        <v>0</v>
      </c>
    </row>
    <row r="19" spans="1:18" x14ac:dyDescent="0.3">
      <c r="A19" s="2">
        <v>2017</v>
      </c>
      <c r="B19" s="4">
        <v>-0.3</v>
      </c>
      <c r="C19" s="4">
        <v>-0.2</v>
      </c>
      <c r="D19" s="4">
        <v>0.1</v>
      </c>
      <c r="E19" s="4">
        <v>0.2</v>
      </c>
      <c r="F19" s="4">
        <v>0.3</v>
      </c>
      <c r="G19" s="4">
        <v>0.3</v>
      </c>
      <c r="H19" s="4">
        <v>0.1</v>
      </c>
      <c r="I19" s="4">
        <v>-0.1</v>
      </c>
      <c r="J19" s="4">
        <v>-0.4</v>
      </c>
      <c r="K19" s="3">
        <v>-0.7</v>
      </c>
      <c r="L19" s="3">
        <v>-0.8</v>
      </c>
      <c r="M19" s="3">
        <v>-1</v>
      </c>
      <c r="P19" s="4">
        <v>-0.1</v>
      </c>
      <c r="Q19">
        <f t="shared" si="0"/>
        <v>-0.1</v>
      </c>
      <c r="R19">
        <f t="shared" si="1"/>
        <v>0</v>
      </c>
    </row>
    <row r="20" spans="1:18" x14ac:dyDescent="0.3">
      <c r="A20" s="2">
        <v>2018</v>
      </c>
      <c r="B20" s="3">
        <v>-0.9</v>
      </c>
      <c r="C20" s="3">
        <v>-0.9</v>
      </c>
      <c r="D20" s="3">
        <v>-0.7</v>
      </c>
      <c r="E20" s="3">
        <v>-0.5</v>
      </c>
      <c r="F20" s="4">
        <v>-0.2</v>
      </c>
      <c r="G20" s="4">
        <v>0</v>
      </c>
      <c r="H20" s="4">
        <v>0.1</v>
      </c>
      <c r="I20" s="4">
        <v>0.2</v>
      </c>
      <c r="J20" s="5">
        <v>0.5</v>
      </c>
      <c r="K20" s="5">
        <v>0.8</v>
      </c>
      <c r="L20" s="5">
        <v>0.9</v>
      </c>
      <c r="M20" s="5">
        <v>0.8</v>
      </c>
      <c r="P20" s="4">
        <v>-0.1</v>
      </c>
      <c r="Q20">
        <f t="shared" si="0"/>
        <v>-0.1</v>
      </c>
      <c r="R20">
        <f t="shared" si="1"/>
        <v>0</v>
      </c>
    </row>
    <row r="21" spans="1:18" x14ac:dyDescent="0.3">
      <c r="A21" s="2">
        <v>2019</v>
      </c>
      <c r="B21" s="5">
        <v>0.7</v>
      </c>
      <c r="C21" s="5">
        <v>0.7</v>
      </c>
      <c r="D21" s="5">
        <v>0.7</v>
      </c>
      <c r="E21" s="5">
        <v>0.7</v>
      </c>
      <c r="F21" s="5">
        <v>0.5</v>
      </c>
      <c r="G21" s="5">
        <v>0.5</v>
      </c>
      <c r="H21" s="4">
        <v>0.3</v>
      </c>
      <c r="I21" s="4">
        <v>0.1</v>
      </c>
      <c r="J21" s="4">
        <v>0.2</v>
      </c>
      <c r="K21" s="4">
        <v>0.3</v>
      </c>
      <c r="L21" s="4">
        <v>0.5</v>
      </c>
      <c r="M21" s="4">
        <v>0.5</v>
      </c>
      <c r="P21" s="4">
        <v>-0.1</v>
      </c>
      <c r="Q21">
        <f t="shared" si="0"/>
        <v>-0.1</v>
      </c>
      <c r="R21">
        <f t="shared" si="1"/>
        <v>0</v>
      </c>
    </row>
    <row r="22" spans="1:18" x14ac:dyDescent="0.3">
      <c r="A22" s="2">
        <v>2020</v>
      </c>
      <c r="B22" s="4">
        <v>0.5</v>
      </c>
      <c r="C22" s="4">
        <v>0.5</v>
      </c>
      <c r="D22" s="4">
        <v>0.4</v>
      </c>
      <c r="E22" s="4">
        <v>0.2</v>
      </c>
      <c r="F22" s="4">
        <v>-0.1</v>
      </c>
      <c r="G22" s="4">
        <v>-0.3</v>
      </c>
      <c r="H22" s="4">
        <v>-0.4</v>
      </c>
      <c r="I22" s="3">
        <v>-0.6</v>
      </c>
      <c r="J22" s="3">
        <v>-0.9</v>
      </c>
      <c r="K22" s="3">
        <v>-1.2</v>
      </c>
      <c r="L22" s="3">
        <v>-1.3</v>
      </c>
      <c r="M22" s="3">
        <v>-1.2</v>
      </c>
      <c r="P22" s="4">
        <v>-0.2</v>
      </c>
      <c r="Q22">
        <f t="shared" si="0"/>
        <v>-0.2</v>
      </c>
      <c r="R22">
        <f t="shared" si="1"/>
        <v>0</v>
      </c>
    </row>
    <row r="23" spans="1:18" x14ac:dyDescent="0.3">
      <c r="A23" s="2">
        <v>2021</v>
      </c>
      <c r="B23" s="3">
        <v>-1</v>
      </c>
      <c r="C23" s="3">
        <v>-0.9</v>
      </c>
      <c r="D23" s="3">
        <v>-0.8</v>
      </c>
      <c r="E23" s="3">
        <v>-0.7</v>
      </c>
      <c r="F23" s="3">
        <v>-0.5</v>
      </c>
      <c r="G23" s="4">
        <v>-0.4</v>
      </c>
      <c r="H23" s="4">
        <v>-0.4</v>
      </c>
      <c r="I23" s="3">
        <v>-0.5</v>
      </c>
      <c r="J23" s="3">
        <v>-0.7</v>
      </c>
      <c r="K23" s="3">
        <v>-0.8</v>
      </c>
      <c r="L23" s="3">
        <v>-1</v>
      </c>
      <c r="M23" s="3">
        <v>-1</v>
      </c>
      <c r="P23" s="4">
        <v>-0.3</v>
      </c>
      <c r="Q23">
        <f t="shared" si="0"/>
        <v>-0.3</v>
      </c>
      <c r="R23">
        <f t="shared" si="1"/>
        <v>0</v>
      </c>
    </row>
    <row r="24" spans="1:18" x14ac:dyDescent="0.3">
      <c r="A24" s="2">
        <v>2022</v>
      </c>
      <c r="B24" s="3">
        <v>-1</v>
      </c>
      <c r="C24" s="3">
        <v>-0.9</v>
      </c>
      <c r="D24" s="3">
        <v>-1</v>
      </c>
      <c r="E24" s="3">
        <v>-1.1000000000000001</v>
      </c>
      <c r="F24" s="3">
        <v>-1</v>
      </c>
      <c r="G24" s="3">
        <v>-0.9</v>
      </c>
      <c r="H24" s="3">
        <v>-0.8</v>
      </c>
      <c r="I24" s="3">
        <v>-0.9</v>
      </c>
      <c r="J24" s="3">
        <v>-1</v>
      </c>
      <c r="K24" s="3">
        <v>-1</v>
      </c>
      <c r="L24" s="3">
        <v>-0.9</v>
      </c>
      <c r="M24" s="3">
        <v>-0.8</v>
      </c>
      <c r="P24" s="4">
        <v>-0.3</v>
      </c>
      <c r="Q24">
        <f t="shared" si="0"/>
        <v>-0.3</v>
      </c>
      <c r="R24">
        <f t="shared" si="1"/>
        <v>0</v>
      </c>
    </row>
    <row r="25" spans="1:18" x14ac:dyDescent="0.3">
      <c r="A25" s="2">
        <v>2023</v>
      </c>
      <c r="B25" s="3">
        <v>-0.7</v>
      </c>
      <c r="C25" s="4">
        <v>-0.4</v>
      </c>
      <c r="D25" s="4">
        <v>-0.1</v>
      </c>
      <c r="E25" s="4">
        <v>0.2</v>
      </c>
      <c r="F25" s="4">
        <v>0.5</v>
      </c>
      <c r="G25" s="4">
        <v>0.8</v>
      </c>
      <c r="H25" s="6"/>
      <c r="I25" s="6"/>
      <c r="J25" s="6"/>
      <c r="K25" s="6"/>
      <c r="L25" s="6"/>
      <c r="M25" s="7"/>
      <c r="P25" s="4">
        <v>-0.3</v>
      </c>
      <c r="Q25">
        <f t="shared" si="0"/>
        <v>-0.3</v>
      </c>
      <c r="R25">
        <f t="shared" si="1"/>
        <v>0</v>
      </c>
    </row>
    <row r="26" spans="1:18" x14ac:dyDescent="0.3">
      <c r="O26" s="2">
        <v>2002</v>
      </c>
      <c r="P26" s="4">
        <v>-0.1</v>
      </c>
      <c r="Q26">
        <f t="shared" si="0"/>
        <v>-0.1</v>
      </c>
      <c r="R26">
        <f t="shared" si="1"/>
        <v>0</v>
      </c>
    </row>
    <row r="27" spans="1:18" x14ac:dyDescent="0.3">
      <c r="P27" s="4">
        <v>0</v>
      </c>
      <c r="Q27">
        <f t="shared" si="0"/>
        <v>0</v>
      </c>
      <c r="R27">
        <f t="shared" si="1"/>
        <v>0</v>
      </c>
    </row>
    <row r="28" spans="1:18" x14ac:dyDescent="0.3">
      <c r="P28" s="4">
        <v>0.1</v>
      </c>
      <c r="Q28">
        <f t="shared" si="0"/>
        <v>0</v>
      </c>
      <c r="R28">
        <f t="shared" si="1"/>
        <v>0.1</v>
      </c>
    </row>
    <row r="29" spans="1:18" x14ac:dyDescent="0.3">
      <c r="P29" s="4">
        <v>0.2</v>
      </c>
      <c r="Q29">
        <f t="shared" si="0"/>
        <v>0</v>
      </c>
      <c r="R29">
        <f t="shared" si="1"/>
        <v>0.2</v>
      </c>
    </row>
    <row r="30" spans="1:18" x14ac:dyDescent="0.3">
      <c r="P30" s="4">
        <v>0.4</v>
      </c>
      <c r="Q30">
        <f t="shared" si="0"/>
        <v>0</v>
      </c>
      <c r="R30">
        <f t="shared" si="1"/>
        <v>0.4</v>
      </c>
    </row>
    <row r="31" spans="1:18" x14ac:dyDescent="0.3">
      <c r="P31" s="5">
        <v>0.7</v>
      </c>
      <c r="Q31">
        <f t="shared" si="0"/>
        <v>0</v>
      </c>
      <c r="R31">
        <f t="shared" si="1"/>
        <v>0.7</v>
      </c>
    </row>
    <row r="32" spans="1:18" x14ac:dyDescent="0.3">
      <c r="P32" s="5">
        <v>0.8</v>
      </c>
      <c r="Q32">
        <f t="shared" si="0"/>
        <v>0</v>
      </c>
      <c r="R32">
        <f t="shared" si="1"/>
        <v>0.8</v>
      </c>
    </row>
    <row r="33" spans="15:18" x14ac:dyDescent="0.3">
      <c r="P33" s="5">
        <v>0.9</v>
      </c>
      <c r="Q33">
        <f t="shared" si="0"/>
        <v>0</v>
      </c>
      <c r="R33">
        <f t="shared" si="1"/>
        <v>0.9</v>
      </c>
    </row>
    <row r="34" spans="15:18" x14ac:dyDescent="0.3">
      <c r="P34" s="5">
        <v>1</v>
      </c>
      <c r="Q34">
        <f t="shared" si="0"/>
        <v>0</v>
      </c>
      <c r="R34">
        <f t="shared" si="1"/>
        <v>1</v>
      </c>
    </row>
    <row r="35" spans="15:18" x14ac:dyDescent="0.3">
      <c r="P35" s="5">
        <v>1.2</v>
      </c>
      <c r="Q35">
        <f t="shared" si="0"/>
        <v>0</v>
      </c>
      <c r="R35">
        <f t="shared" si="1"/>
        <v>1.2</v>
      </c>
    </row>
    <row r="36" spans="15:18" x14ac:dyDescent="0.3">
      <c r="P36" s="5">
        <v>1.3</v>
      </c>
      <c r="Q36">
        <f t="shared" si="0"/>
        <v>0</v>
      </c>
      <c r="R36">
        <f t="shared" si="1"/>
        <v>1.3</v>
      </c>
    </row>
    <row r="37" spans="15:18" x14ac:dyDescent="0.3">
      <c r="P37" s="5">
        <v>1.1000000000000001</v>
      </c>
      <c r="Q37">
        <f t="shared" si="0"/>
        <v>0</v>
      </c>
      <c r="R37">
        <f t="shared" si="1"/>
        <v>1.1000000000000001</v>
      </c>
    </row>
    <row r="38" spans="15:18" x14ac:dyDescent="0.3">
      <c r="O38" s="2">
        <v>2003</v>
      </c>
      <c r="P38" s="5">
        <v>0.9</v>
      </c>
      <c r="Q38">
        <f t="shared" si="0"/>
        <v>0</v>
      </c>
      <c r="R38">
        <f t="shared" si="1"/>
        <v>0.9</v>
      </c>
    </row>
    <row r="39" spans="15:18" x14ac:dyDescent="0.3">
      <c r="P39" s="5">
        <v>0.6</v>
      </c>
      <c r="Q39">
        <f t="shared" si="0"/>
        <v>0</v>
      </c>
      <c r="R39">
        <f t="shared" si="1"/>
        <v>0.6</v>
      </c>
    </row>
    <row r="40" spans="15:18" x14ac:dyDescent="0.3">
      <c r="P40" s="4">
        <v>0.4</v>
      </c>
      <c r="Q40">
        <f t="shared" si="0"/>
        <v>0</v>
      </c>
      <c r="R40">
        <f t="shared" si="1"/>
        <v>0.4</v>
      </c>
    </row>
    <row r="41" spans="15:18" x14ac:dyDescent="0.3">
      <c r="P41" s="4">
        <v>0</v>
      </c>
      <c r="Q41">
        <f t="shared" si="0"/>
        <v>0</v>
      </c>
      <c r="R41">
        <f t="shared" si="1"/>
        <v>0</v>
      </c>
    </row>
    <row r="42" spans="15:18" x14ac:dyDescent="0.3">
      <c r="P42" s="4">
        <v>-0.3</v>
      </c>
      <c r="Q42">
        <f t="shared" si="0"/>
        <v>-0.3</v>
      </c>
      <c r="R42">
        <f t="shared" si="1"/>
        <v>0</v>
      </c>
    </row>
    <row r="43" spans="15:18" x14ac:dyDescent="0.3">
      <c r="P43" s="4">
        <v>-0.2</v>
      </c>
      <c r="Q43">
        <f t="shared" si="0"/>
        <v>-0.2</v>
      </c>
      <c r="R43">
        <f t="shared" si="1"/>
        <v>0</v>
      </c>
    </row>
    <row r="44" spans="15:18" x14ac:dyDescent="0.3">
      <c r="P44" s="4">
        <v>0.1</v>
      </c>
      <c r="Q44">
        <f t="shared" si="0"/>
        <v>0</v>
      </c>
      <c r="R44">
        <f t="shared" si="1"/>
        <v>0.1</v>
      </c>
    </row>
    <row r="45" spans="15:18" x14ac:dyDescent="0.3">
      <c r="P45" s="4">
        <v>0.2</v>
      </c>
      <c r="Q45">
        <f t="shared" si="0"/>
        <v>0</v>
      </c>
      <c r="R45">
        <f t="shared" si="1"/>
        <v>0.2</v>
      </c>
    </row>
    <row r="46" spans="15:18" x14ac:dyDescent="0.3">
      <c r="P46" s="4">
        <v>0.3</v>
      </c>
      <c r="Q46">
        <f t="shared" si="0"/>
        <v>0</v>
      </c>
      <c r="R46">
        <f t="shared" si="1"/>
        <v>0.3</v>
      </c>
    </row>
    <row r="47" spans="15:18" x14ac:dyDescent="0.3">
      <c r="P47" s="4">
        <v>0.3</v>
      </c>
      <c r="Q47">
        <f t="shared" si="0"/>
        <v>0</v>
      </c>
      <c r="R47">
        <f t="shared" si="1"/>
        <v>0.3</v>
      </c>
    </row>
    <row r="48" spans="15:18" x14ac:dyDescent="0.3">
      <c r="P48" s="4">
        <v>0.4</v>
      </c>
      <c r="Q48">
        <f t="shared" si="0"/>
        <v>0</v>
      </c>
      <c r="R48">
        <f t="shared" si="1"/>
        <v>0.4</v>
      </c>
    </row>
    <row r="49" spans="15:18" x14ac:dyDescent="0.3">
      <c r="P49" s="4">
        <v>0.4</v>
      </c>
      <c r="Q49">
        <f t="shared" si="0"/>
        <v>0</v>
      </c>
      <c r="R49">
        <f t="shared" si="1"/>
        <v>0.4</v>
      </c>
    </row>
    <row r="50" spans="15:18" x14ac:dyDescent="0.3">
      <c r="O50" s="2">
        <v>2004</v>
      </c>
      <c r="P50" s="4">
        <v>0.4</v>
      </c>
      <c r="Q50">
        <f t="shared" si="0"/>
        <v>0</v>
      </c>
      <c r="R50">
        <f t="shared" si="1"/>
        <v>0.4</v>
      </c>
    </row>
    <row r="51" spans="15:18" x14ac:dyDescent="0.3">
      <c r="P51" s="4">
        <v>0.3</v>
      </c>
      <c r="Q51">
        <f t="shared" si="0"/>
        <v>0</v>
      </c>
      <c r="R51">
        <f t="shared" si="1"/>
        <v>0.3</v>
      </c>
    </row>
    <row r="52" spans="15:18" x14ac:dyDescent="0.3">
      <c r="P52" s="4">
        <v>0.2</v>
      </c>
      <c r="Q52">
        <f t="shared" si="0"/>
        <v>0</v>
      </c>
      <c r="R52">
        <f t="shared" si="1"/>
        <v>0.2</v>
      </c>
    </row>
    <row r="53" spans="15:18" x14ac:dyDescent="0.3">
      <c r="P53" s="4">
        <v>0.2</v>
      </c>
      <c r="Q53">
        <f t="shared" si="0"/>
        <v>0</v>
      </c>
      <c r="R53">
        <f t="shared" si="1"/>
        <v>0.2</v>
      </c>
    </row>
    <row r="54" spans="15:18" x14ac:dyDescent="0.3">
      <c r="P54" s="4">
        <v>0.2</v>
      </c>
      <c r="Q54">
        <f t="shared" si="0"/>
        <v>0</v>
      </c>
      <c r="R54">
        <f t="shared" si="1"/>
        <v>0.2</v>
      </c>
    </row>
    <row r="55" spans="15:18" x14ac:dyDescent="0.3">
      <c r="P55" s="4">
        <v>0.3</v>
      </c>
      <c r="Q55">
        <f t="shared" si="0"/>
        <v>0</v>
      </c>
      <c r="R55">
        <f t="shared" si="1"/>
        <v>0.3</v>
      </c>
    </row>
    <row r="56" spans="15:18" x14ac:dyDescent="0.3">
      <c r="P56" s="5">
        <v>0.5</v>
      </c>
      <c r="Q56">
        <f t="shared" si="0"/>
        <v>0</v>
      </c>
      <c r="R56">
        <f t="shared" si="1"/>
        <v>0.5</v>
      </c>
    </row>
    <row r="57" spans="15:18" x14ac:dyDescent="0.3">
      <c r="P57" s="5">
        <v>0.6</v>
      </c>
      <c r="Q57">
        <f t="shared" si="0"/>
        <v>0</v>
      </c>
      <c r="R57">
        <f t="shared" si="1"/>
        <v>0.6</v>
      </c>
    </row>
    <row r="58" spans="15:18" x14ac:dyDescent="0.3">
      <c r="P58" s="5">
        <v>0.7</v>
      </c>
      <c r="Q58">
        <f t="shared" si="0"/>
        <v>0</v>
      </c>
      <c r="R58">
        <f t="shared" si="1"/>
        <v>0.7</v>
      </c>
    </row>
    <row r="59" spans="15:18" x14ac:dyDescent="0.3">
      <c r="P59" s="5">
        <v>0.7</v>
      </c>
      <c r="Q59">
        <f t="shared" si="0"/>
        <v>0</v>
      </c>
      <c r="R59">
        <f t="shared" si="1"/>
        <v>0.7</v>
      </c>
    </row>
    <row r="60" spans="15:18" x14ac:dyDescent="0.3">
      <c r="P60" s="5">
        <v>0.7</v>
      </c>
      <c r="Q60">
        <f t="shared" si="0"/>
        <v>0</v>
      </c>
      <c r="R60">
        <f t="shared" si="1"/>
        <v>0.7</v>
      </c>
    </row>
    <row r="61" spans="15:18" x14ac:dyDescent="0.3">
      <c r="P61" s="5">
        <v>0.7</v>
      </c>
      <c r="Q61">
        <f t="shared" si="0"/>
        <v>0</v>
      </c>
      <c r="R61">
        <f t="shared" si="1"/>
        <v>0.7</v>
      </c>
    </row>
    <row r="62" spans="15:18" x14ac:dyDescent="0.3">
      <c r="O62" s="2">
        <v>2005</v>
      </c>
      <c r="P62" s="5">
        <v>0.6</v>
      </c>
      <c r="Q62">
        <f t="shared" si="0"/>
        <v>0</v>
      </c>
      <c r="R62">
        <f t="shared" si="1"/>
        <v>0.6</v>
      </c>
    </row>
    <row r="63" spans="15:18" x14ac:dyDescent="0.3">
      <c r="P63" s="5">
        <v>0.6</v>
      </c>
      <c r="Q63">
        <f t="shared" si="0"/>
        <v>0</v>
      </c>
      <c r="R63">
        <f t="shared" si="1"/>
        <v>0.6</v>
      </c>
    </row>
    <row r="64" spans="15:18" x14ac:dyDescent="0.3">
      <c r="P64" s="4">
        <v>0.4</v>
      </c>
      <c r="Q64">
        <f t="shared" si="0"/>
        <v>0</v>
      </c>
      <c r="R64">
        <f t="shared" si="1"/>
        <v>0.4</v>
      </c>
    </row>
    <row r="65" spans="15:18" x14ac:dyDescent="0.3">
      <c r="P65" s="4">
        <v>0.4</v>
      </c>
      <c r="Q65">
        <f t="shared" si="0"/>
        <v>0</v>
      </c>
      <c r="R65">
        <f t="shared" si="1"/>
        <v>0.4</v>
      </c>
    </row>
    <row r="66" spans="15:18" x14ac:dyDescent="0.3">
      <c r="P66" s="4">
        <v>0.3</v>
      </c>
      <c r="Q66">
        <f t="shared" si="0"/>
        <v>0</v>
      </c>
      <c r="R66">
        <f t="shared" si="1"/>
        <v>0.3</v>
      </c>
    </row>
    <row r="67" spans="15:18" x14ac:dyDescent="0.3">
      <c r="P67" s="4">
        <v>0.1</v>
      </c>
      <c r="Q67">
        <f t="shared" ref="Q67:Q130" si="2">IF(P67&lt;0,P67,0)</f>
        <v>0</v>
      </c>
      <c r="R67">
        <f t="shared" ref="R67:R130" si="3">IF(P67&gt;0,P67,0)</f>
        <v>0.1</v>
      </c>
    </row>
    <row r="68" spans="15:18" x14ac:dyDescent="0.3">
      <c r="P68" s="4">
        <v>-0.1</v>
      </c>
      <c r="Q68">
        <f t="shared" si="2"/>
        <v>-0.1</v>
      </c>
      <c r="R68">
        <f t="shared" si="3"/>
        <v>0</v>
      </c>
    </row>
    <row r="69" spans="15:18" x14ac:dyDescent="0.3">
      <c r="P69" s="4">
        <v>-0.1</v>
      </c>
      <c r="Q69">
        <f t="shared" si="2"/>
        <v>-0.1</v>
      </c>
      <c r="R69">
        <f t="shared" si="3"/>
        <v>0</v>
      </c>
    </row>
    <row r="70" spans="15:18" x14ac:dyDescent="0.3">
      <c r="P70" s="4">
        <v>-0.1</v>
      </c>
      <c r="Q70">
        <f t="shared" si="2"/>
        <v>-0.1</v>
      </c>
      <c r="R70">
        <f t="shared" si="3"/>
        <v>0</v>
      </c>
    </row>
    <row r="71" spans="15:18" x14ac:dyDescent="0.3">
      <c r="P71" s="4">
        <v>-0.3</v>
      </c>
      <c r="Q71">
        <f t="shared" si="2"/>
        <v>-0.3</v>
      </c>
      <c r="R71">
        <f t="shared" si="3"/>
        <v>0</v>
      </c>
    </row>
    <row r="72" spans="15:18" x14ac:dyDescent="0.3">
      <c r="P72" s="3">
        <v>-0.6</v>
      </c>
      <c r="Q72">
        <f t="shared" si="2"/>
        <v>-0.6</v>
      </c>
      <c r="R72">
        <f t="shared" si="3"/>
        <v>0</v>
      </c>
    </row>
    <row r="73" spans="15:18" x14ac:dyDescent="0.3">
      <c r="P73" s="3">
        <v>-0.8</v>
      </c>
      <c r="Q73">
        <f t="shared" si="2"/>
        <v>-0.8</v>
      </c>
      <c r="R73">
        <f t="shared" si="3"/>
        <v>0</v>
      </c>
    </row>
    <row r="74" spans="15:18" x14ac:dyDescent="0.3">
      <c r="O74" s="2">
        <v>2006</v>
      </c>
      <c r="P74" s="3">
        <v>-0.9</v>
      </c>
      <c r="Q74">
        <f t="shared" si="2"/>
        <v>-0.9</v>
      </c>
      <c r="R74">
        <f t="shared" si="3"/>
        <v>0</v>
      </c>
    </row>
    <row r="75" spans="15:18" x14ac:dyDescent="0.3">
      <c r="P75" s="3">
        <v>-0.8</v>
      </c>
      <c r="Q75">
        <f t="shared" si="2"/>
        <v>-0.8</v>
      </c>
      <c r="R75">
        <f t="shared" si="3"/>
        <v>0</v>
      </c>
    </row>
    <row r="76" spans="15:18" x14ac:dyDescent="0.3">
      <c r="P76" s="3">
        <v>-0.6</v>
      </c>
      <c r="Q76">
        <f t="shared" si="2"/>
        <v>-0.6</v>
      </c>
      <c r="R76">
        <f t="shared" si="3"/>
        <v>0</v>
      </c>
    </row>
    <row r="77" spans="15:18" x14ac:dyDescent="0.3">
      <c r="P77" s="4">
        <v>-0.4</v>
      </c>
      <c r="Q77">
        <f t="shared" si="2"/>
        <v>-0.4</v>
      </c>
      <c r="R77">
        <f t="shared" si="3"/>
        <v>0</v>
      </c>
    </row>
    <row r="78" spans="15:18" x14ac:dyDescent="0.3">
      <c r="P78" s="4">
        <v>-0.1</v>
      </c>
      <c r="Q78">
        <f t="shared" si="2"/>
        <v>-0.1</v>
      </c>
      <c r="R78">
        <f t="shared" si="3"/>
        <v>0</v>
      </c>
    </row>
    <row r="79" spans="15:18" x14ac:dyDescent="0.3">
      <c r="P79" s="4">
        <v>0</v>
      </c>
      <c r="Q79">
        <f t="shared" si="2"/>
        <v>0</v>
      </c>
      <c r="R79">
        <f t="shared" si="3"/>
        <v>0</v>
      </c>
    </row>
    <row r="80" spans="15:18" x14ac:dyDescent="0.3">
      <c r="P80" s="4">
        <v>0.1</v>
      </c>
      <c r="Q80">
        <f t="shared" si="2"/>
        <v>0</v>
      </c>
      <c r="R80">
        <f t="shared" si="3"/>
        <v>0.1</v>
      </c>
    </row>
    <row r="81" spans="15:18" x14ac:dyDescent="0.3">
      <c r="P81" s="4">
        <v>0.3</v>
      </c>
      <c r="Q81">
        <f t="shared" si="2"/>
        <v>0</v>
      </c>
      <c r="R81">
        <f t="shared" si="3"/>
        <v>0.3</v>
      </c>
    </row>
    <row r="82" spans="15:18" x14ac:dyDescent="0.3">
      <c r="P82" s="5">
        <v>0.5</v>
      </c>
      <c r="Q82">
        <f t="shared" si="2"/>
        <v>0</v>
      </c>
      <c r="R82">
        <f t="shared" si="3"/>
        <v>0.5</v>
      </c>
    </row>
    <row r="83" spans="15:18" x14ac:dyDescent="0.3">
      <c r="P83" s="5">
        <v>0.8</v>
      </c>
      <c r="Q83">
        <f t="shared" si="2"/>
        <v>0</v>
      </c>
      <c r="R83">
        <f t="shared" si="3"/>
        <v>0.8</v>
      </c>
    </row>
    <row r="84" spans="15:18" x14ac:dyDescent="0.3">
      <c r="P84" s="5">
        <v>0.9</v>
      </c>
      <c r="Q84">
        <f t="shared" si="2"/>
        <v>0</v>
      </c>
      <c r="R84">
        <f t="shared" si="3"/>
        <v>0.9</v>
      </c>
    </row>
    <row r="85" spans="15:18" x14ac:dyDescent="0.3">
      <c r="P85" s="5">
        <v>0.9</v>
      </c>
      <c r="Q85">
        <f t="shared" si="2"/>
        <v>0</v>
      </c>
      <c r="R85">
        <f t="shared" si="3"/>
        <v>0.9</v>
      </c>
    </row>
    <row r="86" spans="15:18" x14ac:dyDescent="0.3">
      <c r="O86" s="2">
        <v>2007</v>
      </c>
      <c r="P86" s="5">
        <v>0.7</v>
      </c>
      <c r="Q86">
        <f t="shared" si="2"/>
        <v>0</v>
      </c>
      <c r="R86">
        <f t="shared" si="3"/>
        <v>0.7</v>
      </c>
    </row>
    <row r="87" spans="15:18" x14ac:dyDescent="0.3">
      <c r="P87" s="4">
        <v>0.2</v>
      </c>
      <c r="Q87">
        <f t="shared" si="2"/>
        <v>0</v>
      </c>
      <c r="R87">
        <f t="shared" si="3"/>
        <v>0.2</v>
      </c>
    </row>
    <row r="88" spans="15:18" x14ac:dyDescent="0.3">
      <c r="P88" s="4">
        <v>-0.1</v>
      </c>
      <c r="Q88">
        <f t="shared" si="2"/>
        <v>-0.1</v>
      </c>
      <c r="R88">
        <f t="shared" si="3"/>
        <v>0</v>
      </c>
    </row>
    <row r="89" spans="15:18" x14ac:dyDescent="0.3">
      <c r="P89" s="4">
        <v>-0.3</v>
      </c>
      <c r="Q89">
        <f t="shared" si="2"/>
        <v>-0.3</v>
      </c>
      <c r="R89">
        <f t="shared" si="3"/>
        <v>0</v>
      </c>
    </row>
    <row r="90" spans="15:18" x14ac:dyDescent="0.3">
      <c r="P90" s="4">
        <v>-0.4</v>
      </c>
      <c r="Q90">
        <f t="shared" si="2"/>
        <v>-0.4</v>
      </c>
      <c r="R90">
        <f t="shared" si="3"/>
        <v>0</v>
      </c>
    </row>
    <row r="91" spans="15:18" x14ac:dyDescent="0.3">
      <c r="P91" s="3">
        <v>-0.5</v>
      </c>
      <c r="Q91">
        <f t="shared" si="2"/>
        <v>-0.5</v>
      </c>
      <c r="R91">
        <f t="shared" si="3"/>
        <v>0</v>
      </c>
    </row>
    <row r="92" spans="15:18" x14ac:dyDescent="0.3">
      <c r="P92" s="3">
        <v>-0.6</v>
      </c>
      <c r="Q92">
        <f t="shared" si="2"/>
        <v>-0.6</v>
      </c>
      <c r="R92">
        <f t="shared" si="3"/>
        <v>0</v>
      </c>
    </row>
    <row r="93" spans="15:18" x14ac:dyDescent="0.3">
      <c r="P93" s="3">
        <v>-0.8</v>
      </c>
      <c r="Q93">
        <f t="shared" si="2"/>
        <v>-0.8</v>
      </c>
      <c r="R93">
        <f t="shared" si="3"/>
        <v>0</v>
      </c>
    </row>
    <row r="94" spans="15:18" x14ac:dyDescent="0.3">
      <c r="P94" s="3">
        <v>-1.1000000000000001</v>
      </c>
      <c r="Q94">
        <f t="shared" si="2"/>
        <v>-1.1000000000000001</v>
      </c>
      <c r="R94">
        <f t="shared" si="3"/>
        <v>0</v>
      </c>
    </row>
    <row r="95" spans="15:18" x14ac:dyDescent="0.3">
      <c r="P95" s="3">
        <v>-1.3</v>
      </c>
      <c r="Q95">
        <f t="shared" si="2"/>
        <v>-1.3</v>
      </c>
      <c r="R95">
        <f t="shared" si="3"/>
        <v>0</v>
      </c>
    </row>
    <row r="96" spans="15:18" x14ac:dyDescent="0.3">
      <c r="P96" s="3">
        <v>-1.5</v>
      </c>
      <c r="Q96">
        <f t="shared" si="2"/>
        <v>-1.5</v>
      </c>
      <c r="R96">
        <f t="shared" si="3"/>
        <v>0</v>
      </c>
    </row>
    <row r="97" spans="15:18" x14ac:dyDescent="0.3">
      <c r="P97" s="3">
        <v>-1.6</v>
      </c>
      <c r="Q97">
        <f t="shared" si="2"/>
        <v>-1.6</v>
      </c>
      <c r="R97">
        <f t="shared" si="3"/>
        <v>0</v>
      </c>
    </row>
    <row r="98" spans="15:18" x14ac:dyDescent="0.3">
      <c r="O98" s="2">
        <v>2008</v>
      </c>
      <c r="P98" s="3">
        <v>-1.6</v>
      </c>
      <c r="Q98">
        <f t="shared" si="2"/>
        <v>-1.6</v>
      </c>
      <c r="R98">
        <f t="shared" si="3"/>
        <v>0</v>
      </c>
    </row>
    <row r="99" spans="15:18" x14ac:dyDescent="0.3">
      <c r="P99" s="3">
        <v>-1.5</v>
      </c>
      <c r="Q99">
        <f t="shared" si="2"/>
        <v>-1.5</v>
      </c>
      <c r="R99">
        <f t="shared" si="3"/>
        <v>0</v>
      </c>
    </row>
    <row r="100" spans="15:18" x14ac:dyDescent="0.3">
      <c r="P100" s="3">
        <v>-1.3</v>
      </c>
      <c r="Q100">
        <f t="shared" si="2"/>
        <v>-1.3</v>
      </c>
      <c r="R100">
        <f t="shared" si="3"/>
        <v>0</v>
      </c>
    </row>
    <row r="101" spans="15:18" x14ac:dyDescent="0.3">
      <c r="P101" s="3">
        <v>-1</v>
      </c>
      <c r="Q101">
        <f t="shared" si="2"/>
        <v>-1</v>
      </c>
      <c r="R101">
        <f t="shared" si="3"/>
        <v>0</v>
      </c>
    </row>
    <row r="102" spans="15:18" x14ac:dyDescent="0.3">
      <c r="P102" s="3">
        <v>-0.8</v>
      </c>
      <c r="Q102">
        <f t="shared" si="2"/>
        <v>-0.8</v>
      </c>
      <c r="R102">
        <f t="shared" si="3"/>
        <v>0</v>
      </c>
    </row>
    <row r="103" spans="15:18" x14ac:dyDescent="0.3">
      <c r="P103" s="3">
        <v>-0.6</v>
      </c>
      <c r="Q103">
        <f t="shared" si="2"/>
        <v>-0.6</v>
      </c>
      <c r="R103">
        <f t="shared" si="3"/>
        <v>0</v>
      </c>
    </row>
    <row r="104" spans="15:18" x14ac:dyDescent="0.3">
      <c r="P104" s="4">
        <v>-0.4</v>
      </c>
      <c r="Q104">
        <f t="shared" si="2"/>
        <v>-0.4</v>
      </c>
      <c r="R104">
        <f t="shared" si="3"/>
        <v>0</v>
      </c>
    </row>
    <row r="105" spans="15:18" x14ac:dyDescent="0.3">
      <c r="P105" s="4">
        <v>-0.2</v>
      </c>
      <c r="Q105">
        <f t="shared" si="2"/>
        <v>-0.2</v>
      </c>
      <c r="R105">
        <f t="shared" si="3"/>
        <v>0</v>
      </c>
    </row>
    <row r="106" spans="15:18" x14ac:dyDescent="0.3">
      <c r="P106" s="4">
        <v>-0.2</v>
      </c>
      <c r="Q106">
        <f t="shared" si="2"/>
        <v>-0.2</v>
      </c>
      <c r="R106">
        <f t="shared" si="3"/>
        <v>0</v>
      </c>
    </row>
    <row r="107" spans="15:18" x14ac:dyDescent="0.3">
      <c r="P107" s="4">
        <v>-0.4</v>
      </c>
      <c r="Q107">
        <f t="shared" si="2"/>
        <v>-0.4</v>
      </c>
      <c r="R107">
        <f t="shared" si="3"/>
        <v>0</v>
      </c>
    </row>
    <row r="108" spans="15:18" x14ac:dyDescent="0.3">
      <c r="P108" s="3">
        <v>-0.6</v>
      </c>
      <c r="Q108">
        <f t="shared" si="2"/>
        <v>-0.6</v>
      </c>
      <c r="R108">
        <f t="shared" si="3"/>
        <v>0</v>
      </c>
    </row>
    <row r="109" spans="15:18" x14ac:dyDescent="0.3">
      <c r="P109" s="3">
        <v>-0.7</v>
      </c>
      <c r="Q109">
        <f t="shared" si="2"/>
        <v>-0.7</v>
      </c>
      <c r="R109">
        <f t="shared" si="3"/>
        <v>0</v>
      </c>
    </row>
    <row r="110" spans="15:18" x14ac:dyDescent="0.3">
      <c r="O110" s="2">
        <v>2009</v>
      </c>
      <c r="P110" s="3">
        <v>-0.8</v>
      </c>
      <c r="Q110">
        <f t="shared" si="2"/>
        <v>-0.8</v>
      </c>
      <c r="R110">
        <f t="shared" si="3"/>
        <v>0</v>
      </c>
    </row>
    <row r="111" spans="15:18" x14ac:dyDescent="0.3">
      <c r="P111" s="3">
        <v>-0.8</v>
      </c>
      <c r="Q111">
        <f t="shared" si="2"/>
        <v>-0.8</v>
      </c>
      <c r="R111">
        <f t="shared" si="3"/>
        <v>0</v>
      </c>
    </row>
    <row r="112" spans="15:18" x14ac:dyDescent="0.3">
      <c r="P112" s="3">
        <v>-0.6</v>
      </c>
      <c r="Q112">
        <f t="shared" si="2"/>
        <v>-0.6</v>
      </c>
      <c r="R112">
        <f t="shared" si="3"/>
        <v>0</v>
      </c>
    </row>
    <row r="113" spans="15:18" x14ac:dyDescent="0.3">
      <c r="P113" s="4">
        <v>-0.3</v>
      </c>
      <c r="Q113">
        <f t="shared" si="2"/>
        <v>-0.3</v>
      </c>
      <c r="R113">
        <f t="shared" si="3"/>
        <v>0</v>
      </c>
    </row>
    <row r="114" spans="15:18" x14ac:dyDescent="0.3">
      <c r="P114" s="4">
        <v>0</v>
      </c>
      <c r="Q114">
        <f t="shared" si="2"/>
        <v>0</v>
      </c>
      <c r="R114">
        <f t="shared" si="3"/>
        <v>0</v>
      </c>
    </row>
    <row r="115" spans="15:18" x14ac:dyDescent="0.3">
      <c r="P115" s="4">
        <v>0.3</v>
      </c>
      <c r="Q115">
        <f t="shared" si="2"/>
        <v>0</v>
      </c>
      <c r="R115">
        <f t="shared" si="3"/>
        <v>0.3</v>
      </c>
    </row>
    <row r="116" spans="15:18" x14ac:dyDescent="0.3">
      <c r="P116" s="5">
        <v>0.5</v>
      </c>
      <c r="Q116">
        <f t="shared" si="2"/>
        <v>0</v>
      </c>
      <c r="R116">
        <f t="shared" si="3"/>
        <v>0.5</v>
      </c>
    </row>
    <row r="117" spans="15:18" x14ac:dyDescent="0.3">
      <c r="P117" s="5">
        <v>0.6</v>
      </c>
      <c r="Q117">
        <f t="shared" si="2"/>
        <v>0</v>
      </c>
      <c r="R117">
        <f t="shared" si="3"/>
        <v>0.6</v>
      </c>
    </row>
    <row r="118" spans="15:18" x14ac:dyDescent="0.3">
      <c r="P118" s="5">
        <v>0.7</v>
      </c>
      <c r="Q118">
        <f t="shared" si="2"/>
        <v>0</v>
      </c>
      <c r="R118">
        <f t="shared" si="3"/>
        <v>0.7</v>
      </c>
    </row>
    <row r="119" spans="15:18" x14ac:dyDescent="0.3">
      <c r="P119" s="5">
        <v>1</v>
      </c>
      <c r="Q119">
        <f t="shared" si="2"/>
        <v>0</v>
      </c>
      <c r="R119">
        <f t="shared" si="3"/>
        <v>1</v>
      </c>
    </row>
    <row r="120" spans="15:18" x14ac:dyDescent="0.3">
      <c r="P120" s="5">
        <v>1.4</v>
      </c>
      <c r="Q120">
        <f t="shared" si="2"/>
        <v>0</v>
      </c>
      <c r="R120">
        <f t="shared" si="3"/>
        <v>1.4</v>
      </c>
    </row>
    <row r="121" spans="15:18" x14ac:dyDescent="0.3">
      <c r="P121" s="5">
        <v>1.6</v>
      </c>
      <c r="Q121">
        <f t="shared" si="2"/>
        <v>0</v>
      </c>
      <c r="R121">
        <f t="shared" si="3"/>
        <v>1.6</v>
      </c>
    </row>
    <row r="122" spans="15:18" x14ac:dyDescent="0.3">
      <c r="O122" s="2">
        <v>2010</v>
      </c>
      <c r="P122" s="5">
        <v>1.5</v>
      </c>
      <c r="Q122">
        <f t="shared" si="2"/>
        <v>0</v>
      </c>
      <c r="R122">
        <f t="shared" si="3"/>
        <v>1.5</v>
      </c>
    </row>
    <row r="123" spans="15:18" x14ac:dyDescent="0.3">
      <c r="P123" s="5">
        <v>1.2</v>
      </c>
      <c r="Q123">
        <f t="shared" si="2"/>
        <v>0</v>
      </c>
      <c r="R123">
        <f t="shared" si="3"/>
        <v>1.2</v>
      </c>
    </row>
    <row r="124" spans="15:18" x14ac:dyDescent="0.3">
      <c r="P124" s="5">
        <v>0.8</v>
      </c>
      <c r="Q124">
        <f t="shared" si="2"/>
        <v>0</v>
      </c>
      <c r="R124">
        <f t="shared" si="3"/>
        <v>0.8</v>
      </c>
    </row>
    <row r="125" spans="15:18" x14ac:dyDescent="0.3">
      <c r="P125" s="4">
        <v>0.4</v>
      </c>
      <c r="Q125">
        <f t="shared" si="2"/>
        <v>0</v>
      </c>
      <c r="R125">
        <f t="shared" si="3"/>
        <v>0.4</v>
      </c>
    </row>
    <row r="126" spans="15:18" x14ac:dyDescent="0.3">
      <c r="P126" s="4">
        <v>-0.2</v>
      </c>
      <c r="Q126">
        <f t="shared" si="2"/>
        <v>-0.2</v>
      </c>
      <c r="R126">
        <f t="shared" si="3"/>
        <v>0</v>
      </c>
    </row>
    <row r="127" spans="15:18" x14ac:dyDescent="0.3">
      <c r="P127" s="3">
        <v>-0.7</v>
      </c>
      <c r="Q127">
        <f t="shared" si="2"/>
        <v>-0.7</v>
      </c>
      <c r="R127">
        <f t="shared" si="3"/>
        <v>0</v>
      </c>
    </row>
    <row r="128" spans="15:18" x14ac:dyDescent="0.3">
      <c r="P128" s="3">
        <v>-1</v>
      </c>
      <c r="Q128">
        <f t="shared" si="2"/>
        <v>-1</v>
      </c>
      <c r="R128">
        <f t="shared" si="3"/>
        <v>0</v>
      </c>
    </row>
    <row r="129" spans="15:18" x14ac:dyDescent="0.3">
      <c r="P129" s="3">
        <v>-1.3</v>
      </c>
      <c r="Q129">
        <f t="shared" si="2"/>
        <v>-1.3</v>
      </c>
      <c r="R129">
        <f t="shared" si="3"/>
        <v>0</v>
      </c>
    </row>
    <row r="130" spans="15:18" x14ac:dyDescent="0.3">
      <c r="P130" s="3">
        <v>-1.6</v>
      </c>
      <c r="Q130">
        <f t="shared" si="2"/>
        <v>-1.6</v>
      </c>
      <c r="R130">
        <f t="shared" si="3"/>
        <v>0</v>
      </c>
    </row>
    <row r="131" spans="15:18" x14ac:dyDescent="0.3">
      <c r="P131" s="3">
        <v>-1.6</v>
      </c>
      <c r="Q131">
        <f t="shared" ref="Q131:Q157" si="4">IF(P131&lt;0,P131,0)</f>
        <v>-1.6</v>
      </c>
      <c r="R131">
        <f t="shared" ref="R131:R157" si="5">IF(P131&gt;0,P131,0)</f>
        <v>0</v>
      </c>
    </row>
    <row r="132" spans="15:18" x14ac:dyDescent="0.3">
      <c r="P132" s="3">
        <v>-1.6</v>
      </c>
      <c r="Q132">
        <f t="shared" si="4"/>
        <v>-1.6</v>
      </c>
      <c r="R132">
        <f t="shared" si="5"/>
        <v>0</v>
      </c>
    </row>
    <row r="133" spans="15:18" x14ac:dyDescent="0.3">
      <c r="P133" s="3">
        <v>-1.6</v>
      </c>
      <c r="Q133">
        <f t="shared" si="4"/>
        <v>-1.6</v>
      </c>
      <c r="R133">
        <f t="shared" si="5"/>
        <v>0</v>
      </c>
    </row>
    <row r="134" spans="15:18" x14ac:dyDescent="0.3">
      <c r="O134" s="2">
        <v>2011</v>
      </c>
      <c r="P134" s="3">
        <v>-1.4</v>
      </c>
      <c r="Q134">
        <f t="shared" si="4"/>
        <v>-1.4</v>
      </c>
      <c r="R134">
        <f t="shared" si="5"/>
        <v>0</v>
      </c>
    </row>
    <row r="135" spans="15:18" x14ac:dyDescent="0.3">
      <c r="P135" s="3">
        <v>-1.2</v>
      </c>
      <c r="Q135">
        <f t="shared" si="4"/>
        <v>-1.2</v>
      </c>
      <c r="R135">
        <f t="shared" si="5"/>
        <v>0</v>
      </c>
    </row>
    <row r="136" spans="15:18" x14ac:dyDescent="0.3">
      <c r="P136" s="3">
        <v>-0.9</v>
      </c>
      <c r="Q136">
        <f t="shared" si="4"/>
        <v>-0.9</v>
      </c>
      <c r="R136">
        <f t="shared" si="5"/>
        <v>0</v>
      </c>
    </row>
    <row r="137" spans="15:18" x14ac:dyDescent="0.3">
      <c r="P137" s="3">
        <v>-0.7</v>
      </c>
      <c r="Q137">
        <f t="shared" si="4"/>
        <v>-0.7</v>
      </c>
      <c r="R137">
        <f t="shared" si="5"/>
        <v>0</v>
      </c>
    </row>
    <row r="138" spans="15:18" x14ac:dyDescent="0.3">
      <c r="P138" s="3">
        <v>-0.6</v>
      </c>
      <c r="Q138">
        <f t="shared" si="4"/>
        <v>-0.6</v>
      </c>
      <c r="R138">
        <f t="shared" si="5"/>
        <v>0</v>
      </c>
    </row>
    <row r="139" spans="15:18" x14ac:dyDescent="0.3">
      <c r="P139" s="4">
        <v>-0.4</v>
      </c>
      <c r="Q139">
        <f t="shared" si="4"/>
        <v>-0.4</v>
      </c>
      <c r="R139">
        <f t="shared" si="5"/>
        <v>0</v>
      </c>
    </row>
    <row r="140" spans="15:18" x14ac:dyDescent="0.3">
      <c r="P140" s="3">
        <v>-0.5</v>
      </c>
      <c r="Q140">
        <f t="shared" si="4"/>
        <v>-0.5</v>
      </c>
      <c r="R140">
        <f t="shared" si="5"/>
        <v>0</v>
      </c>
    </row>
    <row r="141" spans="15:18" x14ac:dyDescent="0.3">
      <c r="P141" s="3">
        <v>-0.6</v>
      </c>
      <c r="Q141">
        <f t="shared" si="4"/>
        <v>-0.6</v>
      </c>
      <c r="R141">
        <f t="shared" si="5"/>
        <v>0</v>
      </c>
    </row>
    <row r="142" spans="15:18" x14ac:dyDescent="0.3">
      <c r="P142" s="3">
        <v>-0.8</v>
      </c>
      <c r="Q142">
        <f t="shared" si="4"/>
        <v>-0.8</v>
      </c>
      <c r="R142">
        <f t="shared" si="5"/>
        <v>0</v>
      </c>
    </row>
    <row r="143" spans="15:18" x14ac:dyDescent="0.3">
      <c r="P143" s="3">
        <v>-1</v>
      </c>
      <c r="Q143">
        <f t="shared" si="4"/>
        <v>-1</v>
      </c>
      <c r="R143">
        <f t="shared" si="5"/>
        <v>0</v>
      </c>
    </row>
    <row r="144" spans="15:18" x14ac:dyDescent="0.3">
      <c r="P144" s="3">
        <v>-1.1000000000000001</v>
      </c>
      <c r="Q144">
        <f t="shared" si="4"/>
        <v>-1.1000000000000001</v>
      </c>
      <c r="R144">
        <f t="shared" si="5"/>
        <v>0</v>
      </c>
    </row>
    <row r="145" spans="15:18" x14ac:dyDescent="0.3">
      <c r="P145" s="3">
        <v>-1</v>
      </c>
      <c r="Q145">
        <f t="shared" si="4"/>
        <v>-1</v>
      </c>
      <c r="R145">
        <f t="shared" si="5"/>
        <v>0</v>
      </c>
    </row>
    <row r="146" spans="15:18" x14ac:dyDescent="0.3">
      <c r="O146" s="2">
        <v>2012</v>
      </c>
      <c r="P146" s="3">
        <v>-0.9</v>
      </c>
      <c r="Q146">
        <f t="shared" si="4"/>
        <v>-0.9</v>
      </c>
      <c r="R146">
        <f t="shared" si="5"/>
        <v>0</v>
      </c>
    </row>
    <row r="147" spans="15:18" x14ac:dyDescent="0.3">
      <c r="P147" s="3">
        <v>-0.7</v>
      </c>
      <c r="Q147">
        <f t="shared" si="4"/>
        <v>-0.7</v>
      </c>
      <c r="R147">
        <f t="shared" si="5"/>
        <v>0</v>
      </c>
    </row>
    <row r="148" spans="15:18" x14ac:dyDescent="0.3">
      <c r="P148" s="3">
        <v>-0.6</v>
      </c>
      <c r="Q148">
        <f t="shared" si="4"/>
        <v>-0.6</v>
      </c>
      <c r="R148">
        <f t="shared" si="5"/>
        <v>0</v>
      </c>
    </row>
    <row r="149" spans="15:18" x14ac:dyDescent="0.3">
      <c r="P149" s="3">
        <v>-0.5</v>
      </c>
      <c r="Q149">
        <f t="shared" si="4"/>
        <v>-0.5</v>
      </c>
      <c r="R149">
        <f t="shared" si="5"/>
        <v>0</v>
      </c>
    </row>
    <row r="150" spans="15:18" x14ac:dyDescent="0.3">
      <c r="P150" s="4">
        <v>-0.3</v>
      </c>
      <c r="Q150">
        <f t="shared" si="4"/>
        <v>-0.3</v>
      </c>
      <c r="R150">
        <f t="shared" si="5"/>
        <v>0</v>
      </c>
    </row>
    <row r="151" spans="15:18" x14ac:dyDescent="0.3">
      <c r="P151" s="4">
        <v>0</v>
      </c>
      <c r="Q151">
        <f t="shared" si="4"/>
        <v>0</v>
      </c>
      <c r="R151">
        <f t="shared" si="5"/>
        <v>0</v>
      </c>
    </row>
    <row r="152" spans="15:18" x14ac:dyDescent="0.3">
      <c r="P152" s="4">
        <v>0.2</v>
      </c>
      <c r="Q152">
        <f t="shared" si="4"/>
        <v>0</v>
      </c>
      <c r="R152">
        <f t="shared" si="5"/>
        <v>0.2</v>
      </c>
    </row>
    <row r="153" spans="15:18" x14ac:dyDescent="0.3">
      <c r="P153" s="4">
        <v>0.4</v>
      </c>
      <c r="Q153">
        <f t="shared" si="4"/>
        <v>0</v>
      </c>
      <c r="R153">
        <f t="shared" si="5"/>
        <v>0.4</v>
      </c>
    </row>
    <row r="154" spans="15:18" x14ac:dyDescent="0.3">
      <c r="P154" s="4">
        <v>0.4</v>
      </c>
      <c r="Q154">
        <f t="shared" si="4"/>
        <v>0</v>
      </c>
      <c r="R154">
        <f t="shared" si="5"/>
        <v>0.4</v>
      </c>
    </row>
    <row r="155" spans="15:18" x14ac:dyDescent="0.3">
      <c r="P155" s="4">
        <v>0.3</v>
      </c>
      <c r="Q155">
        <f t="shared" si="4"/>
        <v>0</v>
      </c>
      <c r="R155">
        <f t="shared" si="5"/>
        <v>0.3</v>
      </c>
    </row>
    <row r="156" spans="15:18" x14ac:dyDescent="0.3">
      <c r="P156" s="4">
        <v>0.1</v>
      </c>
      <c r="Q156">
        <f t="shared" si="4"/>
        <v>0</v>
      </c>
      <c r="R156">
        <f t="shared" si="5"/>
        <v>0.1</v>
      </c>
    </row>
    <row r="157" spans="15:18" x14ac:dyDescent="0.3">
      <c r="P157" s="4">
        <v>-0.2</v>
      </c>
      <c r="Q157">
        <f t="shared" si="4"/>
        <v>-0.2</v>
      </c>
      <c r="R157">
        <f t="shared" si="5"/>
        <v>0</v>
      </c>
    </row>
  </sheetData>
  <conditionalFormatting sqref="P2:P15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D86D-EA14-430B-BDE0-16410F5B9695}">
  <dimension ref="A1:N19"/>
  <sheetViews>
    <sheetView workbookViewId="0">
      <selection activeCell="N19" sqref="N18:N19"/>
    </sheetView>
  </sheetViews>
  <sheetFormatPr defaultRowHeight="14.4" x14ac:dyDescent="0.3"/>
  <cols>
    <col min="1" max="1" width="21.77734375" customWidth="1"/>
    <col min="13" max="13" width="8.88671875" customWidth="1"/>
    <col min="14" max="14" width="13.5546875" customWidth="1"/>
  </cols>
  <sheetData>
    <row r="1" spans="1:14" ht="24.6" x14ac:dyDescent="0.7">
      <c r="A1" s="12" t="s">
        <v>2809</v>
      </c>
      <c r="B1" s="12" t="s">
        <v>2810</v>
      </c>
      <c r="C1" s="12" t="s">
        <v>2811</v>
      </c>
      <c r="D1" s="12" t="s">
        <v>2812</v>
      </c>
      <c r="E1" s="12" t="s">
        <v>2813</v>
      </c>
      <c r="F1" s="12" t="s">
        <v>2840</v>
      </c>
      <c r="G1" s="12" t="s">
        <v>2841</v>
      </c>
      <c r="H1" s="12" t="s">
        <v>2842</v>
      </c>
      <c r="I1" s="12" t="s">
        <v>2843</v>
      </c>
      <c r="J1" s="12" t="s">
        <v>2844</v>
      </c>
      <c r="K1" s="12" t="s">
        <v>2845</v>
      </c>
      <c r="L1" s="12" t="s">
        <v>2846</v>
      </c>
      <c r="M1" s="12" t="s">
        <v>2847</v>
      </c>
      <c r="N1" s="41" t="s">
        <v>2848</v>
      </c>
    </row>
    <row r="2" spans="1:14" ht="24.6" x14ac:dyDescent="0.7">
      <c r="A2" s="13">
        <v>2551</v>
      </c>
      <c r="B2" s="14">
        <v>27.1</v>
      </c>
      <c r="C2" s="14">
        <v>38.1</v>
      </c>
      <c r="D2" s="14">
        <v>48</v>
      </c>
      <c r="E2" s="14">
        <v>135.30000000000001</v>
      </c>
      <c r="F2" s="14">
        <v>215.6</v>
      </c>
      <c r="G2" s="14">
        <v>203.6</v>
      </c>
      <c r="H2" s="14">
        <v>204.1</v>
      </c>
      <c r="I2" s="14">
        <v>193.9</v>
      </c>
      <c r="J2" s="14">
        <v>296.10000000000002</v>
      </c>
      <c r="K2" s="14">
        <v>198.8</v>
      </c>
      <c r="L2" s="14">
        <v>143.80000000000001</v>
      </c>
      <c r="M2" s="14">
        <v>46.9</v>
      </c>
      <c r="N2" s="42">
        <f>SUM(B2:M2)</f>
        <v>1751.3000000000002</v>
      </c>
    </row>
    <row r="3" spans="1:14" ht="24.6" x14ac:dyDescent="0.7">
      <c r="A3" s="13">
        <v>2552</v>
      </c>
      <c r="B3" s="14">
        <v>20.6</v>
      </c>
      <c r="C3" s="14">
        <v>7.7</v>
      </c>
      <c r="D3" s="14">
        <v>89.9</v>
      </c>
      <c r="E3" s="14">
        <v>132</v>
      </c>
      <c r="F3" s="14">
        <v>227.5</v>
      </c>
      <c r="G3" s="14">
        <v>163.9</v>
      </c>
      <c r="H3" s="14">
        <v>227.7</v>
      </c>
      <c r="I3" s="14">
        <v>213.2</v>
      </c>
      <c r="J3" s="14">
        <v>263.2</v>
      </c>
      <c r="K3" s="14">
        <v>158.19999999999999</v>
      </c>
      <c r="L3" s="14">
        <v>84.6</v>
      </c>
      <c r="M3" s="14">
        <v>21.3</v>
      </c>
      <c r="N3" s="42">
        <f t="shared" ref="N3:N11" si="0">SUM(B3:M3)</f>
        <v>1609.8</v>
      </c>
    </row>
    <row r="4" spans="1:14" ht="24.6" x14ac:dyDescent="0.7">
      <c r="A4" s="13">
        <v>2553</v>
      </c>
      <c r="B4" s="14">
        <v>44.9</v>
      </c>
      <c r="C4" s="14">
        <v>12.6</v>
      </c>
      <c r="D4" s="14">
        <v>28</v>
      </c>
      <c r="E4" s="14">
        <v>58.3</v>
      </c>
      <c r="F4" s="14">
        <v>119</v>
      </c>
      <c r="G4" s="14">
        <v>190.1</v>
      </c>
      <c r="H4" s="14">
        <v>213.8</v>
      </c>
      <c r="I4" s="14">
        <v>315.39999999999998</v>
      </c>
      <c r="J4" s="14">
        <v>218.1</v>
      </c>
      <c r="K4" s="14">
        <v>254.8</v>
      </c>
      <c r="L4" s="14">
        <v>111.5</v>
      </c>
      <c r="M4" s="14">
        <v>83.9</v>
      </c>
      <c r="N4" s="42">
        <f t="shared" si="0"/>
        <v>1650.4</v>
      </c>
    </row>
    <row r="5" spans="1:14" ht="24.6" x14ac:dyDescent="0.7">
      <c r="A5" s="13">
        <v>2554</v>
      </c>
      <c r="B5" s="14">
        <v>34.9</v>
      </c>
      <c r="C5" s="14">
        <v>19.3</v>
      </c>
      <c r="D5" s="14">
        <v>191</v>
      </c>
      <c r="E5" s="14">
        <v>103.6</v>
      </c>
      <c r="F5" s="14">
        <v>206.1</v>
      </c>
      <c r="G5" s="14">
        <v>199.7</v>
      </c>
      <c r="H5" s="14">
        <v>259</v>
      </c>
      <c r="I5" s="14">
        <v>287.3</v>
      </c>
      <c r="J5" s="14">
        <v>319.7</v>
      </c>
      <c r="K5" s="15">
        <v>201.9</v>
      </c>
      <c r="L5" s="14">
        <v>67.900000000000006</v>
      </c>
      <c r="M5" s="14">
        <v>57.5</v>
      </c>
      <c r="N5" s="42">
        <f t="shared" si="0"/>
        <v>1947.9</v>
      </c>
    </row>
    <row r="6" spans="1:14" ht="24.6" x14ac:dyDescent="0.7">
      <c r="A6" s="13">
        <v>2555</v>
      </c>
      <c r="B6" s="14">
        <v>86.1</v>
      </c>
      <c r="C6" s="14">
        <v>25</v>
      </c>
      <c r="D6" s="14">
        <v>58.5</v>
      </c>
      <c r="E6" s="14">
        <v>102.7</v>
      </c>
      <c r="F6" s="14">
        <v>231.6</v>
      </c>
      <c r="G6" s="14">
        <v>159.9</v>
      </c>
      <c r="H6" s="14">
        <v>207.7</v>
      </c>
      <c r="I6" s="14">
        <v>214.1</v>
      </c>
      <c r="J6" s="14">
        <v>302</v>
      </c>
      <c r="K6" s="14">
        <v>112.3</v>
      </c>
      <c r="L6" s="14">
        <v>118</v>
      </c>
      <c r="M6" s="14">
        <v>63.8</v>
      </c>
      <c r="N6" s="42">
        <f t="shared" si="0"/>
        <v>1681.6999999999998</v>
      </c>
    </row>
    <row r="7" spans="1:14" ht="24.6" x14ac:dyDescent="0.7">
      <c r="A7" s="13">
        <v>2556</v>
      </c>
      <c r="B7" s="14">
        <v>38.9</v>
      </c>
      <c r="C7" s="14">
        <v>27.4</v>
      </c>
      <c r="D7" s="14">
        <v>29.1</v>
      </c>
      <c r="E7" s="14">
        <v>87.9</v>
      </c>
      <c r="F7" s="14">
        <v>148.6</v>
      </c>
      <c r="G7" s="14">
        <v>214.8</v>
      </c>
      <c r="H7" s="14">
        <v>283.89999999999998</v>
      </c>
      <c r="I7" s="14">
        <v>223.6</v>
      </c>
      <c r="J7" s="14">
        <v>313</v>
      </c>
      <c r="K7" s="14">
        <v>216.3</v>
      </c>
      <c r="L7" s="14">
        <v>131.80000000000001</v>
      </c>
      <c r="M7" s="14">
        <v>49.1</v>
      </c>
      <c r="N7" s="42">
        <f t="shared" si="0"/>
        <v>1764.3999999999999</v>
      </c>
    </row>
    <row r="8" spans="1:14" ht="24.6" x14ac:dyDescent="0.7">
      <c r="A8" s="13">
        <v>2557</v>
      </c>
      <c r="B8" s="14">
        <v>8.4</v>
      </c>
      <c r="C8" s="14">
        <v>3.6</v>
      </c>
      <c r="D8" s="14">
        <v>24.7</v>
      </c>
      <c r="E8" s="14">
        <v>84.1</v>
      </c>
      <c r="F8" s="14">
        <v>133.4</v>
      </c>
      <c r="G8" s="14">
        <v>192.2</v>
      </c>
      <c r="H8" s="14">
        <v>229</v>
      </c>
      <c r="I8" s="14">
        <v>251.7</v>
      </c>
      <c r="J8" s="14">
        <v>229.4</v>
      </c>
      <c r="K8" s="14">
        <v>180.9</v>
      </c>
      <c r="L8" s="14">
        <v>108</v>
      </c>
      <c r="M8" s="14">
        <v>75</v>
      </c>
      <c r="N8" s="42">
        <f t="shared" si="0"/>
        <v>1520.4</v>
      </c>
    </row>
    <row r="9" spans="1:14" ht="24.6" x14ac:dyDescent="0.7">
      <c r="A9" s="13">
        <v>2558</v>
      </c>
      <c r="B9" s="14">
        <v>23.9</v>
      </c>
      <c r="C9" s="14">
        <v>16.399999999999999</v>
      </c>
      <c r="D9" s="14">
        <v>39.5</v>
      </c>
      <c r="E9" s="14">
        <v>76.400000000000006</v>
      </c>
      <c r="F9" s="14">
        <v>104.7</v>
      </c>
      <c r="G9" s="14">
        <v>144.6</v>
      </c>
      <c r="H9" s="14">
        <v>213.2</v>
      </c>
      <c r="I9" s="14">
        <v>237.4</v>
      </c>
      <c r="J9" s="14">
        <v>262</v>
      </c>
      <c r="K9" s="14">
        <v>158.6</v>
      </c>
      <c r="L9" s="14">
        <v>97.3</v>
      </c>
      <c r="M9" s="14">
        <v>45.6</v>
      </c>
      <c r="N9" s="42">
        <f t="shared" si="0"/>
        <v>1419.5999999999997</v>
      </c>
    </row>
    <row r="10" spans="1:14" ht="24.6" x14ac:dyDescent="0.7">
      <c r="A10" s="13">
        <v>2559</v>
      </c>
      <c r="B10" s="16">
        <v>51.1</v>
      </c>
      <c r="C10" s="16">
        <v>12</v>
      </c>
      <c r="D10" s="16">
        <v>10.4</v>
      </c>
      <c r="E10" s="16">
        <v>32</v>
      </c>
      <c r="F10" s="16">
        <v>171.6</v>
      </c>
      <c r="G10" s="16">
        <v>234.1</v>
      </c>
      <c r="H10" s="16">
        <v>233.2</v>
      </c>
      <c r="I10" s="16">
        <v>217.8</v>
      </c>
      <c r="J10" s="16">
        <v>268.3</v>
      </c>
      <c r="K10" s="16">
        <v>225</v>
      </c>
      <c r="L10" s="16">
        <v>90.2</v>
      </c>
      <c r="M10" s="16">
        <v>121.7</v>
      </c>
      <c r="N10" s="42">
        <f t="shared" si="0"/>
        <v>1667.4</v>
      </c>
    </row>
    <row r="11" spans="1:14" ht="24.6" x14ac:dyDescent="0.7">
      <c r="A11" s="13">
        <v>2560</v>
      </c>
      <c r="B11" s="16">
        <v>111</v>
      </c>
      <c r="C11" s="16">
        <v>11</v>
      </c>
      <c r="D11" s="16">
        <v>70</v>
      </c>
      <c r="E11" s="16">
        <v>85</v>
      </c>
      <c r="F11" s="16">
        <v>276</v>
      </c>
      <c r="G11" s="16">
        <v>191</v>
      </c>
      <c r="H11" s="16">
        <v>289</v>
      </c>
      <c r="I11" s="16">
        <v>246</v>
      </c>
      <c r="J11" s="16">
        <v>211</v>
      </c>
      <c r="K11" s="16">
        <v>186</v>
      </c>
      <c r="L11" s="16">
        <v>102</v>
      </c>
      <c r="M11" s="16">
        <v>52</v>
      </c>
      <c r="N11" s="42">
        <f t="shared" si="0"/>
        <v>1830</v>
      </c>
    </row>
    <row r="12" spans="1:14" ht="24.6" x14ac:dyDescent="0.45">
      <c r="A12" s="40" t="s">
        <v>2814</v>
      </c>
      <c r="B12" s="16">
        <v>21.3</v>
      </c>
      <c r="C12" s="16">
        <v>23.5</v>
      </c>
      <c r="D12" s="16">
        <v>26.7</v>
      </c>
      <c r="E12" s="16">
        <v>28.7</v>
      </c>
      <c r="F12" s="16">
        <v>27.9</v>
      </c>
      <c r="G12" s="16">
        <v>23.6</v>
      </c>
      <c r="H12" s="16">
        <v>24.5</v>
      </c>
      <c r="I12" s="16">
        <v>21.2</v>
      </c>
      <c r="J12" s="16">
        <v>24.8</v>
      </c>
      <c r="K12" s="16">
        <v>22.4</v>
      </c>
      <c r="L12" s="16">
        <v>21.3</v>
      </c>
      <c r="M12" s="16">
        <v>23.2</v>
      </c>
      <c r="N12" s="42">
        <f>AVERAGE(B12:M12)</f>
        <v>24.091666666666665</v>
      </c>
    </row>
    <row r="13" spans="1:14" x14ac:dyDescent="0.3">
      <c r="A13" s="43" t="s">
        <v>2894</v>
      </c>
      <c r="B13" s="42">
        <f t="shared" ref="B13:N13" si="1">AVERAGE(B2:B12)</f>
        <v>42.563636363636363</v>
      </c>
      <c r="C13" s="42">
        <f t="shared" si="1"/>
        <v>17.872727272727271</v>
      </c>
      <c r="D13" s="42">
        <f t="shared" si="1"/>
        <v>55.981818181818191</v>
      </c>
      <c r="E13" s="42">
        <f t="shared" si="1"/>
        <v>84.181818181818187</v>
      </c>
      <c r="F13" s="42">
        <f t="shared" si="1"/>
        <v>169.27272727272728</v>
      </c>
      <c r="G13" s="42">
        <f t="shared" si="1"/>
        <v>174.31818181818178</v>
      </c>
      <c r="H13" s="42">
        <f t="shared" si="1"/>
        <v>216.82727272727271</v>
      </c>
      <c r="I13" s="42">
        <f t="shared" si="1"/>
        <v>220.14545454545453</v>
      </c>
      <c r="J13" s="42">
        <f t="shared" si="1"/>
        <v>246.14545454545458</v>
      </c>
      <c r="K13" s="42">
        <f t="shared" si="1"/>
        <v>174.10909090909092</v>
      </c>
      <c r="L13" s="42">
        <f t="shared" si="1"/>
        <v>97.854545454545445</v>
      </c>
      <c r="M13" s="42">
        <f t="shared" si="1"/>
        <v>58.181818181818194</v>
      </c>
      <c r="N13" s="42">
        <f t="shared" si="1"/>
        <v>1533.3628787878786</v>
      </c>
    </row>
    <row r="16" spans="1:14" x14ac:dyDescent="0.3">
      <c r="A16" t="s">
        <v>2895</v>
      </c>
      <c r="B16" s="42">
        <f>AVERAGE(B2:M11)</f>
        <v>140.35750000000002</v>
      </c>
    </row>
    <row r="17" spans="1:2" x14ac:dyDescent="0.3">
      <c r="A17" t="s">
        <v>2896</v>
      </c>
      <c r="B17" s="42">
        <f>MIN(B1:M10)</f>
        <v>3.6</v>
      </c>
    </row>
    <row r="18" spans="1:2" x14ac:dyDescent="0.3">
      <c r="A18" t="s">
        <v>2897</v>
      </c>
      <c r="B18" s="42">
        <f>MAX($B$2:$M$11)</f>
        <v>319.7</v>
      </c>
    </row>
    <row r="19" spans="1:2" x14ac:dyDescent="0.3">
      <c r="A19" t="s">
        <v>2898</v>
      </c>
      <c r="B19" s="42">
        <f>COUNT($B$2:$M$11)</f>
        <v>120</v>
      </c>
    </row>
  </sheetData>
  <phoneticPr fontId="17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4D41-96E1-4A3D-A592-07ACC4E383DD}">
  <dimension ref="A1:G21"/>
  <sheetViews>
    <sheetView workbookViewId="0">
      <selection activeCell="G6" sqref="G6"/>
    </sheetView>
  </sheetViews>
  <sheetFormatPr defaultRowHeight="14.4" x14ac:dyDescent="0.3"/>
  <cols>
    <col min="1" max="1" width="10.109375" customWidth="1"/>
    <col min="2" max="2" width="19.33203125" customWidth="1"/>
    <col min="3" max="3" width="19.88671875" customWidth="1"/>
    <col min="4" max="4" width="17.6640625" customWidth="1"/>
    <col min="5" max="5" width="15.109375" customWidth="1"/>
    <col min="6" max="6" width="16.5546875" customWidth="1"/>
    <col min="7" max="7" width="16.88671875" customWidth="1"/>
  </cols>
  <sheetData>
    <row r="1" spans="1:7" ht="29.25" customHeight="1" x14ac:dyDescent="0.3">
      <c r="A1" s="17" t="s">
        <v>2815</v>
      </c>
      <c r="B1" s="18" t="s">
        <v>2837</v>
      </c>
      <c r="C1" s="18" t="s">
        <v>2816</v>
      </c>
      <c r="D1" s="18" t="s">
        <v>2889</v>
      </c>
      <c r="E1" s="18" t="s">
        <v>2891</v>
      </c>
      <c r="F1" s="18" t="s">
        <v>2892</v>
      </c>
      <c r="G1" s="18" t="s">
        <v>2890</v>
      </c>
    </row>
    <row r="2" spans="1:7" ht="21" x14ac:dyDescent="0.6">
      <c r="A2" s="19" t="s">
        <v>2817</v>
      </c>
      <c r="B2" s="20">
        <v>59</v>
      </c>
      <c r="C2" s="20">
        <v>16</v>
      </c>
      <c r="D2" s="20">
        <f>SUM(B2:C2)</f>
        <v>75</v>
      </c>
      <c r="E2" s="20" t="str">
        <f>IF(D2&gt;65,"ผ่าน","ไม่ผ่าน")</f>
        <v>ผ่าน</v>
      </c>
      <c r="F2" s="20" t="str">
        <f>IF(D2&lt;50,"ต่ำ",IF(D2&lt;70,"ปานกลาง","ดี"))</f>
        <v>ดี</v>
      </c>
      <c r="G2" s="20" t="str">
        <f>IF(D2&lt;49,"E",IF(D2&lt;=59,"D",IF(D2&lt;=69,"C",IF(D2&lt;=79,"B","A"))))</f>
        <v>B</v>
      </c>
    </row>
    <row r="3" spans="1:7" ht="21" x14ac:dyDescent="0.6">
      <c r="A3" s="19" t="s">
        <v>2818</v>
      </c>
      <c r="B3" s="20">
        <v>75</v>
      </c>
      <c r="C3" s="20">
        <v>20</v>
      </c>
      <c r="D3" s="20">
        <v>65</v>
      </c>
      <c r="E3" s="20" t="str">
        <f t="shared" ref="E3:E21" si="0">IF(D3&gt;65,"ผ่าน","ไม่ผ่าน")</f>
        <v>ไม่ผ่าน</v>
      </c>
      <c r="F3" s="20" t="str">
        <f t="shared" ref="F3:F21" si="1">IF(D3&lt;50,"ต่ำ",IF(D3&lt;70,"ปานกลาง","ดี"))</f>
        <v>ปานกลาง</v>
      </c>
      <c r="G3" s="20" t="str">
        <f t="shared" ref="G3:G21" si="2">IF(D3&lt;49,"E",IF(D3&lt;=59,"D",IF(D3&lt;=69,"C",IF(D3&lt;=79,"B","A"))))</f>
        <v>C</v>
      </c>
    </row>
    <row r="4" spans="1:7" ht="21" x14ac:dyDescent="0.6">
      <c r="A4" s="19" t="s">
        <v>2819</v>
      </c>
      <c r="B4" s="20">
        <v>65</v>
      </c>
      <c r="C4" s="20">
        <v>18</v>
      </c>
      <c r="D4" s="20">
        <f t="shared" ref="D4:D21" si="3">SUM(B4:C4)</f>
        <v>83</v>
      </c>
      <c r="E4" s="20" t="str">
        <f t="shared" si="0"/>
        <v>ผ่าน</v>
      </c>
      <c r="F4" s="20" t="str">
        <f t="shared" si="1"/>
        <v>ดี</v>
      </c>
      <c r="G4" s="20" t="str">
        <f t="shared" si="2"/>
        <v>A</v>
      </c>
    </row>
    <row r="5" spans="1:7" ht="21" x14ac:dyDescent="0.6">
      <c r="A5" s="19" t="s">
        <v>2820</v>
      </c>
      <c r="B5" s="20">
        <v>67</v>
      </c>
      <c r="C5" s="20">
        <v>18</v>
      </c>
      <c r="D5" s="20">
        <f t="shared" si="3"/>
        <v>85</v>
      </c>
      <c r="E5" s="20" t="str">
        <f t="shared" si="0"/>
        <v>ผ่าน</v>
      </c>
      <c r="F5" s="20" t="str">
        <f t="shared" si="1"/>
        <v>ดี</v>
      </c>
      <c r="G5" s="20" t="str">
        <f t="shared" si="2"/>
        <v>A</v>
      </c>
    </row>
    <row r="6" spans="1:7" ht="21" x14ac:dyDescent="0.6">
      <c r="A6" s="19" t="s">
        <v>2821</v>
      </c>
      <c r="B6" s="20">
        <v>60</v>
      </c>
      <c r="C6" s="20">
        <v>17</v>
      </c>
      <c r="D6" s="20">
        <f t="shared" si="3"/>
        <v>77</v>
      </c>
      <c r="E6" s="20" t="str">
        <f t="shared" si="0"/>
        <v>ผ่าน</v>
      </c>
      <c r="F6" s="20" t="str">
        <f t="shared" si="1"/>
        <v>ดี</v>
      </c>
      <c r="G6" s="20" t="str">
        <f t="shared" si="2"/>
        <v>B</v>
      </c>
    </row>
    <row r="7" spans="1:7" ht="21" x14ac:dyDescent="0.6">
      <c r="A7" s="19" t="s">
        <v>2822</v>
      </c>
      <c r="B7" s="20">
        <v>62</v>
      </c>
      <c r="C7" s="20">
        <v>17</v>
      </c>
      <c r="D7" s="20">
        <f t="shared" si="3"/>
        <v>79</v>
      </c>
      <c r="E7" s="20" t="str">
        <f t="shared" si="0"/>
        <v>ผ่าน</v>
      </c>
      <c r="F7" s="20" t="str">
        <f t="shared" si="1"/>
        <v>ดี</v>
      </c>
      <c r="G7" s="20" t="str">
        <f t="shared" si="2"/>
        <v>B</v>
      </c>
    </row>
    <row r="8" spans="1:7" ht="21" x14ac:dyDescent="0.6">
      <c r="A8" s="19" t="s">
        <v>2823</v>
      </c>
      <c r="B8" s="20">
        <v>51</v>
      </c>
      <c r="C8" s="20">
        <v>15</v>
      </c>
      <c r="D8" s="20">
        <f t="shared" si="3"/>
        <v>66</v>
      </c>
      <c r="E8" s="20" t="str">
        <f t="shared" si="0"/>
        <v>ผ่าน</v>
      </c>
      <c r="F8" s="20" t="str">
        <f t="shared" si="1"/>
        <v>ปานกลาง</v>
      </c>
      <c r="G8" s="20" t="str">
        <f t="shared" si="2"/>
        <v>C</v>
      </c>
    </row>
    <row r="9" spans="1:7" ht="21" x14ac:dyDescent="0.6">
      <c r="A9" s="19" t="s">
        <v>2824</v>
      </c>
      <c r="B9" s="22">
        <v>41</v>
      </c>
      <c r="C9" s="22">
        <v>14</v>
      </c>
      <c r="D9" s="20">
        <v>80</v>
      </c>
      <c r="E9" s="20" t="str">
        <f t="shared" si="0"/>
        <v>ผ่าน</v>
      </c>
      <c r="F9" s="20" t="str">
        <f t="shared" si="1"/>
        <v>ดี</v>
      </c>
      <c r="G9" s="20" t="str">
        <f t="shared" si="2"/>
        <v>A</v>
      </c>
    </row>
    <row r="10" spans="1:7" ht="21" x14ac:dyDescent="0.6">
      <c r="A10" s="19" t="s">
        <v>2825</v>
      </c>
      <c r="B10" s="22">
        <v>35</v>
      </c>
      <c r="C10" s="22">
        <v>13</v>
      </c>
      <c r="D10" s="20">
        <v>52</v>
      </c>
      <c r="E10" s="20" t="str">
        <f t="shared" si="0"/>
        <v>ไม่ผ่าน</v>
      </c>
      <c r="F10" s="20" t="str">
        <f t="shared" si="1"/>
        <v>ปานกลาง</v>
      </c>
      <c r="G10" s="20" t="str">
        <f t="shared" si="2"/>
        <v>D</v>
      </c>
    </row>
    <row r="11" spans="1:7" ht="21" x14ac:dyDescent="0.6">
      <c r="A11" s="19" t="s">
        <v>2826</v>
      </c>
      <c r="B11" s="22">
        <v>30</v>
      </c>
      <c r="C11" s="22">
        <v>11</v>
      </c>
      <c r="D11" s="20">
        <f t="shared" si="3"/>
        <v>41</v>
      </c>
      <c r="E11" s="20" t="str">
        <f t="shared" si="0"/>
        <v>ไม่ผ่าน</v>
      </c>
      <c r="F11" s="20" t="str">
        <f t="shared" si="1"/>
        <v>ต่ำ</v>
      </c>
      <c r="G11" s="20" t="str">
        <f t="shared" si="2"/>
        <v>E</v>
      </c>
    </row>
    <row r="12" spans="1:7" ht="21" x14ac:dyDescent="0.6">
      <c r="A12" s="19" t="s">
        <v>2827</v>
      </c>
      <c r="B12" s="22">
        <v>51</v>
      </c>
      <c r="C12" s="22">
        <v>16</v>
      </c>
      <c r="D12" s="20">
        <f t="shared" si="3"/>
        <v>67</v>
      </c>
      <c r="E12" s="20" t="str">
        <f t="shared" si="0"/>
        <v>ผ่าน</v>
      </c>
      <c r="F12" s="20" t="str">
        <f t="shared" si="1"/>
        <v>ปานกลาง</v>
      </c>
      <c r="G12" s="20" t="str">
        <f t="shared" si="2"/>
        <v>C</v>
      </c>
    </row>
    <row r="13" spans="1:7" ht="21" x14ac:dyDescent="0.6">
      <c r="A13" s="19" t="s">
        <v>2828</v>
      </c>
      <c r="B13" s="22">
        <v>58</v>
      </c>
      <c r="C13" s="22">
        <v>16</v>
      </c>
      <c r="D13" s="20">
        <v>70</v>
      </c>
      <c r="E13" s="20" t="str">
        <f t="shared" si="0"/>
        <v>ผ่าน</v>
      </c>
      <c r="F13" s="20" t="str">
        <f t="shared" si="1"/>
        <v>ดี</v>
      </c>
      <c r="G13" s="20" t="str">
        <f t="shared" si="2"/>
        <v>B</v>
      </c>
    </row>
    <row r="14" spans="1:7" ht="21" x14ac:dyDescent="0.6">
      <c r="A14" s="19" t="s">
        <v>2829</v>
      </c>
      <c r="B14" s="22">
        <v>62</v>
      </c>
      <c r="C14" s="22">
        <v>18</v>
      </c>
      <c r="D14" s="20">
        <f t="shared" si="3"/>
        <v>80</v>
      </c>
      <c r="E14" s="20" t="str">
        <f t="shared" si="0"/>
        <v>ผ่าน</v>
      </c>
      <c r="F14" s="20" t="str">
        <f t="shared" si="1"/>
        <v>ดี</v>
      </c>
      <c r="G14" s="20" t="str">
        <f t="shared" si="2"/>
        <v>A</v>
      </c>
    </row>
    <row r="15" spans="1:7" ht="21" x14ac:dyDescent="0.6">
      <c r="A15" s="19" t="s">
        <v>2830</v>
      </c>
      <c r="B15" s="22">
        <v>70</v>
      </c>
      <c r="C15" s="22">
        <v>19</v>
      </c>
      <c r="D15" s="20">
        <f t="shared" si="3"/>
        <v>89</v>
      </c>
      <c r="E15" s="20" t="str">
        <f t="shared" si="0"/>
        <v>ผ่าน</v>
      </c>
      <c r="F15" s="20" t="str">
        <f t="shared" si="1"/>
        <v>ดี</v>
      </c>
      <c r="G15" s="20" t="str">
        <f t="shared" si="2"/>
        <v>A</v>
      </c>
    </row>
    <row r="16" spans="1:7" ht="21" x14ac:dyDescent="0.6">
      <c r="A16" s="19" t="s">
        <v>2831</v>
      </c>
      <c r="B16" s="22">
        <v>60</v>
      </c>
      <c r="C16" s="22">
        <v>15</v>
      </c>
      <c r="D16" s="20">
        <f t="shared" si="3"/>
        <v>75</v>
      </c>
      <c r="E16" s="20" t="str">
        <f t="shared" si="0"/>
        <v>ผ่าน</v>
      </c>
      <c r="F16" s="20" t="str">
        <f t="shared" si="1"/>
        <v>ดี</v>
      </c>
      <c r="G16" s="20" t="str">
        <f t="shared" si="2"/>
        <v>B</v>
      </c>
    </row>
    <row r="17" spans="1:7" ht="21" x14ac:dyDescent="0.6">
      <c r="A17" s="19" t="s">
        <v>2832</v>
      </c>
      <c r="B17" s="22">
        <v>45</v>
      </c>
      <c r="C17" s="22">
        <v>11</v>
      </c>
      <c r="D17" s="20">
        <f t="shared" si="3"/>
        <v>56</v>
      </c>
      <c r="E17" s="20" t="str">
        <f t="shared" si="0"/>
        <v>ไม่ผ่าน</v>
      </c>
      <c r="F17" s="20" t="str">
        <f t="shared" si="1"/>
        <v>ปานกลาง</v>
      </c>
      <c r="G17" s="20" t="str">
        <f t="shared" si="2"/>
        <v>D</v>
      </c>
    </row>
    <row r="18" spans="1:7" ht="21" x14ac:dyDescent="0.6">
      <c r="A18" s="19" t="s">
        <v>2833</v>
      </c>
      <c r="B18" s="22">
        <v>68</v>
      </c>
      <c r="C18" s="22">
        <v>20</v>
      </c>
      <c r="D18" s="20">
        <f t="shared" si="3"/>
        <v>88</v>
      </c>
      <c r="E18" s="20" t="str">
        <f t="shared" si="0"/>
        <v>ผ่าน</v>
      </c>
      <c r="F18" s="20" t="str">
        <f t="shared" si="1"/>
        <v>ดี</v>
      </c>
      <c r="G18" s="20" t="str">
        <f t="shared" si="2"/>
        <v>A</v>
      </c>
    </row>
    <row r="19" spans="1:7" ht="21" x14ac:dyDescent="0.6">
      <c r="A19" s="19" t="s">
        <v>2834</v>
      </c>
      <c r="B19" s="22">
        <v>69</v>
      </c>
      <c r="C19" s="22">
        <v>17</v>
      </c>
      <c r="D19" s="20">
        <f t="shared" si="3"/>
        <v>86</v>
      </c>
      <c r="E19" s="20" t="str">
        <f t="shared" si="0"/>
        <v>ผ่าน</v>
      </c>
      <c r="F19" s="20" t="str">
        <f t="shared" si="1"/>
        <v>ดี</v>
      </c>
      <c r="G19" s="20" t="str">
        <f t="shared" si="2"/>
        <v>A</v>
      </c>
    </row>
    <row r="20" spans="1:7" ht="21" x14ac:dyDescent="0.6">
      <c r="A20" s="19" t="s">
        <v>2835</v>
      </c>
      <c r="B20" s="22">
        <v>71</v>
      </c>
      <c r="C20" s="22">
        <v>16</v>
      </c>
      <c r="D20" s="20">
        <f t="shared" si="3"/>
        <v>87</v>
      </c>
      <c r="E20" s="20" t="str">
        <f t="shared" si="0"/>
        <v>ผ่าน</v>
      </c>
      <c r="F20" s="20" t="str">
        <f t="shared" si="1"/>
        <v>ดี</v>
      </c>
      <c r="G20" s="20" t="str">
        <f t="shared" si="2"/>
        <v>A</v>
      </c>
    </row>
    <row r="21" spans="1:7" ht="21" x14ac:dyDescent="0.6">
      <c r="A21" s="19" t="s">
        <v>2836</v>
      </c>
      <c r="B21" s="22">
        <v>64</v>
      </c>
      <c r="C21" s="22">
        <v>15</v>
      </c>
      <c r="D21" s="20">
        <f t="shared" si="3"/>
        <v>79</v>
      </c>
      <c r="E21" s="20" t="str">
        <f t="shared" si="0"/>
        <v>ผ่าน</v>
      </c>
      <c r="F21" s="20" t="str">
        <f t="shared" si="1"/>
        <v>ดี</v>
      </c>
      <c r="G21" s="20" t="str">
        <f t="shared" si="2"/>
        <v>B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E052-C8F9-428C-B5C0-83543B0ED9D7}">
  <dimension ref="A1:M40"/>
  <sheetViews>
    <sheetView topLeftCell="A16" workbookViewId="0">
      <selection activeCell="P29" sqref="P29"/>
    </sheetView>
  </sheetViews>
  <sheetFormatPr defaultRowHeight="14.4" x14ac:dyDescent="0.3"/>
  <sheetData>
    <row r="1" spans="1:13" x14ac:dyDescent="0.3">
      <c r="A1" s="23" t="s">
        <v>2838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25" t="s">
        <v>2839</v>
      </c>
      <c r="B2" s="26">
        <f>'[1]t-TEST'!$B$2</f>
        <v>90.399999999999991</v>
      </c>
      <c r="C2" s="26" t="s">
        <v>2811</v>
      </c>
      <c r="D2" s="26" t="s">
        <v>2812</v>
      </c>
      <c r="E2" s="26" t="s">
        <v>2813</v>
      </c>
      <c r="F2" s="26" t="s">
        <v>2840</v>
      </c>
      <c r="G2" s="26" t="s">
        <v>2841</v>
      </c>
      <c r="H2" s="26" t="s">
        <v>2842</v>
      </c>
      <c r="I2" s="26" t="s">
        <v>2843</v>
      </c>
      <c r="J2" s="26" t="s">
        <v>2844</v>
      </c>
      <c r="K2" s="26" t="s">
        <v>2845</v>
      </c>
      <c r="L2" s="26" t="s">
        <v>2846</v>
      </c>
      <c r="M2" s="26" t="s">
        <v>2847</v>
      </c>
    </row>
    <row r="3" spans="1:13" x14ac:dyDescent="0.3">
      <c r="A3" s="21">
        <v>1</v>
      </c>
      <c r="B3" s="21">
        <f>[2]Data!$D2</f>
        <v>0</v>
      </c>
      <c r="C3" s="21">
        <f>[2]Data!$D33</f>
        <v>15.2</v>
      </c>
      <c r="D3" s="21">
        <f>[2]Data!$D61</f>
        <v>0</v>
      </c>
      <c r="E3" s="21">
        <f>[2]Data!$D32</f>
        <v>18</v>
      </c>
      <c r="F3" s="21">
        <f>[2]Data!$D122</f>
        <v>1.6</v>
      </c>
      <c r="G3" s="21">
        <f>[2]Data!$D153</f>
        <v>0.1</v>
      </c>
      <c r="H3" s="21">
        <f>[2]Data!$D183</f>
        <v>0</v>
      </c>
      <c r="I3" s="21">
        <f>[2]Data!$D214</f>
        <v>0</v>
      </c>
      <c r="J3" s="21">
        <f>[2]Data!$D245</f>
        <v>0</v>
      </c>
      <c r="K3" s="21">
        <f>[2]Data!$D275</f>
        <v>4.4000000000000004</v>
      </c>
      <c r="L3" s="21">
        <f>[2]Data!$D306</f>
        <v>38.799999999999997</v>
      </c>
      <c r="M3" s="21">
        <f>[2]Data!$D336</f>
        <v>0.5</v>
      </c>
    </row>
    <row r="4" spans="1:13" x14ac:dyDescent="0.3">
      <c r="A4" s="21">
        <v>2</v>
      </c>
      <c r="B4" s="21">
        <f>[2]Data!$D3</f>
        <v>0</v>
      </c>
      <c r="C4" s="21">
        <f>[2]Data!$D34</f>
        <v>17.5</v>
      </c>
      <c r="D4" s="21">
        <f>[2]Data!$D62</f>
        <v>0</v>
      </c>
      <c r="E4" s="21">
        <f>[2]Data!$D33</f>
        <v>15.2</v>
      </c>
      <c r="F4" s="21">
        <f>[2]Data!$D123</f>
        <v>11.1</v>
      </c>
      <c r="G4" s="21">
        <f>[2]Data!$D154</f>
        <v>6.5</v>
      </c>
      <c r="H4" s="21">
        <f>[2]Data!$D184</f>
        <v>4.7</v>
      </c>
      <c r="I4" s="21">
        <f>[2]Data!$D215</f>
        <v>0</v>
      </c>
      <c r="J4" s="21">
        <f>[2]Data!$D246</f>
        <v>0</v>
      </c>
      <c r="K4" s="21">
        <f>[2]Data!$D276</f>
        <v>2.9</v>
      </c>
      <c r="L4" s="21">
        <f>[2]Data!$D307</f>
        <v>161.80000000000001</v>
      </c>
      <c r="M4" s="21">
        <f>[2]Data!$D337</f>
        <v>0.7</v>
      </c>
    </row>
    <row r="5" spans="1:13" x14ac:dyDescent="0.3">
      <c r="A5" s="21">
        <v>3</v>
      </c>
      <c r="B5" s="21">
        <f>[2]Data!$D4</f>
        <v>0</v>
      </c>
      <c r="C5" s="21">
        <f>[2]Data!$D35</f>
        <v>15.3</v>
      </c>
      <c r="D5" s="21">
        <f>[2]Data!$D63</f>
        <v>0</v>
      </c>
      <c r="E5" s="21">
        <f>[2]Data!$D34</f>
        <v>17.5</v>
      </c>
      <c r="F5" s="21">
        <f>[2]Data!$D124</f>
        <v>23.9</v>
      </c>
      <c r="G5" s="21">
        <f>[2]Data!$D155</f>
        <v>7.7</v>
      </c>
      <c r="H5" s="21">
        <f>[2]Data!$D185</f>
        <v>0.1</v>
      </c>
      <c r="I5" s="21">
        <f>[2]Data!$D216</f>
        <v>0</v>
      </c>
      <c r="J5" s="21">
        <f>[2]Data!$D247</f>
        <v>1.2</v>
      </c>
      <c r="K5" s="21">
        <f>[2]Data!$D277</f>
        <v>0.2</v>
      </c>
      <c r="L5" s="21">
        <f>[2]Data!$D308</f>
        <v>11.1</v>
      </c>
      <c r="M5" s="21">
        <f>[2]Data!$D338</f>
        <v>18.7</v>
      </c>
    </row>
    <row r="6" spans="1:13" x14ac:dyDescent="0.3">
      <c r="A6" s="21">
        <v>4</v>
      </c>
      <c r="B6" s="21">
        <f>[2]Data!$D5</f>
        <v>0</v>
      </c>
      <c r="C6" s="21">
        <f>[2]Data!$D36</f>
        <v>0</v>
      </c>
      <c r="D6" s="21">
        <f>[2]Data!$D64</f>
        <v>0</v>
      </c>
      <c r="E6" s="21">
        <f>[2]Data!$D35</f>
        <v>15.3</v>
      </c>
      <c r="F6" s="21">
        <f>[2]Data!$D125</f>
        <v>19.899999999999999</v>
      </c>
      <c r="G6" s="21">
        <f>[2]Data!$D156</f>
        <v>0</v>
      </c>
      <c r="H6" s="21">
        <f>[2]Data!$D186</f>
        <v>0</v>
      </c>
      <c r="I6" s="21">
        <f>[2]Data!$D217</f>
        <v>1</v>
      </c>
      <c r="J6" s="21">
        <f>[2]Data!$D248</f>
        <v>21</v>
      </c>
      <c r="K6" s="21">
        <f>[2]Data!$D278</f>
        <v>0</v>
      </c>
      <c r="L6" s="21">
        <f>[2]Data!$D309</f>
        <v>0.4</v>
      </c>
      <c r="M6" s="21">
        <f>[2]Data!$D339</f>
        <v>0</v>
      </c>
    </row>
    <row r="7" spans="1:13" x14ac:dyDescent="0.3">
      <c r="A7" s="21">
        <v>5</v>
      </c>
      <c r="B7" s="21">
        <f>[2]Data!$D6</f>
        <v>0</v>
      </c>
      <c r="C7" s="21">
        <f>[2]Data!$D37</f>
        <v>0</v>
      </c>
      <c r="D7" s="21">
        <f>[2]Data!$D65</f>
        <v>0</v>
      </c>
      <c r="E7" s="21">
        <f>[2]Data!$D36</f>
        <v>0</v>
      </c>
      <c r="F7" s="21">
        <f>[2]Data!$D126</f>
        <v>24.8</v>
      </c>
      <c r="G7" s="21">
        <f>[2]Data!$D157</f>
        <v>2.6</v>
      </c>
      <c r="H7" s="21">
        <f>[2]Data!$D187</f>
        <v>0</v>
      </c>
      <c r="I7" s="21">
        <f>[2]Data!$D218</f>
        <v>11.8</v>
      </c>
      <c r="J7" s="21">
        <f>[2]Data!$D249</f>
        <v>0.3</v>
      </c>
      <c r="K7" s="21">
        <f>[2]Data!$D279</f>
        <v>5</v>
      </c>
      <c r="L7" s="21">
        <f>[2]Data!$D310</f>
        <v>3.6</v>
      </c>
      <c r="M7" s="21">
        <f>[2]Data!$D340</f>
        <v>61.5</v>
      </c>
    </row>
    <row r="8" spans="1:13" x14ac:dyDescent="0.3">
      <c r="A8" s="21">
        <v>6</v>
      </c>
      <c r="B8" s="21">
        <f>[2]Data!$D7</f>
        <v>0</v>
      </c>
      <c r="C8" s="21">
        <f>[2]Data!$D38</f>
        <v>0</v>
      </c>
      <c r="D8" s="21">
        <f>[2]Data!$D66</f>
        <v>0</v>
      </c>
      <c r="E8" s="21">
        <f>[2]Data!$D37</f>
        <v>0</v>
      </c>
      <c r="F8" s="21">
        <f>[2]Data!$D127</f>
        <v>6.9</v>
      </c>
      <c r="G8" s="21">
        <f>[2]Data!$D158</f>
        <v>10.4</v>
      </c>
      <c r="H8" s="21">
        <f>[2]Data!$D188</f>
        <v>4</v>
      </c>
      <c r="I8" s="21">
        <f>[2]Data!$D219</f>
        <v>0.4</v>
      </c>
      <c r="J8" s="21">
        <f>[2]Data!$D250</f>
        <v>10.9</v>
      </c>
      <c r="K8" s="21">
        <f>[2]Data!$D280</f>
        <v>0</v>
      </c>
      <c r="L8" s="21">
        <f>[2]Data!$D311</f>
        <v>68.7</v>
      </c>
      <c r="M8" s="21">
        <f>[2]Data!$D341</f>
        <v>0</v>
      </c>
    </row>
    <row r="9" spans="1:13" x14ac:dyDescent="0.3">
      <c r="A9" s="21">
        <v>7</v>
      </c>
      <c r="B9" s="21">
        <f>[2]Data!$D8</f>
        <v>0</v>
      </c>
      <c r="C9" s="21">
        <f>[2]Data!$D39</f>
        <v>0</v>
      </c>
      <c r="D9" s="21">
        <f>[2]Data!$D67</f>
        <v>0</v>
      </c>
      <c r="E9" s="21">
        <f>[2]Data!$D38</f>
        <v>0</v>
      </c>
      <c r="F9" s="21">
        <f>[2]Data!$D128</f>
        <v>0</v>
      </c>
      <c r="G9" s="21">
        <f>[2]Data!$D159</f>
        <v>39.9</v>
      </c>
      <c r="H9" s="21">
        <f>[2]Data!$D189</f>
        <v>1.3</v>
      </c>
      <c r="I9" s="21">
        <f>[2]Data!$D220</f>
        <v>1.6</v>
      </c>
      <c r="J9" s="21">
        <f>[2]Data!$D251</f>
        <v>0.1</v>
      </c>
      <c r="K9" s="21">
        <f>[2]Data!$D281</f>
        <v>0</v>
      </c>
      <c r="L9" s="21">
        <f>[2]Data!$D312</f>
        <v>3.5</v>
      </c>
      <c r="M9" s="21">
        <f>[2]Data!$D342</f>
        <v>0</v>
      </c>
    </row>
    <row r="10" spans="1:13" x14ac:dyDescent="0.3">
      <c r="A10" s="21">
        <v>8</v>
      </c>
      <c r="B10" s="21">
        <f>[2]Data!$D9</f>
        <v>0</v>
      </c>
      <c r="C10" s="21">
        <f>[2]Data!$D40</f>
        <v>0</v>
      </c>
      <c r="D10" s="21">
        <f>[2]Data!$D68</f>
        <v>0</v>
      </c>
      <c r="E10" s="21">
        <f>[2]Data!$D39</f>
        <v>0</v>
      </c>
      <c r="F10" s="21">
        <f>[2]Data!$D129</f>
        <v>6.7</v>
      </c>
      <c r="G10" s="21">
        <f>[2]Data!$D160</f>
        <v>18.8</v>
      </c>
      <c r="H10" s="21">
        <f>[2]Data!$D190</f>
        <v>0.2</v>
      </c>
      <c r="I10" s="21">
        <f>[2]Data!$D221</f>
        <v>0</v>
      </c>
      <c r="J10" s="21">
        <f>[2]Data!$D252</f>
        <v>77.8</v>
      </c>
      <c r="K10" s="21">
        <f>[2]Data!$D282</f>
        <v>0</v>
      </c>
      <c r="L10" s="21">
        <f>[2]Data!$D313</f>
        <v>0.1</v>
      </c>
      <c r="M10" s="21">
        <f>[2]Data!$D343</f>
        <v>0</v>
      </c>
    </row>
    <row r="11" spans="1:13" x14ac:dyDescent="0.3">
      <c r="A11" s="21">
        <v>9</v>
      </c>
      <c r="B11" s="21">
        <f>[2]Data!$D10</f>
        <v>0</v>
      </c>
      <c r="C11" s="21">
        <f>[2]Data!$D41</f>
        <v>0</v>
      </c>
      <c r="D11" s="21">
        <f>[2]Data!$D69</f>
        <v>0</v>
      </c>
      <c r="E11" s="21">
        <f>[2]Data!$D40</f>
        <v>0</v>
      </c>
      <c r="F11" s="21">
        <f>[2]Data!$D130</f>
        <v>0</v>
      </c>
      <c r="G11" s="21">
        <f>[2]Data!$D161</f>
        <v>29.7</v>
      </c>
      <c r="H11" s="21">
        <f>[2]Data!$D191</f>
        <v>45.4</v>
      </c>
      <c r="I11" s="21">
        <f>[2]Data!$D222</f>
        <v>0.8</v>
      </c>
      <c r="J11" s="21">
        <f>[2]Data!$D253</f>
        <v>0.2</v>
      </c>
      <c r="K11" s="21">
        <f>[2]Data!$D283</f>
        <v>0</v>
      </c>
      <c r="L11" s="21">
        <f>[2]Data!$D314</f>
        <v>0</v>
      </c>
      <c r="M11" s="21">
        <f>[2]Data!$D344</f>
        <v>0</v>
      </c>
    </row>
    <row r="12" spans="1:13" x14ac:dyDescent="0.3">
      <c r="A12" s="21">
        <v>10</v>
      </c>
      <c r="B12" s="21">
        <f>[2]Data!$D11</f>
        <v>0</v>
      </c>
      <c r="C12" s="21">
        <f>[2]Data!$D42</f>
        <v>0</v>
      </c>
      <c r="D12" s="21">
        <f>[2]Data!$D70</f>
        <v>0</v>
      </c>
      <c r="E12" s="21">
        <f>[2]Data!$D41</f>
        <v>0</v>
      </c>
      <c r="F12" s="21">
        <f>[2]Data!$D131</f>
        <v>2.6</v>
      </c>
      <c r="G12" s="21">
        <f>[2]Data!$D162</f>
        <v>36.299999999999997</v>
      </c>
      <c r="H12" s="21">
        <f>[2]Data!$D192</f>
        <v>61.2</v>
      </c>
      <c r="I12" s="21">
        <f>[2]Data!$D223</f>
        <v>0</v>
      </c>
      <c r="J12" s="21">
        <f>[2]Data!$D254</f>
        <v>9.1999999999999993</v>
      </c>
      <c r="K12" s="21">
        <f>[2]Data!$D284</f>
        <v>0</v>
      </c>
      <c r="L12" s="21">
        <f>[2]Data!$D315</f>
        <v>0</v>
      </c>
      <c r="M12" s="21">
        <f>[2]Data!$D345</f>
        <v>0</v>
      </c>
    </row>
    <row r="13" spans="1:13" x14ac:dyDescent="0.3">
      <c r="A13" s="21">
        <v>11</v>
      </c>
      <c r="B13" s="21">
        <f>[2]Data!$D12</f>
        <v>0</v>
      </c>
      <c r="C13" s="21">
        <f>[2]Data!$D43</f>
        <v>0.3</v>
      </c>
      <c r="D13" s="21">
        <f>[2]Data!$D71</f>
        <v>0</v>
      </c>
      <c r="E13" s="21">
        <f>[2]Data!$D42</f>
        <v>0</v>
      </c>
      <c r="F13" s="21">
        <f>[2]Data!$D132</f>
        <v>3.8</v>
      </c>
      <c r="G13" s="21">
        <f>[2]Data!$D163</f>
        <v>12.6</v>
      </c>
      <c r="H13" s="21">
        <f>[2]Data!$D193</f>
        <v>37.4</v>
      </c>
      <c r="I13" s="21">
        <f>[2]Data!$D224</f>
        <v>0</v>
      </c>
      <c r="J13" s="21">
        <f>[2]Data!$D255</f>
        <v>10.4</v>
      </c>
      <c r="K13" s="21">
        <f>[2]Data!$D285</f>
        <v>6.4</v>
      </c>
      <c r="L13" s="21">
        <f>[2]Data!$D316</f>
        <v>0</v>
      </c>
      <c r="M13" s="21">
        <f>[2]Data!$D346</f>
        <v>22.9</v>
      </c>
    </row>
    <row r="14" spans="1:13" x14ac:dyDescent="0.3">
      <c r="A14" s="21">
        <v>12</v>
      </c>
      <c r="B14" s="21">
        <f>[2]Data!$D13</f>
        <v>0</v>
      </c>
      <c r="C14" s="21">
        <f>[2]Data!$D44</f>
        <v>1.1000000000000001</v>
      </c>
      <c r="D14" s="21">
        <f>[2]Data!$D72</f>
        <v>0</v>
      </c>
      <c r="E14" s="21">
        <f>[2]Data!$D43</f>
        <v>0.3</v>
      </c>
      <c r="F14" s="21">
        <f>[2]Data!$D133</f>
        <v>0</v>
      </c>
      <c r="G14" s="21">
        <f>[2]Data!$D164</f>
        <v>10.6</v>
      </c>
      <c r="H14" s="21">
        <f>[2]Data!$D194</f>
        <v>33.700000000000003</v>
      </c>
      <c r="I14" s="21">
        <f>[2]Data!$D225</f>
        <v>0</v>
      </c>
      <c r="J14" s="21">
        <f>[2]Data!$D256</f>
        <v>13.4</v>
      </c>
      <c r="K14" s="21">
        <f>[2]Data!$D286</f>
        <v>0</v>
      </c>
      <c r="L14" s="21">
        <f>[2]Data!$D317</f>
        <v>0</v>
      </c>
      <c r="M14" s="21">
        <f>[2]Data!$D347</f>
        <v>2.7</v>
      </c>
    </row>
    <row r="15" spans="1:13" x14ac:dyDescent="0.3">
      <c r="A15" s="21">
        <v>13</v>
      </c>
      <c r="B15" s="21">
        <f>[2]Data!$D14</f>
        <v>0</v>
      </c>
      <c r="C15" s="21">
        <f>[2]Data!$D45</f>
        <v>0</v>
      </c>
      <c r="D15" s="21">
        <f>[2]Data!$D73</f>
        <v>0</v>
      </c>
      <c r="E15" s="21">
        <f>[2]Data!$D44</f>
        <v>1.1000000000000001</v>
      </c>
      <c r="F15" s="21">
        <f>[2]Data!$D134</f>
        <v>0</v>
      </c>
      <c r="G15" s="21">
        <f>[2]Data!$D165</f>
        <v>34.799999999999997</v>
      </c>
      <c r="H15" s="21">
        <f>[2]Data!$D195</f>
        <v>37.6</v>
      </c>
      <c r="I15" s="21">
        <f>[2]Data!$D226</f>
        <v>0</v>
      </c>
      <c r="J15" s="21">
        <f>[2]Data!$D257</f>
        <v>3.9</v>
      </c>
      <c r="K15" s="21">
        <f>[2]Data!$D287</f>
        <v>0</v>
      </c>
      <c r="L15" s="21">
        <f>[2]Data!$D318</f>
        <v>2</v>
      </c>
      <c r="M15" s="21">
        <f>[2]Data!$D348</f>
        <v>0.2</v>
      </c>
    </row>
    <row r="16" spans="1:13" x14ac:dyDescent="0.3">
      <c r="A16" s="21">
        <v>14</v>
      </c>
      <c r="B16" s="21">
        <f>[2]Data!$D15</f>
        <v>0</v>
      </c>
      <c r="C16" s="21">
        <f>[2]Data!$D46</f>
        <v>0</v>
      </c>
      <c r="D16" s="21">
        <f>[2]Data!$D74</f>
        <v>0</v>
      </c>
      <c r="E16" s="21">
        <f>[2]Data!$D45</f>
        <v>0</v>
      </c>
      <c r="F16" s="21">
        <f>[2]Data!$D135</f>
        <v>25</v>
      </c>
      <c r="G16" s="21">
        <f>[2]Data!$D166</f>
        <v>45</v>
      </c>
      <c r="H16" s="21">
        <f>[2]Data!$D196</f>
        <v>43.1</v>
      </c>
      <c r="I16" s="21">
        <f>[2]Data!$D227</f>
        <v>0</v>
      </c>
      <c r="J16" s="21">
        <f>[2]Data!$D258</f>
        <v>0.4</v>
      </c>
      <c r="K16" s="21">
        <f>[2]Data!$D288</f>
        <v>0</v>
      </c>
      <c r="L16" s="21">
        <f>[2]Data!$D319</f>
        <v>23.2</v>
      </c>
      <c r="M16" s="21">
        <f>[2]Data!$D349</f>
        <v>0</v>
      </c>
    </row>
    <row r="17" spans="1:13" x14ac:dyDescent="0.3">
      <c r="A17" s="21">
        <v>15</v>
      </c>
      <c r="B17" s="21">
        <f>[2]Data!$D16</f>
        <v>0</v>
      </c>
      <c r="C17" s="21">
        <f>[2]Data!$D47</f>
        <v>0</v>
      </c>
      <c r="D17" s="21">
        <f>[2]Data!$D75</f>
        <v>0</v>
      </c>
      <c r="E17" s="21">
        <f>[2]Data!$D46</f>
        <v>0</v>
      </c>
      <c r="F17" s="21">
        <f>[2]Data!$D136</f>
        <v>0</v>
      </c>
      <c r="G17" s="21">
        <f>[2]Data!$D167</f>
        <v>43.9</v>
      </c>
      <c r="H17" s="21">
        <f>[2]Data!$D197</f>
        <v>7.1</v>
      </c>
      <c r="I17" s="21">
        <f>[2]Data!$D228</f>
        <v>0</v>
      </c>
      <c r="J17" s="21">
        <f>[2]Data!$D259</f>
        <v>1.1000000000000001</v>
      </c>
      <c r="K17" s="21">
        <f>[2]Data!$D289</f>
        <v>100.8</v>
      </c>
      <c r="L17" s="21">
        <f>[2]Data!$D320</f>
        <v>0.9</v>
      </c>
      <c r="M17" s="21">
        <f>[2]Data!$D350</f>
        <v>0</v>
      </c>
    </row>
    <row r="18" spans="1:13" x14ac:dyDescent="0.3">
      <c r="A18" s="21">
        <v>16</v>
      </c>
      <c r="B18" s="21">
        <f>[2]Data!$D17</f>
        <v>0</v>
      </c>
      <c r="C18" s="21">
        <f>[2]Data!$D48</f>
        <v>0</v>
      </c>
      <c r="D18" s="21">
        <f>[2]Data!$D76</f>
        <v>0</v>
      </c>
      <c r="E18" s="21">
        <f>[2]Data!$D47</f>
        <v>0</v>
      </c>
      <c r="F18" s="21">
        <f>[2]Data!$D137</f>
        <v>0</v>
      </c>
      <c r="G18" s="21">
        <f>[2]Data!$D168</f>
        <v>57.8</v>
      </c>
      <c r="H18" s="21">
        <f>[2]Data!$D198</f>
        <v>39.4</v>
      </c>
      <c r="I18" s="21">
        <f>[2]Data!$D229</f>
        <v>0</v>
      </c>
      <c r="J18" s="21">
        <f>[2]Data!$D260</f>
        <v>1.4</v>
      </c>
      <c r="K18" s="21">
        <f>[2]Data!$D290</f>
        <v>134.1</v>
      </c>
      <c r="L18" s="21">
        <f>[2]Data!$D321</f>
        <v>17.100000000000001</v>
      </c>
      <c r="M18" s="21">
        <f>[2]Data!$D351</f>
        <v>0</v>
      </c>
    </row>
    <row r="19" spans="1:13" x14ac:dyDescent="0.3">
      <c r="A19" s="21">
        <v>17</v>
      </c>
      <c r="B19" s="21">
        <f>[2]Data!$D18</f>
        <v>0</v>
      </c>
      <c r="C19" s="21">
        <f>[2]Data!$D49</f>
        <v>0</v>
      </c>
      <c r="D19" s="21">
        <f>[2]Data!$D77</f>
        <v>0</v>
      </c>
      <c r="E19" s="21">
        <f>[2]Data!$D48</f>
        <v>0</v>
      </c>
      <c r="F19" s="21">
        <f>[2]Data!$D138</f>
        <v>79.8</v>
      </c>
      <c r="G19" s="21">
        <f>[2]Data!$D169</f>
        <v>7.3</v>
      </c>
      <c r="H19" s="21">
        <f>[2]Data!$D199</f>
        <v>17</v>
      </c>
      <c r="I19" s="21">
        <f>[2]Data!$D230</f>
        <v>0</v>
      </c>
      <c r="J19" s="21">
        <f>[2]Data!$D261</f>
        <v>29.1</v>
      </c>
      <c r="K19" s="21">
        <f>[2]Data!$D291</f>
        <v>5.2</v>
      </c>
      <c r="L19" s="21">
        <f>[2]Data!$D322</f>
        <v>0.6</v>
      </c>
      <c r="M19" s="21">
        <f>[2]Data!$D352</f>
        <v>0</v>
      </c>
    </row>
    <row r="20" spans="1:13" x14ac:dyDescent="0.3">
      <c r="A20" s="21">
        <v>18</v>
      </c>
      <c r="B20" s="21">
        <f>[2]Data!$D19</f>
        <v>0</v>
      </c>
      <c r="C20" s="21">
        <f>[2]Data!$D50</f>
        <v>0</v>
      </c>
      <c r="D20" s="21">
        <f>[2]Data!$D78</f>
        <v>0</v>
      </c>
      <c r="E20" s="21">
        <f>[2]Data!$D49</f>
        <v>0</v>
      </c>
      <c r="F20" s="21">
        <f>[2]Data!$D139</f>
        <v>39.5</v>
      </c>
      <c r="G20" s="21">
        <f>[2]Data!$D170</f>
        <v>62.1</v>
      </c>
      <c r="H20" s="21">
        <f>[2]Data!$D200</f>
        <v>3.5</v>
      </c>
      <c r="I20" s="21">
        <f>[2]Data!$D231</f>
        <v>0</v>
      </c>
      <c r="J20" s="21">
        <f>[2]Data!$D262</f>
        <v>10.9</v>
      </c>
      <c r="K20" s="21">
        <f>[2]Data!$D292</f>
        <v>0</v>
      </c>
      <c r="L20" s="21">
        <f>[2]Data!$D323</f>
        <v>0.1</v>
      </c>
      <c r="M20" s="21">
        <f>[2]Data!$D353</f>
        <v>0</v>
      </c>
    </row>
    <row r="21" spans="1:13" x14ac:dyDescent="0.3">
      <c r="A21" s="21">
        <v>19</v>
      </c>
      <c r="B21" s="21">
        <f>[2]Data!$D20</f>
        <v>0</v>
      </c>
      <c r="C21" s="21">
        <f>[2]Data!$D51</f>
        <v>0</v>
      </c>
      <c r="D21" s="21">
        <f>[2]Data!$D79</f>
        <v>0</v>
      </c>
      <c r="E21" s="21">
        <f>[2]Data!$D50</f>
        <v>0</v>
      </c>
      <c r="F21" s="21">
        <f>[2]Data!$D140</f>
        <v>45.3</v>
      </c>
      <c r="G21" s="21">
        <f>[2]Data!$D171</f>
        <v>11.5</v>
      </c>
      <c r="H21" s="21">
        <f>[2]Data!$D201</f>
        <v>15.1</v>
      </c>
      <c r="I21" s="21">
        <f>[2]Data!$D232</f>
        <v>2.7</v>
      </c>
      <c r="J21" s="21">
        <f>[2]Data!$D263</f>
        <v>38.1</v>
      </c>
      <c r="K21" s="21">
        <f>[2]Data!$D293</f>
        <v>14.7</v>
      </c>
      <c r="L21" s="21">
        <f>[2]Data!$D324</f>
        <v>7.4</v>
      </c>
      <c r="M21" s="21">
        <f>[2]Data!$D354</f>
        <v>0</v>
      </c>
    </row>
    <row r="22" spans="1:13" x14ac:dyDescent="0.3">
      <c r="A22" s="21">
        <v>20</v>
      </c>
      <c r="B22" s="21">
        <f>[2]Data!$D21</f>
        <v>0</v>
      </c>
      <c r="C22" s="21">
        <f>[2]Data!$D52</f>
        <v>11.8</v>
      </c>
      <c r="D22" s="21">
        <f>[2]Data!$D80</f>
        <v>0</v>
      </c>
      <c r="E22" s="21">
        <f>[2]Data!$D51</f>
        <v>0</v>
      </c>
      <c r="F22" s="21">
        <f>[2]Data!$D141</f>
        <v>42.4</v>
      </c>
      <c r="G22" s="21">
        <f>[2]Data!$D172</f>
        <v>9.3000000000000007</v>
      </c>
      <c r="H22" s="21">
        <f>[2]Data!$D202</f>
        <v>13.7</v>
      </c>
      <c r="I22" s="21">
        <f>[2]Data!$D233</f>
        <v>12.4</v>
      </c>
      <c r="J22" s="21">
        <f>[2]Data!$D264</f>
        <v>18.399999999999999</v>
      </c>
      <c r="K22" s="21">
        <f>[2]Data!$D294</f>
        <v>0.2</v>
      </c>
      <c r="L22" s="21">
        <f>[2]Data!$D325</f>
        <v>2.6</v>
      </c>
      <c r="M22" s="21">
        <f>[2]Data!$D355</f>
        <v>0</v>
      </c>
    </row>
    <row r="23" spans="1:13" x14ac:dyDescent="0.3">
      <c r="A23" s="21">
        <v>21</v>
      </c>
      <c r="B23" s="21">
        <f>[2]Data!$D22</f>
        <v>0</v>
      </c>
      <c r="C23" s="21">
        <f>[2]Data!$D53</f>
        <v>0</v>
      </c>
      <c r="D23" s="21">
        <f>[2]Data!$D81</f>
        <v>0</v>
      </c>
      <c r="E23" s="21">
        <f>[2]Data!$D52</f>
        <v>11.8</v>
      </c>
      <c r="F23" s="21">
        <f>[2]Data!$D142</f>
        <v>24.1</v>
      </c>
      <c r="G23" s="21">
        <f>[2]Data!$D173</f>
        <v>0</v>
      </c>
      <c r="H23" s="21">
        <f>[2]Data!$D203</f>
        <v>3.3</v>
      </c>
      <c r="I23" s="21">
        <f>[2]Data!$D234</f>
        <v>1</v>
      </c>
      <c r="J23" s="21">
        <f>[2]Data!$D265</f>
        <v>13.5</v>
      </c>
      <c r="K23" s="21">
        <f>[2]Data!$D295</f>
        <v>0</v>
      </c>
      <c r="L23" s="21">
        <f>[2]Data!$D326</f>
        <v>0.1</v>
      </c>
      <c r="M23" s="21">
        <f>[2]Data!$D356</f>
        <v>0</v>
      </c>
    </row>
    <row r="24" spans="1:13" x14ac:dyDescent="0.3">
      <c r="A24" s="21">
        <v>22</v>
      </c>
      <c r="B24" s="21">
        <f>[2]Data!$D23</f>
        <v>0</v>
      </c>
      <c r="C24" s="21">
        <f>[2]Data!$D54</f>
        <v>0</v>
      </c>
      <c r="D24" s="21">
        <f>[2]Data!$D82</f>
        <v>9.4</v>
      </c>
      <c r="E24" s="21">
        <f>[2]Data!$D53</f>
        <v>0</v>
      </c>
      <c r="F24" s="21">
        <f>[2]Data!$D143</f>
        <v>6.3</v>
      </c>
      <c r="G24" s="21">
        <f>[2]Data!$D174</f>
        <v>0</v>
      </c>
      <c r="H24" s="21">
        <f>[2]Data!$D204</f>
        <v>0</v>
      </c>
      <c r="I24" s="21">
        <f>[2]Data!$D235</f>
        <v>0</v>
      </c>
      <c r="J24" s="21">
        <f>[2]Data!$D266</f>
        <v>0</v>
      </c>
      <c r="K24" s="21">
        <f>[2]Data!$D296</f>
        <v>0</v>
      </c>
      <c r="L24" s="21">
        <f>[2]Data!$D327</f>
        <v>0</v>
      </c>
      <c r="M24" s="21">
        <f>[2]Data!$D357</f>
        <v>0</v>
      </c>
    </row>
    <row r="25" spans="1:13" x14ac:dyDescent="0.3">
      <c r="A25" s="21">
        <v>23</v>
      </c>
      <c r="B25" s="21">
        <f>[2]Data!$D24</f>
        <v>0</v>
      </c>
      <c r="C25" s="21">
        <f>[2]Data!$D55</f>
        <v>0</v>
      </c>
      <c r="D25" s="21">
        <f>[2]Data!$D83</f>
        <v>0</v>
      </c>
      <c r="E25" s="21">
        <f>[2]Data!$D54</f>
        <v>0</v>
      </c>
      <c r="F25" s="21">
        <f>[2]Data!$D144</f>
        <v>4.8</v>
      </c>
      <c r="G25" s="21">
        <f>[2]Data!$D175</f>
        <v>0</v>
      </c>
      <c r="H25" s="21">
        <f>[2]Data!$D205</f>
        <v>10.7</v>
      </c>
      <c r="I25" s="21">
        <f>[2]Data!$D236</f>
        <v>33.200000000000003</v>
      </c>
      <c r="J25" s="21">
        <f>[2]Data!$D267</f>
        <v>1.2</v>
      </c>
      <c r="K25" s="21">
        <f>[2]Data!$D297</f>
        <v>1.2</v>
      </c>
      <c r="L25" s="21">
        <f>[2]Data!$D328</f>
        <v>0</v>
      </c>
      <c r="M25" s="21">
        <f>[2]Data!$D358</f>
        <v>0</v>
      </c>
    </row>
    <row r="26" spans="1:13" x14ac:dyDescent="0.3">
      <c r="A26" s="21">
        <v>24</v>
      </c>
      <c r="B26" s="21">
        <f>[2]Data!$D25</f>
        <v>0</v>
      </c>
      <c r="C26" s="21">
        <f>[2]Data!$D56</f>
        <v>0</v>
      </c>
      <c r="D26" s="21">
        <f>[2]Data!$D84</f>
        <v>0</v>
      </c>
      <c r="E26" s="21">
        <f>[2]Data!$D55</f>
        <v>0</v>
      </c>
      <c r="F26" s="21">
        <f>[2]Data!$D145</f>
        <v>1</v>
      </c>
      <c r="G26" s="21">
        <f>[2]Data!$D176</f>
        <v>21.6</v>
      </c>
      <c r="H26" s="21">
        <f>[2]Data!$D206</f>
        <v>5.0999999999999996</v>
      </c>
      <c r="I26" s="21">
        <f>[2]Data!$D237</f>
        <v>97.2</v>
      </c>
      <c r="J26" s="21">
        <f>[2]Data!$D268</f>
        <v>5.0999999999999996</v>
      </c>
      <c r="K26" s="21">
        <f>[2]Data!$D298</f>
        <v>0</v>
      </c>
      <c r="L26" s="21">
        <f>[2]Data!$D329</f>
        <v>0</v>
      </c>
      <c r="M26" s="21">
        <f>[2]Data!$D359</f>
        <v>0</v>
      </c>
    </row>
    <row r="27" spans="1:13" x14ac:dyDescent="0.3">
      <c r="A27" s="21">
        <v>25</v>
      </c>
      <c r="B27" s="21">
        <f>[2]Data!$D26</f>
        <v>0</v>
      </c>
      <c r="C27" s="21">
        <f>[2]Data!$D57</f>
        <v>0</v>
      </c>
      <c r="D27" s="21">
        <f>[2]Data!$D85</f>
        <v>0</v>
      </c>
      <c r="E27" s="21">
        <f>[2]Data!$D56</f>
        <v>0</v>
      </c>
      <c r="F27" s="21">
        <f>[2]Data!$D146</f>
        <v>0.6</v>
      </c>
      <c r="G27" s="21">
        <f>[2]Data!$D177</f>
        <v>13.5</v>
      </c>
      <c r="H27" s="21">
        <f>[2]Data!$D207</f>
        <v>0</v>
      </c>
      <c r="I27" s="21">
        <f>[2]Data!$D238</f>
        <v>19.399999999999999</v>
      </c>
      <c r="J27" s="21">
        <f>[2]Data!$D269</f>
        <v>2.1</v>
      </c>
      <c r="K27" s="21">
        <f>[2]Data!$D299</f>
        <v>42.2</v>
      </c>
      <c r="L27" s="21">
        <f>[2]Data!$D330</f>
        <v>0</v>
      </c>
      <c r="M27" s="21">
        <f>[2]Data!$D360</f>
        <v>0</v>
      </c>
    </row>
    <row r="28" spans="1:13" x14ac:dyDescent="0.3">
      <c r="A28" s="21">
        <v>26</v>
      </c>
      <c r="B28" s="21">
        <f>[2]Data!$D27</f>
        <v>0</v>
      </c>
      <c r="C28" s="21">
        <f>[2]Data!$D58</f>
        <v>0</v>
      </c>
      <c r="D28" s="21">
        <f>[2]Data!$D86</f>
        <v>0</v>
      </c>
      <c r="E28" s="21">
        <f>[2]Data!$D57</f>
        <v>0</v>
      </c>
      <c r="F28" s="21">
        <f>[2]Data!$D147</f>
        <v>17.3</v>
      </c>
      <c r="G28" s="21">
        <f>[2]Data!$D178</f>
        <v>19.8</v>
      </c>
      <c r="H28" s="21">
        <f>[2]Data!$D208</f>
        <v>8.9</v>
      </c>
      <c r="I28" s="21">
        <f>[2]Data!$D239</f>
        <v>41.8</v>
      </c>
      <c r="J28" s="21">
        <f>[2]Data!$D270</f>
        <v>0</v>
      </c>
      <c r="K28" s="21">
        <f>[2]Data!$D300</f>
        <v>3.3</v>
      </c>
      <c r="L28" s="21">
        <f>[2]Data!$D331</f>
        <v>0</v>
      </c>
      <c r="M28" s="21">
        <f>[2]Data!$D361</f>
        <v>0</v>
      </c>
    </row>
    <row r="29" spans="1:13" x14ac:dyDescent="0.3">
      <c r="A29" s="21">
        <v>27</v>
      </c>
      <c r="B29" s="21">
        <f>[2]Data!$D28</f>
        <v>0</v>
      </c>
      <c r="C29" s="21">
        <f>[2]Data!$D59</f>
        <v>0</v>
      </c>
      <c r="D29" s="21">
        <f>[2]Data!$D87</f>
        <v>1.6</v>
      </c>
      <c r="E29" s="21">
        <f>[2]Data!$D58</f>
        <v>0</v>
      </c>
      <c r="F29" s="21">
        <f>[2]Data!$D148</f>
        <v>14</v>
      </c>
      <c r="G29" s="21">
        <f>[2]Data!$D179</f>
        <v>0</v>
      </c>
      <c r="H29" s="21">
        <f>[2]Data!$D209</f>
        <v>6.8</v>
      </c>
      <c r="I29" s="21">
        <f>[2]Data!$D240</f>
        <v>2.2000000000000002</v>
      </c>
      <c r="J29" s="21">
        <f>[2]Data!$D271</f>
        <v>88.8</v>
      </c>
      <c r="K29" s="21">
        <f>[2]Data!$D301</f>
        <v>10.7</v>
      </c>
      <c r="L29" s="21">
        <f>[2]Data!$D332</f>
        <v>3</v>
      </c>
      <c r="M29" s="21">
        <f>[2]Data!$D362</f>
        <v>0</v>
      </c>
    </row>
    <row r="30" spans="1:13" x14ac:dyDescent="0.3">
      <c r="A30" s="21">
        <v>28</v>
      </c>
      <c r="B30" s="21">
        <f>[2]Data!$D29</f>
        <v>0</v>
      </c>
      <c r="C30" s="21">
        <f>[2]Data!$D60</f>
        <v>0</v>
      </c>
      <c r="D30" s="21">
        <f>[2]Data!$D88</f>
        <v>0</v>
      </c>
      <c r="E30" s="21">
        <f>[2]Data!$D59</f>
        <v>0</v>
      </c>
      <c r="F30" s="21">
        <f>[2]Data!$D149</f>
        <v>19.100000000000001</v>
      </c>
      <c r="G30" s="21">
        <f>[2]Data!$D180</f>
        <v>0</v>
      </c>
      <c r="H30" s="21">
        <f>[2]Data!$D210</f>
        <v>0</v>
      </c>
      <c r="I30" s="21">
        <f>[2]Data!$D241</f>
        <v>35.9</v>
      </c>
      <c r="J30" s="21">
        <f>[2]Data!$D272</f>
        <v>24</v>
      </c>
      <c r="K30" s="21">
        <f>[2]Data!$D302</f>
        <v>12.6</v>
      </c>
      <c r="L30" s="21">
        <f>[2]Data!$D333</f>
        <v>30.2</v>
      </c>
      <c r="M30" s="21">
        <f>[2]Data!$D363</f>
        <v>0</v>
      </c>
    </row>
    <row r="31" spans="1:13" x14ac:dyDescent="0.3">
      <c r="A31" s="21">
        <v>29</v>
      </c>
      <c r="B31" s="21">
        <v>45</v>
      </c>
      <c r="C31" s="21"/>
      <c r="D31" s="21">
        <f>[2]Data!$D89</f>
        <v>0</v>
      </c>
      <c r="E31" s="21">
        <f>[2]Data!$D60</f>
        <v>0</v>
      </c>
      <c r="F31" s="21">
        <f>[2]Data!$D150</f>
        <v>0</v>
      </c>
      <c r="G31" s="21">
        <f>[2]Data!$D181</f>
        <v>0</v>
      </c>
      <c r="H31" s="21">
        <f>[2]Data!$D211</f>
        <v>0.1</v>
      </c>
      <c r="I31" s="21">
        <f>[2]Data!$D242</f>
        <v>4.3</v>
      </c>
      <c r="J31" s="21">
        <f>[2]Data!$D273</f>
        <v>6</v>
      </c>
      <c r="K31" s="21">
        <f>[2]Data!$D303</f>
        <v>6.6</v>
      </c>
      <c r="L31" s="21">
        <f>[2]Data!$D334</f>
        <v>0.9</v>
      </c>
      <c r="M31" s="21">
        <f>[2]Data!$D364</f>
        <v>0</v>
      </c>
    </row>
    <row r="32" spans="1:13" x14ac:dyDescent="0.3">
      <c r="A32" s="21">
        <v>30</v>
      </c>
      <c r="B32" s="21">
        <f>[2]Data!$D31</f>
        <v>0</v>
      </c>
      <c r="C32" s="21"/>
      <c r="D32" s="21">
        <f>[2]Data!$D90</f>
        <v>0</v>
      </c>
      <c r="E32" s="21">
        <f>[2]Data!$D61</f>
        <v>0</v>
      </c>
      <c r="F32" s="21">
        <f>[2]Data!$D151</f>
        <v>0</v>
      </c>
      <c r="G32" s="21">
        <f>[2]Data!$D182</f>
        <v>0</v>
      </c>
      <c r="H32" s="21">
        <f>[2]Data!$D212</f>
        <v>0</v>
      </c>
      <c r="I32" s="21">
        <f>[2]Data!$D243</f>
        <v>0</v>
      </c>
      <c r="J32" s="21">
        <f>[2]Data!$D274</f>
        <v>0.2</v>
      </c>
      <c r="K32" s="21">
        <f>[2]Data!$D304</f>
        <v>4.0999999999999996</v>
      </c>
      <c r="L32" s="21">
        <f>[2]Data!$D335</f>
        <v>1.8</v>
      </c>
      <c r="M32" s="21">
        <f>[2]Data!$D365</f>
        <v>0</v>
      </c>
    </row>
    <row r="33" spans="1:13" ht="15" thickBot="1" x14ac:dyDescent="0.35">
      <c r="A33" s="27">
        <v>31</v>
      </c>
      <c r="B33" s="27">
        <f>[2]Data!$D32</f>
        <v>18</v>
      </c>
      <c r="C33" s="27"/>
      <c r="D33" s="27">
        <f>[2]Data!$D91</f>
        <v>13.8</v>
      </c>
      <c r="E33" s="27"/>
      <c r="F33" s="27">
        <f>[2]Data!$D152</f>
        <v>22</v>
      </c>
      <c r="G33" s="27"/>
      <c r="H33" s="27">
        <f>[2]Data!$D213</f>
        <v>0</v>
      </c>
      <c r="I33" s="27">
        <f>[2]Data!$D244</f>
        <v>0</v>
      </c>
      <c r="J33" s="27"/>
      <c r="K33" s="27">
        <f>[2]Data!$D305</f>
        <v>0</v>
      </c>
      <c r="L33" s="27"/>
      <c r="M33" s="27">
        <f>[2]Data!$D366</f>
        <v>0</v>
      </c>
    </row>
    <row r="34" spans="1:13" x14ac:dyDescent="0.3">
      <c r="A34" s="28" t="s">
        <v>2848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x14ac:dyDescent="0.3">
      <c r="A35" s="21" t="s">
        <v>2849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x14ac:dyDescent="0.3">
      <c r="A36" s="21" t="s">
        <v>2850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x14ac:dyDescent="0.3">
      <c r="A37" s="30" t="s">
        <v>2851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3">
      <c r="A38" s="31" t="s">
        <v>2852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x14ac:dyDescent="0.3">
      <c r="A39" s="31" t="s">
        <v>2853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x14ac:dyDescent="0.3">
      <c r="A40" s="32" t="s">
        <v>2854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66C8-1B47-4865-8ADB-7CB218EC96DE}">
  <dimension ref="A1:C9"/>
  <sheetViews>
    <sheetView zoomScale="150" zoomScaleNormal="150" workbookViewId="0">
      <selection activeCell="G18" sqref="G18"/>
    </sheetView>
  </sheetViews>
  <sheetFormatPr defaultRowHeight="14.4" x14ac:dyDescent="0.3"/>
  <cols>
    <col min="1" max="1" width="17.6640625" bestFit="1" customWidth="1"/>
    <col min="2" max="2" width="16.6640625" customWidth="1"/>
    <col min="3" max="3" width="13" customWidth="1"/>
  </cols>
  <sheetData>
    <row r="1" spans="1:3" x14ac:dyDescent="0.3">
      <c r="A1" t="s">
        <v>2868</v>
      </c>
      <c r="B1" s="34" t="s">
        <v>15</v>
      </c>
      <c r="C1" s="34" t="s">
        <v>16</v>
      </c>
    </row>
    <row r="3" spans="1:3" x14ac:dyDescent="0.3">
      <c r="A3" t="s">
        <v>344</v>
      </c>
      <c r="B3">
        <v>13.7278956</v>
      </c>
      <c r="C3" s="33" t="s">
        <v>2861</v>
      </c>
    </row>
    <row r="4" spans="1:3" x14ac:dyDescent="0.3">
      <c r="A4" t="s">
        <v>2855</v>
      </c>
      <c r="B4">
        <v>13.8621125</v>
      </c>
      <c r="C4" s="33" t="s">
        <v>2862</v>
      </c>
    </row>
    <row r="5" spans="1:3" x14ac:dyDescent="0.3">
      <c r="A5" t="s">
        <v>2856</v>
      </c>
      <c r="B5">
        <v>14.0208391</v>
      </c>
      <c r="C5" s="33" t="s">
        <v>2863</v>
      </c>
    </row>
    <row r="6" spans="1:3" x14ac:dyDescent="0.3">
      <c r="A6" t="s">
        <v>2857</v>
      </c>
      <c r="B6">
        <v>14.3532128</v>
      </c>
      <c r="C6" s="33" t="s">
        <v>2864</v>
      </c>
    </row>
    <row r="7" spans="1:3" x14ac:dyDescent="0.3">
      <c r="A7" t="s">
        <v>2858</v>
      </c>
      <c r="B7">
        <v>14.5896054</v>
      </c>
      <c r="C7" s="33" t="s">
        <v>2865</v>
      </c>
    </row>
    <row r="8" spans="1:3" x14ac:dyDescent="0.3">
      <c r="A8" t="s">
        <v>2859</v>
      </c>
      <c r="B8">
        <v>14.799508100000001</v>
      </c>
      <c r="C8" s="33" t="s">
        <v>2866</v>
      </c>
    </row>
    <row r="9" spans="1:3" x14ac:dyDescent="0.3">
      <c r="A9" t="s">
        <v>2860</v>
      </c>
      <c r="B9">
        <v>14.8936253</v>
      </c>
      <c r="C9" s="33" t="s">
        <v>2867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2F62-A673-4609-B351-22B71670D6B9}">
  <dimension ref="A1:G28"/>
  <sheetViews>
    <sheetView zoomScale="150" zoomScaleNormal="150" workbookViewId="0">
      <selection activeCell="E16" sqref="E16"/>
    </sheetView>
  </sheetViews>
  <sheetFormatPr defaultRowHeight="14.4" x14ac:dyDescent="0.3"/>
  <cols>
    <col min="1" max="1" width="16.6640625" customWidth="1"/>
    <col min="3" max="3" width="7.88671875" customWidth="1"/>
    <col min="7" max="7" width="19.33203125" customWidth="1"/>
  </cols>
  <sheetData>
    <row r="1" spans="1:7" x14ac:dyDescent="0.3">
      <c r="C1" s="1" t="s">
        <v>2885</v>
      </c>
      <c r="D1" s="1" t="s">
        <v>2886</v>
      </c>
      <c r="E1" s="1" t="s">
        <v>2887</v>
      </c>
      <c r="G1" s="1" t="s">
        <v>2888</v>
      </c>
    </row>
    <row r="2" spans="1:7" x14ac:dyDescent="0.3">
      <c r="A2" s="37" t="s">
        <v>2869</v>
      </c>
      <c r="C2" s="35">
        <v>3</v>
      </c>
      <c r="D2" s="1">
        <v>54</v>
      </c>
      <c r="E2" s="1">
        <v>18.809000000000001</v>
      </c>
      <c r="F2" t="s">
        <v>2887</v>
      </c>
      <c r="G2">
        <f>(E2/60+D2)/60+C2</f>
        <v>3.9052247222222221</v>
      </c>
    </row>
    <row r="3" spans="1:7" x14ac:dyDescent="0.3">
      <c r="A3" s="38" t="s">
        <v>2870</v>
      </c>
      <c r="C3" s="36">
        <v>6</v>
      </c>
      <c r="D3" s="1">
        <v>54</v>
      </c>
      <c r="E3" s="1">
        <v>8.2089999999999996</v>
      </c>
      <c r="F3" t="s">
        <v>2887</v>
      </c>
      <c r="G3">
        <f t="shared" ref="G3:G7" si="0">(E3/60+D3)/60+C3</f>
        <v>6.9022802777777779</v>
      </c>
    </row>
    <row r="4" spans="1:7" x14ac:dyDescent="0.3">
      <c r="A4" s="38" t="s">
        <v>2871</v>
      </c>
      <c r="C4" s="36">
        <v>6</v>
      </c>
      <c r="D4" s="1">
        <v>54</v>
      </c>
      <c r="E4" s="1">
        <v>8.1189999999999998</v>
      </c>
      <c r="F4" t="s">
        <v>2887</v>
      </c>
      <c r="G4">
        <f t="shared" si="0"/>
        <v>6.9022552777777779</v>
      </c>
    </row>
    <row r="5" spans="1:7" x14ac:dyDescent="0.3">
      <c r="A5" s="38" t="s">
        <v>2872</v>
      </c>
      <c r="C5" s="36">
        <v>7</v>
      </c>
      <c r="D5" s="1">
        <v>14</v>
      </c>
      <c r="E5" s="1">
        <v>10.808999999999999</v>
      </c>
      <c r="F5" t="s">
        <v>2887</v>
      </c>
      <c r="G5">
        <f t="shared" si="0"/>
        <v>7.2363358333333334</v>
      </c>
    </row>
    <row r="6" spans="1:7" x14ac:dyDescent="0.3">
      <c r="A6" s="38" t="s">
        <v>2873</v>
      </c>
      <c r="C6" s="36">
        <v>3</v>
      </c>
      <c r="D6" s="1">
        <v>7</v>
      </c>
      <c r="E6" s="1">
        <v>55.911000000000001</v>
      </c>
      <c r="F6" t="s">
        <v>2887</v>
      </c>
      <c r="G6">
        <f t="shared" si="0"/>
        <v>3.1321975000000002</v>
      </c>
    </row>
    <row r="7" spans="1:7" x14ac:dyDescent="0.3">
      <c r="A7" s="38" t="s">
        <v>2874</v>
      </c>
      <c r="C7" s="36">
        <v>80</v>
      </c>
      <c r="D7" s="1">
        <v>42</v>
      </c>
      <c r="E7" s="1">
        <v>34.119</v>
      </c>
      <c r="F7" t="s">
        <v>2887</v>
      </c>
      <c r="G7">
        <f t="shared" si="0"/>
        <v>80.709477500000006</v>
      </c>
    </row>
    <row r="8" spans="1:7" x14ac:dyDescent="0.3">
      <c r="A8" s="36"/>
    </row>
    <row r="9" spans="1:7" x14ac:dyDescent="0.3">
      <c r="A9" s="36"/>
    </row>
    <row r="10" spans="1:7" x14ac:dyDescent="0.3">
      <c r="A10" s="36"/>
    </row>
    <row r="11" spans="1:7" x14ac:dyDescent="0.3">
      <c r="A11" s="36"/>
    </row>
    <row r="12" spans="1:7" x14ac:dyDescent="0.3">
      <c r="A12" s="36"/>
    </row>
    <row r="13" spans="1:7" x14ac:dyDescent="0.3">
      <c r="A13" s="36"/>
    </row>
    <row r="14" spans="1:7" x14ac:dyDescent="0.3">
      <c r="A14" s="36"/>
    </row>
    <row r="15" spans="1:7" x14ac:dyDescent="0.3">
      <c r="A15" s="36"/>
    </row>
    <row r="16" spans="1:7" x14ac:dyDescent="0.3">
      <c r="A16" s="36"/>
    </row>
    <row r="17" spans="1:1" x14ac:dyDescent="0.3">
      <c r="A17" s="36"/>
    </row>
    <row r="18" spans="1:1" x14ac:dyDescent="0.3">
      <c r="A18" s="36"/>
    </row>
    <row r="19" spans="1:1" x14ac:dyDescent="0.3">
      <c r="A19" s="36"/>
    </row>
    <row r="20" spans="1:1" x14ac:dyDescent="0.3">
      <c r="A20" s="36"/>
    </row>
    <row r="21" spans="1:1" x14ac:dyDescent="0.3">
      <c r="A21" s="36"/>
    </row>
    <row r="22" spans="1:1" x14ac:dyDescent="0.3">
      <c r="A22" s="36"/>
    </row>
    <row r="23" spans="1:1" x14ac:dyDescent="0.3">
      <c r="A23" s="36"/>
    </row>
    <row r="24" spans="1:1" x14ac:dyDescent="0.3">
      <c r="A24" s="36"/>
    </row>
    <row r="25" spans="1:1" x14ac:dyDescent="0.3">
      <c r="A25" s="36"/>
    </row>
    <row r="26" spans="1:1" x14ac:dyDescent="0.3">
      <c r="A26" s="36"/>
    </row>
    <row r="27" spans="1:1" x14ac:dyDescent="0.3">
      <c r="A27" s="36"/>
    </row>
    <row r="28" spans="1:1" x14ac:dyDescent="0.3">
      <c r="A28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BE8D-EC6B-4E09-928F-E494BB17531D}">
  <dimension ref="A1:Q14"/>
  <sheetViews>
    <sheetView tabSelected="1" zoomScale="120" zoomScaleNormal="120" workbookViewId="0">
      <selection activeCell="C2" sqref="C2"/>
    </sheetView>
  </sheetViews>
  <sheetFormatPr defaultRowHeight="14.4" x14ac:dyDescent="0.3"/>
  <cols>
    <col min="3" max="3" width="9.44140625" customWidth="1"/>
  </cols>
  <sheetData>
    <row r="1" spans="1:17" x14ac:dyDescent="0.3">
      <c r="A1" s="1" t="s">
        <v>2888</v>
      </c>
      <c r="B1" s="1" t="s">
        <v>2885</v>
      </c>
      <c r="C1" s="1" t="s">
        <v>2886</v>
      </c>
      <c r="D1" s="1" t="s">
        <v>2887</v>
      </c>
    </row>
    <row r="2" spans="1:17" x14ac:dyDescent="0.3">
      <c r="A2">
        <v>3.9052247222222221</v>
      </c>
      <c r="B2" s="1">
        <f>TRUNC(A2)</f>
        <v>3</v>
      </c>
      <c r="C2">
        <f>(A2-B2)*60</f>
        <v>54.313483333333323</v>
      </c>
      <c r="D2" s="1">
        <f>ROUND((C2 - INT(C2)) * 60, 0)</f>
        <v>19</v>
      </c>
      <c r="F2" s="1" t="s">
        <v>0</v>
      </c>
      <c r="G2" s="2">
        <v>2000</v>
      </c>
      <c r="H2" s="2">
        <v>2001</v>
      </c>
      <c r="I2" s="2">
        <v>2002</v>
      </c>
      <c r="J2" s="2">
        <v>2003</v>
      </c>
      <c r="K2" s="2">
        <v>2004</v>
      </c>
      <c r="L2" s="2">
        <v>2005</v>
      </c>
      <c r="M2" s="2">
        <v>2006</v>
      </c>
      <c r="N2" s="2">
        <v>2007</v>
      </c>
      <c r="O2" s="2">
        <v>2008</v>
      </c>
      <c r="P2" s="2">
        <v>2009</v>
      </c>
      <c r="Q2" s="2">
        <v>2010</v>
      </c>
    </row>
    <row r="3" spans="1:17" x14ac:dyDescent="0.3">
      <c r="A3">
        <v>6.9022802777777779</v>
      </c>
      <c r="B3" s="1">
        <f t="shared" ref="B3:B7" si="0">TRUNC(A3)</f>
        <v>6</v>
      </c>
      <c r="C3">
        <f t="shared" ref="C3:C7" si="1">(A3-B3)*60</f>
        <v>54.136816666666675</v>
      </c>
      <c r="D3" s="1">
        <f t="shared" ref="D3:D7" si="2">ROUND((C3 - INT(C3)) * 60, 0)</f>
        <v>8</v>
      </c>
      <c r="F3" s="1" t="s">
        <v>1</v>
      </c>
      <c r="G3" s="3">
        <v>-1.7</v>
      </c>
      <c r="H3" s="3">
        <v>-0.7</v>
      </c>
      <c r="I3" s="4">
        <v>-0.1</v>
      </c>
      <c r="J3" s="5">
        <v>0.9</v>
      </c>
      <c r="K3" s="4">
        <v>0.4</v>
      </c>
      <c r="L3" s="5">
        <v>0.6</v>
      </c>
      <c r="M3" s="3">
        <v>-0.9</v>
      </c>
      <c r="N3" s="5">
        <v>0.7</v>
      </c>
      <c r="O3" s="3">
        <v>-1.6</v>
      </c>
      <c r="P3" s="3">
        <v>-0.8</v>
      </c>
      <c r="Q3" s="5">
        <v>1.5</v>
      </c>
    </row>
    <row r="4" spans="1:17" x14ac:dyDescent="0.3">
      <c r="A4">
        <v>6.9022552777777779</v>
      </c>
      <c r="B4" s="1">
        <f t="shared" si="0"/>
        <v>6</v>
      </c>
      <c r="C4">
        <f t="shared" si="1"/>
        <v>54.135316666666675</v>
      </c>
      <c r="D4" s="1">
        <f t="shared" si="2"/>
        <v>8</v>
      </c>
      <c r="F4" s="1" t="s">
        <v>2</v>
      </c>
      <c r="G4" s="3">
        <v>-1.4</v>
      </c>
      <c r="H4" s="3">
        <v>-0.5</v>
      </c>
      <c r="I4" s="4">
        <v>0</v>
      </c>
      <c r="J4" s="5">
        <v>0.6</v>
      </c>
      <c r="K4" s="4">
        <v>0.3</v>
      </c>
      <c r="L4" s="5">
        <v>0.6</v>
      </c>
      <c r="M4" s="3">
        <v>-0.8</v>
      </c>
      <c r="N4" s="4">
        <v>0.2</v>
      </c>
      <c r="O4" s="3">
        <v>-1.5</v>
      </c>
      <c r="P4" s="3">
        <v>-0.8</v>
      </c>
      <c r="Q4" s="5">
        <v>1.2</v>
      </c>
    </row>
    <row r="5" spans="1:17" x14ac:dyDescent="0.3">
      <c r="A5">
        <v>7.2363358333333334</v>
      </c>
      <c r="B5" s="1">
        <f t="shared" si="0"/>
        <v>7</v>
      </c>
      <c r="C5">
        <f t="shared" si="1"/>
        <v>14.180150000000005</v>
      </c>
      <c r="D5" s="1">
        <f t="shared" si="2"/>
        <v>11</v>
      </c>
      <c r="F5" s="1" t="s">
        <v>3</v>
      </c>
      <c r="G5" s="3">
        <v>-1.1000000000000001</v>
      </c>
      <c r="H5" s="4">
        <v>-0.4</v>
      </c>
      <c r="I5" s="4">
        <v>0.1</v>
      </c>
      <c r="J5" s="4">
        <v>0.4</v>
      </c>
      <c r="K5" s="4">
        <v>0.2</v>
      </c>
      <c r="L5" s="4">
        <v>0.4</v>
      </c>
      <c r="M5" s="3">
        <v>-0.6</v>
      </c>
      <c r="N5" s="4">
        <v>-0.1</v>
      </c>
      <c r="O5" s="3">
        <v>-1.3</v>
      </c>
      <c r="P5" s="3">
        <v>-0.6</v>
      </c>
      <c r="Q5" s="5">
        <v>0.8</v>
      </c>
    </row>
    <row r="6" spans="1:17" x14ac:dyDescent="0.3">
      <c r="A6">
        <v>3.1321975000000002</v>
      </c>
      <c r="B6" s="1">
        <f t="shared" si="0"/>
        <v>3</v>
      </c>
      <c r="C6">
        <f t="shared" si="1"/>
        <v>7.9318500000000114</v>
      </c>
      <c r="D6" s="1">
        <f t="shared" si="2"/>
        <v>56</v>
      </c>
      <c r="F6" s="1" t="s">
        <v>4</v>
      </c>
      <c r="G6" s="3">
        <v>-0.8</v>
      </c>
      <c r="H6" s="4">
        <v>-0.3</v>
      </c>
      <c r="I6" s="4">
        <v>0.2</v>
      </c>
      <c r="J6" s="4">
        <v>0</v>
      </c>
      <c r="K6" s="4">
        <v>0.2</v>
      </c>
      <c r="L6" s="4">
        <v>0.4</v>
      </c>
      <c r="M6" s="4">
        <v>-0.4</v>
      </c>
      <c r="N6" s="4">
        <v>-0.3</v>
      </c>
      <c r="O6" s="3">
        <v>-1</v>
      </c>
      <c r="P6" s="4">
        <v>-0.3</v>
      </c>
      <c r="Q6" s="4">
        <v>0.4</v>
      </c>
    </row>
    <row r="7" spans="1:17" x14ac:dyDescent="0.3">
      <c r="A7">
        <v>80.709477500000006</v>
      </c>
      <c r="B7" s="1">
        <f t="shared" si="0"/>
        <v>80</v>
      </c>
      <c r="C7">
        <f t="shared" si="1"/>
        <v>42.568650000000332</v>
      </c>
      <c r="D7" s="1">
        <f t="shared" si="2"/>
        <v>34</v>
      </c>
      <c r="F7" s="1" t="s">
        <v>5</v>
      </c>
      <c r="G7" s="3">
        <v>-0.7</v>
      </c>
      <c r="H7" s="4">
        <v>-0.3</v>
      </c>
      <c r="I7" s="4">
        <v>0.4</v>
      </c>
      <c r="J7" s="4">
        <v>-0.3</v>
      </c>
      <c r="K7" s="4">
        <v>0.2</v>
      </c>
      <c r="L7" s="4">
        <v>0.3</v>
      </c>
      <c r="M7" s="4">
        <v>-0.1</v>
      </c>
      <c r="N7" s="4">
        <v>-0.4</v>
      </c>
      <c r="O7" s="3">
        <v>-0.8</v>
      </c>
      <c r="P7" s="4">
        <v>0</v>
      </c>
      <c r="Q7" s="4">
        <v>-0.2</v>
      </c>
    </row>
    <row r="8" spans="1:17" x14ac:dyDescent="0.3">
      <c r="F8" s="1" t="s">
        <v>6</v>
      </c>
      <c r="G8" s="3">
        <v>-0.6</v>
      </c>
      <c r="H8" s="4">
        <v>-0.1</v>
      </c>
      <c r="I8" s="5">
        <v>0.7</v>
      </c>
      <c r="J8" s="4">
        <v>-0.2</v>
      </c>
      <c r="K8" s="4">
        <v>0.3</v>
      </c>
      <c r="L8" s="4">
        <v>0.1</v>
      </c>
      <c r="M8" s="4">
        <v>0</v>
      </c>
      <c r="N8" s="3">
        <v>-0.5</v>
      </c>
      <c r="O8" s="3">
        <v>-0.6</v>
      </c>
      <c r="P8" s="4">
        <v>0.3</v>
      </c>
      <c r="Q8" s="3">
        <v>-0.7</v>
      </c>
    </row>
    <row r="9" spans="1:17" x14ac:dyDescent="0.3">
      <c r="F9" s="1" t="s">
        <v>7</v>
      </c>
      <c r="G9" s="3">
        <v>-0.6</v>
      </c>
      <c r="H9" s="4">
        <v>-0.1</v>
      </c>
      <c r="I9" s="5">
        <v>0.8</v>
      </c>
      <c r="J9" s="4">
        <v>0.1</v>
      </c>
      <c r="K9" s="5">
        <v>0.5</v>
      </c>
      <c r="L9" s="4">
        <v>-0.1</v>
      </c>
      <c r="M9" s="4">
        <v>0.1</v>
      </c>
      <c r="N9" s="3">
        <v>-0.6</v>
      </c>
      <c r="O9" s="4">
        <v>-0.4</v>
      </c>
      <c r="P9" s="5">
        <v>0.5</v>
      </c>
      <c r="Q9" s="3">
        <v>-1</v>
      </c>
    </row>
    <row r="10" spans="1:17" x14ac:dyDescent="0.3">
      <c r="F10" s="1" t="s">
        <v>8</v>
      </c>
      <c r="G10" s="3">
        <v>-0.5</v>
      </c>
      <c r="H10" s="4">
        <v>-0.1</v>
      </c>
      <c r="I10" s="5">
        <v>0.9</v>
      </c>
      <c r="J10" s="4">
        <v>0.2</v>
      </c>
      <c r="K10" s="5">
        <v>0.6</v>
      </c>
      <c r="L10" s="4">
        <v>-0.1</v>
      </c>
      <c r="M10" s="4">
        <v>0.3</v>
      </c>
      <c r="N10" s="3">
        <v>-0.8</v>
      </c>
      <c r="O10" s="4">
        <v>-0.2</v>
      </c>
      <c r="P10" s="5">
        <v>0.6</v>
      </c>
      <c r="Q10" s="3">
        <v>-1.3</v>
      </c>
    </row>
    <row r="11" spans="1:17" x14ac:dyDescent="0.3">
      <c r="F11" s="1" t="s">
        <v>9</v>
      </c>
      <c r="G11" s="3">
        <v>-0.5</v>
      </c>
      <c r="H11" s="4">
        <v>-0.2</v>
      </c>
      <c r="I11" s="5">
        <v>1</v>
      </c>
      <c r="J11" s="4">
        <v>0.3</v>
      </c>
      <c r="K11" s="5">
        <v>0.7</v>
      </c>
      <c r="L11" s="4">
        <v>-0.1</v>
      </c>
      <c r="M11" s="5">
        <v>0.5</v>
      </c>
      <c r="N11" s="3">
        <v>-1.1000000000000001</v>
      </c>
      <c r="O11" s="4">
        <v>-0.2</v>
      </c>
      <c r="P11" s="5">
        <v>0.7</v>
      </c>
      <c r="Q11" s="3">
        <v>-1.6</v>
      </c>
    </row>
    <row r="12" spans="1:17" x14ac:dyDescent="0.3">
      <c r="F12" s="1" t="s">
        <v>10</v>
      </c>
      <c r="G12" s="3">
        <v>-0.6</v>
      </c>
      <c r="H12" s="4">
        <v>-0.3</v>
      </c>
      <c r="I12" s="5">
        <v>1.2</v>
      </c>
      <c r="J12" s="4">
        <v>0.3</v>
      </c>
      <c r="K12" s="5">
        <v>0.7</v>
      </c>
      <c r="L12" s="4">
        <v>-0.3</v>
      </c>
      <c r="M12" s="5">
        <v>0.8</v>
      </c>
      <c r="N12" s="3">
        <v>-1.3</v>
      </c>
      <c r="O12" s="4">
        <v>-0.4</v>
      </c>
      <c r="P12" s="5">
        <v>1</v>
      </c>
      <c r="Q12" s="3">
        <v>-1.6</v>
      </c>
    </row>
    <row r="13" spans="1:17" x14ac:dyDescent="0.3">
      <c r="F13" s="1" t="s">
        <v>11</v>
      </c>
      <c r="G13" s="3">
        <v>-0.7</v>
      </c>
      <c r="H13" s="4">
        <v>-0.3</v>
      </c>
      <c r="I13" s="5">
        <v>1.3</v>
      </c>
      <c r="J13" s="4">
        <v>0.4</v>
      </c>
      <c r="K13" s="5">
        <v>0.7</v>
      </c>
      <c r="L13" s="3">
        <v>-0.6</v>
      </c>
      <c r="M13" s="5">
        <v>0.9</v>
      </c>
      <c r="N13" s="3">
        <v>-1.5</v>
      </c>
      <c r="O13" s="3">
        <v>-0.6</v>
      </c>
      <c r="P13" s="5">
        <v>1.4</v>
      </c>
      <c r="Q13" s="3">
        <v>-1.6</v>
      </c>
    </row>
    <row r="14" spans="1:17" x14ac:dyDescent="0.3">
      <c r="F14" s="1" t="s">
        <v>12</v>
      </c>
      <c r="G14" s="3">
        <v>-0.7</v>
      </c>
      <c r="H14" s="4">
        <v>-0.3</v>
      </c>
      <c r="I14" s="5">
        <v>1.1000000000000001</v>
      </c>
      <c r="J14" s="4">
        <v>0.4</v>
      </c>
      <c r="K14" s="5">
        <v>0.7</v>
      </c>
      <c r="L14" s="3">
        <v>-0.8</v>
      </c>
      <c r="M14" s="5">
        <v>0.9</v>
      </c>
      <c r="N14" s="3">
        <v>-1.6</v>
      </c>
      <c r="O14" s="3">
        <v>-0.7</v>
      </c>
      <c r="P14" s="5">
        <v>1.6</v>
      </c>
      <c r="Q14" s="3">
        <v>-1.6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45311-1819-4F87-893B-84CD0F8C1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18</vt:i4>
      </vt:variant>
    </vt:vector>
  </HeadingPairs>
  <TitlesOfParts>
    <vt:vector size="18" baseType="lpstr">
      <vt:lpstr>Province</vt:lpstr>
      <vt:lpstr>Sheet1</vt:lpstr>
      <vt:lpstr>ประชากรไทย</vt:lpstr>
      <vt:lpstr>Sheet5</vt:lpstr>
      <vt:lpstr>pivotpop</vt:lpstr>
      <vt:lpstr>ตารางประชากร </vt:lpstr>
      <vt:lpstr>pivot</vt:lpstr>
      <vt:lpstr>Dashboard</vt:lpstr>
      <vt:lpstr>population_2568</vt:lpstr>
      <vt:lpstr>Sheet3</vt:lpstr>
      <vt:lpstr>population2568</vt:lpstr>
      <vt:lpstr>ENSO_data</vt:lpstr>
      <vt:lpstr>Temperature_graph</vt:lpstr>
      <vt:lpstr>Score</vt:lpstr>
      <vt:lpstr>Count</vt:lpstr>
      <vt:lpstr>DDD2DMS</vt:lpstr>
      <vt:lpstr>DMD2DDD</vt:lpstr>
      <vt:lpstr>DDDtoDMS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Nawwas_Bensah@hotmail.com</cp:lastModifiedBy>
  <dcterms:created xsi:type="dcterms:W3CDTF">2026-07-01T09:16:08Z</dcterms:created>
  <dcterms:modified xsi:type="dcterms:W3CDTF">2026-10-18T10:20:28Z</dcterms:modified>
</cp:coreProperties>
</file>