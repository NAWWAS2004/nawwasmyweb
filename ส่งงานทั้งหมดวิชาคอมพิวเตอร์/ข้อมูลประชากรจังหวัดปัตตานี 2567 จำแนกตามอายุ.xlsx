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6558C62-540E-413A-AC42-3AB82005E25B}" xr6:coauthVersionLast="47" xr6:coauthVersionMax="47" xr10:uidLastSave="{00000000-0000-0000-0000-000000000000}"/>
  <bookViews>
    <workbookView xWindow="-108" yWindow="-108" windowWidth="23256" windowHeight="13896" activeTab="1" xr2:uid="{CDCCA7BC-BF7A-4B27-B649-72E3512FD527}"/>
  </bookViews>
  <sheets>
    <sheet name="Sheet1" sheetId="1" r:id="rId1"/>
    <sheet name="Sheet2" sheetId="2" r:id="rId2"/>
  </sheets>
  <definedNames>
    <definedName name="_xlchart.v1.0" hidden="1">Sheet2!$M$6:$M$26</definedName>
    <definedName name="_xlchart.v1.1" hidden="1">Sheet2!$N$5</definedName>
    <definedName name="_xlchart.v1.2" hidden="1">Sheet2!$N$6:$N$26</definedName>
    <definedName name="_xlchart.v1.3" hidden="1">Sheet2!$O$5</definedName>
    <definedName name="_xlchart.v1.4" hidden="1">Sheet2!$O$6:$O$26</definedName>
    <definedName name="_xlchart.v1.5" hidden="1">Sheet2!$P$5</definedName>
    <definedName name="_xlchart.v1.6" hidden="1">Sheet2!$P$6:$P$26</definedName>
    <definedName name="_xlchart.v1.7" hidden="1">Sheet2!$Q$5</definedName>
    <definedName name="_xlchart.v1.8" hidden="1">Sheet2!$Q$6:$Q$26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" i="2" l="1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Q6" i="2"/>
  <c r="N6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O27" i="2" l="1"/>
  <c r="P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<sst xmlns="http://schemas.openxmlformats.org/spreadsheetml/2006/main" count="9963" uniqueCount="2621">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</sst>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2" fontId="0" fillId="0" borderId="0" xfId="0" applyNumberFormat="1"/>
  </cellXfs>
  <cellStyles count="1">
    <cellStyle name="ปกติ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97741826761038"/>
          <c:y val="9.3880507302999336E-2"/>
          <c:w val="0.85278655764591615"/>
          <c:h val="0.7890879765983450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0.00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4-441F-BECE-9CC361B5BF70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4-441F-BECE-9CC361B5BF70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Sheet2!$P$6:$P$26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4-441F-BECE-9CC361B5BF70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0.00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54-441F-BECE-9CC361B5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101035871"/>
        <c:axId val="1240803535"/>
      </c:barChart>
      <c:catAx>
        <c:axId val="210103587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03535"/>
        <c:crosses val="autoZero"/>
        <c:auto val="1"/>
        <c:lblAlgn val="ctr"/>
        <c:lblOffset val="100"/>
        <c:noMultiLvlLbl val="0"/>
      </c:catAx>
      <c:valAx>
        <c:axId val="124080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3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1269623420332675"/>
          <c:y val="0.1046998575874"/>
          <c:w val="0.23552494217182041"/>
          <c:h val="0.153215244515261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68580</xdr:colOff>
      <xdr:row>2</xdr:row>
      <xdr:rowOff>30480</xdr:rowOff>
    </xdr:from>
    <xdr:to>
      <xdr:col>30</xdr:col>
      <xdr:colOff>289560</xdr:colOff>
      <xdr:row>29</xdr:row>
      <xdr:rowOff>83820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0AAD7EC-C499-743D-AF77-2B56EC08C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84" workbookViewId="0">
      <selection activeCell="F15" sqref="F15"/>
    </sheetView>
  </sheetViews>
  <sheetFormatPr defaultRowHeight="14.4" x14ac:dyDescent="0.3"/>
  <cols>
    <col min="1" max="1" width="10.109375" bestFit="1" customWidth="1"/>
    <col min="2" max="2" width="19.6640625" bestFit="1" customWidth="1"/>
    <col min="3" max="3" width="18.5546875" customWidth="1"/>
    <col min="4" max="4" width="32.6640625" customWidth="1"/>
    <col min="6" max="6" width="8.33203125" bestFit="1" customWidth="1"/>
    <col min="7" max="7" width="10.5546875" bestFit="1" customWidth="1"/>
    <col min="8" max="8" width="9.6640625" bestFit="1" customWidth="1"/>
    <col min="9" max="9" width="18.5546875" bestFit="1" customWidth="1"/>
    <col min="10" max="10" width="18.88671875" bestFit="1" customWidth="1"/>
    <col min="11" max="11" width="21" bestFit="1" customWidth="1"/>
    <col min="12" max="12" width="22.109375" bestFit="1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3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3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3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3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3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3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3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3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3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3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3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3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3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3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3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3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3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3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3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3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3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3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3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3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3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3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3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3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3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3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3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3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3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3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3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3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3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3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3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3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3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3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3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3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3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3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3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3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3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3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3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3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3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3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3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3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3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3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3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3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3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3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3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3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3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3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3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3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3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3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3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3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3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3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3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3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3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3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3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3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3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3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3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3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3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3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3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3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3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3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3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3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3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3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3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3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3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3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3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3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3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3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3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3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3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3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3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3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3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3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3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3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3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3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3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3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3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3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3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3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3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3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3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3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3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3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3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3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3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3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3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3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3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3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3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3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3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3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3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3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3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3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3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3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3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3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3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3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3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3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3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3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3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3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3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3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3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3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3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3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3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3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3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3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3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3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3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3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3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3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3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3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3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3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3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3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3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3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3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3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3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3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3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3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3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3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3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3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3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3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3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3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3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3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3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3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3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3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3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3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3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3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3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3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3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3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3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3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3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3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3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3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3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3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3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3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3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3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3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3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3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3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3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3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3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3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3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3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3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3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3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3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3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3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3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3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3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3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3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3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3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3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3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3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3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3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3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3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3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3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3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3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3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3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3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3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3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3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3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3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3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3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3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3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3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3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3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3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3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3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3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3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3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3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3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3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3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3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3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3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3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3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3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3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3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3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3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3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3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3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3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3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3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3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3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3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3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3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3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3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3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3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3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3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3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3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3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3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3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3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3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3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3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3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3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3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3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3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3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3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3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3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3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3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3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3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3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3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3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3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3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3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3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3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3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3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3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3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3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3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3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3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3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3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3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3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3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3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3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3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3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3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3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3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3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3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3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3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3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3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3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3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3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3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3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3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3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3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3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3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3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3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3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3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3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3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3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3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3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3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3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3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3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3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3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3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3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3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3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3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3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3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3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3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3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3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3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3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3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3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3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3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3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3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3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3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3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3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3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3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3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3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3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3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3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3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3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3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3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3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3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3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3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3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3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3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3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3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3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3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3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3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3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3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3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3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3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3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3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3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3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3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3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3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3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3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3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3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3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3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3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3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3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3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3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3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3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3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3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3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3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3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3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3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3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3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3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3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3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3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3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3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3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3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3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3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3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3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3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3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3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3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3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3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3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3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3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3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3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3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3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3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3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3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3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3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3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3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3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3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3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3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3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3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3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3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3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3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3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3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3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3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3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3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3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3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3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3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3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3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3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3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3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3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3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3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3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3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3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3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3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3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3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3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3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3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3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3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3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3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3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3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3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3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3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3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3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3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3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3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3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3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3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3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3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3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3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3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3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3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3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3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3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3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3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3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3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3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3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3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3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3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3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3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3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3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3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3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3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3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3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3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3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3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3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3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3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3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3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3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3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3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3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3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3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3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3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3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3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3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3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3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3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3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3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3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3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3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3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3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3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3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3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3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3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3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3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3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3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3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3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3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3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3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3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3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3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3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3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3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3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3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3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3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3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3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3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3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ht="27.6" x14ac:dyDescent="0.3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3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3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3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3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3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3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3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3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3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3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3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3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3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3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3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3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3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3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3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3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3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3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3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3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3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3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3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3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3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3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3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3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3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3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3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3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3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3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3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3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3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3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3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3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3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3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3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3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3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3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3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3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3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3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3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3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3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3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3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3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3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3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3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3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3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3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3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3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3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3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3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3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3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3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3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3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3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3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3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3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3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3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3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3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3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3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3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3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3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3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3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3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3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3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3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3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3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3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3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3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3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3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3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3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3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3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3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3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3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3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3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3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3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3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3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3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3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3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3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3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3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3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3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3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3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3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3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3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3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3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3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3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3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3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3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3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3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3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3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3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3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3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3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3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3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3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3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3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3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3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3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3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3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3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3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3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3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3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3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3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3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3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3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3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3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3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3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3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3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3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3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3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3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3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3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3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3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3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3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3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3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3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3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3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3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3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3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3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3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3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3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3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3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3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3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3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3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3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3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3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3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3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3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3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3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3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3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3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3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3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3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3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3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3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3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3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3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3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3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3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3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3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3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3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3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3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3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3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3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3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3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3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3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3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3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3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3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3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3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3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3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3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3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3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3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3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3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3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3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3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3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3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3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3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3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3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3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3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3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3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3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3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3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3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3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3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3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3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3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3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3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3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3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3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3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3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3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3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3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3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3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3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3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3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3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3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3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3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3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3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3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3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3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3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3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3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3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3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3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3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3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3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3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3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3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3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3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3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3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3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3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3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3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3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3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3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3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3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3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3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3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3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3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3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3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3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3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3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3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3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3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3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3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3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3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3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3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3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3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3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3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3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3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3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3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3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3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3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3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3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3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3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3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3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3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3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3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3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3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3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3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3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3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3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3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3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3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3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3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3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3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3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3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3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3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3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3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3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3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3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3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3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3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3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3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3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3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3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3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3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3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3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3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3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3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3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3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3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3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3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3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3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3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3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3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3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3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3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3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3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3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3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3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3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3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3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3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3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3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3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3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3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3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3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3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3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3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3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3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3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3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3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3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3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3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3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3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3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3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3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3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3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3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3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3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3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3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3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3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3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3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3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3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3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3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3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3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3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3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3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3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3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3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3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3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3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3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3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3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3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3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3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3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3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3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3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3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3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3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3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3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3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3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3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3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3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3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3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3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3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3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3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3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3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3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3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3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3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3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3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3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3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3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3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3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3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3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3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3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3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3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3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3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3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3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3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3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3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3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3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3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3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3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3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3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3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3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3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3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3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3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3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3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3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3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3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3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3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3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3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3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3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3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3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3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3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3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3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3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3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3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3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3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3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3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3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3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3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3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3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3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3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3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3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3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3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3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3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3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3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3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3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3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3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3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3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3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3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3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3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3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3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3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3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3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3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3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3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3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3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3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3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3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3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3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3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3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3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3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3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3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3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3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3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3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3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3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3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3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3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3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3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3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3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3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3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3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3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3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3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3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3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3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3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3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3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3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3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3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3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3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3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3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3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3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3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3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3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3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3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3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3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3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3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3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3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3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3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3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3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3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3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3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3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3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3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3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3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3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3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3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3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3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3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3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3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3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3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3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3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3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3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3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3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3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3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3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3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3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3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3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3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3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3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3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3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3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3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3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3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3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3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3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3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3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3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3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3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3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3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3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3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3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3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3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3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3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3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3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3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3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3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3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3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3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3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3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3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3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3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3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3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3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3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3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3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3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3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3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3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3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3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3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3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3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3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3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3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3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3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3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3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3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3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3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3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3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3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3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3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3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3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3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3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3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3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3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3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3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3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3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3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3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3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3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3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3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3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3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3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3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3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3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3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3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3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3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3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3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3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3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3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3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3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3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3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3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3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3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3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3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3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3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3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3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3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3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3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3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3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3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3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3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3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3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3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3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3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3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3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3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3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3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3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3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3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3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3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3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3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3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3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3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3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3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3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3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3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3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3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3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3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3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3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3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3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3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3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3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3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3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3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3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3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3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3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3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3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3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3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3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3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3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3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3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3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3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3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3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3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3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3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3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3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3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3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3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3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3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3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3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3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3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3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3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3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3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3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3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3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3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3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3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3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3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3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3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3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3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3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3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3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3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3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3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3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3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3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3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3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3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3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3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3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3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3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3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3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3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3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3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3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3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3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3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3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3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3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3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3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3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3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3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3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3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3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3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3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3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3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3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3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3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3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3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3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3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3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3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3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3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3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3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3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3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3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3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3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3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3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3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3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3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3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3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3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3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3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3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3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3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3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3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3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3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3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3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3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3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3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3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3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3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3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3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3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3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3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3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3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3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3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3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3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3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3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3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3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3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3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3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3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3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3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3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3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3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3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3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3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3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3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3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3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3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3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3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3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3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3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3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3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3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3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3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3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3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3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3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3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3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3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3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3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3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3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3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3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3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3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3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3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3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3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3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3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3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3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3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3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3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3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3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3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3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3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3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3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3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3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3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3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3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3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3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3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3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3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3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3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3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3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3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3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3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3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3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3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3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3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3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3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3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3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3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3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3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3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3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3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3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3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3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3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3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3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3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3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3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3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3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3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3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3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3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3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3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3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3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3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3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3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3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3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3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3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3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3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3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3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3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3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3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3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3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3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3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3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3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3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3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3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3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3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3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3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3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3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3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3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3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3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3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3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3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3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3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3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3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3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3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3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3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3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3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3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3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3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3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3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3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3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3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3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3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3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3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3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3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3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3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3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3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3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3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3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3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3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3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3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3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3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3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3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3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3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3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3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3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3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3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3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3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3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3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3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3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3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3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3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3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3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3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3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3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3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3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3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3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3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3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3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3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3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3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3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3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3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3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3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3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3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3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3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3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3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3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3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3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3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3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3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3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3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3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3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3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3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3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3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3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3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3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3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3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3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3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3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3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3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3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3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3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3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3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3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3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3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3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3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3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3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3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3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3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3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3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3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3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3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3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3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3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3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3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3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3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3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3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3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3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3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3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3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3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3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3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3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3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3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3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3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3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3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3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3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3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3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3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3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3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3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3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3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3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3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3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3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3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3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3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3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3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3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3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3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3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3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3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3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3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3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3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3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3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3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3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3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3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3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3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3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3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3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3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3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3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3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3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3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3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3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3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3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3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3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3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3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3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3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3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3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3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3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3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3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3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3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3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3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3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3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3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3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3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3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3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3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3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3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3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3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3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3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3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3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3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3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3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3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3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3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3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3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3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3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3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3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3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3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3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3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3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3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3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3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3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3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3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3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3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3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3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3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3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3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3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3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3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3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3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3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3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3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3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3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3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3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3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3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3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3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3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3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3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3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3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3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3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3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3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3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3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3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3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3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3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3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3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3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3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3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3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3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3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3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3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3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3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3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3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3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3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3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3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3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3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3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3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3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3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3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3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3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3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3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3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3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3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3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3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3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3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3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3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3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3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3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3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3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3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3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3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3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3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3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3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3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3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3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3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3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3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3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3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3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3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3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3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3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3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3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3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3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3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3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3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3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3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3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3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3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3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3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3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3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3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3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3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3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3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3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3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3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3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3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3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3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3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3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3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3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3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3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3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3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3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3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3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3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3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3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3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3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3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3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3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3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3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3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3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3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3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3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3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3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3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3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3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3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3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3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3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3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3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3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3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3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3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3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3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3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3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3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3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3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3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3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3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3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3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3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3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3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3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3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3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3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3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3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3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3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3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3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3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3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3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3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3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3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3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3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3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3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3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3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3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3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3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3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3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3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3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3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3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3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3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3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3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3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3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3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3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3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3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3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3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3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3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3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3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3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3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3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3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3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3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3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3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3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3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3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3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3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3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3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3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3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3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3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3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3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3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3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3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3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3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3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3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3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3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3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3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3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3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3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3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3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3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3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3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3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3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3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3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3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3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3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3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3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3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3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3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3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3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3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3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3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3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3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3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3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3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3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3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3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3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3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3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3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3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3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3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3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3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3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3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3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3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3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3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3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3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3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3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3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3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3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3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3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3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3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3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3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3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3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3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3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3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3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3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3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3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3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3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3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3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3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3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3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3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3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3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3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3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3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3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3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3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3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3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3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3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3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3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3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3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3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3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3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3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3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3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3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3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3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3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3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3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3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3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3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3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3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3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3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3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3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3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3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3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3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3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3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3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3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3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3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3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3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3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3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3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3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3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3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3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3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3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3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3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3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3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3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3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3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3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3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3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3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3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3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3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3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3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3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3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3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3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3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3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3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Q109"/>
  <sheetViews>
    <sheetView tabSelected="1" topLeftCell="K1" zoomScale="88" zoomScaleNormal="88" workbookViewId="0">
      <selection activeCell="L4" sqref="L4"/>
    </sheetView>
  </sheetViews>
  <sheetFormatPr defaultRowHeight="14.4" x14ac:dyDescent="0.3"/>
  <cols>
    <col min="1" max="1" width="15.33203125" bestFit="1" customWidth="1"/>
    <col min="2" max="2" width="10" bestFit="1" customWidth="1"/>
    <col min="3" max="3" width="10.33203125" bestFit="1" customWidth="1"/>
    <col min="4" max="4" width="9.5546875" bestFit="1" customWidth="1"/>
    <col min="5" max="5" width="14.6640625" bestFit="1" customWidth="1"/>
    <col min="6" max="6" width="15" bestFit="1" customWidth="1"/>
    <col min="7" max="7" width="14.33203125" bestFit="1" customWidth="1"/>
    <col min="8" max="8" width="9.6640625" bestFit="1" customWidth="1"/>
    <col min="9" max="9" width="10" bestFit="1" customWidth="1"/>
    <col min="10" max="10" width="9.33203125" bestFit="1" customWidth="1"/>
    <col min="14" max="14" width="11.33203125" customWidth="1"/>
  </cols>
  <sheetData>
    <row r="1" spans="1:17" ht="13.5" customHeight="1" x14ac:dyDescent="0.3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7" x14ac:dyDescent="0.3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7" x14ac:dyDescent="0.3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7" x14ac:dyDescent="0.3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7" x14ac:dyDescent="0.3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P5" t="s">
        <v>2493</v>
      </c>
      <c r="Q5" t="s">
        <v>2620</v>
      </c>
    </row>
    <row r="6" spans="1:17" x14ac:dyDescent="0.3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10">
        <f>34000-O6</f>
        <v>5487</v>
      </c>
      <c r="O6" s="8">
        <f>SUM(H7:H11)</f>
        <v>28513</v>
      </c>
      <c r="P6" s="8">
        <f>SUM(I7:I11)</f>
        <v>26902</v>
      </c>
      <c r="Q6" s="10">
        <f>34000-P6</f>
        <v>7098</v>
      </c>
    </row>
    <row r="7" spans="1:17" x14ac:dyDescent="0.3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10">
        <f t="shared" ref="N7:N26" si="0">34000-O7</f>
        <v>2370</v>
      </c>
      <c r="O7" s="8">
        <f>SUM(H12:H16)</f>
        <v>31630</v>
      </c>
      <c r="P7" s="8">
        <f>SUM(I12:I16)</f>
        <v>30208</v>
      </c>
      <c r="Q7" s="10">
        <f t="shared" ref="Q7:Q26" si="1">34000-P7</f>
        <v>3792</v>
      </c>
    </row>
    <row r="8" spans="1:17" x14ac:dyDescent="0.3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10">
        <f t="shared" si="0"/>
        <v>457</v>
      </c>
      <c r="O8" s="8">
        <f>SUM(H17:H21)</f>
        <v>33543</v>
      </c>
      <c r="P8" s="8">
        <f>SUM(I17:I21)</f>
        <v>31738</v>
      </c>
      <c r="Q8" s="10">
        <f t="shared" si="1"/>
        <v>2262</v>
      </c>
    </row>
    <row r="9" spans="1:17" x14ac:dyDescent="0.3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10">
        <f t="shared" si="0"/>
        <v>2472</v>
      </c>
      <c r="O9" s="8">
        <f>SUM(H22:H26)</f>
        <v>31528</v>
      </c>
      <c r="P9" s="8">
        <f>SUM(I22:I26)</f>
        <v>30184</v>
      </c>
      <c r="Q9" s="10">
        <f t="shared" si="1"/>
        <v>3816</v>
      </c>
    </row>
    <row r="10" spans="1:17" x14ac:dyDescent="0.3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10">
        <f t="shared" si="0"/>
        <v>2627</v>
      </c>
      <c r="O10" s="8">
        <f>SUM(H27:H31)</f>
        <v>31373</v>
      </c>
      <c r="P10" s="8">
        <f>SUM(I27:I31)</f>
        <v>29258</v>
      </c>
      <c r="Q10" s="10">
        <f t="shared" si="1"/>
        <v>4742</v>
      </c>
    </row>
    <row r="11" spans="1:17" x14ac:dyDescent="0.3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10">
        <f t="shared" si="0"/>
        <v>2310</v>
      </c>
      <c r="O11" s="8">
        <f>SUM(H32:H36)</f>
        <v>31690</v>
      </c>
      <c r="P11" s="8">
        <f>SUM(I32:I36)</f>
        <v>30286</v>
      </c>
      <c r="Q11" s="10">
        <f t="shared" si="1"/>
        <v>3714</v>
      </c>
    </row>
    <row r="12" spans="1:17" x14ac:dyDescent="0.3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10">
        <f t="shared" si="0"/>
        <v>4241</v>
      </c>
      <c r="O12" s="8">
        <f>SUM(H37:H41)</f>
        <v>29759</v>
      </c>
      <c r="P12" s="8">
        <f>SUM(I37:I41)</f>
        <v>28086</v>
      </c>
      <c r="Q12" s="10">
        <f t="shared" si="1"/>
        <v>5914</v>
      </c>
    </row>
    <row r="13" spans="1:17" x14ac:dyDescent="0.3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10">
        <f t="shared" si="0"/>
        <v>7466</v>
      </c>
      <c r="O13" s="8">
        <f>SUM(H42:H46)</f>
        <v>26534</v>
      </c>
      <c r="P13" s="8">
        <f>SUM(I42:I46)</f>
        <v>25869</v>
      </c>
      <c r="Q13" s="10">
        <f t="shared" si="1"/>
        <v>8131</v>
      </c>
    </row>
    <row r="14" spans="1:17" x14ac:dyDescent="0.3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10">
        <f t="shared" si="0"/>
        <v>10846</v>
      </c>
      <c r="O14" s="8">
        <f>SUM(H47:H51)</f>
        <v>23154</v>
      </c>
      <c r="P14" s="8">
        <f>SUM(I47:I51)</f>
        <v>22985</v>
      </c>
      <c r="Q14" s="10">
        <f t="shared" si="1"/>
        <v>11015</v>
      </c>
    </row>
    <row r="15" spans="1:17" x14ac:dyDescent="0.3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10">
        <f t="shared" si="0"/>
        <v>13848</v>
      </c>
      <c r="O15" s="8">
        <f>SUM(H52:H56)</f>
        <v>20152</v>
      </c>
      <c r="P15" s="8">
        <f>SUM(I52:I56)</f>
        <v>21505</v>
      </c>
      <c r="Q15" s="10">
        <f t="shared" si="1"/>
        <v>12495</v>
      </c>
    </row>
    <row r="16" spans="1:17" x14ac:dyDescent="0.3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10">
        <f t="shared" si="0"/>
        <v>14989</v>
      </c>
      <c r="O16" s="8">
        <f>SUM(H57:H61)</f>
        <v>19011</v>
      </c>
      <c r="P16" s="8">
        <f>SUM(I57:I61)</f>
        <v>20447</v>
      </c>
      <c r="Q16" s="10">
        <f t="shared" si="1"/>
        <v>13553</v>
      </c>
    </row>
    <row r="17" spans="1:17" x14ac:dyDescent="0.3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10">
        <f t="shared" si="0"/>
        <v>17075</v>
      </c>
      <c r="O17" s="8">
        <f>SUM(H62:H66)</f>
        <v>16925</v>
      </c>
      <c r="P17" s="8">
        <f>SUM(I62:I66)</f>
        <v>19340</v>
      </c>
      <c r="Q17" s="10">
        <f t="shared" si="1"/>
        <v>14660</v>
      </c>
    </row>
    <row r="18" spans="1:17" x14ac:dyDescent="0.3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10">
        <f t="shared" si="0"/>
        <v>19978</v>
      </c>
      <c r="O18" s="8">
        <f>SUM(H67:H71)</f>
        <v>14022</v>
      </c>
      <c r="P18" s="8">
        <f>SUM(I67:I71)</f>
        <v>17188</v>
      </c>
      <c r="Q18" s="10">
        <f t="shared" si="1"/>
        <v>16812</v>
      </c>
    </row>
    <row r="19" spans="1:17" x14ac:dyDescent="0.3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10">
        <f t="shared" si="0"/>
        <v>24804</v>
      </c>
      <c r="O19" s="8">
        <f>SUM(H72:H76)</f>
        <v>9196</v>
      </c>
      <c r="P19" s="8">
        <f>SUM(I72:I76)</f>
        <v>11761</v>
      </c>
      <c r="Q19" s="10">
        <f t="shared" si="1"/>
        <v>22239</v>
      </c>
    </row>
    <row r="20" spans="1:17" x14ac:dyDescent="0.3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10">
        <f t="shared" si="0"/>
        <v>26240</v>
      </c>
      <c r="O20" s="8">
        <f>SUM(H77:H81)</f>
        <v>7760</v>
      </c>
      <c r="P20" s="8">
        <f>SUM(I77:I81)</f>
        <v>10368</v>
      </c>
      <c r="Q20" s="10">
        <f t="shared" si="1"/>
        <v>23632</v>
      </c>
    </row>
    <row r="21" spans="1:17" x14ac:dyDescent="0.3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10">
        <f t="shared" si="0"/>
        <v>29151</v>
      </c>
      <c r="O21" s="8">
        <f>SUM(H82:H86)</f>
        <v>4849</v>
      </c>
      <c r="P21" s="8">
        <f>SUM(I82:I86)</f>
        <v>6806</v>
      </c>
      <c r="Q21" s="10">
        <f t="shared" si="1"/>
        <v>27194</v>
      </c>
    </row>
    <row r="22" spans="1:17" x14ac:dyDescent="0.3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10">
        <f t="shared" si="0"/>
        <v>31044</v>
      </c>
      <c r="O22">
        <f>SUM(H87:H91)</f>
        <v>2956</v>
      </c>
      <c r="P22">
        <f>SUM(I87:I91)</f>
        <v>4717</v>
      </c>
      <c r="Q22" s="10">
        <f t="shared" si="1"/>
        <v>29283</v>
      </c>
    </row>
    <row r="23" spans="1:17" x14ac:dyDescent="0.3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10">
        <f t="shared" si="0"/>
        <v>32103</v>
      </c>
      <c r="O23">
        <f>SUM(H92:H96)</f>
        <v>1897</v>
      </c>
      <c r="P23">
        <f>SUM(I92:I96)</f>
        <v>3535</v>
      </c>
      <c r="Q23" s="10">
        <f t="shared" si="1"/>
        <v>30465</v>
      </c>
    </row>
    <row r="24" spans="1:17" x14ac:dyDescent="0.3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10">
        <f t="shared" si="0"/>
        <v>32945</v>
      </c>
      <c r="O24">
        <f>SUM(H97:H101)</f>
        <v>1055</v>
      </c>
      <c r="P24">
        <f>SUM(I97:I101)</f>
        <v>1700</v>
      </c>
      <c r="Q24" s="10">
        <f t="shared" si="1"/>
        <v>32300</v>
      </c>
    </row>
    <row r="25" spans="1:17" x14ac:dyDescent="0.3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10">
        <f t="shared" si="0"/>
        <v>33500</v>
      </c>
      <c r="O25">
        <f>SUM(H102:H106)</f>
        <v>500</v>
      </c>
      <c r="P25">
        <f>SUM(I102:I106)</f>
        <v>836</v>
      </c>
      <c r="Q25" s="10">
        <f t="shared" si="1"/>
        <v>33164</v>
      </c>
    </row>
    <row r="26" spans="1:17" x14ac:dyDescent="0.3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10">
        <f t="shared" si="0"/>
        <v>33515</v>
      </c>
      <c r="O26">
        <f>SUM(H107:H108)</f>
        <v>485</v>
      </c>
      <c r="P26">
        <f>SUM(I107:I108)</f>
        <v>653</v>
      </c>
      <c r="Q26" s="10">
        <f t="shared" si="1"/>
        <v>33347</v>
      </c>
    </row>
    <row r="27" spans="1:17" x14ac:dyDescent="0.3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>
        <f>SUM(P6:P26)</f>
        <v>374372</v>
      </c>
    </row>
    <row r="28" spans="1:17" x14ac:dyDescent="0.3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7" x14ac:dyDescent="0.3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7" x14ac:dyDescent="0.3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7" x14ac:dyDescent="0.3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7" x14ac:dyDescent="0.3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3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3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3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3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3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3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3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3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3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3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3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3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3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3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3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3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3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3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3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3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3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3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3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3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3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3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3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3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3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3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3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3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3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3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3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3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3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3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3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3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3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3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3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3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3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3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3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3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3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3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3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3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3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3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3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3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3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3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3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3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3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3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3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3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3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3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3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3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3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3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3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3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3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3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3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3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3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Nawwas_Bensah@hotmail.com</cp:lastModifiedBy>
  <dcterms:created xsi:type="dcterms:W3CDTF">2026-08-03T14:27:04Z</dcterms:created>
  <dcterms:modified xsi:type="dcterms:W3CDTF">2026-08-06T04:51:20Z</dcterms:modified>
</cp:coreProperties>
</file>